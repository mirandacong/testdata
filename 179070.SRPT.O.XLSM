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drawing+xml" PartName="/xl/drawings/drawing1.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11.xml"/>
  <Override ContentType="application/vnd.openxmlformats-officedocument.spreadsheetml.externalLink+xml" PartName="/xl/externalLinks/externalLink12.xml"/>
  <Override ContentType="application/vnd.openxmlformats-officedocument.spreadsheetml.externalLink+xml" PartName="/xl/externalLinks/externalLink13.xml"/>
  <Override ContentType="application/vnd.openxmlformats-officedocument.spreadsheetml.externalLink+xml" PartName="/xl/externalLinks/externalLink14.xml"/>
  <Override ContentType="application/vnd.openxmlformats-officedocument.spreadsheetml.externalLink+xml" PartName="/xl/externalLinks/externalLink15.xml"/>
  <Override ContentType="application/vnd.openxmlformats-officedocument.spreadsheetml.externalLink+xml" PartName="/xl/externalLinks/externalLink16.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spreadsheetml.externalLink+xml" PartName="/xl/externalLinks/externalLink7.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openxmlformats-officedocument.spreadsheetml.volatileDependencies+xml" PartName="/xl/volatileDependencies.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0" yWindow="855" windowWidth="16920" windowHeight="6570" tabRatio="592"/>
  </bookViews>
  <sheets>
    <sheet name="ImportantDisclosures" sheetId="63" r:id="rId1"/>
    <sheet name="DCF " sheetId="42" r:id="rId2"/>
    <sheet name="IS" sheetId="1" r:id="rId3"/>
    <sheet name="DMD" sheetId="41" r:id="rId4"/>
    <sheet name="DMD Gene Therapy" sheetId="58" r:id="rId5"/>
    <sheet name="BS" sheetId="2" r:id="rId6"/>
    <sheet name="CF" sheetId="11" r:id="rId7"/>
    <sheet name="IndexInformation" sheetId="64" r:id="rId8"/>
    <sheet name="ModPubIndex" sheetId="65" r:id="rId9"/>
    <sheet name="MW-Cache" sheetId="25" state="veryHidden" r:id="rId10"/>
  </sheets>
  <externalReferences>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s>
  <definedNames>
    <definedName name="_________new1" localSheetId="3"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_______new1" localSheetId="4"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_______new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______new1" localSheetId="3"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______new1" localSheetId="4"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______new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_____new1" localSheetId="3"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_____new1" localSheetId="4"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_____new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____new1" localSheetId="3"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____new1" localSheetId="4"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____new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___new1" localSheetId="3"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___new1" localSheetId="4"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___new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__new1" localSheetId="3"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__new1" localSheetId="4"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__new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_new1" localSheetId="3"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_new1" localSheetId="4"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_new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FDS_HYPERLINK_TOGGLE_STATE__" hidden="1">"ON"</definedName>
    <definedName name="__FDS_UNIQUE_RANGE_ID_GENERATOR_COUNTER" hidden="1">1</definedName>
    <definedName name="__new1" localSheetId="3"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new1" localSheetId="4"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_new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1__FDSAUDITLINK__" localSheetId="3" hidden="1">{"fdsup://directions/FAT Viewer?action=UPDATE&amp;creator=factset&amp;DYN_ARGS=TRUE&amp;DOC_NAME=FAT:FQL_AUDITING_CLIENT_TEMPLATE.FAT&amp;display_string=Audit&amp;VAR:KEY=LWNEPKPEBA&amp;VAR:QUERY=RkZfRUJJVERBX0lCKCdBTk4nLDIwMDgp&amp;WINDOW=FIRST_POPUP&amp;HEIGHT=450&amp;WIDTH=450&amp;START_MAXIMI","ZED=FALSE&amp;VAR:CALENDAR=FIVEDAY&amp;VAR:SYMBOL=PFE&amp;VAR:INDEX=0"}</definedName>
    <definedName name="_1__FDSAUDITLINK__" localSheetId="4" hidden="1">{"fdsup://directions/FAT Viewer?action=UPDATE&amp;creator=factset&amp;DYN_ARGS=TRUE&amp;DOC_NAME=FAT:FQL_AUDITING_CLIENT_TEMPLATE.FAT&amp;display_string=Audit&amp;VAR:KEY=LWNEPKPEBA&amp;VAR:QUERY=RkZfRUJJVERBX0lCKCdBTk4nLDIwMDgp&amp;WINDOW=FIRST_POPUP&amp;HEIGHT=450&amp;WIDTH=450&amp;START_MAXIMI","ZED=FALSE&amp;VAR:CALENDAR=FIVEDAY&amp;VAR:SYMBOL=PFE&amp;VAR:INDEX=0"}</definedName>
    <definedName name="_1__FDSAUDITLINK__" hidden="1">{"fdsup://directions/FAT Viewer?action=UPDATE&amp;creator=factset&amp;DYN_ARGS=TRUE&amp;DOC_NAME=FAT:FQL_AUDITING_CLIENT_TEMPLATE.FAT&amp;display_string=Audit&amp;VAR:KEY=LWNEPKPEBA&amp;VAR:QUERY=RkZfRUJJVERBX0lCKCdBTk4nLDIwMDgp&amp;WINDOW=FIRST_POPUP&amp;HEIGHT=450&amp;WIDTH=450&amp;START_MAXIMI","ZED=FALSE&amp;VAR:CALENDAR=FIVEDAY&amp;VAR:SYMBOL=PFE&amp;VAR:INDEX=0"}</definedName>
    <definedName name="_2__FDSAUDITLINK__" localSheetId="3" hidden="1">{"fdsup://directions/FAT Viewer?action=UPDATE&amp;creator=factset&amp;DYN_ARGS=TRUE&amp;DOC_NAME=FAT:FQL_AUDITING_CLIENT_TEMPLATE.FAT&amp;display_string=Audit&amp;VAR:KEY=TKDCPCRGJO&amp;VAR:QUERY=RkZfRUJJVERBX0lCKCdBTk4nLDIwMDcp&amp;WINDOW=FIRST_POPUP&amp;HEIGHT=450&amp;WIDTH=450&amp;START_MAXIMI","ZED=FALSE&amp;VAR:CALENDAR=FIVEDAY&amp;VAR:SYMBOL=PFE&amp;VAR:INDEX=0"}</definedName>
    <definedName name="_2__FDSAUDITLINK__" localSheetId="4" hidden="1">{"fdsup://directions/FAT Viewer?action=UPDATE&amp;creator=factset&amp;DYN_ARGS=TRUE&amp;DOC_NAME=FAT:FQL_AUDITING_CLIENT_TEMPLATE.FAT&amp;display_string=Audit&amp;VAR:KEY=TKDCPCRGJO&amp;VAR:QUERY=RkZfRUJJVERBX0lCKCdBTk4nLDIwMDcp&amp;WINDOW=FIRST_POPUP&amp;HEIGHT=450&amp;WIDTH=450&amp;START_MAXIMI","ZED=FALSE&amp;VAR:CALENDAR=FIVEDAY&amp;VAR:SYMBOL=PFE&amp;VAR:INDEX=0"}</definedName>
    <definedName name="_2__FDSAUDITLINK__" hidden="1">{"fdsup://directions/FAT Viewer?action=UPDATE&amp;creator=factset&amp;DYN_ARGS=TRUE&amp;DOC_NAME=FAT:FQL_AUDITING_CLIENT_TEMPLATE.FAT&amp;display_string=Audit&amp;VAR:KEY=TKDCPCRGJO&amp;VAR:QUERY=RkZfRUJJVERBX0lCKCdBTk4nLDIwMDcp&amp;WINDOW=FIRST_POPUP&amp;HEIGHT=450&amp;WIDTH=450&amp;START_MAXIMI","ZED=FALSE&amp;VAR:CALENDAR=FIVEDAY&amp;VAR:SYMBOL=PFE&amp;VAR:INDEX=0"}</definedName>
    <definedName name="_3__FDSAUDITLINK__" localSheetId="3" hidden="1">{"fdsup://directions/FAT Viewer?action=UPDATE&amp;creator=factset&amp;DYN_ARGS=TRUE&amp;DOC_NAME=FAT:FQL_AUDITING_CLIENT_TEMPLATE.FAT&amp;display_string=Audit&amp;VAR:KEY=FAZYZAZOHS&amp;VAR:QUERY=RkZfRUJJVERBX0lCKCdBTk4nLDIwMDYp&amp;WINDOW=FIRST_POPUP&amp;HEIGHT=450&amp;WIDTH=450&amp;START_MAXIMI","ZED=FALSE&amp;VAR:CALENDAR=FIVEDAY&amp;VAR:SYMBOL=PFE&amp;VAR:INDEX=0"}</definedName>
    <definedName name="_3__FDSAUDITLINK__" localSheetId="4" hidden="1">{"fdsup://directions/FAT Viewer?action=UPDATE&amp;creator=factset&amp;DYN_ARGS=TRUE&amp;DOC_NAME=FAT:FQL_AUDITING_CLIENT_TEMPLATE.FAT&amp;display_string=Audit&amp;VAR:KEY=FAZYZAZOHS&amp;VAR:QUERY=RkZfRUJJVERBX0lCKCdBTk4nLDIwMDYp&amp;WINDOW=FIRST_POPUP&amp;HEIGHT=450&amp;WIDTH=450&amp;START_MAXIMI","ZED=FALSE&amp;VAR:CALENDAR=FIVEDAY&amp;VAR:SYMBOL=PFE&amp;VAR:INDEX=0"}</definedName>
    <definedName name="_3__FDSAUDITLINK__" hidden="1">{"fdsup://directions/FAT Viewer?action=UPDATE&amp;creator=factset&amp;DYN_ARGS=TRUE&amp;DOC_NAME=FAT:FQL_AUDITING_CLIENT_TEMPLATE.FAT&amp;display_string=Audit&amp;VAR:KEY=FAZYZAZOHS&amp;VAR:QUERY=RkZfRUJJVERBX0lCKCdBTk4nLDIwMDYp&amp;WINDOW=FIRST_POPUP&amp;HEIGHT=450&amp;WIDTH=450&amp;START_MAXIMI","ZED=FALSE&amp;VAR:CALENDAR=FIVEDAY&amp;VAR:SYMBOL=PFE&amp;VAR:INDEX=0"}</definedName>
    <definedName name="_bdm.02E29E7B1053433EA3CCCBE4E5141596.edm" hidden="1">[1]Sheet1!$A:$IV</definedName>
    <definedName name="_bdm.0465D0F8BD2C4E888AB9C11EA0CBE52C.edm" hidden="1">'[2]rev change analysis'!$A:$IV</definedName>
    <definedName name="_bdm.14200C51F23343DBA038D22B6303B8CC.edm" hidden="1">[3]Cashflow!$A:$IV</definedName>
    <definedName name="_bdm.22794A4B010A4A8692E496303EA793DB.edm" hidden="1">[4]Cashflow!$A:$IV</definedName>
    <definedName name="_bdm.324D53C82F8D478AA4269D3A520A6972.edm" hidden="1">[4]Figures!$A:$IV</definedName>
    <definedName name="_bdm.37E6BDDA51D64107AEC413E364833DAE.edm" hidden="1">'[3]Avastin-Patient Ramp'!$A:$IV</definedName>
    <definedName name="_bdm.3AE51B349CB64710914C57BF7EAD0F08.edm" hidden="1">[4]Marketing!$A:$IV</definedName>
    <definedName name="_bdm.5F1885707D3344F0A4139CF01D1D1F5E.edm" hidden="1">[3]Annual!$A:$IV</definedName>
    <definedName name="_bdm.65F9EB696FC746649BC61AD8D778200B.edm" hidden="1">[4]Annual!$A:$IV</definedName>
    <definedName name="_bdm.728F11F0AFCA412FB7ED10EC5A6B0D96.edm" hidden="1">'[3]Balance Sheet '!$A:$IV</definedName>
    <definedName name="_bdm.77453DAF91854373A25ACDB8F1877D47.edm" hidden="1">'[4]Balance Sheet '!$A:$IV</definedName>
    <definedName name="_bdm.7757076A173D4402BD533DE2F5EDA064.edm" hidden="1">[3]Manufacturing!$A:$IV</definedName>
    <definedName name="_bdm.9301DDFC67D846248C16E96B86458D94.edm" hidden="1">'[2]rev contribution analysis'!$A:$IV</definedName>
    <definedName name="_bdm.95B3BB646EED4CCE80790D8D8638B047.edm" hidden="1">'[4]MS Est. Vs Actual'!$A:$IV</definedName>
    <definedName name="_bdm.A14504C4685843CABFA70BDB420D1B49.edm" hidden="1">[4]ProcritAranesp!$A:$IV</definedName>
    <definedName name="_bdm.B21B9DDD275E448CBEA15C84DEF8CA9D.edm" hidden="1">'[3]MS Est vs. Rpt'!$A:$IV</definedName>
    <definedName name="_bdm.C143B498FEE343158C5059FD7AD9D747.edm" hidden="1">'[3]Changes to the Model'!$A:$IV</definedName>
    <definedName name="_bdm.CA0B0CAC6522419B8221BEA627D1C086.edm" hidden="1">'[3]Clinical data'!$A:$IV</definedName>
    <definedName name="_bdm.CA0B3AD6743A4F68B0D719ED6EBECAA8.edm" hidden="1">[3]Marketing!$A:$IV</definedName>
    <definedName name="_bdm.DA3D26E750D24936AEE5B87A52DD73E7.edm" hidden="1">[4]Quarterly!$A:$IV</definedName>
    <definedName name="_bdm.E21E382C69DA4447AFEB970D63072EC7.edm" hidden="1">[3]Quarterly!$A:$IV</definedName>
    <definedName name="_bdm.E740C0FDA4514EE4A13531D2644E24FE.edm" hidden="1">'[4]Changes to Model'!$A:$IV</definedName>
    <definedName name="_bdm.E93CF733CE1D4A5A94E3C95B0A7E783E.edm" hidden="1">[3]Model_Template!$A:$IV</definedName>
    <definedName name="_new1" localSheetId="3"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new1" localSheetId="4"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new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_Order1" hidden="1">255</definedName>
    <definedName name="_ye95">[5]Quarterlies!$C$2:$C$65536</definedName>
    <definedName name="_ye96">[5]Quarterlies!$J$2:$J$65536</definedName>
    <definedName name="_ye97">[5]Quarterlies!$Q$2:$Q$65536</definedName>
    <definedName name="_ye98">[5]Quarterlies!$X$2:$X$65536</definedName>
    <definedName name="A" hidden="1">{#N/A,#N/A,FALSE,"Inc";#N/A,#N/A,FALSE,"QInc";#N/A,#N/A,FALSE,"Pro";#N/A,#N/A,FALSE,"QPro"}</definedName>
    <definedName name="ab" hidden="1">{#N/A,#N/A,FALSE,"Inc";#N/A,#N/A,FALSE,"Prod";#N/A,#N/A,FALSE,"QInc";#N/A,#N/A,FALSE,"QProd"}</definedName>
    <definedName name="abc" localSheetId="3" hidden="1">{"cover a","1q",FALSE,"Cover";"Op Earn Mgd Q1",#N/A,FALSE,"Op-Earn (Mng)";"Op Earn Rpt Q1",#N/A,FALSE,"Op-Earn (Rpt)";"Loans",#N/A,FALSE,"Loans";"Credit Costs",#N/A,FALSE,"CCosts";"Net Interest Margin",#N/A,FALSE,"Margin";"Nonint Income",#N/A,FALSE,"NonII";"Nonint Exp",#N/A,FALSE,"NonIE";"Valuation",#N/A,FALSE,"Valuation"}</definedName>
    <definedName name="abc" localSheetId="4" hidden="1">{"cover a","1q",FALSE,"Cover";"Op Earn Mgd Q1",#N/A,FALSE,"Op-Earn (Mng)";"Op Earn Rpt Q1",#N/A,FALSE,"Op-Earn (Rpt)";"Loans",#N/A,FALSE,"Loans";"Credit Costs",#N/A,FALSE,"CCosts";"Net Interest Margin",#N/A,FALSE,"Margin";"Nonint Income",#N/A,FALSE,"NonII";"Nonint Exp",#N/A,FALSE,"NonIE";"Valuation",#N/A,FALSE,"Valuation"}</definedName>
    <definedName name="abc" hidden="1">{"cover a","1q",FALSE,"Cover";"Op Earn Mgd Q1",#N/A,FALSE,"Op-Earn (Mng)";"Op Earn Rpt Q1",#N/A,FALSE,"Op-Earn (Rpt)";"Loans",#N/A,FALSE,"Loans";"Credit Costs",#N/A,FALSE,"CCosts";"Net Interest Margin",#N/A,FALSE,"Margin";"Nonint Income",#N/A,FALSE,"NonII";"Nonint Exp",#N/A,FALSE,"NonIE";"Valuation",#N/A,FALSE,"Valuation"}</definedName>
    <definedName name="abcd" hidden="1">{#N/A,#N/A,FALSE,"Inc";#N/A,#N/A,FALSE,"Prod";#N/A,#N/A,FALSE,"QInc";#N/A,#N/A,FALSE,"QProd"}</definedName>
    <definedName name="ACQIPRD">[6]Financials!$B$58:$AH$58</definedName>
    <definedName name="adb" hidden="1">{#N/A,#N/A,FALSE,"Inc";#N/A,#N/A,FALSE,"Prod";#N/A,#N/A,FALSE,"QInc";#N/A,#N/A,FALSE,"QProd"}</definedName>
    <definedName name="AdditionalInstructions">IndexInformation!$B$42</definedName>
    <definedName name="Address" localSheetId="0">ImportantDisclosures!$A$2:$A$2</definedName>
    <definedName name="ANA" localSheetId="8">ModPubIndex!$A$7</definedName>
    <definedName name="anscount" hidden="1">2</definedName>
    <definedName name="asd" localSheetId="3"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asd" localSheetId="4"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asd"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Authors" localSheetId="0">ImportantDisclosures!$A$7</definedName>
    <definedName name="Authors" localSheetId="7">IndexInformation!$B$18</definedName>
    <definedName name="bcd" hidden="1">{#N/A,#N/A,FALSE,"Inc";#N/A,#N/A,FALSE,"Prod";#N/A,#N/A,FALSE,"QInc";#N/A,#N/A,FALSE,"QProd"}</definedName>
    <definedName name="bcdf" hidden="1">{#N/A,#N/A,FALSE,"Inc";#N/A,#N/A,FALSE,"Prod";#N/A,#N/A,FALSE,"QInc";#N/A,#N/A,FALSE,"QProd"}</definedName>
    <definedName name="BIDEXP">[6]Financials!$B$67:$AH$67</definedName>
    <definedName name="BKVPS">[6]Financials!$B$227:$AH$227</definedName>
    <definedName name="blah">[7]Sheet2!$B$3:$IV$3</definedName>
    <definedName name="BRO" localSheetId="8">ModPubIndex!$A$1</definedName>
    <definedName name="BS_BANK">[6]Financials!$B$124:$AH$124</definedName>
    <definedName name="BS_DEFEXP">[6]Financials!$B$117:$AH$117</definedName>
    <definedName name="BS_DEFTAX">[6]Financials!$B$128:$AH$128</definedName>
    <definedName name="BS_FUTTAX">[6]Financials!$B$110:$AH$110</definedName>
    <definedName name="BS_INCTAXPAY">[6]Financials!$B$126:$AH$126</definedName>
    <definedName name="BS_INVMT">[6]Financials!$B$113:$AH$113</definedName>
    <definedName name="BS_LTDEFTAX">[6]Financials!$B$132:$AH$132</definedName>
    <definedName name="BS_LTFUTTAX">[6]Financials!$B$118:$AH$118</definedName>
    <definedName name="BS_MININT">[6]Financials!$B$133:$AH$133</definedName>
    <definedName name="BS_PPE">[6]Financials!$B$114:$AH$114</definedName>
    <definedName name="BS_TAXREC">[6]Financials!$B$107:$AH$107</definedName>
    <definedName name="BS_TOTCASH">[6]Financials!$B$104:$AH$104</definedName>
    <definedName name="BSMethod">2</definedName>
    <definedName name="BVFEXERCISE">[8]BVF!$F$11</definedName>
    <definedName name="BVFFORFT">[8]BVF!$M$17</definedName>
    <definedName name="BVFLIFE">[8]BVF!$C$20</definedName>
    <definedName name="BVFOPT00">[8]BVF!$K$7</definedName>
    <definedName name="BVFOPT01">[8]BVF!$M$7</definedName>
    <definedName name="BVFOUT">[8]BVF!$C$11</definedName>
    <definedName name="BVFVEST">[8]BVF!$C$28</definedName>
    <definedName name="cb_sChart10D6460A_opts" hidden="1">"1, 1, 1, False, 2, True, False, , 0, False, False, 1, 1"</definedName>
    <definedName name="cb_sChart10D65256_opts" hidden="1">"1, 1, 1, False, 2, True, False, , 0, False, False, 1, 1"</definedName>
    <definedName name="cb_sChart10D653EB_opts" hidden="1">"1, 1, 1, False, 2, True, False, , 0, False, False, 1, 1"</definedName>
    <definedName name="cb_sChart10D65893_opts" hidden="1">"1, 1, 1, False, 2, True, False, , 0, False, False, 1, 1"</definedName>
    <definedName name="cb_sChartEE4CE1B_opts" hidden="1">"1, 4, 1, False, 2, False, False, , 0, False, False, 1, 1"</definedName>
    <definedName name="cb_sChartEE4CF99_opts" hidden="1">"1, 1, 1, False, 2, False, False, , 0, False, False, 1, 1"</definedName>
    <definedName name="cb_sChartEE4DD06_opts" hidden="1">"1, 1, 1, False, 2, False, False, , 0, False, False, 1, 2"</definedName>
    <definedName name="cb_sChartEE4E93B_opts" hidden="1">"1, 1, 1, False, 2, False, False, , 0, False, False, 1, 1"</definedName>
    <definedName name="cb_sChartEE51E95_opts" hidden="1">"1, 1, 1, False, 2, False, False, , 0, False, False, 1, 1"</definedName>
    <definedName name="cb_sChartEED7645_opts" hidden="1">"1, 1, 1, False, 2, False, False, , 0, False, False, 1, 1"</definedName>
    <definedName name="cb_sChartEEDA195_opts" hidden="1">"1, 1, 1, False, 2, False, False, , 0, False, False, 1, 1"</definedName>
    <definedName name="cb_sChartEEDC338_opts" hidden="1">"1, 1, 1, False, 2, False, False, , 0, False, False, 1, 1"</definedName>
    <definedName name="cb_sChartEEDEDB8_opts" hidden="1">"1, 1, 1, False, 2, False, False, , 0, False, True, 1, 1"</definedName>
    <definedName name="cb_sChartEEDEE5A_opts" hidden="1">"1, 3, 1, False, 2, True, False, , 0, False, True, 1, 1"</definedName>
    <definedName name="cb_sChartEEDF178_opts" hidden="1">"1, 3, 1, False, 2, False, False, , 0, False, True, 1, 1"</definedName>
    <definedName name="cb_sChartF6A6B11_opts" hidden="1">"1, 1, 1, False, 2, True, False, , 0, False, False, 1, 1"</definedName>
    <definedName name="cb_sChartFD191DC_opts" hidden="1">"1, 3, 1, False, 2, True, False, , 0, False, True, 1, 1"</definedName>
    <definedName name="cb_sChartFD1A245_opts" hidden="1">"1, 3, 1, False, 2, True, False, , 0, False, True, 1, 1"</definedName>
    <definedName name="cb_sChartFD3F0E9_opts" hidden="1">"1, 3, 1, False, 2, True, False, , 0, False, False, 1, 1"</definedName>
    <definedName name="cb_sChartFD3F27E_opts" hidden="1">"1, 3, 1, False, 2, True, False, , 0, False, True, 1, 1"</definedName>
    <definedName name="cb_sChartFD58483_opts" hidden="1">"1, 1, 1, False, 2, True, False, , 0, False, False, 1, 1"</definedName>
    <definedName name="cb_sChartFD5C4CD_opts" hidden="1">"1, 1, 1, False, 2, True, False, , 0, False, False, 1, 1"</definedName>
    <definedName name="cb_sChartFD5D4CE_opts" hidden="1">"1, 1, 1, False, 2, True, False, , 0, False, False, 1, 1"</definedName>
    <definedName name="cb_sChartFD5DF34_opts" hidden="1">"1, 1, 1, False, 2, True, False, , 0, False, False, 1, 1"</definedName>
    <definedName name="cb_sChartFD5EFC0_opts" hidden="1">"1, 1, 1, False, 2, True, False, , 0, False, False, 1, 1"</definedName>
    <definedName name="cb_sChartFD5FDB9_opts" hidden="1">"1, 1, 1, False, 2, True, False, , 0, False, False, 1, 1"</definedName>
    <definedName name="cb_sChartFE54712_opts" hidden="1">"1, 3, 1, False, 2, True, False, , 0, False, True, 1, 1"</definedName>
    <definedName name="CF_ACINTANG">[6]Financials!$B$190:$AH$190</definedName>
    <definedName name="CF_ACPPE">[6]Financials!$B$189:$AH$189</definedName>
    <definedName name="CF_ACQINV">[6]Financials!$B$187:$AH$187</definedName>
    <definedName name="CF_AMEXP">[6]Financials!$B$155:$AH$155</definedName>
    <definedName name="CF_BANKDEBT">[6]Financials!$B$175:$AH$175</definedName>
    <definedName name="CF_DEFEXP">[6]Financials!$B$191:$AH$191</definedName>
    <definedName name="CF_DISCOPS">[6]Financials!$B$186:$AH$186</definedName>
    <definedName name="CF_DISP">[6]Financials!$B$157:$AH$157</definedName>
    <definedName name="CF_DISPINV">[6]Financials!$B$188:$AH$188</definedName>
    <definedName name="CF_DISPST">[6]Financials!$B$185:$AH$185</definedName>
    <definedName name="CF_DIV">[6]Financials!$B$151:$AH$151</definedName>
    <definedName name="CF_FUTTAX">[6]Financials!$B$159:$AH$159</definedName>
    <definedName name="CF_FXCHG">[6]Financials!$B$158:$AH$158</definedName>
    <definedName name="CF_FXLOSS">[6]Financials!$B$197:$AH$197</definedName>
    <definedName name="CF_JV">[6]Financials!$B$153:$AH$153</definedName>
    <definedName name="CF_LTD">[6]Financials!$B$176:$AH$176</definedName>
    <definedName name="CF_MININTEREST">[6]Financials!$B$177:$AH$177</definedName>
    <definedName name="CF_NOTES">[6]Financials!$B$174:$AH$174</definedName>
    <definedName name="CF_SHRLOSS">[6]Financials!$B$161:$AH$161</definedName>
    <definedName name="CF_STINV">[6]Financials!$B$184:$AH$184</definedName>
    <definedName name="CF_TAXCREDIT">[6]Financials!$B$160:$AH$160</definedName>
    <definedName name="CF_WORKCAP">[6]Financials!$B$169:$AH$169</definedName>
    <definedName name="COGSOLD">[6]Financials!$B$46:$AH$46</definedName>
    <definedName name="comps">'[9]Comps - output'!$A$3:$D$20</definedName>
    <definedName name="CopyrightStamp">ImportantDisclosures!$A$27</definedName>
    <definedName name="COU" localSheetId="8">ModPubIndex!$A$5</definedName>
    <definedName name="CQEnd" localSheetId="7">IndexInformation!$B$31</definedName>
    <definedName name="CSHFPS">[6]Financials!$B$229:$AH$229</definedName>
    <definedName name="cu102.ShareScalingFactor" hidden="1">1000000</definedName>
    <definedName name="cu103.EmployeeScalingFactor" hidden="1">1000</definedName>
    <definedName name="cu107.DPSSymbol" hidden="1">"US$"</definedName>
    <definedName name="cu107.EPSSymbol" hidden="1">"US$"</definedName>
    <definedName name="cu71.ScalingFactor" localSheetId="3" hidden="1">1000</definedName>
    <definedName name="cu71.ScalingFactor" localSheetId="4" hidden="1">1000</definedName>
    <definedName name="cu71.ScalingFactor" hidden="1">1000000</definedName>
    <definedName name="cu71.ScalingFactor_1" hidden="1">1000</definedName>
    <definedName name="Currency" localSheetId="7">IndexInformation!$B$24</definedName>
    <definedName name="CurrentStockPrice" localSheetId="7">IndexInformation!$B$23</definedName>
    <definedName name="CurrQtrEPS" localSheetId="7">IndexInformation!$B$29</definedName>
    <definedName name="CurrYearEPS" localSheetId="7">IndexInformation!$B$11</definedName>
    <definedName name="CurrYearTotalRevenue" localSheetId="7">IndexInformation!$B$10</definedName>
    <definedName name="CurrYearTotalRevenueActual" localSheetId="7">IndexInformation!$B$32</definedName>
    <definedName name="CUSIP" localSheetId="7">IndexInformation!$B$20</definedName>
    <definedName name="CYEnd" localSheetId="7">IndexInformation!$B$30</definedName>
    <definedName name="DA">[6]Financials!$B$59:$AH$59</definedName>
    <definedName name="Date" localSheetId="0">ImportantDisclosures!$A$8</definedName>
    <definedName name="DB">"WIRENYPROD"</definedName>
    <definedName name="Deleted" localSheetId="7">IndexInformation!$B$27</definedName>
    <definedName name="Description" localSheetId="7">IndexInformation!$B$7</definedName>
    <definedName name="DEVELOPMENT">5</definedName>
    <definedName name="Did" localSheetId="3" hidden="1">{"Salesass",#N/A,FALSE,"assumpt"}</definedName>
    <definedName name="Did" localSheetId="4" hidden="1">{"Salesass",#N/A,FALSE,"assumpt"}</definedName>
    <definedName name="Did" hidden="1">{"Salesass",#N/A,FALSE,"assumpt"}</definedName>
    <definedName name="Discipline" localSheetId="7">IndexInformation!$B$3</definedName>
    <definedName name="DISCIPLINE" localSheetId="8">ModPubIndex!$A$12</definedName>
    <definedName name="DisclosuresText">ImportantDisclosures!$A$22</definedName>
    <definedName name="Distribution" localSheetId="7">IndexInformation!$B$26</definedName>
    <definedName name="DistTable" localSheetId="0">ImportantDisclosures!#REF!</definedName>
    <definedName name="DistTablePreamble" localSheetId="0">ImportantDisclosures!#REF!</definedName>
    <definedName name="DOCDAT" localSheetId="8">ModPubIndex!$A$2</definedName>
    <definedName name="DOCTIME" localSheetId="8">ModPubIndex!$A$3</definedName>
    <definedName name="DocType" localSheetId="4">PPt</definedName>
    <definedName name="DocType" localSheetId="7">IndexInformation!$B$5</definedName>
    <definedName name="DocType">PPt</definedName>
    <definedName name="EBIT00">'[10]Master Inc.'!$D$16</definedName>
    <definedName name="EBIT99">'[10]Master Inc.'!$C$16</definedName>
    <definedName name="EMAIL_ALERT" localSheetId="8">ModPubIndex!$A$10</definedName>
    <definedName name="EmailAlert" localSheetId="7">IndexInformation!$B$28</definedName>
    <definedName name="EPSFD">[6]Financials!$B$86:$AH$86</definedName>
    <definedName name="EPSFDCONT">[6]Financials!$B$84:$AH$84</definedName>
    <definedName name="EPSFDEX">[6]Financials!$B$87:$AH$87</definedName>
    <definedName name="ev.Calculation" hidden="1">-4135</definedName>
    <definedName name="ev.Initialized" hidden="1">FALSE</definedName>
    <definedName name="EX4a">OFFSET('[11]GBT PRICES'!$A$1,[11]EX4!$L$2-1,MATCH([11]EX4!$B$1,'[11]GBT PRICES'!$5:$5,0)-1,[11]EX4!$L$3-[11]EX4!$L$2+1)</definedName>
    <definedName name="EX4b">OFFSET('[11]INDEX DATA'!$A$1,[11]EX4!$L$2-1,MATCH([11]EX4!$B$2,'[11]INDEX DATA'!$5:$5,0)-1,[11]EX4!$L$3-[11]EX4!$L$2+1)</definedName>
    <definedName name="EX4c">OFFSET('[11]GBT DATA'!$A$1,[11]EX4!$L$2-1,MATCH([11]EX4!$D$1,'[11]GBT DATA'!$5:$5,0)-1,[11]EX4!$L$3-[11]EX4!$L$2+1)</definedName>
    <definedName name="EX4d">OFFSET('[11]AVERAGE YIELDS'!$A$1,[11]EX4!$L$2-1,MATCH([11]EX4!$D$2,'[11]AVERAGE YIELDS'!$5:$5,0)-1,[11]EX4!$L$3-[11]EX4!$L$2+1)</definedName>
    <definedName name="EX4date">OFFSET('[11]INDEX DATA'!$A$1,[11]EX4!$L$2-1,0,[11]EX4!$L$3-[11]EX4!$L$2+1)</definedName>
    <definedName name="EX5a">OFFSET('[11]AVERAGE YIELDS'!$A$1,[11]EX5!$L$2-1,MATCH([11]EX5!$B$1,'[11]AVERAGE YIELDS'!$5:$5,0)-1,[11]EX5!$L$3-[11]EX5!$L$2+1)</definedName>
    <definedName name="EX5b">OFFSET('[11]AVERAGE YIELDS'!$A$1,[11]EX5!$L$2-1,MATCH([11]EX5!$B$2,'[11]AVERAGE YIELDS'!$5:$5,0)-1,[11]EX5!$L$3-[11]EX5!$L$2+1)</definedName>
    <definedName name="EX5c">OFFSET('[11]AVERAGE YIELDS'!$A$1,[11]EX5!$L$2-1,MATCH([11]EX5!$E$1,'[11]AVERAGE YIELDS'!$5:$5,0)-1,[11]EX5!$L$3-[11]EX5!$L$2+1)</definedName>
    <definedName name="EX5d">OFFSET('[11]AVERAGE YIELDS'!$A$1,[11]EX5!$L$2-1,MATCH([11]EX5!$E$2,'[11]AVERAGE YIELDS'!$5:$5,0)-1,[11]EX5!$L$3-[11]EX5!$L$2+1)</definedName>
    <definedName name="EX5date">OFFSET('[11]AVERAGE YIELDS'!$A$1,MATCH([11]EX5!$B$3,'[11]AVERAGE YIELDS'!$A:$A,0)-1,0,[11]EX5!$L$3-[11]EX5!$L$2+1)</definedName>
    <definedName name="FDD_0_0" hidden="1">"A30681"</definedName>
    <definedName name="FDD_0_1" hidden="1">"A31047"</definedName>
    <definedName name="FDD_0_10" hidden="1">"A34334"</definedName>
    <definedName name="FDD_0_11" hidden="1">"A34699"</definedName>
    <definedName name="FDD_0_12" hidden="1">"A35064"</definedName>
    <definedName name="FDD_0_13" hidden="1">"A35430"</definedName>
    <definedName name="FDD_0_14" hidden="1">"A35795"</definedName>
    <definedName name="FDD_0_2" hidden="1">"A31412"</definedName>
    <definedName name="FDD_0_3" hidden="1">"A31777"</definedName>
    <definedName name="FDD_0_4" hidden="1">"A32142"</definedName>
    <definedName name="FDD_0_5" hidden="1">"A32508"</definedName>
    <definedName name="FDD_0_6" hidden="1">"A32873"</definedName>
    <definedName name="FDD_0_7" hidden="1">"A33238"</definedName>
    <definedName name="FDD_0_8" hidden="1">"A33603"</definedName>
    <definedName name="FDD_0_9" hidden="1">"A33969"</definedName>
    <definedName name="FDD_1_0" hidden="1">"U25569"</definedName>
    <definedName name="FDD_10_0" hidden="1">"A25569"</definedName>
    <definedName name="FDD_100_0" hidden="1">"A25569"</definedName>
    <definedName name="FDD_101_0" hidden="1">"A25569"</definedName>
    <definedName name="FDD_102_0" hidden="1">"A25569"</definedName>
    <definedName name="FDD_103_0" hidden="1">"A25569"</definedName>
    <definedName name="FDD_104_0" hidden="1">"A25569"</definedName>
    <definedName name="FDD_105_0" hidden="1">"A25569"</definedName>
    <definedName name="FDD_106_0" hidden="1">"A25569"</definedName>
    <definedName name="FDD_107_0" hidden="1">"A25569"</definedName>
    <definedName name="FDD_108_0" hidden="1">"A25569"</definedName>
    <definedName name="FDD_109_0" hidden="1">"A25569"</definedName>
    <definedName name="FDD_11_0" hidden="1">"A25569"</definedName>
    <definedName name="FDD_110_0" hidden="1">"A25569"</definedName>
    <definedName name="FDD_111_0" hidden="1">"A25569"</definedName>
    <definedName name="FDD_112_0" hidden="1">"A25569"</definedName>
    <definedName name="FDD_113_0" hidden="1">"A25569"</definedName>
    <definedName name="FDD_114_0" hidden="1">"A25569"</definedName>
    <definedName name="FDD_115_0" hidden="1">"A25569"</definedName>
    <definedName name="FDD_116_0" hidden="1">"A25569"</definedName>
    <definedName name="FDD_117_0" hidden="1">"A30681"</definedName>
    <definedName name="FDD_117_1" hidden="1">"A31047"</definedName>
    <definedName name="FDD_117_10" hidden="1">"A34334"</definedName>
    <definedName name="FDD_117_11" hidden="1">"A34699"</definedName>
    <definedName name="FDD_117_12" hidden="1">"A35064"</definedName>
    <definedName name="FDD_117_13" hidden="1">"A35430"</definedName>
    <definedName name="FDD_117_14" hidden="1">"A35795"</definedName>
    <definedName name="FDD_117_2" hidden="1">"A31412"</definedName>
    <definedName name="FDD_117_3" hidden="1">"A31777"</definedName>
    <definedName name="FDD_117_4" hidden="1">"A32142"</definedName>
    <definedName name="FDD_117_5" hidden="1">"A32508"</definedName>
    <definedName name="FDD_117_6" hidden="1">"A32873"</definedName>
    <definedName name="FDD_117_7" hidden="1">"A33238"</definedName>
    <definedName name="FDD_117_8" hidden="1">"A33603"</definedName>
    <definedName name="FDD_117_9" hidden="1">"A33969"</definedName>
    <definedName name="FDD_118_0" hidden="1">"A30681"</definedName>
    <definedName name="FDD_118_1" hidden="1">"A31047"</definedName>
    <definedName name="FDD_118_10" hidden="1">"A34334"</definedName>
    <definedName name="FDD_118_11" hidden="1">"A34699"</definedName>
    <definedName name="FDD_118_12" hidden="1">"A35064"</definedName>
    <definedName name="FDD_118_13" hidden="1">"A35430"</definedName>
    <definedName name="FDD_118_14" hidden="1">"A35795"</definedName>
    <definedName name="FDD_118_2" hidden="1">"A31412"</definedName>
    <definedName name="FDD_118_3" hidden="1">"A31777"</definedName>
    <definedName name="FDD_118_4" hidden="1">"A32142"</definedName>
    <definedName name="FDD_118_5" hidden="1">"A32508"</definedName>
    <definedName name="FDD_118_6" hidden="1">"A32873"</definedName>
    <definedName name="FDD_118_7" hidden="1">"A33238"</definedName>
    <definedName name="FDD_118_8" hidden="1">"A33603"</definedName>
    <definedName name="FDD_118_9" hidden="1">"A33969"</definedName>
    <definedName name="FDD_119_0" hidden="1">"A30681"</definedName>
    <definedName name="FDD_119_1" hidden="1">"A31047"</definedName>
    <definedName name="FDD_119_10" hidden="1">"A34334"</definedName>
    <definedName name="FDD_119_11" hidden="1">"A34699"</definedName>
    <definedName name="FDD_119_12" hidden="1">"A35064"</definedName>
    <definedName name="FDD_119_13" hidden="1">"A35430"</definedName>
    <definedName name="FDD_119_14" hidden="1">"A35795"</definedName>
    <definedName name="FDD_119_2" hidden="1">"A31412"</definedName>
    <definedName name="FDD_119_3" hidden="1">"A31777"</definedName>
    <definedName name="FDD_119_4" hidden="1">"A32142"</definedName>
    <definedName name="FDD_119_5" hidden="1">"A32508"</definedName>
    <definedName name="FDD_119_6" hidden="1">"A32873"</definedName>
    <definedName name="FDD_119_7" hidden="1">"A33238"</definedName>
    <definedName name="FDD_119_8" hidden="1">"A33603"</definedName>
    <definedName name="FDD_119_9" hidden="1">"A33969"</definedName>
    <definedName name="FDD_12_0" hidden="1">"A25569"</definedName>
    <definedName name="FDD_120_0" hidden="1">"A30681"</definedName>
    <definedName name="FDD_120_1" hidden="1">"A31047"</definedName>
    <definedName name="FDD_120_10" hidden="1">"A34334"</definedName>
    <definedName name="FDD_120_11" hidden="1">"A34699"</definedName>
    <definedName name="FDD_120_12" hidden="1">"A35064"</definedName>
    <definedName name="FDD_120_13" hidden="1">"A35430"</definedName>
    <definedName name="FDD_120_14" hidden="1">"A35795"</definedName>
    <definedName name="FDD_120_2" hidden="1">"A31412"</definedName>
    <definedName name="FDD_120_3" hidden="1">"A31777"</definedName>
    <definedName name="FDD_120_4" hidden="1">"A32142"</definedName>
    <definedName name="FDD_120_5" hidden="1">"A32508"</definedName>
    <definedName name="FDD_120_6" hidden="1">"A32873"</definedName>
    <definedName name="FDD_120_7" hidden="1">"A33238"</definedName>
    <definedName name="FDD_120_8" hidden="1">"A33603"</definedName>
    <definedName name="FDD_120_9" hidden="1">"A33969"</definedName>
    <definedName name="FDD_121_0" hidden="1">"A30681"</definedName>
    <definedName name="FDD_121_1" hidden="1">"A31047"</definedName>
    <definedName name="FDD_121_10" hidden="1">"A34334"</definedName>
    <definedName name="FDD_121_11" hidden="1">"A34699"</definedName>
    <definedName name="FDD_121_12" hidden="1">"A35064"</definedName>
    <definedName name="FDD_121_13" hidden="1">"A35430"</definedName>
    <definedName name="FDD_121_14" hidden="1">"A35795"</definedName>
    <definedName name="FDD_121_2" hidden="1">"A31412"</definedName>
    <definedName name="FDD_121_3" hidden="1">"A31777"</definedName>
    <definedName name="FDD_121_4" hidden="1">"A32142"</definedName>
    <definedName name="FDD_121_5" hidden="1">"A32508"</definedName>
    <definedName name="FDD_121_6" hidden="1">"A32873"</definedName>
    <definedName name="FDD_121_7" hidden="1">"A33238"</definedName>
    <definedName name="FDD_121_8" hidden="1">"A33603"</definedName>
    <definedName name="FDD_121_9" hidden="1">"A33969"</definedName>
    <definedName name="FDD_122_0" hidden="1">"A30681"</definedName>
    <definedName name="FDD_122_1" hidden="1">"A31047"</definedName>
    <definedName name="FDD_122_10" hidden="1">"A34334"</definedName>
    <definedName name="FDD_122_11" hidden="1">"A34699"</definedName>
    <definedName name="FDD_122_12" hidden="1">"A35064"</definedName>
    <definedName name="FDD_122_13" hidden="1">"A35430"</definedName>
    <definedName name="FDD_122_14" hidden="1">"A35795"</definedName>
    <definedName name="FDD_122_2" hidden="1">"A31412"</definedName>
    <definedName name="FDD_122_3" hidden="1">"A31777"</definedName>
    <definedName name="FDD_122_4" hidden="1">"A32142"</definedName>
    <definedName name="FDD_122_5" hidden="1">"A32508"</definedName>
    <definedName name="FDD_122_6" hidden="1">"A32873"</definedName>
    <definedName name="FDD_122_7" hidden="1">"A33238"</definedName>
    <definedName name="FDD_122_8" hidden="1">"A33603"</definedName>
    <definedName name="FDD_122_9" hidden="1">"A33969"</definedName>
    <definedName name="FDD_123_0" hidden="1">"A30681"</definedName>
    <definedName name="FDD_123_1" hidden="1">"A31047"</definedName>
    <definedName name="FDD_123_10" hidden="1">"A34334"</definedName>
    <definedName name="FDD_123_11" hidden="1">"A34699"</definedName>
    <definedName name="FDD_123_12" hidden="1">"A35064"</definedName>
    <definedName name="FDD_123_13" hidden="1">"A35430"</definedName>
    <definedName name="FDD_123_14" hidden="1">"A35795"</definedName>
    <definedName name="FDD_123_2" hidden="1">"A31412"</definedName>
    <definedName name="FDD_123_3" hidden="1">"A31777"</definedName>
    <definedName name="FDD_123_4" hidden="1">"A32142"</definedName>
    <definedName name="FDD_123_5" hidden="1">"A32508"</definedName>
    <definedName name="FDD_123_6" hidden="1">"A32873"</definedName>
    <definedName name="FDD_123_7" hidden="1">"A33238"</definedName>
    <definedName name="FDD_123_8" hidden="1">"A33603"</definedName>
    <definedName name="FDD_123_9" hidden="1">"A33969"</definedName>
    <definedName name="FDD_124_0" hidden="1">"A30681"</definedName>
    <definedName name="FDD_124_1" hidden="1">"A31047"</definedName>
    <definedName name="FDD_124_10" hidden="1">"A34334"</definedName>
    <definedName name="FDD_124_11" hidden="1">"A34699"</definedName>
    <definedName name="FDD_124_12" hidden="1">"A35064"</definedName>
    <definedName name="FDD_124_13" hidden="1">"A35430"</definedName>
    <definedName name="FDD_124_14" hidden="1">"A35795"</definedName>
    <definedName name="FDD_124_2" hidden="1">"A31412"</definedName>
    <definedName name="FDD_124_3" hidden="1">"A31777"</definedName>
    <definedName name="FDD_124_4" hidden="1">"A32142"</definedName>
    <definedName name="FDD_124_5" hidden="1">"A32508"</definedName>
    <definedName name="FDD_124_6" hidden="1">"A32873"</definedName>
    <definedName name="FDD_124_7" hidden="1">"A33238"</definedName>
    <definedName name="FDD_124_8" hidden="1">"A33603"</definedName>
    <definedName name="FDD_124_9" hidden="1">"A33969"</definedName>
    <definedName name="FDD_125_0" hidden="1">"A30681"</definedName>
    <definedName name="FDD_125_1" hidden="1">"A31047"</definedName>
    <definedName name="FDD_125_10" hidden="1">"A34334"</definedName>
    <definedName name="FDD_125_11" hidden="1">"A34699"</definedName>
    <definedName name="FDD_125_12" hidden="1">"A35064"</definedName>
    <definedName name="FDD_125_13" hidden="1">"A35430"</definedName>
    <definedName name="FDD_125_14" hidden="1">"A35795"</definedName>
    <definedName name="FDD_125_2" hidden="1">"A31412"</definedName>
    <definedName name="FDD_125_3" hidden="1">"A31777"</definedName>
    <definedName name="FDD_125_4" hidden="1">"A32142"</definedName>
    <definedName name="FDD_125_5" hidden="1">"A32508"</definedName>
    <definedName name="FDD_125_6" hidden="1">"A32873"</definedName>
    <definedName name="FDD_125_7" hidden="1">"A33238"</definedName>
    <definedName name="FDD_125_8" hidden="1">"A33603"</definedName>
    <definedName name="FDD_125_9" hidden="1">"A33969"</definedName>
    <definedName name="FDD_126_0" hidden="1">"A30681"</definedName>
    <definedName name="FDD_126_1" hidden="1">"A31047"</definedName>
    <definedName name="FDD_126_10" hidden="1">"A34334"</definedName>
    <definedName name="FDD_126_11" hidden="1">"A34699"</definedName>
    <definedName name="FDD_126_12" hidden="1">"A35064"</definedName>
    <definedName name="FDD_126_13" hidden="1">"A35430"</definedName>
    <definedName name="FDD_126_14" hidden="1">"A35795"</definedName>
    <definedName name="FDD_126_2" hidden="1">"A31412"</definedName>
    <definedName name="FDD_126_3" hidden="1">"A31777"</definedName>
    <definedName name="FDD_126_4" hidden="1">"A32142"</definedName>
    <definedName name="FDD_126_5" hidden="1">"A32508"</definedName>
    <definedName name="FDD_126_6" hidden="1">"A32873"</definedName>
    <definedName name="FDD_126_7" hidden="1">"A33238"</definedName>
    <definedName name="FDD_126_8" hidden="1">"A33603"</definedName>
    <definedName name="FDD_126_9" hidden="1">"A33969"</definedName>
    <definedName name="FDD_127_0" hidden="1">"A30681"</definedName>
    <definedName name="FDD_127_1" hidden="1">"A31047"</definedName>
    <definedName name="FDD_127_10" hidden="1">"A34334"</definedName>
    <definedName name="FDD_127_11" hidden="1">"A34699"</definedName>
    <definedName name="FDD_127_12" hidden="1">"A35064"</definedName>
    <definedName name="FDD_127_13" hidden="1">"A35430"</definedName>
    <definedName name="FDD_127_14" hidden="1">"A35795"</definedName>
    <definedName name="FDD_127_2" hidden="1">"A31412"</definedName>
    <definedName name="FDD_127_3" hidden="1">"A31777"</definedName>
    <definedName name="FDD_127_4" hidden="1">"A32142"</definedName>
    <definedName name="FDD_127_5" hidden="1">"A32508"</definedName>
    <definedName name="FDD_127_6" hidden="1">"A32873"</definedName>
    <definedName name="FDD_127_7" hidden="1">"A33238"</definedName>
    <definedName name="FDD_127_8" hidden="1">"A33603"</definedName>
    <definedName name="FDD_127_9" hidden="1">"A33969"</definedName>
    <definedName name="FDD_128_0" hidden="1">"A30681"</definedName>
    <definedName name="FDD_128_1" hidden="1">"A31047"</definedName>
    <definedName name="FDD_128_10" hidden="1">"A34334"</definedName>
    <definedName name="FDD_128_11" hidden="1">"A34699"</definedName>
    <definedName name="FDD_128_12" hidden="1">"A35064"</definedName>
    <definedName name="FDD_128_13" hidden="1">"A35430"</definedName>
    <definedName name="FDD_128_14" hidden="1">"A35795"</definedName>
    <definedName name="FDD_128_2" hidden="1">"A31412"</definedName>
    <definedName name="FDD_128_3" hidden="1">"A31777"</definedName>
    <definedName name="FDD_128_4" hidden="1">"A32142"</definedName>
    <definedName name="FDD_128_5" hidden="1">"A32508"</definedName>
    <definedName name="FDD_128_6" hidden="1">"A32873"</definedName>
    <definedName name="FDD_128_7" hidden="1">"A33238"</definedName>
    <definedName name="FDD_128_8" hidden="1">"A33603"</definedName>
    <definedName name="FDD_128_9" hidden="1">"A33969"</definedName>
    <definedName name="FDD_129_0" hidden="1">"A30681"</definedName>
    <definedName name="FDD_129_1" hidden="1">"A31047"</definedName>
    <definedName name="FDD_129_10" hidden="1">"A34334"</definedName>
    <definedName name="FDD_129_11" hidden="1">"A34699"</definedName>
    <definedName name="FDD_129_12" hidden="1">"A35064"</definedName>
    <definedName name="FDD_129_13" hidden="1">"A35430"</definedName>
    <definedName name="FDD_129_14" hidden="1">"A35795"</definedName>
    <definedName name="FDD_129_2" hidden="1">"A31412"</definedName>
    <definedName name="FDD_129_3" hidden="1">"A31777"</definedName>
    <definedName name="FDD_129_4" hidden="1">"A32142"</definedName>
    <definedName name="FDD_129_5" hidden="1">"A32508"</definedName>
    <definedName name="FDD_129_6" hidden="1">"A32873"</definedName>
    <definedName name="FDD_129_7" hidden="1">"A33238"</definedName>
    <definedName name="FDD_129_8" hidden="1">"A33603"</definedName>
    <definedName name="FDD_129_9" hidden="1">"A33969"</definedName>
    <definedName name="FDD_13_0" hidden="1">"A25569"</definedName>
    <definedName name="FDD_130_0" hidden="1">"A30681"</definedName>
    <definedName name="FDD_130_1" hidden="1">"A31047"</definedName>
    <definedName name="FDD_130_10" hidden="1">"A34334"</definedName>
    <definedName name="FDD_130_11" hidden="1">"A34699"</definedName>
    <definedName name="FDD_130_12" hidden="1">"A35064"</definedName>
    <definedName name="FDD_130_13" hidden="1">"A35430"</definedName>
    <definedName name="FDD_130_14" hidden="1">"A35795"</definedName>
    <definedName name="FDD_130_2" hidden="1">"A31412"</definedName>
    <definedName name="FDD_130_3" hidden="1">"A31777"</definedName>
    <definedName name="FDD_130_4" hidden="1">"A32142"</definedName>
    <definedName name="FDD_130_5" hidden="1">"A32508"</definedName>
    <definedName name="FDD_130_6" hidden="1">"A32873"</definedName>
    <definedName name="FDD_130_7" hidden="1">"A33238"</definedName>
    <definedName name="FDD_130_8" hidden="1">"A33603"</definedName>
    <definedName name="FDD_130_9" hidden="1">"A33969"</definedName>
    <definedName name="FDD_131_0" hidden="1">"A30681"</definedName>
    <definedName name="FDD_131_1" hidden="1">"A31047"</definedName>
    <definedName name="FDD_131_10" hidden="1">"A34334"</definedName>
    <definedName name="FDD_131_11" hidden="1">"A34699"</definedName>
    <definedName name="FDD_131_12" hidden="1">"A35064"</definedName>
    <definedName name="FDD_131_13" hidden="1">"A35430"</definedName>
    <definedName name="FDD_131_14" hidden="1">"A35795"</definedName>
    <definedName name="FDD_131_2" hidden="1">"A31412"</definedName>
    <definedName name="FDD_131_3" hidden="1">"A31777"</definedName>
    <definedName name="FDD_131_4" hidden="1">"A32142"</definedName>
    <definedName name="FDD_131_5" hidden="1">"A32508"</definedName>
    <definedName name="FDD_131_6" hidden="1">"A32873"</definedName>
    <definedName name="FDD_131_7" hidden="1">"A33238"</definedName>
    <definedName name="FDD_131_8" hidden="1">"A33603"</definedName>
    <definedName name="FDD_131_9" hidden="1">"A33969"</definedName>
    <definedName name="FDD_132_0" hidden="1">"U30681"</definedName>
    <definedName name="FDD_132_1" hidden="1">"U31047"</definedName>
    <definedName name="FDD_132_10" hidden="1">"U34334"</definedName>
    <definedName name="FDD_132_11" hidden="1">"U34699"</definedName>
    <definedName name="FDD_132_12" hidden="1">"U35064"</definedName>
    <definedName name="FDD_132_13" hidden="1">"U35430"</definedName>
    <definedName name="FDD_132_14" hidden="1">"U35795"</definedName>
    <definedName name="FDD_132_2" hidden="1">"U31412"</definedName>
    <definedName name="FDD_132_3" hidden="1">"U31777"</definedName>
    <definedName name="FDD_132_4" hidden="1">"U32142"</definedName>
    <definedName name="FDD_132_5" hidden="1">"U32508"</definedName>
    <definedName name="FDD_132_6" hidden="1">"U32873"</definedName>
    <definedName name="FDD_132_7" hidden="1">"U33238"</definedName>
    <definedName name="FDD_132_8" hidden="1">"U33603"</definedName>
    <definedName name="FDD_132_9" hidden="1">"U33969"</definedName>
    <definedName name="FDD_133_0" hidden="1">"A30681"</definedName>
    <definedName name="FDD_133_1" hidden="1">"A31047"</definedName>
    <definedName name="FDD_133_10" hidden="1">"A34334"</definedName>
    <definedName name="FDD_133_11" hidden="1">"A34699"</definedName>
    <definedName name="FDD_133_12" hidden="1">"A35064"</definedName>
    <definedName name="FDD_133_13" hidden="1">"A35430"</definedName>
    <definedName name="FDD_133_14" hidden="1">"A35795"</definedName>
    <definedName name="FDD_133_2" hidden="1">"A31412"</definedName>
    <definedName name="FDD_133_3" hidden="1">"A31777"</definedName>
    <definedName name="FDD_133_4" hidden="1">"A32142"</definedName>
    <definedName name="FDD_133_5" hidden="1">"A32508"</definedName>
    <definedName name="FDD_133_6" hidden="1">"A32873"</definedName>
    <definedName name="FDD_133_7" hidden="1">"A33238"</definedName>
    <definedName name="FDD_133_8" hidden="1">"A33603"</definedName>
    <definedName name="FDD_133_9" hidden="1">"A33969"</definedName>
    <definedName name="FDD_134_0" hidden="1">"A30681"</definedName>
    <definedName name="FDD_134_1" hidden="1">"A31047"</definedName>
    <definedName name="FDD_134_10" hidden="1">"A34334"</definedName>
    <definedName name="FDD_134_11" hidden="1">"A34699"</definedName>
    <definedName name="FDD_134_12" hidden="1">"A35064"</definedName>
    <definedName name="FDD_134_13" hidden="1">"A35430"</definedName>
    <definedName name="FDD_134_14" hidden="1">"A35795"</definedName>
    <definedName name="FDD_134_2" hidden="1">"A31412"</definedName>
    <definedName name="FDD_134_3" hidden="1">"A31777"</definedName>
    <definedName name="FDD_134_4" hidden="1">"A32142"</definedName>
    <definedName name="FDD_134_5" hidden="1">"A32508"</definedName>
    <definedName name="FDD_134_6" hidden="1">"A32873"</definedName>
    <definedName name="FDD_134_7" hidden="1">"A33238"</definedName>
    <definedName name="FDD_134_8" hidden="1">"A33603"</definedName>
    <definedName name="FDD_134_9" hidden="1">"A33969"</definedName>
    <definedName name="FDD_135_0" hidden="1">"A30681"</definedName>
    <definedName name="FDD_135_1" hidden="1">"A31047"</definedName>
    <definedName name="FDD_135_10" hidden="1">"A34334"</definedName>
    <definedName name="FDD_135_11" hidden="1">"A34699"</definedName>
    <definedName name="FDD_135_12" hidden="1">"A35064"</definedName>
    <definedName name="FDD_135_13" hidden="1">"A35430"</definedName>
    <definedName name="FDD_135_14" hidden="1">"A35795"</definedName>
    <definedName name="FDD_135_2" hidden="1">"A31412"</definedName>
    <definedName name="FDD_135_3" hidden="1">"A31777"</definedName>
    <definedName name="FDD_135_4" hidden="1">"A32142"</definedName>
    <definedName name="FDD_135_5" hidden="1">"A32508"</definedName>
    <definedName name="FDD_135_6" hidden="1">"A32873"</definedName>
    <definedName name="FDD_135_7" hidden="1">"A33238"</definedName>
    <definedName name="FDD_135_8" hidden="1">"A33603"</definedName>
    <definedName name="FDD_135_9" hidden="1">"A33969"</definedName>
    <definedName name="FDD_136_0" hidden="1">"A30681"</definedName>
    <definedName name="FDD_136_1" hidden="1">"A31047"</definedName>
    <definedName name="FDD_136_10" hidden="1">"A34334"</definedName>
    <definedName name="FDD_136_11" hidden="1">"A34699"</definedName>
    <definedName name="FDD_136_12" hidden="1">"A35064"</definedName>
    <definedName name="FDD_136_13" hidden="1">"A35430"</definedName>
    <definedName name="FDD_136_14" hidden="1">"A35795"</definedName>
    <definedName name="FDD_136_2" hidden="1">"A31412"</definedName>
    <definedName name="FDD_136_3" hidden="1">"A31777"</definedName>
    <definedName name="FDD_136_4" hidden="1">"A32142"</definedName>
    <definedName name="FDD_136_5" hidden="1">"A32508"</definedName>
    <definedName name="FDD_136_6" hidden="1">"A32873"</definedName>
    <definedName name="FDD_136_7" hidden="1">"A33238"</definedName>
    <definedName name="FDD_136_8" hidden="1">"A33603"</definedName>
    <definedName name="FDD_136_9" hidden="1">"A33969"</definedName>
    <definedName name="FDD_137_0" hidden="1">"A30681"</definedName>
    <definedName name="FDD_137_1" hidden="1">"A31047"</definedName>
    <definedName name="FDD_137_10" hidden="1">"A34334"</definedName>
    <definedName name="FDD_137_11" hidden="1">"A34699"</definedName>
    <definedName name="FDD_137_12" hidden="1">"A35064"</definedName>
    <definedName name="FDD_137_13" hidden="1">"A35430"</definedName>
    <definedName name="FDD_137_14" hidden="1">"A35795"</definedName>
    <definedName name="FDD_137_2" hidden="1">"A31412"</definedName>
    <definedName name="FDD_137_3" hidden="1">"A31777"</definedName>
    <definedName name="FDD_137_4" hidden="1">"A32142"</definedName>
    <definedName name="FDD_137_5" hidden="1">"A32508"</definedName>
    <definedName name="FDD_137_6" hidden="1">"A32873"</definedName>
    <definedName name="FDD_137_7" hidden="1">"A33238"</definedName>
    <definedName name="FDD_137_8" hidden="1">"A33603"</definedName>
    <definedName name="FDD_137_9" hidden="1">"A33969"</definedName>
    <definedName name="FDD_138_0" hidden="1">"A30681"</definedName>
    <definedName name="FDD_138_1" hidden="1">"A31047"</definedName>
    <definedName name="FDD_138_10" hidden="1">"A34334"</definedName>
    <definedName name="FDD_138_11" hidden="1">"A34699"</definedName>
    <definedName name="FDD_138_12" hidden="1">"A35064"</definedName>
    <definedName name="FDD_138_13" hidden="1">"A35430"</definedName>
    <definedName name="FDD_138_14" hidden="1">"A35795"</definedName>
    <definedName name="FDD_138_2" hidden="1">"A31412"</definedName>
    <definedName name="FDD_138_3" hidden="1">"A31777"</definedName>
    <definedName name="FDD_138_4" hidden="1">"A32142"</definedName>
    <definedName name="FDD_138_5" hidden="1">"A32508"</definedName>
    <definedName name="FDD_138_6" hidden="1">"A32873"</definedName>
    <definedName name="FDD_138_7" hidden="1">"A33238"</definedName>
    <definedName name="FDD_138_8" hidden="1">"A33603"</definedName>
    <definedName name="FDD_138_9" hidden="1">"A33969"</definedName>
    <definedName name="FDD_139_0" hidden="1">"A30681"</definedName>
    <definedName name="FDD_139_1" hidden="1">"A31047"</definedName>
    <definedName name="FDD_139_10" hidden="1">"U34334"</definedName>
    <definedName name="FDD_139_11" hidden="1">"U34699"</definedName>
    <definedName name="FDD_139_12" hidden="1">"U35064"</definedName>
    <definedName name="FDD_139_13" hidden="1">"U35430"</definedName>
    <definedName name="FDD_139_14" hidden="1">"U35795"</definedName>
    <definedName name="FDD_139_2" hidden="1">"A31412"</definedName>
    <definedName name="FDD_139_3" hidden="1">"U31777"</definedName>
    <definedName name="FDD_139_4" hidden="1">"U32142"</definedName>
    <definedName name="FDD_139_5" hidden="1">"U32508"</definedName>
    <definedName name="FDD_139_6" hidden="1">"U32873"</definedName>
    <definedName name="FDD_139_7" hidden="1">"U33238"</definedName>
    <definedName name="FDD_139_8" hidden="1">"U33603"</definedName>
    <definedName name="FDD_139_9" hidden="1">"U33969"</definedName>
    <definedName name="FDD_14_0" hidden="1">"A25569"</definedName>
    <definedName name="FDD_140_0" hidden="1">"A25569"</definedName>
    <definedName name="FDD_141_0" hidden="1">"A30681"</definedName>
    <definedName name="FDD_141_1" hidden="1">"A31047"</definedName>
    <definedName name="FDD_141_10" hidden="1">"A34334"</definedName>
    <definedName name="FDD_141_11" hidden="1">"A34699"</definedName>
    <definedName name="FDD_141_12" hidden="1">"A35064"</definedName>
    <definedName name="FDD_141_13" hidden="1">"A35430"</definedName>
    <definedName name="FDD_141_14" hidden="1">"A35795"</definedName>
    <definedName name="FDD_141_2" hidden="1">"A31412"</definedName>
    <definedName name="FDD_141_3" hidden="1">"A31777"</definedName>
    <definedName name="FDD_141_4" hidden="1">"A32142"</definedName>
    <definedName name="FDD_141_5" hidden="1">"A32508"</definedName>
    <definedName name="FDD_141_6" hidden="1">"A32873"</definedName>
    <definedName name="FDD_141_7" hidden="1">"A33238"</definedName>
    <definedName name="FDD_141_8" hidden="1">"A33603"</definedName>
    <definedName name="FDD_141_9" hidden="1">"A33969"</definedName>
    <definedName name="FDD_142_0" hidden="1">"A30681"</definedName>
    <definedName name="FDD_142_1" hidden="1">"A31047"</definedName>
    <definedName name="FDD_142_10" hidden="1">"A34334"</definedName>
    <definedName name="FDD_142_11" hidden="1">"A34699"</definedName>
    <definedName name="FDD_142_12" hidden="1">"A35064"</definedName>
    <definedName name="FDD_142_13" hidden="1">"A35430"</definedName>
    <definedName name="FDD_142_14" hidden="1">"A35795"</definedName>
    <definedName name="FDD_142_2" hidden="1">"A31412"</definedName>
    <definedName name="FDD_142_3" hidden="1">"A31777"</definedName>
    <definedName name="FDD_142_4" hidden="1">"A32142"</definedName>
    <definedName name="FDD_142_5" hidden="1">"A32508"</definedName>
    <definedName name="FDD_142_6" hidden="1">"A32873"</definedName>
    <definedName name="FDD_142_7" hidden="1">"A33238"</definedName>
    <definedName name="FDD_142_8" hidden="1">"A33603"</definedName>
    <definedName name="FDD_142_9" hidden="1">"A33969"</definedName>
    <definedName name="FDD_143_0" hidden="1">"A30681"</definedName>
    <definedName name="FDD_143_1" hidden="1">"A31047"</definedName>
    <definedName name="FDD_143_10" hidden="1">"A34334"</definedName>
    <definedName name="FDD_143_11" hidden="1">"A34699"</definedName>
    <definedName name="FDD_143_12" hidden="1">"A35064"</definedName>
    <definedName name="FDD_143_13" hidden="1">"A35430"</definedName>
    <definedName name="FDD_143_14" hidden="1">"A35795"</definedName>
    <definedName name="FDD_143_2" hidden="1">"A31412"</definedName>
    <definedName name="FDD_143_3" hidden="1">"A31777"</definedName>
    <definedName name="FDD_143_4" hidden="1">"A32142"</definedName>
    <definedName name="FDD_143_5" hidden="1">"A32508"</definedName>
    <definedName name="FDD_143_6" hidden="1">"A32873"</definedName>
    <definedName name="FDD_143_7" hidden="1">"A33238"</definedName>
    <definedName name="FDD_143_8" hidden="1">"A33603"</definedName>
    <definedName name="FDD_143_9" hidden="1">"A33969"</definedName>
    <definedName name="FDD_144_0" hidden="1">"A30681"</definedName>
    <definedName name="FDD_144_1" hidden="1">"A31047"</definedName>
    <definedName name="FDD_144_10" hidden="1">"A34334"</definedName>
    <definedName name="FDD_144_11" hidden="1">"A34699"</definedName>
    <definedName name="FDD_144_12" hidden="1">"A35064"</definedName>
    <definedName name="FDD_144_13" hidden="1">"A35430"</definedName>
    <definedName name="FDD_144_14" hidden="1">"A35795"</definedName>
    <definedName name="FDD_144_2" hidden="1">"A31412"</definedName>
    <definedName name="FDD_144_3" hidden="1">"A31777"</definedName>
    <definedName name="FDD_144_4" hidden="1">"A32142"</definedName>
    <definedName name="FDD_144_5" hidden="1">"A32508"</definedName>
    <definedName name="FDD_144_6" hidden="1">"A32873"</definedName>
    <definedName name="FDD_144_7" hidden="1">"A33238"</definedName>
    <definedName name="FDD_144_8" hidden="1">"A33603"</definedName>
    <definedName name="FDD_144_9" hidden="1">"A33969"</definedName>
    <definedName name="FDD_145_0" hidden="1">"A30681"</definedName>
    <definedName name="FDD_145_1" hidden="1">"A31047"</definedName>
    <definedName name="FDD_145_10" hidden="1">"A34334"</definedName>
    <definedName name="FDD_145_11" hidden="1">"A34699"</definedName>
    <definedName name="FDD_145_12" hidden="1">"A35064"</definedName>
    <definedName name="FDD_145_13" hidden="1">"A35430"</definedName>
    <definedName name="FDD_145_14" hidden="1">"A35795"</definedName>
    <definedName name="FDD_145_2" hidden="1">"A31412"</definedName>
    <definedName name="FDD_145_3" hidden="1">"A31777"</definedName>
    <definedName name="FDD_145_4" hidden="1">"A32142"</definedName>
    <definedName name="FDD_145_5" hidden="1">"A32508"</definedName>
    <definedName name="FDD_145_6" hidden="1">"A32873"</definedName>
    <definedName name="FDD_145_7" hidden="1">"A33238"</definedName>
    <definedName name="FDD_145_8" hidden="1">"A33603"</definedName>
    <definedName name="FDD_145_9" hidden="1">"A33969"</definedName>
    <definedName name="FDD_146_0" hidden="1">"A30681"</definedName>
    <definedName name="FDD_146_1" hidden="1">"A31047"</definedName>
    <definedName name="FDD_146_10" hidden="1">"A34334"</definedName>
    <definedName name="FDD_146_11" hidden="1">"A34699"</definedName>
    <definedName name="FDD_146_12" hidden="1">"A35064"</definedName>
    <definedName name="FDD_146_13" hidden="1">"A35430"</definedName>
    <definedName name="FDD_146_14" hidden="1">"A35795"</definedName>
    <definedName name="FDD_146_2" hidden="1">"A31412"</definedName>
    <definedName name="FDD_146_3" hidden="1">"A31777"</definedName>
    <definedName name="FDD_146_4" hidden="1">"A32142"</definedName>
    <definedName name="FDD_146_5" hidden="1">"A32508"</definedName>
    <definedName name="FDD_146_6" hidden="1">"A32873"</definedName>
    <definedName name="FDD_146_7" hidden="1">"A33238"</definedName>
    <definedName name="FDD_146_8" hidden="1">"A33603"</definedName>
    <definedName name="FDD_146_9" hidden="1">"A33969"</definedName>
    <definedName name="FDD_147_0" hidden="1">"U30681"</definedName>
    <definedName name="FDD_147_1" hidden="1">"U31047"</definedName>
    <definedName name="FDD_147_10" hidden="1">"U34334"</definedName>
    <definedName name="FDD_147_11" hidden="1">"U34699"</definedName>
    <definedName name="FDD_147_12" hidden="1">"U35064"</definedName>
    <definedName name="FDD_147_13" hidden="1">"U35430"</definedName>
    <definedName name="FDD_147_14" hidden="1">"U35795"</definedName>
    <definedName name="FDD_147_2" hidden="1">"U31412"</definedName>
    <definedName name="FDD_147_3" hidden="1">"U31777"</definedName>
    <definedName name="FDD_147_4" hidden="1">"U32142"</definedName>
    <definedName name="FDD_147_5" hidden="1">"U32508"</definedName>
    <definedName name="FDD_147_6" hidden="1">"U32873"</definedName>
    <definedName name="FDD_147_7" hidden="1">"U33238"</definedName>
    <definedName name="FDD_147_8" hidden="1">"U33603"</definedName>
    <definedName name="FDD_147_9" hidden="1">"U33969"</definedName>
    <definedName name="FDD_148_0" hidden="1">"A30681"</definedName>
    <definedName name="FDD_148_1" hidden="1">"A31047"</definedName>
    <definedName name="FDD_148_10" hidden="1">"A34334"</definedName>
    <definedName name="FDD_148_11" hidden="1">"A34699"</definedName>
    <definedName name="FDD_148_12" hidden="1">"A35064"</definedName>
    <definedName name="FDD_148_13" hidden="1">"A35430"</definedName>
    <definedName name="FDD_148_14" hidden="1">"A35795"</definedName>
    <definedName name="FDD_148_2" hidden="1">"A31412"</definedName>
    <definedName name="FDD_148_3" hidden="1">"A31777"</definedName>
    <definedName name="FDD_148_4" hidden="1">"A32142"</definedName>
    <definedName name="FDD_148_5" hidden="1">"A32508"</definedName>
    <definedName name="FDD_148_6" hidden="1">"A32873"</definedName>
    <definedName name="FDD_148_7" hidden="1">"A33238"</definedName>
    <definedName name="FDD_148_8" hidden="1">"A33603"</definedName>
    <definedName name="FDD_148_9" hidden="1">"A33969"</definedName>
    <definedName name="FDD_149_0" hidden="1">"U30681"</definedName>
    <definedName name="FDD_149_1" hidden="1">"U31047"</definedName>
    <definedName name="FDD_149_10" hidden="1">"U34334"</definedName>
    <definedName name="FDD_149_11" hidden="1">"U34699"</definedName>
    <definedName name="FDD_149_12" hidden="1">"U35064"</definedName>
    <definedName name="FDD_149_13" hidden="1">"U35430"</definedName>
    <definedName name="FDD_149_14" hidden="1">"A35795"</definedName>
    <definedName name="FDD_149_2" hidden="1">"U31412"</definedName>
    <definedName name="FDD_149_3" hidden="1">"U31777"</definedName>
    <definedName name="FDD_149_4" hidden="1">"U32142"</definedName>
    <definedName name="FDD_149_5" hidden="1">"U32508"</definedName>
    <definedName name="FDD_149_6" hidden="1">"U32873"</definedName>
    <definedName name="FDD_149_7" hidden="1">"U33238"</definedName>
    <definedName name="FDD_149_8" hidden="1">"U33603"</definedName>
    <definedName name="FDD_149_9" hidden="1">"U33969"</definedName>
    <definedName name="FDD_15_0" hidden="1">"A25569"</definedName>
    <definedName name="FDD_151_0" hidden="1">"A30681"</definedName>
    <definedName name="FDD_151_1" hidden="1">"A31047"</definedName>
    <definedName name="FDD_151_10" hidden="1">"A34334"</definedName>
    <definedName name="FDD_151_11" hidden="1">"A34699"</definedName>
    <definedName name="FDD_151_12" hidden="1">"A35064"</definedName>
    <definedName name="FDD_151_13" hidden="1">"A35430"</definedName>
    <definedName name="FDD_151_14" hidden="1">"A35795"</definedName>
    <definedName name="FDD_151_2" hidden="1">"A31412"</definedName>
    <definedName name="FDD_151_3" hidden="1">"A31777"</definedName>
    <definedName name="FDD_151_4" hidden="1">"A32142"</definedName>
    <definedName name="FDD_151_5" hidden="1">"A32508"</definedName>
    <definedName name="FDD_151_6" hidden="1">"A32873"</definedName>
    <definedName name="FDD_151_7" hidden="1">"A33238"</definedName>
    <definedName name="FDD_151_8" hidden="1">"A33603"</definedName>
    <definedName name="FDD_151_9" hidden="1">"A33969"</definedName>
    <definedName name="FDD_152_0" hidden="1">"A30681"</definedName>
    <definedName name="FDD_152_1" hidden="1">"A31047"</definedName>
    <definedName name="FDD_152_10" hidden="1">"A34334"</definedName>
    <definedName name="FDD_152_11" hidden="1">"A34699"</definedName>
    <definedName name="FDD_152_12" hidden="1">"A35064"</definedName>
    <definedName name="FDD_152_13" hidden="1">"A35430"</definedName>
    <definedName name="FDD_152_14" hidden="1">"A35795"</definedName>
    <definedName name="FDD_152_15" hidden="1">"E36160"</definedName>
    <definedName name="FDD_152_2" hidden="1">"A31412"</definedName>
    <definedName name="FDD_152_3" hidden="1">"A31777"</definedName>
    <definedName name="FDD_152_4" hidden="1">"A32142"</definedName>
    <definedName name="FDD_152_5" hidden="1">"A32508"</definedName>
    <definedName name="FDD_152_6" hidden="1">"A32873"</definedName>
    <definedName name="FDD_152_7" hidden="1">"A33238"</definedName>
    <definedName name="FDD_152_8" hidden="1">"A33603"</definedName>
    <definedName name="FDD_152_9" hidden="1">"A33969"</definedName>
    <definedName name="FDD_153_0" hidden="1">"A30681"</definedName>
    <definedName name="FDD_153_1" hidden="1">"A31047"</definedName>
    <definedName name="FDD_153_10" hidden="1">"A34334"</definedName>
    <definedName name="FDD_153_11" hidden="1">"A34699"</definedName>
    <definedName name="FDD_153_12" hidden="1">"A35064"</definedName>
    <definedName name="FDD_153_13" hidden="1">"A35430"</definedName>
    <definedName name="FDD_153_14" hidden="1">"A35795"</definedName>
    <definedName name="FDD_153_2" hidden="1">"A31412"</definedName>
    <definedName name="FDD_153_3" hidden="1">"A31777"</definedName>
    <definedName name="FDD_153_4" hidden="1">"A32142"</definedName>
    <definedName name="FDD_153_5" hidden="1">"A32508"</definedName>
    <definedName name="FDD_153_6" hidden="1">"A32873"</definedName>
    <definedName name="FDD_153_7" hidden="1">"A33238"</definedName>
    <definedName name="FDD_153_8" hidden="1">"A33603"</definedName>
    <definedName name="FDD_153_9" hidden="1">"A33969"</definedName>
    <definedName name="FDD_154_0" hidden="1">"A30681"</definedName>
    <definedName name="FDD_154_1" hidden="1">"A31047"</definedName>
    <definedName name="FDD_154_10" hidden="1">"A34334"</definedName>
    <definedName name="FDD_154_11" hidden="1">"A34699"</definedName>
    <definedName name="FDD_154_12" hidden="1">"A35064"</definedName>
    <definedName name="FDD_154_13" hidden="1">"A35430"</definedName>
    <definedName name="FDD_154_14" hidden="1">"A35795"</definedName>
    <definedName name="FDD_154_2" hidden="1">"A31412"</definedName>
    <definedName name="FDD_154_3" hidden="1">"A31777"</definedName>
    <definedName name="FDD_154_4" hidden="1">"A32142"</definedName>
    <definedName name="FDD_154_5" hidden="1">"A32508"</definedName>
    <definedName name="FDD_154_6" hidden="1">"A32873"</definedName>
    <definedName name="FDD_154_7" hidden="1">"A33238"</definedName>
    <definedName name="FDD_154_8" hidden="1">"A33603"</definedName>
    <definedName name="FDD_154_9" hidden="1">"A33969"</definedName>
    <definedName name="FDD_155_0" hidden="1">"A25569"</definedName>
    <definedName name="FDD_156_0" hidden="1">"A30681"</definedName>
    <definedName name="FDD_156_1" hidden="1">"A31047"</definedName>
    <definedName name="FDD_156_10" hidden="1">"A34334"</definedName>
    <definedName name="FDD_156_11" hidden="1">"A34699"</definedName>
    <definedName name="FDD_156_12" hidden="1">"A35064"</definedName>
    <definedName name="FDD_156_13" hidden="1">"A35430"</definedName>
    <definedName name="FDD_156_14" hidden="1">"A35795"</definedName>
    <definedName name="FDD_156_15" hidden="1">"E36160"</definedName>
    <definedName name="FDD_156_2" hidden="1">"A31412"</definedName>
    <definedName name="FDD_156_3" hidden="1">"A31777"</definedName>
    <definedName name="FDD_156_4" hidden="1">"A32142"</definedName>
    <definedName name="FDD_156_5" hidden="1">"A32508"</definedName>
    <definedName name="FDD_156_6" hidden="1">"A32873"</definedName>
    <definedName name="FDD_156_7" hidden="1">"A33238"</definedName>
    <definedName name="FDD_156_8" hidden="1">"A33603"</definedName>
    <definedName name="FDD_156_9" hidden="1">"A33969"</definedName>
    <definedName name="FDD_157_0" hidden="1">"A30681"</definedName>
    <definedName name="FDD_157_1" hidden="1">"A31047"</definedName>
    <definedName name="FDD_157_10" hidden="1">"A34334"</definedName>
    <definedName name="FDD_157_11" hidden="1">"A34699"</definedName>
    <definedName name="FDD_157_12" hidden="1">"A35064"</definedName>
    <definedName name="FDD_157_13" hidden="1">"A35430"</definedName>
    <definedName name="FDD_157_14" hidden="1">"A35795"</definedName>
    <definedName name="FDD_157_2" hidden="1">"A31412"</definedName>
    <definedName name="FDD_157_3" hidden="1">"A31777"</definedName>
    <definedName name="FDD_157_4" hidden="1">"A32142"</definedName>
    <definedName name="FDD_157_5" hidden="1">"A32508"</definedName>
    <definedName name="FDD_157_6" hidden="1">"A32873"</definedName>
    <definedName name="FDD_157_7" hidden="1">"A33238"</definedName>
    <definedName name="FDD_157_8" hidden="1">"A33603"</definedName>
    <definedName name="FDD_157_9" hidden="1">"A33969"</definedName>
    <definedName name="FDD_158_0" hidden="1">"A30681"</definedName>
    <definedName name="FDD_158_1" hidden="1">"A31047"</definedName>
    <definedName name="FDD_158_10" hidden="1">"A34334"</definedName>
    <definedName name="FDD_158_11" hidden="1">"A34699"</definedName>
    <definedName name="FDD_158_12" hidden="1">"A35064"</definedName>
    <definedName name="FDD_158_13" hidden="1">"A35430"</definedName>
    <definedName name="FDD_158_14" hidden="1">"A35795"</definedName>
    <definedName name="FDD_158_15" hidden="1">"E36160"</definedName>
    <definedName name="FDD_158_2" hidden="1">"A31412"</definedName>
    <definedName name="FDD_158_3" hidden="1">"A31777"</definedName>
    <definedName name="FDD_158_4" hidden="1">"A32142"</definedName>
    <definedName name="FDD_158_5" hidden="1">"A32508"</definedName>
    <definedName name="FDD_158_6" hidden="1">"A32873"</definedName>
    <definedName name="FDD_158_7" hidden="1">"A33238"</definedName>
    <definedName name="FDD_158_8" hidden="1">"A33603"</definedName>
    <definedName name="FDD_158_9" hidden="1">"A33969"</definedName>
    <definedName name="FDD_159_0" hidden="1">"A30681"</definedName>
    <definedName name="FDD_159_1" hidden="1">"A31047"</definedName>
    <definedName name="FDD_159_10" hidden="1">"A34334"</definedName>
    <definedName name="FDD_159_11" hidden="1">"A34699"</definedName>
    <definedName name="FDD_159_12" hidden="1">"A35064"</definedName>
    <definedName name="FDD_159_13" hidden="1">"A35430"</definedName>
    <definedName name="FDD_159_14" hidden="1">"A35795"</definedName>
    <definedName name="FDD_159_2" hidden="1">"A31412"</definedName>
    <definedName name="FDD_159_3" hidden="1">"A31777"</definedName>
    <definedName name="FDD_159_4" hidden="1">"A32142"</definedName>
    <definedName name="FDD_159_5" hidden="1">"A32508"</definedName>
    <definedName name="FDD_159_6" hidden="1">"A32873"</definedName>
    <definedName name="FDD_159_7" hidden="1">"A33238"</definedName>
    <definedName name="FDD_159_8" hidden="1">"A33603"</definedName>
    <definedName name="FDD_159_9" hidden="1">"A33969"</definedName>
    <definedName name="FDD_16_0" hidden="1">"A25569"</definedName>
    <definedName name="FDD_160_0" hidden="1">"A30681"</definedName>
    <definedName name="FDD_160_1" hidden="1">"A31047"</definedName>
    <definedName name="FDD_160_10" hidden="1">"A34334"</definedName>
    <definedName name="FDD_160_11" hidden="1">"A34699"</definedName>
    <definedName name="FDD_160_12" hidden="1">"A35064"</definedName>
    <definedName name="FDD_160_13" hidden="1">"A35430"</definedName>
    <definedName name="FDD_160_14" hidden="1">"A35795"</definedName>
    <definedName name="FDD_160_15" hidden="1">"E36160"</definedName>
    <definedName name="FDD_160_2" hidden="1">"A31412"</definedName>
    <definedName name="FDD_160_3" hidden="1">"A31777"</definedName>
    <definedName name="FDD_160_4" hidden="1">"A32142"</definedName>
    <definedName name="FDD_160_5" hidden="1">"A32508"</definedName>
    <definedName name="FDD_160_6" hidden="1">"A32873"</definedName>
    <definedName name="FDD_160_7" hidden="1">"A33238"</definedName>
    <definedName name="FDD_160_8" hidden="1">"A33603"</definedName>
    <definedName name="FDD_160_9" hidden="1">"A33969"</definedName>
    <definedName name="FDD_161_0" hidden="1">"A30681"</definedName>
    <definedName name="FDD_161_1" hidden="1">"A31047"</definedName>
    <definedName name="FDD_161_10" hidden="1">"A34334"</definedName>
    <definedName name="FDD_161_11" hidden="1">"A34699"</definedName>
    <definedName name="FDD_161_12" hidden="1">"A35064"</definedName>
    <definedName name="FDD_161_13" hidden="1">"A35430"</definedName>
    <definedName name="FDD_161_14" hidden="1">"A35795"</definedName>
    <definedName name="FDD_161_2" hidden="1">"A31412"</definedName>
    <definedName name="FDD_161_3" hidden="1">"A31777"</definedName>
    <definedName name="FDD_161_4" hidden="1">"A32142"</definedName>
    <definedName name="FDD_161_5" hidden="1">"A32508"</definedName>
    <definedName name="FDD_161_6" hidden="1">"A32873"</definedName>
    <definedName name="FDD_161_7" hidden="1">"A33238"</definedName>
    <definedName name="FDD_161_8" hidden="1">"A33603"</definedName>
    <definedName name="FDD_161_9" hidden="1">"A33969"</definedName>
    <definedName name="FDD_162_0" hidden="1">"A30681"</definedName>
    <definedName name="FDD_162_1" hidden="1">"A31047"</definedName>
    <definedName name="FDD_162_10" hidden="1">"A34334"</definedName>
    <definedName name="FDD_162_11" hidden="1">"A34699"</definedName>
    <definedName name="FDD_162_12" hidden="1">"A35064"</definedName>
    <definedName name="FDD_162_13" hidden="1">"A35430"</definedName>
    <definedName name="FDD_162_14" hidden="1">"A35795"</definedName>
    <definedName name="FDD_162_2" hidden="1">"A31412"</definedName>
    <definedName name="FDD_162_3" hidden="1">"A31777"</definedName>
    <definedName name="FDD_162_4" hidden="1">"A32142"</definedName>
    <definedName name="FDD_162_5" hidden="1">"A32508"</definedName>
    <definedName name="FDD_162_6" hidden="1">"A32873"</definedName>
    <definedName name="FDD_162_7" hidden="1">"A33238"</definedName>
    <definedName name="FDD_162_8" hidden="1">"A33603"</definedName>
    <definedName name="FDD_162_9" hidden="1">"A33969"</definedName>
    <definedName name="FDD_163_0" hidden="1">"A30681"</definedName>
    <definedName name="FDD_163_1" hidden="1">"A31047"</definedName>
    <definedName name="FDD_163_10" hidden="1">"A34334"</definedName>
    <definedName name="FDD_163_11" hidden="1">"A34699"</definedName>
    <definedName name="FDD_163_12" hidden="1">"A35064"</definedName>
    <definedName name="FDD_163_13" hidden="1">"A35430"</definedName>
    <definedName name="FDD_163_14" hidden="1">"A35795"</definedName>
    <definedName name="FDD_163_2" hidden="1">"A31412"</definedName>
    <definedName name="FDD_163_3" hidden="1">"A31777"</definedName>
    <definedName name="FDD_163_4" hidden="1">"A32142"</definedName>
    <definedName name="FDD_163_5" hidden="1">"A32508"</definedName>
    <definedName name="FDD_163_6" hidden="1">"A32873"</definedName>
    <definedName name="FDD_163_7" hidden="1">"A33238"</definedName>
    <definedName name="FDD_163_8" hidden="1">"A33603"</definedName>
    <definedName name="FDD_163_9" hidden="1">"A33969"</definedName>
    <definedName name="FDD_164_0" hidden="1">"A25569"</definedName>
    <definedName name="FDD_165_0" hidden="1">"A30681"</definedName>
    <definedName name="FDD_165_1" hidden="1">"A31047"</definedName>
    <definedName name="FDD_165_10" hidden="1">"A34334"</definedName>
    <definedName name="FDD_165_11" hidden="1">"A34699"</definedName>
    <definedName name="FDD_165_12" hidden="1">"A35064"</definedName>
    <definedName name="FDD_165_13" hidden="1">"A35430"</definedName>
    <definedName name="FDD_165_14" hidden="1">"A35795"</definedName>
    <definedName name="FDD_165_2" hidden="1">"A31412"</definedName>
    <definedName name="FDD_165_3" hidden="1">"A31777"</definedName>
    <definedName name="FDD_165_4" hidden="1">"A32142"</definedName>
    <definedName name="FDD_165_5" hidden="1">"A32508"</definedName>
    <definedName name="FDD_165_6" hidden="1">"A32873"</definedName>
    <definedName name="FDD_165_7" hidden="1">"A33238"</definedName>
    <definedName name="FDD_165_8" hidden="1">"A33603"</definedName>
    <definedName name="FDD_165_9" hidden="1">"A33969"</definedName>
    <definedName name="FDD_166_0" hidden="1">"A30681"</definedName>
    <definedName name="FDD_166_1" hidden="1">"A31047"</definedName>
    <definedName name="FDD_166_10" hidden="1">"A34334"</definedName>
    <definedName name="FDD_166_11" hidden="1">"A34699"</definedName>
    <definedName name="FDD_166_12" hidden="1">"A35064"</definedName>
    <definedName name="FDD_166_13" hidden="1">"A35430"</definedName>
    <definedName name="FDD_166_14" hidden="1">"A35795"</definedName>
    <definedName name="FDD_166_2" hidden="1">"A31412"</definedName>
    <definedName name="FDD_166_3" hidden="1">"A31777"</definedName>
    <definedName name="FDD_166_4" hidden="1">"A32142"</definedName>
    <definedName name="FDD_166_5" hidden="1">"A32508"</definedName>
    <definedName name="FDD_166_6" hidden="1">"A32873"</definedName>
    <definedName name="FDD_166_7" hidden="1">"A33238"</definedName>
    <definedName name="FDD_166_8" hidden="1">"A33603"</definedName>
    <definedName name="FDD_166_9" hidden="1">"A33969"</definedName>
    <definedName name="FDD_167_0" hidden="1">"A30681"</definedName>
    <definedName name="FDD_167_1" hidden="1">"A31047"</definedName>
    <definedName name="FDD_167_10" hidden="1">"A34334"</definedName>
    <definedName name="FDD_167_11" hidden="1">"A34699"</definedName>
    <definedName name="FDD_167_12" hidden="1">"A35064"</definedName>
    <definedName name="FDD_167_13" hidden="1">"A35430"</definedName>
    <definedName name="FDD_167_14" hidden="1">"A35795"</definedName>
    <definedName name="FDD_167_2" hidden="1">"A31412"</definedName>
    <definedName name="FDD_167_3" hidden="1">"A31777"</definedName>
    <definedName name="FDD_167_4" hidden="1">"A32142"</definedName>
    <definedName name="FDD_167_5" hidden="1">"A32508"</definedName>
    <definedName name="FDD_167_6" hidden="1">"A32873"</definedName>
    <definedName name="FDD_167_7" hidden="1">"A33238"</definedName>
    <definedName name="FDD_167_8" hidden="1">"A33603"</definedName>
    <definedName name="FDD_167_9" hidden="1">"A33969"</definedName>
    <definedName name="FDD_168_0" hidden="1">"E36160"</definedName>
    <definedName name="FDD_168_1" hidden="1">"E36525"</definedName>
    <definedName name="FDD_168_2" hidden="1">"E36891"</definedName>
    <definedName name="FDD_169_0" hidden="1">"A30681"</definedName>
    <definedName name="FDD_169_1" hidden="1">"A31047"</definedName>
    <definedName name="FDD_169_10" hidden="1">"A34334"</definedName>
    <definedName name="FDD_169_11" hidden="1">"A34699"</definedName>
    <definedName name="FDD_169_12" hidden="1">"A35064"</definedName>
    <definedName name="FDD_169_13" hidden="1">"A35430"</definedName>
    <definedName name="FDD_169_14" hidden="1">"A35795"</definedName>
    <definedName name="FDD_169_2" hidden="1">"A31412"</definedName>
    <definedName name="FDD_169_3" hidden="1">"A31777"</definedName>
    <definedName name="FDD_169_4" hidden="1">"A32142"</definedName>
    <definedName name="FDD_169_5" hidden="1">"A32508"</definedName>
    <definedName name="FDD_169_6" hidden="1">"A32873"</definedName>
    <definedName name="FDD_169_7" hidden="1">"A33238"</definedName>
    <definedName name="FDD_169_8" hidden="1">"A33603"</definedName>
    <definedName name="FDD_169_9" hidden="1">"A33969"</definedName>
    <definedName name="FDD_17_0" hidden="1">"A25569"</definedName>
    <definedName name="FDD_170_0" hidden="1">"A30681"</definedName>
    <definedName name="FDD_170_1" hidden="1">"A31047"</definedName>
    <definedName name="FDD_170_10" hidden="1">"A34334"</definedName>
    <definedName name="FDD_170_11" hidden="1">"A34699"</definedName>
    <definedName name="FDD_170_12" hidden="1">"A35064"</definedName>
    <definedName name="FDD_170_13" hidden="1">"A35430"</definedName>
    <definedName name="FDD_170_14" hidden="1">"A35795"</definedName>
    <definedName name="FDD_170_2" hidden="1">"A31412"</definedName>
    <definedName name="FDD_170_3" hidden="1">"A31777"</definedName>
    <definedName name="FDD_170_4" hidden="1">"A32142"</definedName>
    <definedName name="FDD_170_5" hidden="1">"A32508"</definedName>
    <definedName name="FDD_170_6" hidden="1">"A32873"</definedName>
    <definedName name="FDD_170_7" hidden="1">"A33238"</definedName>
    <definedName name="FDD_170_8" hidden="1">"A33603"</definedName>
    <definedName name="FDD_170_9" hidden="1">"A33969"</definedName>
    <definedName name="FDD_171_0" hidden="1">"A30681"</definedName>
    <definedName name="FDD_171_1" hidden="1">"A31047"</definedName>
    <definedName name="FDD_171_10" hidden="1">"A34334"</definedName>
    <definedName name="FDD_171_11" hidden="1">"A34699"</definedName>
    <definedName name="FDD_171_12" hidden="1">"A35064"</definedName>
    <definedName name="FDD_171_13" hidden="1">"A35430"</definedName>
    <definedName name="FDD_171_14" hidden="1">"A35795"</definedName>
    <definedName name="FDD_171_2" hidden="1">"A31412"</definedName>
    <definedName name="FDD_171_3" hidden="1">"A31777"</definedName>
    <definedName name="FDD_171_4" hidden="1">"A32142"</definedName>
    <definedName name="FDD_171_5" hidden="1">"A32508"</definedName>
    <definedName name="FDD_171_6" hidden="1">"A32873"</definedName>
    <definedName name="FDD_171_7" hidden="1">"A33238"</definedName>
    <definedName name="FDD_171_8" hidden="1">"A33603"</definedName>
    <definedName name="FDD_171_9" hidden="1">"A33969"</definedName>
    <definedName name="FDD_172_0" hidden="1">"A30681"</definedName>
    <definedName name="FDD_172_1" hidden="1">"A31047"</definedName>
    <definedName name="FDD_172_10" hidden="1">"A34334"</definedName>
    <definedName name="FDD_172_11" hidden="1">"A34699"</definedName>
    <definedName name="FDD_172_12" hidden="1">"A35064"</definedName>
    <definedName name="FDD_172_13" hidden="1">"A35430"</definedName>
    <definedName name="FDD_172_14" hidden="1">"A35795"</definedName>
    <definedName name="FDD_172_2" hidden="1">"A31412"</definedName>
    <definedName name="FDD_172_3" hidden="1">"A31777"</definedName>
    <definedName name="FDD_172_4" hidden="1">"A32142"</definedName>
    <definedName name="FDD_172_5" hidden="1">"A32508"</definedName>
    <definedName name="FDD_172_6" hidden="1">"A32873"</definedName>
    <definedName name="FDD_172_7" hidden="1">"A33238"</definedName>
    <definedName name="FDD_172_8" hidden="1">"A33603"</definedName>
    <definedName name="FDD_172_9" hidden="1">"A33969"</definedName>
    <definedName name="FDD_173_0" hidden="1">"A30681"</definedName>
    <definedName name="FDD_173_1" hidden="1">"A31047"</definedName>
    <definedName name="FDD_173_10" hidden="1">"A34334"</definedName>
    <definedName name="FDD_173_11" hidden="1">"A34699"</definedName>
    <definedName name="FDD_173_12" hidden="1">"A35064"</definedName>
    <definedName name="FDD_173_13" hidden="1">"A35430"</definedName>
    <definedName name="FDD_173_14" hidden="1">"A35795"</definedName>
    <definedName name="FDD_173_2" hidden="1">"A31412"</definedName>
    <definedName name="FDD_173_3" hidden="1">"A31777"</definedName>
    <definedName name="FDD_173_4" hidden="1">"A32142"</definedName>
    <definedName name="FDD_173_5" hidden="1">"A32508"</definedName>
    <definedName name="FDD_173_6" hidden="1">"A32873"</definedName>
    <definedName name="FDD_173_7" hidden="1">"A33238"</definedName>
    <definedName name="FDD_173_8" hidden="1">"A33603"</definedName>
    <definedName name="FDD_173_9" hidden="1">"A33969"</definedName>
    <definedName name="FDD_174_0" hidden="1">"A30681"</definedName>
    <definedName name="FDD_174_1" hidden="1">"A31047"</definedName>
    <definedName name="FDD_174_10" hidden="1">"A34334"</definedName>
    <definedName name="FDD_174_11" hidden="1">"A34699"</definedName>
    <definedName name="FDD_174_12" hidden="1">"A35064"</definedName>
    <definedName name="FDD_174_13" hidden="1">"A35430"</definedName>
    <definedName name="FDD_174_14" hidden="1">"A35795"</definedName>
    <definedName name="FDD_174_2" hidden="1">"A31412"</definedName>
    <definedName name="FDD_174_3" hidden="1">"A31777"</definedName>
    <definedName name="FDD_174_4" hidden="1">"A32142"</definedName>
    <definedName name="FDD_174_5" hidden="1">"A32508"</definedName>
    <definedName name="FDD_174_6" hidden="1">"A32873"</definedName>
    <definedName name="FDD_174_7" hidden="1">"A33238"</definedName>
    <definedName name="FDD_174_8" hidden="1">"A33603"</definedName>
    <definedName name="FDD_174_9" hidden="1">"A33969"</definedName>
    <definedName name="FDD_175_0" hidden="1">"E36160"</definedName>
    <definedName name="FDD_175_1" hidden="1">"E36525"</definedName>
    <definedName name="FDD_175_2" hidden="1">"E36891"</definedName>
    <definedName name="FDD_176_0" hidden="1">"E36160"</definedName>
    <definedName name="FDD_176_1" hidden="1">"E36525"</definedName>
    <definedName name="FDD_176_2" hidden="1">"E36891"</definedName>
    <definedName name="FDD_177_0" hidden="1">"E36160"</definedName>
    <definedName name="FDD_177_1" hidden="1">"E36525"</definedName>
    <definedName name="FDD_177_2" hidden="1">"E36891"</definedName>
    <definedName name="FDD_178_0" hidden="1">"E36160"</definedName>
    <definedName name="FDD_178_1" hidden="1">"E36525"</definedName>
    <definedName name="FDD_178_2" hidden="1">"E36891"</definedName>
    <definedName name="FDD_179_0" hidden="1">"E36160"</definedName>
    <definedName name="FDD_179_1" hidden="1">"E36525"</definedName>
    <definedName name="FDD_179_2" hidden="1">"E36891"</definedName>
    <definedName name="FDD_18_0" hidden="1">"A25569"</definedName>
    <definedName name="FDD_180_0" hidden="1">"E36160"</definedName>
    <definedName name="FDD_180_1" hidden="1">"E36525"</definedName>
    <definedName name="FDD_180_2" hidden="1">"E36891"</definedName>
    <definedName name="FDD_181_0" hidden="1">"E36160"</definedName>
    <definedName name="FDD_181_1" hidden="1">"E36525"</definedName>
    <definedName name="FDD_181_2" hidden="1">"E36891"</definedName>
    <definedName name="FDD_182_0" hidden="1">"E36160"</definedName>
    <definedName name="FDD_182_1" hidden="1">"E36525"</definedName>
    <definedName name="FDD_182_2" hidden="1">"E36891"</definedName>
    <definedName name="FDD_183_0" hidden="1">"E36160"</definedName>
    <definedName name="FDD_183_1" hidden="1">"E36525"</definedName>
    <definedName name="FDD_183_2" hidden="1">"E36891"</definedName>
    <definedName name="FDD_184_0" hidden="1">"E36160"</definedName>
    <definedName name="FDD_184_1" hidden="1">"E36525"</definedName>
    <definedName name="FDD_184_2" hidden="1">"E36891"</definedName>
    <definedName name="FDD_185_0" hidden="1">"E36160"</definedName>
    <definedName name="FDD_185_1" hidden="1">"E36525"</definedName>
    <definedName name="FDD_185_2" hidden="1">"E36891"</definedName>
    <definedName name="FDD_186_0" hidden="1">"E36160"</definedName>
    <definedName name="FDD_186_1" hidden="1">"E36525"</definedName>
    <definedName name="FDD_186_2" hidden="1">"E36891"</definedName>
    <definedName name="FDD_187_0" hidden="1">"E36160"</definedName>
    <definedName name="FDD_187_1" hidden="1">"E36525"</definedName>
    <definedName name="FDD_187_2" hidden="1">"E36891"</definedName>
    <definedName name="FDD_188_0" hidden="1">"A30681"</definedName>
    <definedName name="FDD_188_1" hidden="1">"A31047"</definedName>
    <definedName name="FDD_188_10" hidden="1">"A34334"</definedName>
    <definedName name="FDD_188_11" hidden="1">"A34699"</definedName>
    <definedName name="FDD_188_12" hidden="1">"A35064"</definedName>
    <definedName name="FDD_188_13" hidden="1">"A35430"</definedName>
    <definedName name="FDD_188_14" hidden="1">"A35795"</definedName>
    <definedName name="FDD_188_2" hidden="1">"A31412"</definedName>
    <definedName name="FDD_188_3" hidden="1">"A31777"</definedName>
    <definedName name="FDD_188_4" hidden="1">"A32142"</definedName>
    <definedName name="FDD_188_5" hidden="1">"A32508"</definedName>
    <definedName name="FDD_188_6" hidden="1">"A32873"</definedName>
    <definedName name="FDD_188_7" hidden="1">"A33238"</definedName>
    <definedName name="FDD_188_8" hidden="1">"A33603"</definedName>
    <definedName name="FDD_188_9" hidden="1">"A33969"</definedName>
    <definedName name="FDD_189_0" hidden="1">"A30681"</definedName>
    <definedName name="FDD_189_1" hidden="1">"A31047"</definedName>
    <definedName name="FDD_189_10" hidden="1">"A34334"</definedName>
    <definedName name="FDD_189_11" hidden="1">"A34699"</definedName>
    <definedName name="FDD_189_12" hidden="1">"A35064"</definedName>
    <definedName name="FDD_189_13" hidden="1">"A35430"</definedName>
    <definedName name="FDD_189_14" hidden="1">"A35795"</definedName>
    <definedName name="FDD_189_2" hidden="1">"A31412"</definedName>
    <definedName name="FDD_189_3" hidden="1">"A31777"</definedName>
    <definedName name="FDD_189_4" hidden="1">"A32142"</definedName>
    <definedName name="FDD_189_5" hidden="1">"A32508"</definedName>
    <definedName name="FDD_189_6" hidden="1">"A32873"</definedName>
    <definedName name="FDD_189_7" hidden="1">"A33238"</definedName>
    <definedName name="FDD_189_8" hidden="1">"A33603"</definedName>
    <definedName name="FDD_189_9" hidden="1">"A33969"</definedName>
    <definedName name="FDD_19_0" hidden="1">"A25569"</definedName>
    <definedName name="FDD_190_0" hidden="1">"A30681"</definedName>
    <definedName name="FDD_190_1" hidden="1">"A31047"</definedName>
    <definedName name="FDD_190_10" hidden="1">"A34334"</definedName>
    <definedName name="FDD_190_11" hidden="1">"A34699"</definedName>
    <definedName name="FDD_190_12" hidden="1">"A35064"</definedName>
    <definedName name="FDD_190_13" hidden="1">"A35430"</definedName>
    <definedName name="FDD_190_14" hidden="1">"A35795"</definedName>
    <definedName name="FDD_190_2" hidden="1">"A31412"</definedName>
    <definedName name="FDD_190_3" hidden="1">"A31777"</definedName>
    <definedName name="FDD_190_4" hidden="1">"A32142"</definedName>
    <definedName name="FDD_190_5" hidden="1">"A32508"</definedName>
    <definedName name="FDD_190_6" hidden="1">"A32873"</definedName>
    <definedName name="FDD_190_7" hidden="1">"A33238"</definedName>
    <definedName name="FDD_190_8" hidden="1">"A33603"</definedName>
    <definedName name="FDD_190_9" hidden="1">"A33969"</definedName>
    <definedName name="FDD_191_0" hidden="1">"A30681"</definedName>
    <definedName name="FDD_191_1" hidden="1">"A31047"</definedName>
    <definedName name="FDD_191_10" hidden="1">"A34334"</definedName>
    <definedName name="FDD_191_11" hidden="1">"A34699"</definedName>
    <definedName name="FDD_191_12" hidden="1">"A35064"</definedName>
    <definedName name="FDD_191_13" hidden="1">"A35430"</definedName>
    <definedName name="FDD_191_14" hidden="1">"A35795"</definedName>
    <definedName name="FDD_191_2" hidden="1">"A31412"</definedName>
    <definedName name="FDD_191_3" hidden="1">"A31777"</definedName>
    <definedName name="FDD_191_4" hidden="1">"A32142"</definedName>
    <definedName name="FDD_191_5" hidden="1">"A32508"</definedName>
    <definedName name="FDD_191_6" hidden="1">"A32873"</definedName>
    <definedName name="FDD_191_7" hidden="1">"A33238"</definedName>
    <definedName name="FDD_191_8" hidden="1">"A33603"</definedName>
    <definedName name="FDD_191_9" hidden="1">"A33969"</definedName>
    <definedName name="FDD_192_0" hidden="1">"E36160"</definedName>
    <definedName name="FDD_192_1" hidden="1">"E36525"</definedName>
    <definedName name="FDD_192_2" hidden="1">"E36891"</definedName>
    <definedName name="FDD_193_0" hidden="1">"A30681"</definedName>
    <definedName name="FDD_193_1" hidden="1">"A31047"</definedName>
    <definedName name="FDD_193_10" hidden="1">"A34334"</definedName>
    <definedName name="FDD_193_11" hidden="1">"A34699"</definedName>
    <definedName name="FDD_193_12" hidden="1">"A35064"</definedName>
    <definedName name="FDD_193_13" hidden="1">"A35430"</definedName>
    <definedName name="FDD_193_14" hidden="1">"A35795"</definedName>
    <definedName name="FDD_193_2" hidden="1">"A31412"</definedName>
    <definedName name="FDD_193_3" hidden="1">"A31777"</definedName>
    <definedName name="FDD_193_4" hidden="1">"A32142"</definedName>
    <definedName name="FDD_193_5" hidden="1">"A32508"</definedName>
    <definedName name="FDD_193_6" hidden="1">"A32873"</definedName>
    <definedName name="FDD_193_7" hidden="1">"A33238"</definedName>
    <definedName name="FDD_193_8" hidden="1">"A33603"</definedName>
    <definedName name="FDD_193_9" hidden="1">"A33969"</definedName>
    <definedName name="FDD_194_0" hidden="1">"A30681"</definedName>
    <definedName name="FDD_194_1" hidden="1">"A31047"</definedName>
    <definedName name="FDD_194_10" hidden="1">"A34334"</definedName>
    <definedName name="FDD_194_11" hidden="1">"A34699"</definedName>
    <definedName name="FDD_194_12" hidden="1">"A35064"</definedName>
    <definedName name="FDD_194_13" hidden="1">"A35430"</definedName>
    <definedName name="FDD_194_14" hidden="1">"A35795"</definedName>
    <definedName name="FDD_194_2" hidden="1">"A31412"</definedName>
    <definedName name="FDD_194_3" hidden="1">"A31777"</definedName>
    <definedName name="FDD_194_4" hidden="1">"A32142"</definedName>
    <definedName name="FDD_194_5" hidden="1">"A32508"</definedName>
    <definedName name="FDD_194_6" hidden="1">"A32873"</definedName>
    <definedName name="FDD_194_7" hidden="1">"A33238"</definedName>
    <definedName name="FDD_194_8" hidden="1">"A33603"</definedName>
    <definedName name="FDD_194_9" hidden="1">"A33969"</definedName>
    <definedName name="FDD_195_0" hidden="1">"A30681"</definedName>
    <definedName name="FDD_195_1" hidden="1">"A31047"</definedName>
    <definedName name="FDD_195_10" hidden="1">"A34334"</definedName>
    <definedName name="FDD_195_11" hidden="1">"A34699"</definedName>
    <definedName name="FDD_195_12" hidden="1">"A35064"</definedName>
    <definedName name="FDD_195_13" hidden="1">"A35430"</definedName>
    <definedName name="FDD_195_14" hidden="1">"A35795"</definedName>
    <definedName name="FDD_195_2" hidden="1">"A31412"</definedName>
    <definedName name="FDD_195_3" hidden="1">"A31777"</definedName>
    <definedName name="FDD_195_4" hidden="1">"A32142"</definedName>
    <definedName name="FDD_195_5" hidden="1">"A32508"</definedName>
    <definedName name="FDD_195_6" hidden="1">"A32873"</definedName>
    <definedName name="FDD_195_7" hidden="1">"A33238"</definedName>
    <definedName name="FDD_195_8" hidden="1">"A33603"</definedName>
    <definedName name="FDD_195_9" hidden="1">"A33969"</definedName>
    <definedName name="FDD_196_0" hidden="1">"E36160"</definedName>
    <definedName name="FDD_196_1" hidden="1">"E36525"</definedName>
    <definedName name="FDD_196_2" hidden="1">"E36891"</definedName>
    <definedName name="FDD_197_0" hidden="1">"A30681"</definedName>
    <definedName name="FDD_197_1" hidden="1">"A31047"</definedName>
    <definedName name="FDD_197_10" hidden="1">"A34334"</definedName>
    <definedName name="FDD_197_11" hidden="1">"A34699"</definedName>
    <definedName name="FDD_197_12" hidden="1">"A35064"</definedName>
    <definedName name="FDD_197_13" hidden="1">"A35430"</definedName>
    <definedName name="FDD_197_14" hidden="1">"A35795"</definedName>
    <definedName name="FDD_197_2" hidden="1">"A31412"</definedName>
    <definedName name="FDD_197_3" hidden="1">"A31777"</definedName>
    <definedName name="FDD_197_4" hidden="1">"A32142"</definedName>
    <definedName name="FDD_197_5" hidden="1">"A32508"</definedName>
    <definedName name="FDD_197_6" hidden="1">"A32873"</definedName>
    <definedName name="FDD_197_7" hidden="1">"A33238"</definedName>
    <definedName name="FDD_197_8" hidden="1">"A33603"</definedName>
    <definedName name="FDD_197_9" hidden="1">"A33969"</definedName>
    <definedName name="FDD_198_0" hidden="1">"A30681"</definedName>
    <definedName name="FDD_198_1" hidden="1">"A31047"</definedName>
    <definedName name="FDD_198_10" hidden="1">"U34334"</definedName>
    <definedName name="FDD_198_11" hidden="1">"U34699"</definedName>
    <definedName name="FDD_198_12" hidden="1">"U35064"</definedName>
    <definedName name="FDD_198_13" hidden="1">"U35430"</definedName>
    <definedName name="FDD_198_14" hidden="1">"U35795"</definedName>
    <definedName name="FDD_198_2" hidden="1">"A31412"</definedName>
    <definedName name="FDD_198_3" hidden="1">"U31777"</definedName>
    <definedName name="FDD_198_4" hidden="1">"U32142"</definedName>
    <definedName name="FDD_198_5" hidden="1">"U32508"</definedName>
    <definedName name="FDD_198_6" hidden="1">"U32873"</definedName>
    <definedName name="FDD_198_7" hidden="1">"U33238"</definedName>
    <definedName name="FDD_198_8" hidden="1">"U33603"</definedName>
    <definedName name="FDD_198_9" hidden="1">"U33969"</definedName>
    <definedName name="FDD_199_0" hidden="1">"E36160"</definedName>
    <definedName name="FDD_199_1" hidden="1">"E36525"</definedName>
    <definedName name="FDD_199_2" hidden="1">"E36891"</definedName>
    <definedName name="FDD_2_0" hidden="1">"A25569"</definedName>
    <definedName name="FDD_20_0" hidden="1">"A25569"</definedName>
    <definedName name="FDD_200_0" hidden="1">"E36160"</definedName>
    <definedName name="FDD_200_1" hidden="1">"E36525"</definedName>
    <definedName name="FDD_200_2" hidden="1">"E36891"</definedName>
    <definedName name="FDD_201_0" hidden="1">"A30681"</definedName>
    <definedName name="FDD_201_1" hidden="1">"A31047"</definedName>
    <definedName name="FDD_201_10" hidden="1">"A34334"</definedName>
    <definedName name="FDD_201_11" hidden="1">"A34699"</definedName>
    <definedName name="FDD_201_12" hidden="1">"A35064"</definedName>
    <definedName name="FDD_201_13" hidden="1">"A35430"</definedName>
    <definedName name="FDD_201_14" hidden="1">"A35795"</definedName>
    <definedName name="FDD_201_2" hidden="1">"A31412"</definedName>
    <definedName name="FDD_201_3" hidden="1">"A31777"</definedName>
    <definedName name="FDD_201_4" hidden="1">"A32142"</definedName>
    <definedName name="FDD_201_5" hidden="1">"A32508"</definedName>
    <definedName name="FDD_201_6" hidden="1">"A32873"</definedName>
    <definedName name="FDD_201_7" hidden="1">"A33238"</definedName>
    <definedName name="FDD_201_8" hidden="1">"A33603"</definedName>
    <definedName name="FDD_201_9" hidden="1">"A33969"</definedName>
    <definedName name="FDD_202_0" hidden="1">"A30681"</definedName>
    <definedName name="FDD_202_1" hidden="1">"A31047"</definedName>
    <definedName name="FDD_202_10" hidden="1">"A34334"</definedName>
    <definedName name="FDD_202_11" hidden="1">"A34699"</definedName>
    <definedName name="FDD_202_12" hidden="1">"A35064"</definedName>
    <definedName name="FDD_202_13" hidden="1">"A35430"</definedName>
    <definedName name="FDD_202_14" hidden="1">"A35795"</definedName>
    <definedName name="FDD_202_2" hidden="1">"A31412"</definedName>
    <definedName name="FDD_202_3" hidden="1">"A31777"</definedName>
    <definedName name="FDD_202_4" hidden="1">"A32142"</definedName>
    <definedName name="FDD_202_5" hidden="1">"A32508"</definedName>
    <definedName name="FDD_202_6" hidden="1">"A32873"</definedName>
    <definedName name="FDD_202_7" hidden="1">"A33238"</definedName>
    <definedName name="FDD_202_8" hidden="1">"A33603"</definedName>
    <definedName name="FDD_202_9" hidden="1">"A33969"</definedName>
    <definedName name="FDD_203_0" hidden="1">"E36160"</definedName>
    <definedName name="FDD_203_1" hidden="1">"E36525"</definedName>
    <definedName name="FDD_203_2" hidden="1">"E36891"</definedName>
    <definedName name="FDD_204_0" hidden="1">"A25569"</definedName>
    <definedName name="FDD_205_0" hidden="1">"A25569"</definedName>
    <definedName name="FDD_206_0" hidden="1">"A25569"</definedName>
    <definedName name="FDD_207_0" hidden="1">"A25569"</definedName>
    <definedName name="FDD_208_0" hidden="1">"E36160"</definedName>
    <definedName name="FDD_208_1" hidden="1">"E36525"</definedName>
    <definedName name="FDD_208_2" hidden="1">"E36891"</definedName>
    <definedName name="FDD_209_0" hidden="1">"A25569"</definedName>
    <definedName name="FDD_21_0" hidden="1">"A25569"</definedName>
    <definedName name="FDD_210_0" hidden="1">"A25569"</definedName>
    <definedName name="FDD_211_0" hidden="1">"A25569"</definedName>
    <definedName name="FDD_212_0" hidden="1">"A25569"</definedName>
    <definedName name="FDD_213_0" hidden="1">"E36160"</definedName>
    <definedName name="FDD_213_1" hidden="1">"E36525"</definedName>
    <definedName name="FDD_213_2" hidden="1">"E36891"</definedName>
    <definedName name="FDD_214_0" hidden="1">"A25569"</definedName>
    <definedName name="FDD_215_0" hidden="1">"A25569"</definedName>
    <definedName name="FDD_216_0" hidden="1">"A25569"</definedName>
    <definedName name="FDD_217_0" hidden="1">"A25569"</definedName>
    <definedName name="FDD_218_0" hidden="1">"E36160"</definedName>
    <definedName name="FDD_218_1" hidden="1">"E36525"</definedName>
    <definedName name="FDD_218_2" hidden="1">"E36891"</definedName>
    <definedName name="FDD_219_0" hidden="1">"U25569"</definedName>
    <definedName name="FDD_22_0" hidden="1">"A25569"</definedName>
    <definedName name="FDD_220_0" hidden="1">"U25569"</definedName>
    <definedName name="FDD_221_0" hidden="1">"U25569"</definedName>
    <definedName name="FDD_222_0" hidden="1">"U25569"</definedName>
    <definedName name="FDD_223_0" hidden="1">"E36160"</definedName>
    <definedName name="FDD_223_1" hidden="1">"E36525"</definedName>
    <definedName name="FDD_223_2" hidden="1">"E36891"</definedName>
    <definedName name="FDD_224_0" hidden="1">"A25569"</definedName>
    <definedName name="FDD_225_0" hidden="1">"A25569"</definedName>
    <definedName name="FDD_226_0" hidden="1">"A25569"</definedName>
    <definedName name="FDD_227_0" hidden="1">"A25569"</definedName>
    <definedName name="FDD_228_0" hidden="1">"E36160"</definedName>
    <definedName name="FDD_228_1" hidden="1">"E36525"</definedName>
    <definedName name="FDD_228_2" hidden="1">"E36891"</definedName>
    <definedName name="FDD_229_0" hidden="1">"A25569"</definedName>
    <definedName name="FDD_23_0" hidden="1">"A25569"</definedName>
    <definedName name="FDD_230_0" hidden="1">"A25569"</definedName>
    <definedName name="FDD_231_0" hidden="1">"A25569"</definedName>
    <definedName name="FDD_232_0" hidden="1">"A25569"</definedName>
    <definedName name="FDD_233_0" hidden="1">"A25569"</definedName>
    <definedName name="FDD_234_0" hidden="1">"A25569"</definedName>
    <definedName name="FDD_235_0" hidden="1">"A25569"</definedName>
    <definedName name="FDD_236_0" hidden="1">"A25569"</definedName>
    <definedName name="FDD_237_0" hidden="1">"A25569"</definedName>
    <definedName name="FDD_238_0" hidden="1">"A30681"</definedName>
    <definedName name="FDD_238_1" hidden="1">"A31047"</definedName>
    <definedName name="FDD_238_10" hidden="1">"A34334"</definedName>
    <definedName name="FDD_238_11" hidden="1">"A34699"</definedName>
    <definedName name="FDD_238_12" hidden="1">"A35064"</definedName>
    <definedName name="FDD_238_13" hidden="1">"A35430"</definedName>
    <definedName name="FDD_238_14" hidden="1">"A35795"</definedName>
    <definedName name="FDD_238_2" hidden="1">"A31412"</definedName>
    <definedName name="FDD_238_3" hidden="1">"A31777"</definedName>
    <definedName name="FDD_238_4" hidden="1">"A32142"</definedName>
    <definedName name="FDD_238_5" hidden="1">"A32508"</definedName>
    <definedName name="FDD_238_6" hidden="1">"A32873"</definedName>
    <definedName name="FDD_238_7" hidden="1">"A33238"</definedName>
    <definedName name="FDD_238_8" hidden="1">"A33603"</definedName>
    <definedName name="FDD_238_9" hidden="1">"A33969"</definedName>
    <definedName name="FDD_24_0" hidden="1">"A25569"</definedName>
    <definedName name="FDD_243_0" hidden="1">"E36160"</definedName>
    <definedName name="FDD_243_1" hidden="1">"E36525"</definedName>
    <definedName name="FDD_243_2" hidden="1">"E36891"</definedName>
    <definedName name="FDD_244_0" hidden="1">"A25569"</definedName>
    <definedName name="FDD_245_0" hidden="1">"A25569"</definedName>
    <definedName name="FDD_246_0" hidden="1">"A25569"</definedName>
    <definedName name="FDD_247_0" hidden="1">"A25569"</definedName>
    <definedName name="FDD_248_0" hidden="1">"E36160"</definedName>
    <definedName name="FDD_248_1" hidden="1">"E36525"</definedName>
    <definedName name="FDD_248_2" hidden="1">"E36891"</definedName>
    <definedName name="FDD_249_0" hidden="1">"A25569"</definedName>
    <definedName name="FDD_25_0" hidden="1">"A25569"</definedName>
    <definedName name="FDD_250_0" hidden="1">"A25569"</definedName>
    <definedName name="FDD_251_0" hidden="1">"A25569"</definedName>
    <definedName name="FDD_252_0" hidden="1">"A25569"</definedName>
    <definedName name="FDD_253_0" hidden="1">"E36160"</definedName>
    <definedName name="FDD_253_1" hidden="1">"E36525"</definedName>
    <definedName name="FDD_253_2" hidden="1">"E36891"</definedName>
    <definedName name="FDD_254_0" hidden="1">"E36160"</definedName>
    <definedName name="FDD_254_1" hidden="1">"E36525"</definedName>
    <definedName name="FDD_254_2" hidden="1">"E36891"</definedName>
    <definedName name="FDD_255_0" hidden="1">"E36160"</definedName>
    <definedName name="FDD_255_1" hidden="1">"E36525"</definedName>
    <definedName name="FDD_255_2" hidden="1">"E36891"</definedName>
    <definedName name="FDD_256_0" hidden="1">"U36160"</definedName>
    <definedName name="FDD_256_1" hidden="1">"U36525"</definedName>
    <definedName name="FDD_256_2" hidden="1">"U36891"</definedName>
    <definedName name="FDD_257_0" hidden="1">"E36160"</definedName>
    <definedName name="FDD_257_1" hidden="1">"E36525"</definedName>
    <definedName name="FDD_257_2" hidden="1">"E36891"</definedName>
    <definedName name="FDD_258_0" hidden="1">"E36160"</definedName>
    <definedName name="FDD_258_1" hidden="1">"E36525"</definedName>
    <definedName name="FDD_258_2" hidden="1">"E36891"</definedName>
    <definedName name="FDD_259_0" hidden="1">"E36160"</definedName>
    <definedName name="FDD_259_1" hidden="1">"E36525"</definedName>
    <definedName name="FDD_259_2" hidden="1">"E36891"</definedName>
    <definedName name="FDD_26_0" hidden="1">"A25569"</definedName>
    <definedName name="FDD_260_0" hidden="1">"E36160"</definedName>
    <definedName name="FDD_260_1" hidden="1">"E36525"</definedName>
    <definedName name="FDD_260_2" hidden="1">"E36891"</definedName>
    <definedName name="FDD_261_0" hidden="1">"E36160"</definedName>
    <definedName name="FDD_261_1" hidden="1">"E36525"</definedName>
    <definedName name="FDD_261_2" hidden="1">"E36891"</definedName>
    <definedName name="FDD_264_0" hidden="1">"E36160"</definedName>
    <definedName name="FDD_264_1" hidden="1">"E36525"</definedName>
    <definedName name="FDD_264_2" hidden="1">"E36891"</definedName>
    <definedName name="FDD_265_0" hidden="1">"A25569"</definedName>
    <definedName name="FDD_266_0" hidden="1">"A25569"</definedName>
    <definedName name="FDD_267_0" hidden="1">"A25569"</definedName>
    <definedName name="FDD_268_0" hidden="1">"A25569"</definedName>
    <definedName name="FDD_269_0" hidden="1">"E36160"</definedName>
    <definedName name="FDD_269_1" hidden="1">"E36525"</definedName>
    <definedName name="FDD_269_2" hidden="1">"E36891"</definedName>
    <definedName name="FDD_27_0" hidden="1">"A25569"</definedName>
    <definedName name="FDD_270_0" hidden="1">"A25569"</definedName>
    <definedName name="FDD_271_0" hidden="1">"A25569"</definedName>
    <definedName name="FDD_272_0" hidden="1">"A25569"</definedName>
    <definedName name="FDD_273_0" hidden="1">"A25569"</definedName>
    <definedName name="FDD_274_0" hidden="1">"E36160"</definedName>
    <definedName name="FDD_274_1" hidden="1">"E36525"</definedName>
    <definedName name="FDD_274_2" hidden="1">"E36891"</definedName>
    <definedName name="FDD_275_0" hidden="1">"A25569"</definedName>
    <definedName name="FDD_276_0" hidden="1">"A25569"</definedName>
    <definedName name="FDD_277_0" hidden="1">"A25569"</definedName>
    <definedName name="FDD_278_0" hidden="1">"A25569"</definedName>
    <definedName name="FDD_279_0" hidden="1">"E36160"</definedName>
    <definedName name="FDD_279_1" hidden="1">"E36525"</definedName>
    <definedName name="FDD_279_2" hidden="1">"E36891"</definedName>
    <definedName name="FDD_28_0" hidden="1">"A25569"</definedName>
    <definedName name="FDD_280_0" hidden="1">"E36160"</definedName>
    <definedName name="FDD_280_1" hidden="1">"E36525"</definedName>
    <definedName name="FDD_280_2" hidden="1">"E36891"</definedName>
    <definedName name="FDD_281_0" hidden="1">"E36160"</definedName>
    <definedName name="FDD_281_1" hidden="1">"E36525"</definedName>
    <definedName name="FDD_281_2" hidden="1">"E36891"</definedName>
    <definedName name="FDD_282_0" hidden="1">"E36160"</definedName>
    <definedName name="FDD_282_1" hidden="1">"E36525"</definedName>
    <definedName name="FDD_282_2" hidden="1">"E36891"</definedName>
    <definedName name="FDD_283_0" hidden="1">"E36160"</definedName>
    <definedName name="FDD_283_1" hidden="1">"E36525"</definedName>
    <definedName name="FDD_283_2" hidden="1">"E36891"</definedName>
    <definedName name="FDD_284_0" hidden="1">"A30681"</definedName>
    <definedName name="FDD_284_1" hidden="1">"A31047"</definedName>
    <definedName name="FDD_284_10" hidden="1">"A34334"</definedName>
    <definedName name="FDD_284_11" hidden="1">"A34699"</definedName>
    <definedName name="FDD_284_12" hidden="1">"A35064"</definedName>
    <definedName name="FDD_284_13" hidden="1">"A35430"</definedName>
    <definedName name="FDD_284_14" hidden="1">"A35795"</definedName>
    <definedName name="FDD_284_2" hidden="1">"A31412"</definedName>
    <definedName name="FDD_284_3" hidden="1">"A31777"</definedName>
    <definedName name="FDD_284_4" hidden="1">"A32142"</definedName>
    <definedName name="FDD_284_5" hidden="1">"A32508"</definedName>
    <definedName name="FDD_284_6" hidden="1">"A32873"</definedName>
    <definedName name="FDD_284_7" hidden="1">"A33238"</definedName>
    <definedName name="FDD_284_8" hidden="1">"A33603"</definedName>
    <definedName name="FDD_284_9" hidden="1">"A33969"</definedName>
    <definedName name="FDD_285_0" hidden="1">"A35795"</definedName>
    <definedName name="FDD_285_1" hidden="1">"E36160"</definedName>
    <definedName name="FDD_285_10" hidden="1">"E39447"</definedName>
    <definedName name="FDD_285_11" hidden="1">"E39813"</definedName>
    <definedName name="FDD_285_12" hidden="1">"E40178"</definedName>
    <definedName name="FDD_285_13" hidden="1">"E40543"</definedName>
    <definedName name="FDD_285_14" hidden="1">"E40908"</definedName>
    <definedName name="FDD_285_15" hidden="1">"E41274"</definedName>
    <definedName name="FDD_285_16" hidden="1">"E41639"</definedName>
    <definedName name="FDD_285_17" hidden="1">"E42004"</definedName>
    <definedName name="FDD_285_18" hidden="1">"E42369"</definedName>
    <definedName name="FDD_285_19" hidden="1">"E42735"</definedName>
    <definedName name="FDD_285_2" hidden="1">"E36525"</definedName>
    <definedName name="FDD_285_20" hidden="1">"E43100"</definedName>
    <definedName name="FDD_285_21" hidden="1">"E43465"</definedName>
    <definedName name="FDD_285_22" hidden="1">"E43830"</definedName>
    <definedName name="FDD_285_23" hidden="1">"E44196"</definedName>
    <definedName name="FDD_285_24" hidden="1">"E44561"</definedName>
    <definedName name="FDD_285_25" hidden="1">"E44926"</definedName>
    <definedName name="FDD_285_3" hidden="1">"E36891"</definedName>
    <definedName name="FDD_285_4" hidden="1">"E37256"</definedName>
    <definedName name="FDD_285_5" hidden="1">"E37621"</definedName>
    <definedName name="FDD_285_6" hidden="1">"E37986"</definedName>
    <definedName name="FDD_285_7" hidden="1">"E38352"</definedName>
    <definedName name="FDD_285_8" hidden="1">"E38717"</definedName>
    <definedName name="FDD_285_9" hidden="1">"E39082"</definedName>
    <definedName name="FDD_286_0" hidden="1">"E36160"</definedName>
    <definedName name="FDD_286_1" hidden="1">"E36525"</definedName>
    <definedName name="FDD_286_10" hidden="1">"E39813"</definedName>
    <definedName name="FDD_286_11" hidden="1">"E40178"</definedName>
    <definedName name="FDD_286_12" hidden="1">"E40543"</definedName>
    <definedName name="FDD_286_13" hidden="1">"E40908"</definedName>
    <definedName name="FDD_286_14" hidden="1">"E41274"</definedName>
    <definedName name="FDD_286_15" hidden="1">"E41639"</definedName>
    <definedName name="FDD_286_16" hidden="1">"E42004"</definedName>
    <definedName name="FDD_286_17" hidden="1">"E42369"</definedName>
    <definedName name="FDD_286_18" hidden="1">"E42735"</definedName>
    <definedName name="FDD_286_19" hidden="1">"E43100"</definedName>
    <definedName name="FDD_286_2" hidden="1">"E36891"</definedName>
    <definedName name="FDD_286_20" hidden="1">"E43465"</definedName>
    <definedName name="FDD_286_21" hidden="1">"E43830"</definedName>
    <definedName name="FDD_286_22" hidden="1">"E44196"</definedName>
    <definedName name="FDD_286_23" hidden="1">"E44561"</definedName>
    <definedName name="FDD_286_24" hidden="1">"E44926"</definedName>
    <definedName name="FDD_286_3" hidden="1">"E37256"</definedName>
    <definedName name="FDD_286_4" hidden="1">"E37621"</definedName>
    <definedName name="FDD_286_5" hidden="1">"E37986"</definedName>
    <definedName name="FDD_286_6" hidden="1">"E38352"</definedName>
    <definedName name="FDD_286_7" hidden="1">"E38717"</definedName>
    <definedName name="FDD_286_8" hidden="1">"E39082"</definedName>
    <definedName name="FDD_286_9" hidden="1">"E39447"</definedName>
    <definedName name="FDD_287_0" hidden="1">"A25569"</definedName>
    <definedName name="FDD_288_0" hidden="1">"A25569"</definedName>
    <definedName name="FDD_289_0" hidden="1">"A36890"</definedName>
    <definedName name="FDD_29_0" hidden="1">"A25569"</definedName>
    <definedName name="FDD_290_0" hidden="1">"A36890"</definedName>
    <definedName name="FDD_291_0" hidden="1">"A25569"</definedName>
    <definedName name="FDD_295_0" hidden="1">"U25569"</definedName>
    <definedName name="FDD_296_0" hidden="1">"A25569"</definedName>
    <definedName name="FDD_297_0" hidden="1">"A25569"</definedName>
    <definedName name="FDD_298_0" hidden="1">"A25569"</definedName>
    <definedName name="FDD_299_0" hidden="1">"A25569"</definedName>
    <definedName name="FDD_3_0" hidden="1">"A25569"</definedName>
    <definedName name="FDD_30_0" hidden="1">"A25569"</definedName>
    <definedName name="FDD_300_0" hidden="1">"U25569"</definedName>
    <definedName name="FDD_301_0" hidden="1">"U35795"</definedName>
    <definedName name="FDD_301_1" hidden="1">"U36160"</definedName>
    <definedName name="FDD_301_2" hidden="1">"U36525"</definedName>
    <definedName name="FDD_302_0" hidden="1">"U35795"</definedName>
    <definedName name="FDD_302_1" hidden="1">"U36160"</definedName>
    <definedName name="FDD_302_2" hidden="1">"U36525"</definedName>
    <definedName name="FDD_303_0" hidden="1">"U35795"</definedName>
    <definedName name="FDD_303_1" hidden="1">"U36160"</definedName>
    <definedName name="FDD_303_2" hidden="1">"U36525"</definedName>
    <definedName name="FDD_304_0" hidden="1">"U35795"</definedName>
    <definedName name="FDD_304_1" hidden="1">"U36160"</definedName>
    <definedName name="FDD_304_2" hidden="1">"U36525"</definedName>
    <definedName name="FDD_305_0" hidden="1">"A30681"</definedName>
    <definedName name="FDD_305_1" hidden="1">"A31047"</definedName>
    <definedName name="FDD_305_10" hidden="1">"U34334"</definedName>
    <definedName name="FDD_305_11" hidden="1">"U34699"</definedName>
    <definedName name="FDD_305_12" hidden="1">"U35064"</definedName>
    <definedName name="FDD_305_13" hidden="1">"U35430"</definedName>
    <definedName name="FDD_305_14" hidden="1">"U35795"</definedName>
    <definedName name="FDD_305_2" hidden="1">"A31412"</definedName>
    <definedName name="FDD_305_3" hidden="1">"U31777"</definedName>
    <definedName name="FDD_305_4" hidden="1">"U32142"</definedName>
    <definedName name="FDD_305_5" hidden="1">"U32508"</definedName>
    <definedName name="FDD_305_6" hidden="1">"U32873"</definedName>
    <definedName name="FDD_305_7" hidden="1">"U33238"</definedName>
    <definedName name="FDD_305_8" hidden="1">"U33603"</definedName>
    <definedName name="FDD_305_9" hidden="1">"U33969"</definedName>
    <definedName name="FDD_306_0" hidden="1">"U35795"</definedName>
    <definedName name="FDD_306_1" hidden="1">"E36160"</definedName>
    <definedName name="FDD_306_2" hidden="1">"U36525"</definedName>
    <definedName name="FDD_307_0" hidden="1">"A35795"</definedName>
    <definedName name="FDD_307_1" hidden="1">"U36160"</definedName>
    <definedName name="FDD_307_2" hidden="1">"U36525"</definedName>
    <definedName name="FDD_31_0" hidden="1">"A25569"</definedName>
    <definedName name="FDD_32_0" hidden="1">"A25569"</definedName>
    <definedName name="FDD_33_0" hidden="1">"A25569"</definedName>
    <definedName name="FDD_34_0" hidden="1">"A25569"</definedName>
    <definedName name="FDD_35_0" hidden="1">"A25569"</definedName>
    <definedName name="FDD_36_0" hidden="1">"A25569"</definedName>
    <definedName name="FDD_37_0" hidden="1">"A25569"</definedName>
    <definedName name="FDD_38_0" hidden="1">"A25569"</definedName>
    <definedName name="FDD_39_0" hidden="1">"A25569"</definedName>
    <definedName name="FDD_4_0" hidden="1">"A25569"</definedName>
    <definedName name="FDD_40_0" hidden="1">"A25569"</definedName>
    <definedName name="FDD_41_0" hidden="1">"U25569"</definedName>
    <definedName name="FDD_42_0" hidden="1">"U25569"</definedName>
    <definedName name="FDD_43_0" hidden="1">"A25569"</definedName>
    <definedName name="FDD_44_0" hidden="1">"A30681"</definedName>
    <definedName name="FDD_44_1" hidden="1">"A31047"</definedName>
    <definedName name="FDD_44_10" hidden="1">"A34334"</definedName>
    <definedName name="FDD_44_11" hidden="1">"A34699"</definedName>
    <definedName name="FDD_44_12" hidden="1">"A35064"</definedName>
    <definedName name="FDD_44_13" hidden="1">"A35430"</definedName>
    <definedName name="FDD_44_14" hidden="1">"A35795"</definedName>
    <definedName name="FDD_44_2" hidden="1">"A31412"</definedName>
    <definedName name="FDD_44_3" hidden="1">"A31777"</definedName>
    <definedName name="FDD_44_4" hidden="1">"A32142"</definedName>
    <definedName name="FDD_44_5" hidden="1">"A32508"</definedName>
    <definedName name="FDD_44_6" hidden="1">"A32873"</definedName>
    <definedName name="FDD_44_7" hidden="1">"A33238"</definedName>
    <definedName name="FDD_44_8" hidden="1">"A33603"</definedName>
    <definedName name="FDD_44_9" hidden="1">"A33969"</definedName>
    <definedName name="FDD_45_0" hidden="1">"A30681"</definedName>
    <definedName name="FDD_45_1" hidden="1">"A31047"</definedName>
    <definedName name="FDD_45_10" hidden="1">"A34334"</definedName>
    <definedName name="FDD_45_11" hidden="1">"A34699"</definedName>
    <definedName name="FDD_45_12" hidden="1">"A35064"</definedName>
    <definedName name="FDD_45_13" hidden="1">"A35430"</definedName>
    <definedName name="FDD_45_14" hidden="1">"A35795"</definedName>
    <definedName name="FDD_45_2" hidden="1">"A31412"</definedName>
    <definedName name="FDD_45_3" hidden="1">"A31777"</definedName>
    <definedName name="FDD_45_4" hidden="1">"A32142"</definedName>
    <definedName name="FDD_45_5" hidden="1">"A32508"</definedName>
    <definedName name="FDD_45_6" hidden="1">"A32873"</definedName>
    <definedName name="FDD_45_7" hidden="1">"A33238"</definedName>
    <definedName name="FDD_45_8" hidden="1">"A33603"</definedName>
    <definedName name="FDD_45_9" hidden="1">"A33969"</definedName>
    <definedName name="FDD_46_0" hidden="1">"A30681"</definedName>
    <definedName name="FDD_46_1" hidden="1">"A31047"</definedName>
    <definedName name="FDD_46_10" hidden="1">"A34334"</definedName>
    <definedName name="FDD_46_11" hidden="1">"A34699"</definedName>
    <definedName name="FDD_46_12" hidden="1">"A35064"</definedName>
    <definedName name="FDD_46_13" hidden="1">"A35430"</definedName>
    <definedName name="FDD_46_14" hidden="1">"A35795"</definedName>
    <definedName name="FDD_46_2" hidden="1">"A31412"</definedName>
    <definedName name="FDD_46_3" hidden="1">"A31777"</definedName>
    <definedName name="FDD_46_4" hidden="1">"A32142"</definedName>
    <definedName name="FDD_46_5" hidden="1">"A32508"</definedName>
    <definedName name="FDD_46_6" hidden="1">"A32873"</definedName>
    <definedName name="FDD_46_7" hidden="1">"A33238"</definedName>
    <definedName name="FDD_46_8" hidden="1">"A33603"</definedName>
    <definedName name="FDD_46_9" hidden="1">"A33969"</definedName>
    <definedName name="FDD_47_0" hidden="1">"A30681"</definedName>
    <definedName name="FDD_47_1" hidden="1">"A31047"</definedName>
    <definedName name="FDD_47_10" hidden="1">"A34334"</definedName>
    <definedName name="FDD_47_11" hidden="1">"A34699"</definedName>
    <definedName name="FDD_47_12" hidden="1">"A35064"</definedName>
    <definedName name="FDD_47_13" hidden="1">"A35430"</definedName>
    <definedName name="FDD_47_14" hidden="1">"A35795"</definedName>
    <definedName name="FDD_47_2" hidden="1">"A31412"</definedName>
    <definedName name="FDD_47_3" hidden="1">"A31777"</definedName>
    <definedName name="FDD_47_4" hidden="1">"A32142"</definedName>
    <definedName name="FDD_47_5" hidden="1">"A32508"</definedName>
    <definedName name="FDD_47_6" hidden="1">"A32873"</definedName>
    <definedName name="FDD_47_7" hidden="1">"A33238"</definedName>
    <definedName name="FDD_47_8" hidden="1">"A33603"</definedName>
    <definedName name="FDD_47_9" hidden="1">"A33969"</definedName>
    <definedName name="FDD_48_0" hidden="1">"A30681"</definedName>
    <definedName name="FDD_48_1" hidden="1">"A31047"</definedName>
    <definedName name="FDD_48_10" hidden="1">"A34334"</definedName>
    <definedName name="FDD_48_11" hidden="1">"A34699"</definedName>
    <definedName name="FDD_48_12" hidden="1">"A35064"</definedName>
    <definedName name="FDD_48_13" hidden="1">"A35430"</definedName>
    <definedName name="FDD_48_14" hidden="1">"A35795"</definedName>
    <definedName name="FDD_48_2" hidden="1">"A31412"</definedName>
    <definedName name="FDD_48_3" hidden="1">"A31777"</definedName>
    <definedName name="FDD_48_4" hidden="1">"A32142"</definedName>
    <definedName name="FDD_48_5" hidden="1">"A32508"</definedName>
    <definedName name="FDD_48_6" hidden="1">"A32873"</definedName>
    <definedName name="FDD_48_7" hidden="1">"A33238"</definedName>
    <definedName name="FDD_48_8" hidden="1">"A33603"</definedName>
    <definedName name="FDD_48_9" hidden="1">"A33969"</definedName>
    <definedName name="FDD_49_0" hidden="1">"A30681"</definedName>
    <definedName name="FDD_49_1" hidden="1">"A31047"</definedName>
    <definedName name="FDD_49_10" hidden="1">"A34334"</definedName>
    <definedName name="FDD_49_11" hidden="1">"A34699"</definedName>
    <definedName name="FDD_49_12" hidden="1">"A35064"</definedName>
    <definedName name="FDD_49_13" hidden="1">"A35430"</definedName>
    <definedName name="FDD_49_14" hidden="1">"A35795"</definedName>
    <definedName name="FDD_49_2" hidden="1">"A31412"</definedName>
    <definedName name="FDD_49_3" hidden="1">"A31777"</definedName>
    <definedName name="FDD_49_4" hidden="1">"A32142"</definedName>
    <definedName name="FDD_49_5" hidden="1">"A32508"</definedName>
    <definedName name="FDD_49_6" hidden="1">"A32873"</definedName>
    <definedName name="FDD_49_7" hidden="1">"A33238"</definedName>
    <definedName name="FDD_49_8" hidden="1">"A33603"</definedName>
    <definedName name="FDD_49_9" hidden="1">"A33969"</definedName>
    <definedName name="FDD_5_0" hidden="1">"A25569"</definedName>
    <definedName name="FDD_50_0" hidden="1">"A30681"</definedName>
    <definedName name="FDD_50_1" hidden="1">"A31047"</definedName>
    <definedName name="FDD_50_10" hidden="1">"A34334"</definedName>
    <definedName name="FDD_50_11" hidden="1">"A34699"</definedName>
    <definedName name="FDD_50_12" hidden="1">"A35064"</definedName>
    <definedName name="FDD_50_13" hidden="1">"A35430"</definedName>
    <definedName name="FDD_50_14" hidden="1">"A35795"</definedName>
    <definedName name="FDD_50_2" hidden="1">"A31412"</definedName>
    <definedName name="FDD_50_3" hidden="1">"A31777"</definedName>
    <definedName name="FDD_50_4" hidden="1">"A32142"</definedName>
    <definedName name="FDD_50_5" hidden="1">"A32508"</definedName>
    <definedName name="FDD_50_6" hidden="1">"A32873"</definedName>
    <definedName name="FDD_50_7" hidden="1">"A33238"</definedName>
    <definedName name="FDD_50_8" hidden="1">"A33603"</definedName>
    <definedName name="FDD_50_9" hidden="1">"A33969"</definedName>
    <definedName name="FDD_51_0" hidden="1">"A30681"</definedName>
    <definedName name="FDD_51_1" hidden="1">"A31047"</definedName>
    <definedName name="FDD_51_10" hidden="1">"A34334"</definedName>
    <definedName name="FDD_51_11" hidden="1">"A34699"</definedName>
    <definedName name="FDD_51_12" hidden="1">"A35064"</definedName>
    <definedName name="FDD_51_13" hidden="1">"A35430"</definedName>
    <definedName name="FDD_51_14" hidden="1">"A35795"</definedName>
    <definedName name="FDD_51_2" hidden="1">"A31412"</definedName>
    <definedName name="FDD_51_3" hidden="1">"A31777"</definedName>
    <definedName name="FDD_51_4" hidden="1">"A32142"</definedName>
    <definedName name="FDD_51_5" hidden="1">"A32508"</definedName>
    <definedName name="FDD_51_6" hidden="1">"A32873"</definedName>
    <definedName name="FDD_51_7" hidden="1">"A33238"</definedName>
    <definedName name="FDD_51_8" hidden="1">"A33603"</definedName>
    <definedName name="FDD_51_9" hidden="1">"A33969"</definedName>
    <definedName name="FDD_52_0" hidden="1">"A30681"</definedName>
    <definedName name="FDD_52_1" hidden="1">"A31047"</definedName>
    <definedName name="FDD_52_10" hidden="1">"A34334"</definedName>
    <definedName name="FDD_52_11" hidden="1">"A34699"</definedName>
    <definedName name="FDD_52_12" hidden="1">"A35064"</definedName>
    <definedName name="FDD_52_13" hidden="1">"A35430"</definedName>
    <definedName name="FDD_52_14" hidden="1">"A35795"</definedName>
    <definedName name="FDD_52_2" hidden="1">"A31412"</definedName>
    <definedName name="FDD_52_3" hidden="1">"A31777"</definedName>
    <definedName name="FDD_52_4" hidden="1">"A32142"</definedName>
    <definedName name="FDD_52_5" hidden="1">"A32508"</definedName>
    <definedName name="FDD_52_6" hidden="1">"A32873"</definedName>
    <definedName name="FDD_52_7" hidden="1">"A33238"</definedName>
    <definedName name="FDD_52_8" hidden="1">"A33603"</definedName>
    <definedName name="FDD_52_9" hidden="1">"A33969"</definedName>
    <definedName name="FDD_53_0" hidden="1">"U30681"</definedName>
    <definedName name="FDD_53_1" hidden="1">"A31047"</definedName>
    <definedName name="FDD_53_10" hidden="1">"A34334"</definedName>
    <definedName name="FDD_53_11" hidden="1">"A34699"</definedName>
    <definedName name="FDD_53_12" hidden="1">"A35064"</definedName>
    <definedName name="FDD_53_13" hidden="1">"A35430"</definedName>
    <definedName name="FDD_53_14" hidden="1">"A35795"</definedName>
    <definedName name="FDD_53_2" hidden="1">"A31412"</definedName>
    <definedName name="FDD_53_3" hidden="1">"A31777"</definedName>
    <definedName name="FDD_53_4" hidden="1">"A32142"</definedName>
    <definedName name="FDD_53_5" hidden="1">"A32508"</definedName>
    <definedName name="FDD_53_6" hidden="1">"A32873"</definedName>
    <definedName name="FDD_53_7" hidden="1">"A33238"</definedName>
    <definedName name="FDD_53_8" hidden="1">"A33603"</definedName>
    <definedName name="FDD_53_9" hidden="1">"A33969"</definedName>
    <definedName name="FDD_54_0" hidden="1">"A30681"</definedName>
    <definedName name="FDD_54_1" hidden="1">"A31047"</definedName>
    <definedName name="FDD_54_10" hidden="1">"A34334"</definedName>
    <definedName name="FDD_54_11" hidden="1">"A34699"</definedName>
    <definedName name="FDD_54_12" hidden="1">"A35064"</definedName>
    <definedName name="FDD_54_13" hidden="1">"A35430"</definedName>
    <definedName name="FDD_54_14" hidden="1">"A35795"</definedName>
    <definedName name="FDD_54_2" hidden="1">"A31412"</definedName>
    <definedName name="FDD_54_3" hidden="1">"A31777"</definedName>
    <definedName name="FDD_54_4" hidden="1">"A32142"</definedName>
    <definedName name="FDD_54_5" hidden="1">"A32508"</definedName>
    <definedName name="FDD_54_6" hidden="1">"A32873"</definedName>
    <definedName name="FDD_54_7" hidden="1">"A33238"</definedName>
    <definedName name="FDD_54_8" hidden="1">"A33603"</definedName>
    <definedName name="FDD_54_9" hidden="1">"A33969"</definedName>
    <definedName name="FDD_55_0" hidden="1">"A30681"</definedName>
    <definedName name="FDD_55_1" hidden="1">"A31047"</definedName>
    <definedName name="FDD_55_10" hidden="1">"A34334"</definedName>
    <definedName name="FDD_55_11" hidden="1">"A34699"</definedName>
    <definedName name="FDD_55_12" hidden="1">"A35064"</definedName>
    <definedName name="FDD_55_13" hidden="1">"A35430"</definedName>
    <definedName name="FDD_55_14" hidden="1">"A35795"</definedName>
    <definedName name="FDD_55_2" hidden="1">"A31412"</definedName>
    <definedName name="FDD_55_3" hidden="1">"A31777"</definedName>
    <definedName name="FDD_55_4" hidden="1">"A32142"</definedName>
    <definedName name="FDD_55_5" hidden="1">"A32508"</definedName>
    <definedName name="FDD_55_6" hidden="1">"A32873"</definedName>
    <definedName name="FDD_55_7" hidden="1">"A33238"</definedName>
    <definedName name="FDD_55_8" hidden="1">"A33603"</definedName>
    <definedName name="FDD_55_9" hidden="1">"A33969"</definedName>
    <definedName name="FDD_56_0" hidden="1">"A30681"</definedName>
    <definedName name="FDD_56_1" hidden="1">"A31047"</definedName>
    <definedName name="FDD_56_10" hidden="1">"A34334"</definedName>
    <definedName name="FDD_56_11" hidden="1">"A34699"</definedName>
    <definedName name="FDD_56_12" hidden="1">"A35064"</definedName>
    <definedName name="FDD_56_13" hidden="1">"A35430"</definedName>
    <definedName name="FDD_56_14" hidden="1">"A35795"</definedName>
    <definedName name="FDD_56_2" hidden="1">"A31412"</definedName>
    <definedName name="FDD_56_3" hidden="1">"A31777"</definedName>
    <definedName name="FDD_56_4" hidden="1">"A32142"</definedName>
    <definedName name="FDD_56_5" hidden="1">"A32508"</definedName>
    <definedName name="FDD_56_6" hidden="1">"A32873"</definedName>
    <definedName name="FDD_56_7" hidden="1">"A33238"</definedName>
    <definedName name="FDD_56_8" hidden="1">"A33603"</definedName>
    <definedName name="FDD_56_9" hidden="1">"A33969"</definedName>
    <definedName name="FDD_57_0" hidden="1">"A30681"</definedName>
    <definedName name="FDD_57_1" hidden="1">"A31047"</definedName>
    <definedName name="FDD_57_10" hidden="1">"A34334"</definedName>
    <definedName name="FDD_57_11" hidden="1">"A34699"</definedName>
    <definedName name="FDD_57_12" hidden="1">"A35064"</definedName>
    <definedName name="FDD_57_13" hidden="1">"A35430"</definedName>
    <definedName name="FDD_57_14" hidden="1">"A35795"</definedName>
    <definedName name="FDD_57_2" hidden="1">"A31412"</definedName>
    <definedName name="FDD_57_3" hidden="1">"A31777"</definedName>
    <definedName name="FDD_57_4" hidden="1">"A32142"</definedName>
    <definedName name="FDD_57_5" hidden="1">"A32508"</definedName>
    <definedName name="FDD_57_6" hidden="1">"A32873"</definedName>
    <definedName name="FDD_57_7" hidden="1">"A33238"</definedName>
    <definedName name="FDD_57_8" hidden="1">"A33603"</definedName>
    <definedName name="FDD_57_9" hidden="1">"A33969"</definedName>
    <definedName name="FDD_58_0" hidden="1">"A30681"</definedName>
    <definedName name="FDD_58_1" hidden="1">"A31047"</definedName>
    <definedName name="FDD_58_10" hidden="1">"A34334"</definedName>
    <definedName name="FDD_58_11" hidden="1">"A34699"</definedName>
    <definedName name="FDD_58_12" hidden="1">"A35064"</definedName>
    <definedName name="FDD_58_13" hidden="1">"A35430"</definedName>
    <definedName name="FDD_58_14" hidden="1">"A35795"</definedName>
    <definedName name="FDD_58_2" hidden="1">"A31412"</definedName>
    <definedName name="FDD_58_3" hidden="1">"A31777"</definedName>
    <definedName name="FDD_58_4" hidden="1">"A32142"</definedName>
    <definedName name="FDD_58_5" hidden="1">"A32508"</definedName>
    <definedName name="FDD_58_6" hidden="1">"A32873"</definedName>
    <definedName name="FDD_58_7" hidden="1">"A33238"</definedName>
    <definedName name="FDD_58_8" hidden="1">"A33603"</definedName>
    <definedName name="FDD_58_9" hidden="1">"A33969"</definedName>
    <definedName name="FDD_59_0" hidden="1">"A30681"</definedName>
    <definedName name="FDD_59_1" hidden="1">"A31047"</definedName>
    <definedName name="FDD_59_10" hidden="1">"A34334"</definedName>
    <definedName name="FDD_59_11" hidden="1">"A34699"</definedName>
    <definedName name="FDD_59_12" hidden="1">"A35064"</definedName>
    <definedName name="FDD_59_13" hidden="1">"A35430"</definedName>
    <definedName name="FDD_59_14" hidden="1">"A35795"</definedName>
    <definedName name="FDD_59_2" hidden="1">"A31412"</definedName>
    <definedName name="FDD_59_3" hidden="1">"A31777"</definedName>
    <definedName name="FDD_59_4" hidden="1">"A32142"</definedName>
    <definedName name="FDD_59_5" hidden="1">"A32508"</definedName>
    <definedName name="FDD_59_6" hidden="1">"A32873"</definedName>
    <definedName name="FDD_59_7" hidden="1">"A33238"</definedName>
    <definedName name="FDD_59_8" hidden="1">"A33603"</definedName>
    <definedName name="FDD_59_9" hidden="1">"A33969"</definedName>
    <definedName name="FDD_6_0" hidden="1">"A25569"</definedName>
    <definedName name="FDD_60_0" hidden="1">"A30681"</definedName>
    <definedName name="FDD_60_1" hidden="1">"A31047"</definedName>
    <definedName name="FDD_60_10" hidden="1">"A34334"</definedName>
    <definedName name="FDD_60_11" hidden="1">"A34699"</definedName>
    <definedName name="FDD_60_12" hidden="1">"A35064"</definedName>
    <definedName name="FDD_60_13" hidden="1">"A35430"</definedName>
    <definedName name="FDD_60_14" hidden="1">"A35795"</definedName>
    <definedName name="FDD_60_2" hidden="1">"A31412"</definedName>
    <definedName name="FDD_60_3" hidden="1">"A31777"</definedName>
    <definedName name="FDD_60_4" hidden="1">"A32142"</definedName>
    <definedName name="FDD_60_5" hidden="1">"A32508"</definedName>
    <definedName name="FDD_60_6" hidden="1">"A32873"</definedName>
    <definedName name="FDD_60_7" hidden="1">"A33238"</definedName>
    <definedName name="FDD_60_8" hidden="1">"A33603"</definedName>
    <definedName name="FDD_60_9" hidden="1">"A33969"</definedName>
    <definedName name="FDD_61_0" hidden="1">"A30681"</definedName>
    <definedName name="FDD_61_1" hidden="1">"A31047"</definedName>
    <definedName name="FDD_61_10" hidden="1">"A34334"</definedName>
    <definedName name="FDD_61_11" hidden="1">"A34699"</definedName>
    <definedName name="FDD_61_12" hidden="1">"A35064"</definedName>
    <definedName name="FDD_61_13" hidden="1">"A35430"</definedName>
    <definedName name="FDD_61_14" hidden="1">"A35795"</definedName>
    <definedName name="FDD_61_2" hidden="1">"A31412"</definedName>
    <definedName name="FDD_61_3" hidden="1">"A31777"</definedName>
    <definedName name="FDD_61_4" hidden="1">"A32142"</definedName>
    <definedName name="FDD_61_5" hidden="1">"A32508"</definedName>
    <definedName name="FDD_61_6" hidden="1">"A32873"</definedName>
    <definedName name="FDD_61_7" hidden="1">"A33238"</definedName>
    <definedName name="FDD_61_8" hidden="1">"A33603"</definedName>
    <definedName name="FDD_61_9" hidden="1">"A33969"</definedName>
    <definedName name="FDD_62_0" hidden="1">"A30681"</definedName>
    <definedName name="FDD_62_1" hidden="1">"A31047"</definedName>
    <definedName name="FDD_62_10" hidden="1">"A34334"</definedName>
    <definedName name="FDD_62_11" hidden="1">"A34699"</definedName>
    <definedName name="FDD_62_12" hidden="1">"A35064"</definedName>
    <definedName name="FDD_62_13" hidden="1">"A35430"</definedName>
    <definedName name="FDD_62_14" hidden="1">"A35795"</definedName>
    <definedName name="FDD_62_2" hidden="1">"A31412"</definedName>
    <definedName name="FDD_62_3" hidden="1">"A31777"</definedName>
    <definedName name="FDD_62_4" hidden="1">"A32142"</definedName>
    <definedName name="FDD_62_5" hidden="1">"A32508"</definedName>
    <definedName name="FDD_62_6" hidden="1">"A32873"</definedName>
    <definedName name="FDD_62_7" hidden="1">"A33238"</definedName>
    <definedName name="FDD_62_8" hidden="1">"A33603"</definedName>
    <definedName name="FDD_62_9" hidden="1">"A33969"</definedName>
    <definedName name="FDD_63_0" hidden="1">"A30681"</definedName>
    <definedName name="FDD_63_1" hidden="1">"A31047"</definedName>
    <definedName name="FDD_63_10" hidden="1">"A34334"</definedName>
    <definedName name="FDD_63_11" hidden="1">"A34699"</definedName>
    <definedName name="FDD_63_12" hidden="1">"A35064"</definedName>
    <definedName name="FDD_63_13" hidden="1">"A35430"</definedName>
    <definedName name="FDD_63_14" hidden="1">"A35795"</definedName>
    <definedName name="FDD_63_2" hidden="1">"A31412"</definedName>
    <definedName name="FDD_63_3" hidden="1">"A31777"</definedName>
    <definedName name="FDD_63_4" hidden="1">"A32142"</definedName>
    <definedName name="FDD_63_5" hidden="1">"A32508"</definedName>
    <definedName name="FDD_63_6" hidden="1">"A32873"</definedName>
    <definedName name="FDD_63_7" hidden="1">"A33238"</definedName>
    <definedName name="FDD_63_8" hidden="1">"A33603"</definedName>
    <definedName name="FDD_63_9" hidden="1">"A33969"</definedName>
    <definedName name="FDD_64_0" hidden="1">"A30681"</definedName>
    <definedName name="FDD_64_1" hidden="1">"A31047"</definedName>
    <definedName name="FDD_64_10" hidden="1">"A34334"</definedName>
    <definedName name="FDD_64_11" hidden="1">"A34699"</definedName>
    <definedName name="FDD_64_12" hidden="1">"A35064"</definedName>
    <definedName name="FDD_64_13" hidden="1">"A35430"</definedName>
    <definedName name="FDD_64_14" hidden="1">"A35795"</definedName>
    <definedName name="FDD_64_2" hidden="1">"A31412"</definedName>
    <definedName name="FDD_64_3" hidden="1">"A31777"</definedName>
    <definedName name="FDD_64_4" hidden="1">"A32142"</definedName>
    <definedName name="FDD_64_5" hidden="1">"A32508"</definedName>
    <definedName name="FDD_64_6" hidden="1">"A32873"</definedName>
    <definedName name="FDD_64_7" hidden="1">"A33238"</definedName>
    <definedName name="FDD_64_8" hidden="1">"A33603"</definedName>
    <definedName name="FDD_64_9" hidden="1">"A33969"</definedName>
    <definedName name="FDD_65_0" hidden="1">"A30681"</definedName>
    <definedName name="FDD_65_1" hidden="1">"A31047"</definedName>
    <definedName name="FDD_65_10" hidden="1">"A34334"</definedName>
    <definedName name="FDD_65_11" hidden="1">"A34699"</definedName>
    <definedName name="FDD_65_12" hidden="1">"A35064"</definedName>
    <definedName name="FDD_65_13" hidden="1">"A35430"</definedName>
    <definedName name="FDD_65_14" hidden="1">"A35795"</definedName>
    <definedName name="FDD_65_2" hidden="1">"A31412"</definedName>
    <definedName name="FDD_65_3" hidden="1">"A31777"</definedName>
    <definedName name="FDD_65_4" hidden="1">"A32142"</definedName>
    <definedName name="FDD_65_5" hidden="1">"A32508"</definedName>
    <definedName name="FDD_65_6" hidden="1">"A32873"</definedName>
    <definedName name="FDD_65_7" hidden="1">"A33238"</definedName>
    <definedName name="FDD_65_8" hidden="1">"A33603"</definedName>
    <definedName name="FDD_65_9" hidden="1">"A33969"</definedName>
    <definedName name="FDD_66_0" hidden="1">"A30681"</definedName>
    <definedName name="FDD_66_1" hidden="1">"A31047"</definedName>
    <definedName name="FDD_66_10" hidden="1">"A34334"</definedName>
    <definedName name="FDD_66_11" hidden="1">"A34699"</definedName>
    <definedName name="FDD_66_12" hidden="1">"A35064"</definedName>
    <definedName name="FDD_66_13" hidden="1">"A35430"</definedName>
    <definedName name="FDD_66_14" hidden="1">"A35795"</definedName>
    <definedName name="FDD_66_2" hidden="1">"A31412"</definedName>
    <definedName name="FDD_66_3" hidden="1">"A31777"</definedName>
    <definedName name="FDD_66_4" hidden="1">"A32142"</definedName>
    <definedName name="FDD_66_5" hidden="1">"A32508"</definedName>
    <definedName name="FDD_66_6" hidden="1">"A32873"</definedName>
    <definedName name="FDD_66_7" hidden="1">"A33238"</definedName>
    <definedName name="FDD_66_8" hidden="1">"A33603"</definedName>
    <definedName name="FDD_66_9" hidden="1">"A33969"</definedName>
    <definedName name="FDD_67_0" hidden="1">"A30681"</definedName>
    <definedName name="FDD_67_1" hidden="1">"A31047"</definedName>
    <definedName name="FDD_67_10" hidden="1">"A34334"</definedName>
    <definedName name="FDD_67_11" hidden="1">"A34699"</definedName>
    <definedName name="FDD_67_12" hidden="1">"A35064"</definedName>
    <definedName name="FDD_67_13" hidden="1">"A35430"</definedName>
    <definedName name="FDD_67_14" hidden="1">"A35795"</definedName>
    <definedName name="FDD_67_2" hidden="1">"A31412"</definedName>
    <definedName name="FDD_67_3" hidden="1">"A31777"</definedName>
    <definedName name="FDD_67_4" hidden="1">"A32142"</definedName>
    <definedName name="FDD_67_5" hidden="1">"A32508"</definedName>
    <definedName name="FDD_67_6" hidden="1">"A32873"</definedName>
    <definedName name="FDD_67_7" hidden="1">"A33238"</definedName>
    <definedName name="FDD_67_8" hidden="1">"A33603"</definedName>
    <definedName name="FDD_67_9" hidden="1">"A33969"</definedName>
    <definedName name="FDD_68_0" hidden="1">"A30681"</definedName>
    <definedName name="FDD_68_1" hidden="1">"A31047"</definedName>
    <definedName name="FDD_68_10" hidden="1">"A34334"</definedName>
    <definedName name="FDD_68_11" hidden="1">"A34699"</definedName>
    <definedName name="FDD_68_12" hidden="1">"A35064"</definedName>
    <definedName name="FDD_68_13" hidden="1">"A35430"</definedName>
    <definedName name="FDD_68_14" hidden="1">"A35795"</definedName>
    <definedName name="FDD_68_2" hidden="1">"A31412"</definedName>
    <definedName name="FDD_68_3" hidden="1">"A31777"</definedName>
    <definedName name="FDD_68_4" hidden="1">"A32142"</definedName>
    <definedName name="FDD_68_5" hidden="1">"A32508"</definedName>
    <definedName name="FDD_68_6" hidden="1">"A32873"</definedName>
    <definedName name="FDD_68_7" hidden="1">"A33238"</definedName>
    <definedName name="FDD_68_8" hidden="1">"A33603"</definedName>
    <definedName name="FDD_68_9" hidden="1">"A33969"</definedName>
    <definedName name="FDD_69_0" hidden="1">"U30681"</definedName>
    <definedName name="FDD_69_1" hidden="1">"A31047"</definedName>
    <definedName name="FDD_69_10" hidden="1">"A34334"</definedName>
    <definedName name="FDD_69_11" hidden="1">"A34699"</definedName>
    <definedName name="FDD_69_12" hidden="1">"A35064"</definedName>
    <definedName name="FDD_69_13" hidden="1">"A35430"</definedName>
    <definedName name="FDD_69_14" hidden="1">"A35795"</definedName>
    <definedName name="FDD_69_2" hidden="1">"A31412"</definedName>
    <definedName name="FDD_69_3" hidden="1">"A31777"</definedName>
    <definedName name="FDD_69_4" hidden="1">"A32142"</definedName>
    <definedName name="FDD_69_5" hidden="1">"A32508"</definedName>
    <definedName name="FDD_69_6" hidden="1">"A32873"</definedName>
    <definedName name="FDD_69_7" hidden="1">"A33238"</definedName>
    <definedName name="FDD_69_8" hidden="1">"A33603"</definedName>
    <definedName name="FDD_69_9" hidden="1">"A33969"</definedName>
    <definedName name="FDD_7_0" hidden="1">"A25569"</definedName>
    <definedName name="FDD_70_0" hidden="1">"A30681"</definedName>
    <definedName name="FDD_70_1" hidden="1">"A31047"</definedName>
    <definedName name="FDD_70_10" hidden="1">"A34334"</definedName>
    <definedName name="FDD_70_11" hidden="1">"A34699"</definedName>
    <definedName name="FDD_70_12" hidden="1">"A35064"</definedName>
    <definedName name="FDD_70_13" hidden="1">"A35430"</definedName>
    <definedName name="FDD_70_14" hidden="1">"A35795"</definedName>
    <definedName name="FDD_70_2" hidden="1">"A31412"</definedName>
    <definedName name="FDD_70_3" hidden="1">"A31777"</definedName>
    <definedName name="FDD_70_4" hidden="1">"A32142"</definedName>
    <definedName name="FDD_70_5" hidden="1">"A32508"</definedName>
    <definedName name="FDD_70_6" hidden="1">"A32873"</definedName>
    <definedName name="FDD_70_7" hidden="1">"A33238"</definedName>
    <definedName name="FDD_70_8" hidden="1">"A33603"</definedName>
    <definedName name="FDD_70_9" hidden="1">"A33969"</definedName>
    <definedName name="FDD_71_0" hidden="1">"A30681"</definedName>
    <definedName name="FDD_71_1" hidden="1">"A31047"</definedName>
    <definedName name="FDD_71_10" hidden="1">"A34334"</definedName>
    <definedName name="FDD_71_11" hidden="1">"A34699"</definedName>
    <definedName name="FDD_71_12" hidden="1">"A35064"</definedName>
    <definedName name="FDD_71_13" hidden="1">"A35430"</definedName>
    <definedName name="FDD_71_14" hidden="1">"A35795"</definedName>
    <definedName name="FDD_71_2" hidden="1">"A31412"</definedName>
    <definedName name="FDD_71_3" hidden="1">"A31777"</definedName>
    <definedName name="FDD_71_4" hidden="1">"A32142"</definedName>
    <definedName name="FDD_71_5" hidden="1">"A32508"</definedName>
    <definedName name="FDD_71_6" hidden="1">"A32873"</definedName>
    <definedName name="FDD_71_7" hidden="1">"A33238"</definedName>
    <definedName name="FDD_71_8" hidden="1">"A33603"</definedName>
    <definedName name="FDD_71_9" hidden="1">"A33969"</definedName>
    <definedName name="FDD_72_0" hidden="1">"A30681"</definedName>
    <definedName name="FDD_72_1" hidden="1">"A31047"</definedName>
    <definedName name="FDD_72_10" hidden="1">"A34334"</definedName>
    <definedName name="FDD_72_11" hidden="1">"A34699"</definedName>
    <definedName name="FDD_72_12" hidden="1">"A35064"</definedName>
    <definedName name="FDD_72_13" hidden="1">"A35430"</definedName>
    <definedName name="FDD_72_14" hidden="1">"A35795"</definedName>
    <definedName name="FDD_72_2" hidden="1">"A31412"</definedName>
    <definedName name="FDD_72_3" hidden="1">"A31777"</definedName>
    <definedName name="FDD_72_4" hidden="1">"A32142"</definedName>
    <definedName name="FDD_72_5" hidden="1">"A32508"</definedName>
    <definedName name="FDD_72_6" hidden="1">"A32873"</definedName>
    <definedName name="FDD_72_7" hidden="1">"A33238"</definedName>
    <definedName name="FDD_72_8" hidden="1">"A33603"</definedName>
    <definedName name="FDD_72_9" hidden="1">"A33969"</definedName>
    <definedName name="FDD_73_0" hidden="1">"A30681"</definedName>
    <definedName name="FDD_73_1" hidden="1">"A31047"</definedName>
    <definedName name="FDD_73_10" hidden="1">"A34334"</definedName>
    <definedName name="FDD_73_11" hidden="1">"A34699"</definedName>
    <definedName name="FDD_73_12" hidden="1">"A35064"</definedName>
    <definedName name="FDD_73_13" hidden="1">"A35430"</definedName>
    <definedName name="FDD_73_14" hidden="1">"A35795"</definedName>
    <definedName name="FDD_73_2" hidden="1">"A31412"</definedName>
    <definedName name="FDD_73_3" hidden="1">"A31777"</definedName>
    <definedName name="FDD_73_4" hidden="1">"A32142"</definedName>
    <definedName name="FDD_73_5" hidden="1">"A32508"</definedName>
    <definedName name="FDD_73_6" hidden="1">"A32873"</definedName>
    <definedName name="FDD_73_7" hidden="1">"A33238"</definedName>
    <definedName name="FDD_73_8" hidden="1">"A33603"</definedName>
    <definedName name="FDD_73_9" hidden="1">"A33969"</definedName>
    <definedName name="FDD_74_0" hidden="1">"A30681"</definedName>
    <definedName name="FDD_74_1" hidden="1">"A31047"</definedName>
    <definedName name="FDD_74_10" hidden="1">"A34334"</definedName>
    <definedName name="FDD_74_11" hidden="1">"A34699"</definedName>
    <definedName name="FDD_74_12" hidden="1">"A35064"</definedName>
    <definedName name="FDD_74_13" hidden="1">"A35430"</definedName>
    <definedName name="FDD_74_14" hidden="1">"A35795"</definedName>
    <definedName name="FDD_74_2" hidden="1">"A31412"</definedName>
    <definedName name="FDD_74_3" hidden="1">"A31777"</definedName>
    <definedName name="FDD_74_4" hidden="1">"A32142"</definedName>
    <definedName name="FDD_74_5" hidden="1">"A32508"</definedName>
    <definedName name="FDD_74_6" hidden="1">"A32873"</definedName>
    <definedName name="FDD_74_7" hidden="1">"A33238"</definedName>
    <definedName name="FDD_74_8" hidden="1">"A33603"</definedName>
    <definedName name="FDD_74_9" hidden="1">"A33969"</definedName>
    <definedName name="FDD_75_0" hidden="1">"A30681"</definedName>
    <definedName name="FDD_75_1" hidden="1">"A31047"</definedName>
    <definedName name="FDD_75_10" hidden="1">"A34334"</definedName>
    <definedName name="FDD_75_11" hidden="1">"A34699"</definedName>
    <definedName name="FDD_75_12" hidden="1">"A35064"</definedName>
    <definedName name="FDD_75_13" hidden="1">"A35430"</definedName>
    <definedName name="FDD_75_14" hidden="1">"A35795"</definedName>
    <definedName name="FDD_75_2" hidden="1">"A31412"</definedName>
    <definedName name="FDD_75_3" hidden="1">"A31777"</definedName>
    <definedName name="FDD_75_4" hidden="1">"A32142"</definedName>
    <definedName name="FDD_75_5" hidden="1">"A32508"</definedName>
    <definedName name="FDD_75_6" hidden="1">"A32873"</definedName>
    <definedName name="FDD_75_7" hidden="1">"A33238"</definedName>
    <definedName name="FDD_75_8" hidden="1">"A33603"</definedName>
    <definedName name="FDD_75_9" hidden="1">"A33969"</definedName>
    <definedName name="FDD_76_0" hidden="1">"A30681"</definedName>
    <definedName name="FDD_76_1" hidden="1">"A31047"</definedName>
    <definedName name="FDD_76_10" hidden="1">"A34334"</definedName>
    <definedName name="FDD_76_11" hidden="1">"A34699"</definedName>
    <definedName name="FDD_76_12" hidden="1">"A35064"</definedName>
    <definedName name="FDD_76_13" hidden="1">"A35430"</definedName>
    <definedName name="FDD_76_14" hidden="1">"A35795"</definedName>
    <definedName name="FDD_76_2" hidden="1">"A31412"</definedName>
    <definedName name="FDD_76_3" hidden="1">"A31777"</definedName>
    <definedName name="FDD_76_4" hidden="1">"A32142"</definedName>
    <definedName name="FDD_76_5" hidden="1">"A32508"</definedName>
    <definedName name="FDD_76_6" hidden="1">"A32873"</definedName>
    <definedName name="FDD_76_7" hidden="1">"A33238"</definedName>
    <definedName name="FDD_76_8" hidden="1">"A33603"</definedName>
    <definedName name="FDD_76_9" hidden="1">"A33969"</definedName>
    <definedName name="FDD_77_0" hidden="1">"A30681"</definedName>
    <definedName name="FDD_77_1" hidden="1">"A31047"</definedName>
    <definedName name="FDD_77_10" hidden="1">"A34334"</definedName>
    <definedName name="FDD_77_11" hidden="1">"A34699"</definedName>
    <definedName name="FDD_77_12" hidden="1">"A35064"</definedName>
    <definedName name="FDD_77_13" hidden="1">"A35430"</definedName>
    <definedName name="FDD_77_14" hidden="1">"A35795"</definedName>
    <definedName name="FDD_77_2" hidden="1">"A31412"</definedName>
    <definedName name="FDD_77_3" hidden="1">"A31777"</definedName>
    <definedName name="FDD_77_4" hidden="1">"A32142"</definedName>
    <definedName name="FDD_77_5" hidden="1">"A32508"</definedName>
    <definedName name="FDD_77_6" hidden="1">"A32873"</definedName>
    <definedName name="FDD_77_7" hidden="1">"A33238"</definedName>
    <definedName name="FDD_77_8" hidden="1">"A33603"</definedName>
    <definedName name="FDD_77_9" hidden="1">"A33969"</definedName>
    <definedName name="FDD_78_0" hidden="1">"A30681"</definedName>
    <definedName name="FDD_78_1" hidden="1">"A31047"</definedName>
    <definedName name="FDD_78_10" hidden="1">"A34334"</definedName>
    <definedName name="FDD_78_11" hidden="1">"A34699"</definedName>
    <definedName name="FDD_78_12" hidden="1">"A35064"</definedName>
    <definedName name="FDD_78_13" hidden="1">"A35430"</definedName>
    <definedName name="FDD_78_14" hidden="1">"A35795"</definedName>
    <definedName name="FDD_78_2" hidden="1">"A31412"</definedName>
    <definedName name="FDD_78_3" hidden="1">"A31777"</definedName>
    <definedName name="FDD_78_4" hidden="1">"A32142"</definedName>
    <definedName name="FDD_78_5" hidden="1">"A32508"</definedName>
    <definedName name="FDD_78_6" hidden="1">"A32873"</definedName>
    <definedName name="FDD_78_7" hidden="1">"A33238"</definedName>
    <definedName name="FDD_78_8" hidden="1">"A33603"</definedName>
    <definedName name="FDD_78_9" hidden="1">"A33969"</definedName>
    <definedName name="FDD_79_0" hidden="1">"A30681"</definedName>
    <definedName name="FDD_79_1" hidden="1">"A31047"</definedName>
    <definedName name="FDD_79_10" hidden="1">"A34334"</definedName>
    <definedName name="FDD_79_11" hidden="1">"A34699"</definedName>
    <definedName name="FDD_79_12" hidden="1">"A35064"</definedName>
    <definedName name="FDD_79_13" hidden="1">"A35430"</definedName>
    <definedName name="FDD_79_14" hidden="1">"A35795"</definedName>
    <definedName name="FDD_79_2" hidden="1">"A31412"</definedName>
    <definedName name="FDD_79_3" hidden="1">"A31777"</definedName>
    <definedName name="FDD_79_4" hidden="1">"A32142"</definedName>
    <definedName name="FDD_79_5" hidden="1">"A32508"</definedName>
    <definedName name="FDD_79_6" hidden="1">"A32873"</definedName>
    <definedName name="FDD_79_7" hidden="1">"A33238"</definedName>
    <definedName name="FDD_79_8" hidden="1">"A33603"</definedName>
    <definedName name="FDD_79_9" hidden="1">"A33969"</definedName>
    <definedName name="FDD_8_0" hidden="1">"A25569"</definedName>
    <definedName name="FDD_80_0" hidden="1">"A30681"</definedName>
    <definedName name="FDD_80_1" hidden="1">"A31047"</definedName>
    <definedName name="FDD_80_10" hidden="1">"A34334"</definedName>
    <definedName name="FDD_80_11" hidden="1">"A34699"</definedName>
    <definedName name="FDD_80_12" hidden="1">"A35064"</definedName>
    <definedName name="FDD_80_13" hidden="1">"A35430"</definedName>
    <definedName name="FDD_80_14" hidden="1">"A35795"</definedName>
    <definedName name="FDD_80_2" hidden="1">"A31412"</definedName>
    <definedName name="FDD_80_3" hidden="1">"A31777"</definedName>
    <definedName name="FDD_80_4" hidden="1">"A32142"</definedName>
    <definedName name="FDD_80_5" hidden="1">"A32508"</definedName>
    <definedName name="FDD_80_6" hidden="1">"A32873"</definedName>
    <definedName name="FDD_80_7" hidden="1">"A33238"</definedName>
    <definedName name="FDD_80_8" hidden="1">"A33603"</definedName>
    <definedName name="FDD_80_9" hidden="1">"A33969"</definedName>
    <definedName name="FDD_81_0" hidden="1">"A30681"</definedName>
    <definedName name="FDD_81_1" hidden="1">"A31047"</definedName>
    <definedName name="FDD_81_10" hidden="1">"A34334"</definedName>
    <definedName name="FDD_81_11" hidden="1">"A34699"</definedName>
    <definedName name="FDD_81_12" hidden="1">"A35064"</definedName>
    <definedName name="FDD_81_13" hidden="1">"A35430"</definedName>
    <definedName name="FDD_81_14" hidden="1">"A35795"</definedName>
    <definedName name="FDD_81_2" hidden="1">"A31412"</definedName>
    <definedName name="FDD_81_3" hidden="1">"A31777"</definedName>
    <definedName name="FDD_81_4" hidden="1">"A32142"</definedName>
    <definedName name="FDD_81_5" hidden="1">"A32508"</definedName>
    <definedName name="FDD_81_6" hidden="1">"A32873"</definedName>
    <definedName name="FDD_81_7" hidden="1">"A33238"</definedName>
    <definedName name="FDD_81_8" hidden="1">"A33603"</definedName>
    <definedName name="FDD_81_9" hidden="1">"A33969"</definedName>
    <definedName name="FDD_82_0" hidden="1">"A30681"</definedName>
    <definedName name="FDD_82_1" hidden="1">"A31047"</definedName>
    <definedName name="FDD_82_10" hidden="1">"A34334"</definedName>
    <definedName name="FDD_82_11" hidden="1">"A34699"</definedName>
    <definedName name="FDD_82_12" hidden="1">"A35064"</definedName>
    <definedName name="FDD_82_13" hidden="1">"A35430"</definedName>
    <definedName name="FDD_82_14" hidden="1">"A35795"</definedName>
    <definedName name="FDD_82_2" hidden="1">"A31412"</definedName>
    <definedName name="FDD_82_3" hidden="1">"A31777"</definedName>
    <definedName name="FDD_82_4" hidden="1">"A32142"</definedName>
    <definedName name="FDD_82_5" hidden="1">"A32508"</definedName>
    <definedName name="FDD_82_6" hidden="1">"A32873"</definedName>
    <definedName name="FDD_82_7" hidden="1">"A33238"</definedName>
    <definedName name="FDD_82_8" hidden="1">"A33603"</definedName>
    <definedName name="FDD_82_9" hidden="1">"A33969"</definedName>
    <definedName name="FDD_83_0" hidden="1">"A30681"</definedName>
    <definedName name="FDD_83_1" hidden="1">"A31047"</definedName>
    <definedName name="FDD_83_10" hidden="1">"A34334"</definedName>
    <definedName name="FDD_83_11" hidden="1">"A34699"</definedName>
    <definedName name="FDD_83_12" hidden="1">"A35064"</definedName>
    <definedName name="FDD_83_13" hidden="1">"A35430"</definedName>
    <definedName name="FDD_83_14" hidden="1">"A35795"</definedName>
    <definedName name="FDD_83_2" hidden="1">"A31412"</definedName>
    <definedName name="FDD_83_3" hidden="1">"A31777"</definedName>
    <definedName name="FDD_83_4" hidden="1">"A32142"</definedName>
    <definedName name="FDD_83_5" hidden="1">"A32508"</definedName>
    <definedName name="FDD_83_6" hidden="1">"A32873"</definedName>
    <definedName name="FDD_83_7" hidden="1">"A33238"</definedName>
    <definedName name="FDD_83_8" hidden="1">"A33603"</definedName>
    <definedName name="FDD_83_9" hidden="1">"A33969"</definedName>
    <definedName name="FDD_84_0" hidden="1">"A30681"</definedName>
    <definedName name="FDD_84_1" hidden="1">"A31047"</definedName>
    <definedName name="FDD_84_10" hidden="1">"A34334"</definedName>
    <definedName name="FDD_84_11" hidden="1">"A34699"</definedName>
    <definedName name="FDD_84_12" hidden="1">"A35064"</definedName>
    <definedName name="FDD_84_13" hidden="1">"A35430"</definedName>
    <definedName name="FDD_84_14" hidden="1">"A35795"</definedName>
    <definedName name="FDD_84_2" hidden="1">"A31412"</definedName>
    <definedName name="FDD_84_3" hidden="1">"A31777"</definedName>
    <definedName name="FDD_84_4" hidden="1">"A32142"</definedName>
    <definedName name="FDD_84_5" hidden="1">"A32508"</definedName>
    <definedName name="FDD_84_6" hidden="1">"A32873"</definedName>
    <definedName name="FDD_84_7" hidden="1">"A33238"</definedName>
    <definedName name="FDD_84_8" hidden="1">"A33603"</definedName>
    <definedName name="FDD_84_9" hidden="1">"A33969"</definedName>
    <definedName name="FDD_85_0" hidden="1">"A30681"</definedName>
    <definedName name="FDD_85_1" hidden="1">"A31047"</definedName>
    <definedName name="FDD_85_10" hidden="1">"A34334"</definedName>
    <definedName name="FDD_85_11" hidden="1">"A34699"</definedName>
    <definedName name="FDD_85_12" hidden="1">"A35064"</definedName>
    <definedName name="FDD_85_13" hidden="1">"A35430"</definedName>
    <definedName name="FDD_85_14" hidden="1">"A35795"</definedName>
    <definedName name="FDD_85_2" hidden="1">"A31412"</definedName>
    <definedName name="FDD_85_3" hidden="1">"A31777"</definedName>
    <definedName name="FDD_85_4" hidden="1">"A32142"</definedName>
    <definedName name="FDD_85_5" hidden="1">"A32508"</definedName>
    <definedName name="FDD_85_6" hidden="1">"A32873"</definedName>
    <definedName name="FDD_85_7" hidden="1">"A33238"</definedName>
    <definedName name="FDD_85_8" hidden="1">"A33603"</definedName>
    <definedName name="FDD_85_9" hidden="1">"A33969"</definedName>
    <definedName name="FDD_86_0" hidden="1">"A30681"</definedName>
    <definedName name="FDD_86_1" hidden="1">"A31047"</definedName>
    <definedName name="FDD_86_10" hidden="1">"A34334"</definedName>
    <definedName name="FDD_86_11" hidden="1">"A34699"</definedName>
    <definedName name="FDD_86_12" hidden="1">"A35064"</definedName>
    <definedName name="FDD_86_13" hidden="1">"A35430"</definedName>
    <definedName name="FDD_86_14" hidden="1">"A35795"</definedName>
    <definedName name="FDD_86_2" hidden="1">"A31412"</definedName>
    <definedName name="FDD_86_3" hidden="1">"A31777"</definedName>
    <definedName name="FDD_86_4" hidden="1">"A32142"</definedName>
    <definedName name="FDD_86_5" hidden="1">"A32508"</definedName>
    <definedName name="FDD_86_6" hidden="1">"A32873"</definedName>
    <definedName name="FDD_86_7" hidden="1">"A33238"</definedName>
    <definedName name="FDD_86_8" hidden="1">"A33603"</definedName>
    <definedName name="FDD_86_9" hidden="1">"A33969"</definedName>
    <definedName name="FDD_87_0" hidden="1">"A30681"</definedName>
    <definedName name="FDD_87_1" hidden="1">"A31047"</definedName>
    <definedName name="FDD_87_10" hidden="1">"A34334"</definedName>
    <definedName name="FDD_87_11" hidden="1">"A34699"</definedName>
    <definedName name="FDD_87_12" hidden="1">"A35064"</definedName>
    <definedName name="FDD_87_13" hidden="1">"A35430"</definedName>
    <definedName name="FDD_87_14" hidden="1">"A35795"</definedName>
    <definedName name="FDD_87_2" hidden="1">"A31412"</definedName>
    <definedName name="FDD_87_3" hidden="1">"A31777"</definedName>
    <definedName name="FDD_87_4" hidden="1">"A32142"</definedName>
    <definedName name="FDD_87_5" hidden="1">"A32508"</definedName>
    <definedName name="FDD_87_6" hidden="1">"A32873"</definedName>
    <definedName name="FDD_87_7" hidden="1">"A33238"</definedName>
    <definedName name="FDD_87_8" hidden="1">"A33603"</definedName>
    <definedName name="FDD_87_9" hidden="1">"A33969"</definedName>
    <definedName name="FDD_88_0" hidden="1">"A30681"</definedName>
    <definedName name="FDD_88_1" hidden="1">"A31047"</definedName>
    <definedName name="FDD_88_10" hidden="1">"A34334"</definedName>
    <definedName name="FDD_88_11" hidden="1">"A34699"</definedName>
    <definedName name="FDD_88_12" hidden="1">"A35064"</definedName>
    <definedName name="FDD_88_13" hidden="1">"A35430"</definedName>
    <definedName name="FDD_88_14" hidden="1">"A35795"</definedName>
    <definedName name="FDD_88_2" hidden="1">"A31412"</definedName>
    <definedName name="FDD_88_3" hidden="1">"A31777"</definedName>
    <definedName name="FDD_88_4" hidden="1">"A32142"</definedName>
    <definedName name="FDD_88_5" hidden="1">"A32508"</definedName>
    <definedName name="FDD_88_6" hidden="1">"A32873"</definedName>
    <definedName name="FDD_88_7" hidden="1">"A33238"</definedName>
    <definedName name="FDD_88_8" hidden="1">"A33603"</definedName>
    <definedName name="FDD_88_9" hidden="1">"A33969"</definedName>
    <definedName name="FDD_89_0" hidden="1">"A30681"</definedName>
    <definedName name="FDD_89_1" hidden="1">"A31047"</definedName>
    <definedName name="FDD_89_10" hidden="1">"A34334"</definedName>
    <definedName name="FDD_89_11" hidden="1">"A34699"</definedName>
    <definedName name="FDD_89_12" hidden="1">"A35064"</definedName>
    <definedName name="FDD_89_13" hidden="1">"A35430"</definedName>
    <definedName name="FDD_89_14" hidden="1">"A35795"</definedName>
    <definedName name="FDD_89_2" hidden="1">"A31412"</definedName>
    <definedName name="FDD_89_3" hidden="1">"A31777"</definedName>
    <definedName name="FDD_89_4" hidden="1">"A32142"</definedName>
    <definedName name="FDD_89_5" hidden="1">"A32508"</definedName>
    <definedName name="FDD_89_6" hidden="1">"A32873"</definedName>
    <definedName name="FDD_89_7" hidden="1">"A33238"</definedName>
    <definedName name="FDD_89_8" hidden="1">"A33603"</definedName>
    <definedName name="FDD_89_9" hidden="1">"A33969"</definedName>
    <definedName name="FDD_9_0" hidden="1">"A25569"</definedName>
    <definedName name="FDD_90_0" hidden="1">"A30681"</definedName>
    <definedName name="FDD_90_1" hidden="1">"A31047"</definedName>
    <definedName name="FDD_90_10" hidden="1">"A34334"</definedName>
    <definedName name="FDD_90_11" hidden="1">"A34699"</definedName>
    <definedName name="FDD_90_12" hidden="1">"A35064"</definedName>
    <definedName name="FDD_90_13" hidden="1">"A35430"</definedName>
    <definedName name="FDD_90_14" hidden="1">"A35795"</definedName>
    <definedName name="FDD_90_2" hidden="1">"A31412"</definedName>
    <definedName name="FDD_90_3" hidden="1">"A31777"</definedName>
    <definedName name="FDD_90_4" hidden="1">"A32142"</definedName>
    <definedName name="FDD_90_5" hidden="1">"A32508"</definedName>
    <definedName name="FDD_90_6" hidden="1">"A32873"</definedName>
    <definedName name="FDD_90_7" hidden="1">"A33238"</definedName>
    <definedName name="FDD_90_8" hidden="1">"A33603"</definedName>
    <definedName name="FDD_90_9" hidden="1">"A33969"</definedName>
    <definedName name="FDD_91_0" hidden="1">"A30681"</definedName>
    <definedName name="FDD_91_1" hidden="1">"A31047"</definedName>
    <definedName name="FDD_91_10" hidden="1">"A34334"</definedName>
    <definedName name="FDD_91_11" hidden="1">"A34699"</definedName>
    <definedName name="FDD_91_12" hidden="1">"A35064"</definedName>
    <definedName name="FDD_91_13" hidden="1">"A35430"</definedName>
    <definedName name="FDD_91_14" hidden="1">"A35795"</definedName>
    <definedName name="FDD_91_2" hidden="1">"A31412"</definedName>
    <definedName name="FDD_91_3" hidden="1">"A31777"</definedName>
    <definedName name="FDD_91_4" hidden="1">"A32142"</definedName>
    <definedName name="FDD_91_5" hidden="1">"A32508"</definedName>
    <definedName name="FDD_91_6" hidden="1">"A32873"</definedName>
    <definedName name="FDD_91_7" hidden="1">"A33238"</definedName>
    <definedName name="FDD_91_8" hidden="1">"A33603"</definedName>
    <definedName name="FDD_91_9" hidden="1">"A33969"</definedName>
    <definedName name="FDD_92_0" hidden="1">"A30681"</definedName>
    <definedName name="FDD_92_1" hidden="1">"A31047"</definedName>
    <definedName name="FDD_92_10" hidden="1">"A34334"</definedName>
    <definedName name="FDD_92_11" hidden="1">"A34699"</definedName>
    <definedName name="FDD_92_12" hidden="1">"A35064"</definedName>
    <definedName name="FDD_92_13" hidden="1">"A35430"</definedName>
    <definedName name="FDD_92_14" hidden="1">"A35795"</definedName>
    <definedName name="FDD_92_2" hidden="1">"A31412"</definedName>
    <definedName name="FDD_92_3" hidden="1">"A31777"</definedName>
    <definedName name="FDD_92_4" hidden="1">"A32142"</definedName>
    <definedName name="FDD_92_5" hidden="1">"A32508"</definedName>
    <definedName name="FDD_92_6" hidden="1">"A32873"</definedName>
    <definedName name="FDD_92_7" hidden="1">"A33238"</definedName>
    <definedName name="FDD_92_8" hidden="1">"A33603"</definedName>
    <definedName name="FDD_92_9" hidden="1">"A33969"</definedName>
    <definedName name="FDD_93_0" hidden="1">"A30681"</definedName>
    <definedName name="FDD_93_1" hidden="1">"A31047"</definedName>
    <definedName name="FDD_93_10" hidden="1">"A34334"</definedName>
    <definedName name="FDD_93_11" hidden="1">"A34699"</definedName>
    <definedName name="FDD_93_12" hidden="1">"A35064"</definedName>
    <definedName name="FDD_93_13" hidden="1">"A35430"</definedName>
    <definedName name="FDD_93_14" hidden="1">"A35795"</definedName>
    <definedName name="FDD_93_2" hidden="1">"A31412"</definedName>
    <definedName name="FDD_93_3" hidden="1">"A31777"</definedName>
    <definedName name="FDD_93_4" hidden="1">"A32142"</definedName>
    <definedName name="FDD_93_5" hidden="1">"A32508"</definedName>
    <definedName name="FDD_93_6" hidden="1">"A32873"</definedName>
    <definedName name="FDD_93_7" hidden="1">"A33238"</definedName>
    <definedName name="FDD_93_8" hidden="1">"A33603"</definedName>
    <definedName name="FDD_93_9" hidden="1">"A33969"</definedName>
    <definedName name="FDD_94_0" hidden="1">"A30681"</definedName>
    <definedName name="FDD_94_1" hidden="1">"A31047"</definedName>
    <definedName name="FDD_94_10" hidden="1">"A34334"</definedName>
    <definedName name="FDD_94_11" hidden="1">"A34699"</definedName>
    <definedName name="FDD_94_12" hidden="1">"A35064"</definedName>
    <definedName name="FDD_94_13" hidden="1">"A35430"</definedName>
    <definedName name="FDD_94_14" hidden="1">"A35795"</definedName>
    <definedName name="FDD_94_2" hidden="1">"A31412"</definedName>
    <definedName name="FDD_94_3" hidden="1">"A31777"</definedName>
    <definedName name="FDD_94_4" hidden="1">"A32142"</definedName>
    <definedName name="FDD_94_5" hidden="1">"A32508"</definedName>
    <definedName name="FDD_94_6" hidden="1">"A32873"</definedName>
    <definedName name="FDD_94_7" hidden="1">"A33238"</definedName>
    <definedName name="FDD_94_8" hidden="1">"A33603"</definedName>
    <definedName name="FDD_94_9" hidden="1">"A33969"</definedName>
    <definedName name="FDD_95_0" hidden="1">"A30681"</definedName>
    <definedName name="FDD_95_1" hidden="1">"A31047"</definedName>
    <definedName name="FDD_95_10" hidden="1">"A34334"</definedName>
    <definedName name="FDD_95_11" hidden="1">"A34699"</definedName>
    <definedName name="FDD_95_12" hidden="1">"A35064"</definedName>
    <definedName name="FDD_95_13" hidden="1">"A35430"</definedName>
    <definedName name="FDD_95_14" hidden="1">"A35795"</definedName>
    <definedName name="FDD_95_2" hidden="1">"A31412"</definedName>
    <definedName name="FDD_95_3" hidden="1">"A31777"</definedName>
    <definedName name="FDD_95_4" hidden="1">"A32142"</definedName>
    <definedName name="FDD_95_5" hidden="1">"A32508"</definedName>
    <definedName name="FDD_95_6" hidden="1">"A32873"</definedName>
    <definedName name="FDD_95_7" hidden="1">"A33238"</definedName>
    <definedName name="FDD_95_8" hidden="1">"A33603"</definedName>
    <definedName name="FDD_95_9" hidden="1">"A33969"</definedName>
    <definedName name="FDD_96_0" hidden="1">"U30681"</definedName>
    <definedName name="FDD_96_1" hidden="1">"A31047"</definedName>
    <definedName name="FDD_96_10" hidden="1">"A34334"</definedName>
    <definedName name="FDD_96_11" hidden="1">"A34699"</definedName>
    <definedName name="FDD_96_12" hidden="1">"A35064"</definedName>
    <definedName name="FDD_96_13" hidden="1">"A35430"</definedName>
    <definedName name="FDD_96_14" hidden="1">"A35795"</definedName>
    <definedName name="FDD_96_2" hidden="1">"A31412"</definedName>
    <definedName name="FDD_96_3" hidden="1">"A31777"</definedName>
    <definedName name="FDD_96_4" hidden="1">"A32142"</definedName>
    <definedName name="FDD_96_5" hidden="1">"A32508"</definedName>
    <definedName name="FDD_96_6" hidden="1">"A32873"</definedName>
    <definedName name="FDD_96_7" hidden="1">"A33238"</definedName>
    <definedName name="FDD_96_8" hidden="1">"A33603"</definedName>
    <definedName name="FDD_96_9" hidden="1">"A33969"</definedName>
    <definedName name="FDD_97_0" hidden="1">"U30681"</definedName>
    <definedName name="FDD_97_1" hidden="1">"A31047"</definedName>
    <definedName name="FDD_97_10" hidden="1">"A34334"</definedName>
    <definedName name="FDD_97_11" hidden="1">"A34699"</definedName>
    <definedName name="FDD_97_12" hidden="1">"A35064"</definedName>
    <definedName name="FDD_97_13" hidden="1">"A35430"</definedName>
    <definedName name="FDD_97_14" hidden="1">"A35795"</definedName>
    <definedName name="FDD_97_2" hidden="1">"A31412"</definedName>
    <definedName name="FDD_97_3" hidden="1">"A31777"</definedName>
    <definedName name="FDD_97_4" hidden="1">"A32142"</definedName>
    <definedName name="FDD_97_5" hidden="1">"A32508"</definedName>
    <definedName name="FDD_97_6" hidden="1">"A32873"</definedName>
    <definedName name="FDD_97_7" hidden="1">"A33238"</definedName>
    <definedName name="FDD_97_8" hidden="1">"A33603"</definedName>
    <definedName name="FDD_97_9" hidden="1">"A33969"</definedName>
    <definedName name="FDD_98_0" hidden="1">"U30681"</definedName>
    <definedName name="FDD_98_1" hidden="1">"A31047"</definedName>
    <definedName name="FDD_98_10" hidden="1">"A34334"</definedName>
    <definedName name="FDD_98_11" hidden="1">"A34699"</definedName>
    <definedName name="FDD_98_12" hidden="1">"A35064"</definedName>
    <definedName name="FDD_98_13" hidden="1">"A35430"</definedName>
    <definedName name="FDD_98_14" hidden="1">"A35795"</definedName>
    <definedName name="FDD_98_2" hidden="1">"A31412"</definedName>
    <definedName name="FDD_98_3" hidden="1">"A31777"</definedName>
    <definedName name="FDD_98_4" hidden="1">"A32142"</definedName>
    <definedName name="FDD_98_5" hidden="1">"A32508"</definedName>
    <definedName name="FDD_98_6" hidden="1">"A32873"</definedName>
    <definedName name="FDD_98_7" hidden="1">"A33238"</definedName>
    <definedName name="FDD_98_8" hidden="1">"A33603"</definedName>
    <definedName name="FDD_98_9" hidden="1">"A33969"</definedName>
    <definedName name="FDD_99_0" hidden="1">"U30681"</definedName>
    <definedName name="FDD_99_1" hidden="1">"A31047"</definedName>
    <definedName name="FDD_99_10" hidden="1">"A34334"</definedName>
    <definedName name="FDD_99_11" hidden="1">"A34699"</definedName>
    <definedName name="FDD_99_12" hidden="1">"A35064"</definedName>
    <definedName name="FDD_99_13" hidden="1">"A35430"</definedName>
    <definedName name="FDD_99_14" hidden="1">"A35795"</definedName>
    <definedName name="FDD_99_2" hidden="1">"A31412"</definedName>
    <definedName name="FDD_99_3" hidden="1">"A31777"</definedName>
    <definedName name="FDD_99_4" hidden="1">"A32142"</definedName>
    <definedName name="FDD_99_5" hidden="1">"A32508"</definedName>
    <definedName name="FDD_99_6" hidden="1">"A32873"</definedName>
    <definedName name="FDD_99_7" hidden="1">"A33238"</definedName>
    <definedName name="FDD_99_8" hidden="1">"A33603"</definedName>
    <definedName name="FDD_99_9" hidden="1">"A33969"</definedName>
    <definedName name="FDP_0_1_aSrv" hidden="1">[12]Comparison!$P$106</definedName>
    <definedName name="FDP_1_1_aDrv" hidden="1">[12]Comparison!$T$18</definedName>
    <definedName name="FDP_10_1_aUrv" hidden="1">[12]Comparison!$AA$21</definedName>
    <definedName name="FDP_100_1_aUrv" hidden="1">[12]Comparison!$E$96</definedName>
    <definedName name="FDP_101_1_aUrv" hidden="1">[12]Comparison!$E$97</definedName>
    <definedName name="FDP_102_1_aSrv" hidden="1">[12]Comparison!$E$98</definedName>
    <definedName name="FDP_103_1_aSrv" hidden="1">[12]Comparison!$E$100</definedName>
    <definedName name="FDP_104_1_aUrv" hidden="1">[12]Comparison!$E$101</definedName>
    <definedName name="FDP_105_1_aUrv" hidden="1">[12]Comparison!$E$102</definedName>
    <definedName name="FDP_106_1_aUrv" hidden="1">[12]Comparison!$E$103</definedName>
    <definedName name="FDP_107_1_aUrv" hidden="1">[12]Comparison!$E$104</definedName>
    <definedName name="FDP_108_1_aUrv" hidden="1">[12]Comparison!$E$105</definedName>
    <definedName name="FDP_109_1_aUrv" hidden="1">[12]Comparison!$E$106</definedName>
    <definedName name="FDP_11_1_aUrv" hidden="1">[12]Comparison!$AA$22</definedName>
    <definedName name="FDP_110_1_aUrv" hidden="1">[12]Comparison!$E$107</definedName>
    <definedName name="FDP_111_1_aUrv" hidden="1">[12]Comparison!$E$108</definedName>
    <definedName name="FDP_112_1_aUrv" hidden="1">[12]Comparison!$E$109</definedName>
    <definedName name="FDP_113_1_aUrv" hidden="1">[12]Comparison!$E$110</definedName>
    <definedName name="FDP_114_1_aUrv" hidden="1">[12]Comparison!$E$111</definedName>
    <definedName name="FDP_115_1_aSrv" hidden="1">[12]Comparison!$E$112</definedName>
    <definedName name="FDP_116_1_aSrv" hidden="1">[12]Comparison!$E$113</definedName>
    <definedName name="FDP_117_1_aUrv" hidden="1">[12]Comparison!$E$118</definedName>
    <definedName name="FDP_118_1_aUrv" hidden="1">[12]Comparison!$E$119</definedName>
    <definedName name="FDP_119_1_aUrv" hidden="1">[12]Comparison!$E$120</definedName>
    <definedName name="FDP_12_1_aUrv" hidden="1">[12]Comparison!$AA$23</definedName>
    <definedName name="FDP_120_1_aUrv" hidden="1">[12]Comparison!$E$121</definedName>
    <definedName name="FDP_121_1_aUrv" hidden="1">[12]Comparison!$E$122</definedName>
    <definedName name="FDP_122_1_aUrv" hidden="1">[12]Comparison!$E$123</definedName>
    <definedName name="FDP_123_1_aUrv" hidden="1">[12]Comparison!$E$124</definedName>
    <definedName name="FDP_124_1_aSrv" hidden="1">[12]Comparison!$E$125</definedName>
    <definedName name="FDP_125_1_aUrv" hidden="1">[12]Comparison!$E$127</definedName>
    <definedName name="FDP_126_1_aUrv" hidden="1">[12]Comparison!$E$128</definedName>
    <definedName name="FDP_127_1_aUrv" hidden="1">[12]Comparison!$E$129</definedName>
    <definedName name="FDP_128_1_aUrv" hidden="1">[12]Comparison!$E$130</definedName>
    <definedName name="FDP_129_1_aUrv" hidden="1">[12]Comparison!$E$131</definedName>
    <definedName name="FDP_13_1_aUrv" hidden="1">[12]Comparison!$AA$24</definedName>
    <definedName name="FDP_130_1_aUrv" hidden="1">[12]Comparison!$E$132</definedName>
    <definedName name="FDP_131_1_aUrv" hidden="1">[12]Comparison!$E$133</definedName>
    <definedName name="FDP_132_1_aSrv" hidden="1">[12]Comparison!$E$134</definedName>
    <definedName name="FDP_133_1_aSrv" hidden="1">[12]Comparison!$E$135</definedName>
    <definedName name="FDP_134_1_aUrv" hidden="1">[12]Comparison!$E$137</definedName>
    <definedName name="FDP_135_1_aUrv" hidden="1">[12]Comparison!$E$140</definedName>
    <definedName name="FDP_136_1_aUrv" hidden="1">[12]Comparison!$E$141</definedName>
    <definedName name="FDP_137_1_aSrv" hidden="1">[12]Comparison!$P$141</definedName>
    <definedName name="FDP_138_1_aSrv" hidden="1">[12]Comparison!$E$142</definedName>
    <definedName name="FDP_139_1_aSrv" hidden="1">[12]Comparison!$E$143</definedName>
    <definedName name="FDP_14_1_aUrv" hidden="1">[12]Comparison!$K$1</definedName>
    <definedName name="FDP_140_1_aSrv" hidden="1">[12]Comparison!$E$153</definedName>
    <definedName name="FDP_141_1_aUrv" hidden="1">[12]Comparison!$E$154</definedName>
    <definedName name="FDP_142_1_aUrv" hidden="1">[12]Comparison!$E$155</definedName>
    <definedName name="FDP_143_1_aUrv" hidden="1">[12]Comparison!$E$156</definedName>
    <definedName name="FDP_144_1_aUrv" hidden="1">[12]Comparison!$E$157</definedName>
    <definedName name="FDP_145_1_aUrv" hidden="1">[12]Comparison!$E$160</definedName>
    <definedName name="FDP_146_1_aUrv" hidden="1">[12]Comparison!$E$161</definedName>
    <definedName name="FDP_147_1_aUrv" hidden="1">[12]Comparison!$E$162</definedName>
    <definedName name="FDP_148_1_aUrv" hidden="1">[12]Comparison!$E$163</definedName>
    <definedName name="FDP_149_1_aUrv" hidden="1">[12]Comparison!$E$164</definedName>
    <definedName name="FDP_15_1_aUrv" hidden="1">[12]Comparison!$F$1</definedName>
    <definedName name="FDP_150_1_aUrv" hidden="1">[12]Comparison!$E$165</definedName>
    <definedName name="FDP_151_1_aUrv" hidden="1">[12]Comparison!$E$166</definedName>
    <definedName name="FDP_152_1_aUrv" hidden="1">[12]Comparison!$E$167</definedName>
    <definedName name="FDP_153_1_aUrv" hidden="1">[12]Comparison!$E$168</definedName>
    <definedName name="FDP_154_1_aUrv" hidden="1">[12]Comparison!$E$169</definedName>
    <definedName name="FDP_155_1_aUrv" hidden="1">[12]Comparison!$E$170</definedName>
    <definedName name="FDP_156_1_aUrv" hidden="1">[12]Comparison!$E$171</definedName>
    <definedName name="FDP_157_1_aUrv" hidden="1">[12]Comparison!$E$172</definedName>
    <definedName name="FDP_158_1_aUrv" hidden="1">[12]Comparison!$E$173</definedName>
    <definedName name="FDP_159_1_aSrv" hidden="1">[12]Comparison!$E$174</definedName>
    <definedName name="FDP_16_1_aUrv" hidden="1">[12]Comparison!$K$3</definedName>
    <definedName name="FDP_160_1_aUrv" hidden="1">[12]Comparison!$E$175</definedName>
    <definedName name="FDP_161_1_aSrv" hidden="1">[12]Comparison!$E$176</definedName>
    <definedName name="FDP_162_1_aUrv" hidden="1">[12]Comparison!$E$178</definedName>
    <definedName name="FDP_163_1_aUrv" hidden="1">[12]Comparison!$E$180</definedName>
    <definedName name="FDP_164_1_aUrv" hidden="1">[12]Comparison!$E$179</definedName>
    <definedName name="FDP_169_1_aSrv" hidden="1">[12]Comparison!$E$185</definedName>
    <definedName name="FDP_17_1_aUrv" hidden="1">[12]Comparison!$R$3</definedName>
    <definedName name="FDP_170_1_aUrv" hidden="1">[12]Comparison!$E$186</definedName>
    <definedName name="FDP_171_1_aSrv" hidden="1">[12]Comparison!$E$187</definedName>
    <definedName name="FDP_178_1_aUrv" hidden="1">[12]Comparison!$E$195</definedName>
    <definedName name="FDP_179_1_aUrv" hidden="1">[12]Comparison!$E$196</definedName>
    <definedName name="FDP_18_1_aUrv" hidden="1">[12]Comparison!$E$6</definedName>
    <definedName name="FDP_18_1_rUrv" hidden="1">[12]Comparison!$E$5</definedName>
    <definedName name="FDP_183_1_aUrv" hidden="1">[12]Comparison!$E$200</definedName>
    <definedName name="FDP_187_1_aUrv" hidden="1">[12]Comparison!$E$208</definedName>
    <definedName name="FDP_19_1_aUrv" hidden="1">[12]Comparison!$E$8</definedName>
    <definedName name="FDP_192_1_aUrv" hidden="1">[12]Comparison!$E$213</definedName>
    <definedName name="FDP_196_1_aUrv" hidden="1">[12]Comparison!$E$217</definedName>
    <definedName name="FDP_197_1_aSrv" hidden="1">[12]Comparison!$E$218</definedName>
    <definedName name="FDP_198_1_aUrv" hidden="1">[12]Comparison!$E$219</definedName>
    <definedName name="FDP_2_1_aUrv" hidden="1">[12]Comparison!$V$21</definedName>
    <definedName name="FDP_20_1_aUrv" hidden="1">[12]Comparison!$E$9</definedName>
    <definedName name="FDP_203_1_aUrv" hidden="1">[12]Comparison!$E$225</definedName>
    <definedName name="FDP_208_1_aUrv" hidden="1">[12]Comparison!$E$234</definedName>
    <definedName name="FDP_21_1_aUrv" hidden="1">[12]Comparison!$E$10</definedName>
    <definedName name="FDP_213_1_aUrv" hidden="1">[12]Comparison!$E$240</definedName>
    <definedName name="FDP_216_1_aSrv" hidden="1">[12]Comparison!$E$238</definedName>
    <definedName name="FDP_218_1_aUrv" hidden="1">[12]Comparison!$E$244</definedName>
    <definedName name="FDP_219_1_aUrv" hidden="1">[12]Comparison!$E$245</definedName>
    <definedName name="FDP_22_1_aUrv" hidden="1">[12]Comparison!$E$11</definedName>
    <definedName name="FDP_220_1_aUrv" hidden="1">[12]Comparison!$E$246</definedName>
    <definedName name="FDP_221_1_aUrv" hidden="1">[12]Comparison!$E$247</definedName>
    <definedName name="FDP_222_1_aUrv" hidden="1">[12]Comparison!$E$248</definedName>
    <definedName name="FDP_223_1_aUrv" hidden="1">[12]Comparison!$E$250</definedName>
    <definedName name="FDP_224_1_aSrv" hidden="1">[12]Comparison!$E$258</definedName>
    <definedName name="FDP_225_1_aSrv" hidden="1">[12]Comparison!$E$261</definedName>
    <definedName name="FDP_226_1_aSrv" hidden="1">[12]Comparison!$E$262</definedName>
    <definedName name="FDP_227_1_aSrv" hidden="1">[12]Comparison!$E$264</definedName>
    <definedName name="FDP_23_1_aUrv" hidden="1">[12]Comparison!$E$12</definedName>
    <definedName name="FDP_234_1_aSrv" hidden="1">[12]Comparison!$E$275</definedName>
    <definedName name="FDP_235_1_aSrv" hidden="1">[12]Comparison!$E$280</definedName>
    <definedName name="FDP_236_1_aSrv" hidden="1">[12]Comparison!$E$289</definedName>
    <definedName name="FDP_237_1_aSrv" hidden="1">[12]Comparison!$E$290</definedName>
    <definedName name="FDP_239_1_aSrv" hidden="1">[12]Comparison!$E$292</definedName>
    <definedName name="FDP_24_1_aSrv" hidden="1">[12]Comparison!$E$13</definedName>
    <definedName name="FDP_240_1_aSrv" hidden="1">[12]Comparison!$E$303</definedName>
    <definedName name="FDP_241_1_aSrv" hidden="1">[12]Comparison!$E$304</definedName>
    <definedName name="FDP_242_1_aSrv" hidden="1">[12]Comparison!$E$305</definedName>
    <definedName name="FDP_25_1_aUrv" hidden="1">[12]Comparison!$E$14</definedName>
    <definedName name="FDP_26_1_aUrv" hidden="1">[12]Comparison!$E$15</definedName>
    <definedName name="FDP_262_1_aSrv" hidden="1">[12]Comparison!$E$325</definedName>
    <definedName name="FDP_263_1_aSrv" hidden="1">[12]Comparison!$E$326</definedName>
    <definedName name="FDP_264_1_aSrv" hidden="1">[12]Comparison!$E$327</definedName>
    <definedName name="FDP_265_1_aSrv" hidden="1">[12]Comparison!$E$328</definedName>
    <definedName name="FDP_266_1_aSrv" hidden="1">[12]Comparison!$E$329</definedName>
    <definedName name="FDP_267_1_aSrv" hidden="1">[12]Comparison!$E$330</definedName>
    <definedName name="FDP_268_1_aSrv" hidden="1">[12]Comparison!$E$331</definedName>
    <definedName name="FDP_269_1_aSrv" hidden="1">[12]Comparison!$E$332</definedName>
    <definedName name="FDP_27_1_aUrv" hidden="1">[12]Comparison!$E$16</definedName>
    <definedName name="FDP_270_1_aSrv" hidden="1">[12]Comparison!$E$333</definedName>
    <definedName name="FDP_271_1_aSrv" hidden="1">[12]Comparison!$E$334</definedName>
    <definedName name="FDP_272_1_aSrv" hidden="1">[12]Comparison!$E$335</definedName>
    <definedName name="FDP_273_1_aSrv" hidden="1">[12]Comparison!$E$336</definedName>
    <definedName name="FDP_274_1_aSrv" hidden="1">[12]Comparison!$E$23</definedName>
    <definedName name="FDP_275_1_aSrv" hidden="1">[12]Comparison!$E$24</definedName>
    <definedName name="FDP_276_1_aSrv" hidden="1">[12]Comparison!$E$29</definedName>
    <definedName name="FDP_277_1_aSrv" hidden="1">[12]Comparison!$E$28</definedName>
    <definedName name="FDP_278_1_aSrv" hidden="1">[12]Comparison!$E$30</definedName>
    <definedName name="FDP_28_1_aUrv" hidden="1">[12]Comparison!$E$17</definedName>
    <definedName name="FDP_284_1_aSrv" hidden="1">[12]Comparison!$E$38</definedName>
    <definedName name="FDP_285_1_aSrv" hidden="1">[12]Comparison!$E$39</definedName>
    <definedName name="FDP_286_1_aSrv" hidden="1">[12]Comparison!$E$43</definedName>
    <definedName name="FDP_287_1_aSrv" hidden="1">[12]Comparison!$E$44</definedName>
    <definedName name="FDP_288_1_aSrv" hidden="1">[12]Comparison!$E$45</definedName>
    <definedName name="FDP_289_1_aSrv" hidden="1">[12]Comparison!$E$46</definedName>
    <definedName name="FDP_29_1_aUrv" hidden="1">[12]Comparison!$E$18</definedName>
    <definedName name="FDP_290_1_aSrv" hidden="1">[12]Comparison!$E$47</definedName>
    <definedName name="FDP_291_1_aSrv" hidden="1">[12]Comparison!$E$49</definedName>
    <definedName name="FDP_292_1_aSrv" hidden="1">[12]Comparison!$E$50</definedName>
    <definedName name="FDP_293_1_aSrv" hidden="1">[12]Comparison!$E$51</definedName>
    <definedName name="FDP_294_1_aSrv" hidden="1">[12]Comparison!$E$61</definedName>
    <definedName name="FDP_295_1_aSrv" hidden="1">[12]Comparison!$E$65</definedName>
    <definedName name="FDP_296_1_aSrv" hidden="1">[12]Comparison!$E$85</definedName>
    <definedName name="FDP_297_1_aSrv" hidden="1">[12]Comparison!$E$88</definedName>
    <definedName name="FDP_298_1_aSrv" hidden="1">[12]Comparison!$E$95</definedName>
    <definedName name="FDP_299_1_aSrv" hidden="1">[12]Comparison!$E$96</definedName>
    <definedName name="FDP_3_1_aUrv" hidden="1">[12]Comparison!$V$22</definedName>
    <definedName name="FDP_30_1_aSrv" hidden="1">[12]Comparison!$E$19</definedName>
    <definedName name="FDP_300_1_aSrv" hidden="1">[12]Comparison!$E$104</definedName>
    <definedName name="FDP_301_1_aSrv" hidden="1">[12]Comparison!$E$112</definedName>
    <definedName name="FDP_302_1_aSrv" hidden="1">[12]Comparison!$E$113</definedName>
    <definedName name="FDP_303_1_aSrv" hidden="1">[12]Comparison!$E$131</definedName>
    <definedName name="FDP_304_1_aSrv" hidden="1">[12]Comparison!$E$136</definedName>
    <definedName name="FDP_305_1_aSrv" hidden="1">[12]Comparison!$E$146</definedName>
    <definedName name="FDP_306_1_aSrv" hidden="1">[12]Comparison!$E$165</definedName>
    <definedName name="FDP_307_1_aSrv" hidden="1">[12]Comparison!$E$169</definedName>
    <definedName name="FDP_308_1_aSrv" hidden="1">[12]Comparison!$E$171</definedName>
    <definedName name="FDP_309_1_aSrv" hidden="1">[12]Comparison!$E$172</definedName>
    <definedName name="FDP_31_1_aSrv" hidden="1">[12]Comparison!$E$20</definedName>
    <definedName name="FDP_310_1_aSrv" hidden="1">[12]Comparison!$E$178</definedName>
    <definedName name="FDP_311_1_aSrv" hidden="1">[12]Comparison!$E$179</definedName>
    <definedName name="FDP_312_1_aSrv" hidden="1">[12]Comparison!$E$180</definedName>
    <definedName name="FDP_313_1_aSrv" hidden="1">[12]Comparison!$P$184</definedName>
    <definedName name="FDP_314_1_aSrv" hidden="1">[12]Comparison!$P$186</definedName>
    <definedName name="FDP_315_1_aSrv" hidden="1">[12]Comparison!$P$187</definedName>
    <definedName name="FDP_316_1_aSrv" hidden="1">[12]Comparison!$P$188</definedName>
    <definedName name="FDP_317_1_aSrv" hidden="1">[12]Comparison!$P$189</definedName>
    <definedName name="FDP_32_1_aUrv" hidden="1">[12]Comparison!$E$21</definedName>
    <definedName name="FDP_33_1_aUrv" hidden="1">[12]Comparison!$E$22</definedName>
    <definedName name="FDP_34_1_aUrv" hidden="1">[12]Comparison!$E$23</definedName>
    <definedName name="FDP_35_1_aUrv" hidden="1">[12]Comparison!$E$24</definedName>
    <definedName name="FDP_36_1_aUrv" hidden="1">[12]Comparison!$E$25</definedName>
    <definedName name="FDP_37_1_aSrv" hidden="1">[12]Comparison!$E$26</definedName>
    <definedName name="FDP_38_1_aUrv" hidden="1">[12]Comparison!$E$27</definedName>
    <definedName name="FDP_39_1_aUrv" hidden="1">[12]Comparison!$E$28</definedName>
    <definedName name="FDP_4_1_aUrv" hidden="1">[12]Comparison!$V$23</definedName>
    <definedName name="FDP_40_1_aUrv" hidden="1">[12]Comparison!$E$29</definedName>
    <definedName name="FDP_41_1_aUrv" hidden="1">[12]Comparison!$E$30</definedName>
    <definedName name="FDP_42_1_aUrv" hidden="1">[12]Comparison!$E$31</definedName>
    <definedName name="FDP_43_1_aUrv" hidden="1">[12]Comparison!$E$32</definedName>
    <definedName name="FDP_44_1_aUrv" hidden="1">[12]Comparison!$E$33</definedName>
    <definedName name="FDP_45_1_aUrv" hidden="1">[12]Comparison!$E$34</definedName>
    <definedName name="FDP_455_1_aSrv" hidden="1">[12]Comparison!$E$10</definedName>
    <definedName name="FDP_456_1_aSrv" hidden="1">[12]Comparison!$E$12</definedName>
    <definedName name="FDP_457_1_aSrv" hidden="1">[12]Comparison!$E$19</definedName>
    <definedName name="FDP_458_1_aSrv" hidden="1">[12]Comparison!$E$22</definedName>
    <definedName name="FDP_459_1_aSrv" hidden="1">[12]Comparison!$E$23</definedName>
    <definedName name="FDP_46_1_aUrv" hidden="1">[12]Comparison!$E$35</definedName>
    <definedName name="FDP_460_1_aSrv" hidden="1">[12]Comparison!$E$24</definedName>
    <definedName name="FDP_461_1_aSrv" hidden="1">[12]Comparison!$E$25</definedName>
    <definedName name="FDP_462_1_aSrv" hidden="1">[12]Comparison!$E$26</definedName>
    <definedName name="FDP_463_1_aSrv" hidden="1">[12]Comparison!$E$27</definedName>
    <definedName name="FDP_464_1_aSrv" hidden="1">[12]Comparison!$E$28</definedName>
    <definedName name="FDP_465_1_aSrv" hidden="1">[12]Comparison!$E$29</definedName>
    <definedName name="FDP_466_1_aSrv" hidden="1">[12]Comparison!$E$30</definedName>
    <definedName name="FDP_467_1_aSrv" hidden="1">[12]Comparison!$E$31</definedName>
    <definedName name="FDP_468_1_aSrv" hidden="1">[12]Comparison!$E$34</definedName>
    <definedName name="FDP_469_1_aSrv" hidden="1">[12]Comparison!$E$35</definedName>
    <definedName name="FDP_47_1_aUrv" hidden="1">[12]Comparison!$E$36</definedName>
    <definedName name="FDP_470_1_aSrv" hidden="1">[12]Comparison!$E$36</definedName>
    <definedName name="FDP_471_1_aSrv" hidden="1">[12]Comparison!$E$37</definedName>
    <definedName name="FDP_472_1_aSrv" hidden="1">[12]Comparison!$E$38</definedName>
    <definedName name="FDP_473_1_aSrv" hidden="1">[12]Comparison!$E$39</definedName>
    <definedName name="FDP_474_1_aSrv" hidden="1">[12]Comparison!$E$40</definedName>
    <definedName name="FDP_475_1_aSrv" hidden="1">[12]Comparison!$E$43</definedName>
    <definedName name="FDP_476_1_aSrv" hidden="1">[12]Comparison!$E$44</definedName>
    <definedName name="FDP_477_1_aSrv" hidden="1">[12]Comparison!$E$45</definedName>
    <definedName name="FDP_478_1_aSrv" hidden="1">[12]Comparison!$E$46</definedName>
    <definedName name="FDP_479_1_aSrv" hidden="1">[12]Comparison!$E$47</definedName>
    <definedName name="FDP_48_1_aUrv" hidden="1">[12]Comparison!$E$37</definedName>
    <definedName name="FDP_480_1_aSrv" hidden="1">[12]Comparison!$E$48</definedName>
    <definedName name="FDP_481_1_aSrv" hidden="1">[12]Comparison!$E$49</definedName>
    <definedName name="FDP_482_1_aSrv" hidden="1">[12]Comparison!$E$54</definedName>
    <definedName name="FDP_483_1_aSrv" hidden="1">[12]Comparison!$E$55</definedName>
    <definedName name="FDP_484_1_aSrv" hidden="1">[12]Comparison!$E$56</definedName>
    <definedName name="FDP_485_1_aSrv" hidden="1">[12]Comparison!$E$57</definedName>
    <definedName name="FDP_486_1_aSrv" hidden="1">[12]Comparison!$E$58</definedName>
    <definedName name="FDP_487_1_aSrv" hidden="1">[12]Comparison!$E$59</definedName>
    <definedName name="FDP_488_1_aSrv" hidden="1">[12]Comparison!$E$60</definedName>
    <definedName name="FDP_489_1_aSrv" hidden="1">[12]Comparison!$E$61</definedName>
    <definedName name="FDP_49_1_aUrv" hidden="1">[12]Comparison!$E$38</definedName>
    <definedName name="FDP_490_1_aSrv" hidden="1">[12]Comparison!$E$62</definedName>
    <definedName name="FDP_491_1_aSrv" hidden="1">[12]Comparison!$E$65</definedName>
    <definedName name="FDP_492_1_aSrv" hidden="1">[12]Comparison!$E$66</definedName>
    <definedName name="FDP_493_1_aSrv" hidden="1">[12]Comparison!$E$67</definedName>
    <definedName name="FDP_494_1_aSrv" hidden="1">[12]Comparison!$E$68</definedName>
    <definedName name="FDP_495_1_aSrv" hidden="1">[12]Comparison!$E$69</definedName>
    <definedName name="FDP_496_1_aSrv" hidden="1">[12]Comparison!$E$70</definedName>
    <definedName name="FDP_497_1_aSrv" hidden="1">[12]Comparison!$E$73</definedName>
    <definedName name="FDP_498_1_aSrv" hidden="1">[12]Comparison!$E$74</definedName>
    <definedName name="FDP_499_1_aSrv" hidden="1">[12]Comparison!$E$75</definedName>
    <definedName name="FDP_5_1_aUrv" hidden="1">[12]Comparison!$V$24</definedName>
    <definedName name="FDP_50_1_aSrv" hidden="1">[12]Comparison!$E$39</definedName>
    <definedName name="FDP_500_1_aSrv" hidden="1">[12]Comparison!$E$76</definedName>
    <definedName name="FDP_501_1_aSrv" hidden="1">[12]Comparison!$E$77</definedName>
    <definedName name="FDP_502_1_aSrv" hidden="1">[12]Comparison!$E$81</definedName>
    <definedName name="FDP_503_1_aSrv" hidden="1">[12]Comparison!$E$82</definedName>
    <definedName name="FDP_504_1_aSrv" hidden="1">[12]Comparison!$E$83</definedName>
    <definedName name="FDP_505_1_aSrv" hidden="1">[12]Comparison!$E$84</definedName>
    <definedName name="FDP_506_1_aSrv" hidden="1">[12]Comparison!$E$85</definedName>
    <definedName name="FDP_507_1_aSrv" hidden="1">[12]Comparison!$E$86</definedName>
    <definedName name="FDP_508_1_aSrv" hidden="1">[12]Comparison!$E$87</definedName>
    <definedName name="FDP_509_1_aSrv" hidden="1">[12]Comparison!$E$92</definedName>
    <definedName name="FDP_51_1_aSrv" hidden="1">[12]Comparison!$E$40</definedName>
    <definedName name="FDP_510_1_aSrv" hidden="1">[12]Comparison!$E$93</definedName>
    <definedName name="FDP_511_1_aSrv" hidden="1">[12]Comparison!$E$94</definedName>
    <definedName name="FDP_512_1_aSrv" hidden="1">[12]Comparison!$E$95</definedName>
    <definedName name="FDP_513_1_aSrv" hidden="1">[12]Comparison!$E$96</definedName>
    <definedName name="FDP_514_1_aSrv" hidden="1">[12]Comparison!$E$98</definedName>
    <definedName name="FDP_515_1_aSrv" hidden="1">[12]Comparison!$E$99</definedName>
    <definedName name="FDP_516_1_aSrv" hidden="1">[12]Comparison!$E$100</definedName>
    <definedName name="FDP_517_1_aSrv" hidden="1">[12]Comparison!$E$101</definedName>
    <definedName name="FDP_518_1_aSrv" hidden="1">[12]Comparison!$E$102</definedName>
    <definedName name="FDP_519_1_aSrv" hidden="1">[12]Comparison!$E$103</definedName>
    <definedName name="FDP_52_1_aUrv" hidden="1">[12]Comparison!$E$41</definedName>
    <definedName name="FDP_520_1_aSrv" hidden="1">[12]Comparison!$E$104</definedName>
    <definedName name="FDP_521_1_aSrv" hidden="1">[12]Comparison!$E$107</definedName>
    <definedName name="FDP_522_1_aSrv" hidden="1">[12]Comparison!$E$109</definedName>
    <definedName name="FDP_523_1_aSrv" hidden="1">[12]Comparison!$E$110</definedName>
    <definedName name="FDP_524_1_aSrv" hidden="1">[12]Comparison!$E$111</definedName>
    <definedName name="FDP_525_1_aSrv" hidden="1">[12]Comparison!$E$112</definedName>
    <definedName name="FDP_526_1_aSrv" hidden="1">[12]Comparison!$E$113</definedName>
    <definedName name="FDP_527_1_aSrv" hidden="1">[12]Comparison!$E$114</definedName>
    <definedName name="FDP_528_1_aSrv" hidden="1">[12]Comparison!$E$115</definedName>
    <definedName name="FDP_529_1_aSrv" hidden="1">[12]Comparison!$E$116</definedName>
    <definedName name="FDP_53_1_aUrv" hidden="1">[12]Comparison!$E$42</definedName>
    <definedName name="FDP_530_1_aSrv" hidden="1">[12]Comparison!$E$117</definedName>
    <definedName name="FDP_531_1_aSrv" hidden="1">[12]Comparison!$E$118</definedName>
    <definedName name="FDP_532_1_aSrv" hidden="1">[12]Comparison!$E$119</definedName>
    <definedName name="FDP_533_1_aSrv" hidden="1">[12]Comparison!$E$120</definedName>
    <definedName name="FDP_534_1_aSrv" hidden="1">[12]Comparison!$E$121</definedName>
    <definedName name="FDP_535_1_aSrv" hidden="1">[12]Comparison!$E$122</definedName>
    <definedName name="FDP_536_1_aSrv" hidden="1">[12]Comparison!$E$123</definedName>
    <definedName name="FDP_537_1_aSrv" hidden="1">[12]Comparison!$E$124</definedName>
    <definedName name="FDP_538_1_aSrv" hidden="1">[12]Comparison!$E$128</definedName>
    <definedName name="FDP_539_1_aSrv" hidden="1">[12]Comparison!$E$127</definedName>
    <definedName name="FDP_54_1_aUrv" hidden="1">[12]Comparison!$E$43</definedName>
    <definedName name="FDP_540_1_aSrv" hidden="1">[12]Comparison!$E$129</definedName>
    <definedName name="FDP_541_1_aSrv" hidden="1">[12]Comparison!$E$130</definedName>
    <definedName name="FDP_542_1_aSrv" hidden="1">[12]Comparison!$E$132</definedName>
    <definedName name="FDP_543_1_aSrv" hidden="1">[12]Comparison!$E$133</definedName>
    <definedName name="FDP_544_1_aSrv" hidden="1">[12]Comparison!$E$134</definedName>
    <definedName name="FDP_545_1_aSrv" hidden="1">[12]Comparison!$E$140</definedName>
    <definedName name="FDP_546_1_aSrv" hidden="1">[12]Comparison!$E$141</definedName>
    <definedName name="FDP_547_1_aSrv" hidden="1">[12]Comparison!$E$142</definedName>
    <definedName name="FDP_548_1_aSrv" hidden="1">[12]Comparison!$E$143</definedName>
    <definedName name="FDP_549_1_aUrv" hidden="1">[12]Comparison!$O$1</definedName>
    <definedName name="FDP_55_1_aUrv" hidden="1">[12]Comparison!$E$44</definedName>
    <definedName name="FDP_550_1_aUrv" hidden="1">[12]Comparison!$Q$62</definedName>
    <definedName name="FDP_551_1_aUrv" hidden="1">[12]Comparison!$Q$84</definedName>
    <definedName name="FDP_552_1_aUrv" hidden="1">[12]Comparison!$Q$1</definedName>
    <definedName name="FDP_553_1_aUrv" hidden="1">[12]Comparison!$S$1</definedName>
    <definedName name="FDP_554_1_aUrv" hidden="1">[12]Comparison!$E$249</definedName>
    <definedName name="FDP_56_1_aUrv" hidden="1">[12]Comparison!$E$45</definedName>
    <definedName name="FDP_57_1_aSrv" hidden="1">[12]Comparison!$E$46</definedName>
    <definedName name="FDP_58_1_aUrv" hidden="1">[12]Comparison!$E$47</definedName>
    <definedName name="FDP_59_1_aSrv" hidden="1">[12]Comparison!$E$48</definedName>
    <definedName name="FDP_6_1_aUrv" hidden="1">[12]Comparison!$Y$21</definedName>
    <definedName name="FDP_60_1_aUrv" hidden="1">[12]Comparison!$E$49</definedName>
    <definedName name="FDP_608_1_aUrv" hidden="1">[12]Comparison!$Z$10</definedName>
    <definedName name="FDP_609_1_aSrv" hidden="1">[12]Comparison!$E$48</definedName>
    <definedName name="FDP_61_1_aUrv" hidden="1">[12]Comparison!$E$50</definedName>
    <definedName name="FDP_610_1_aSrv" hidden="1">[12]Comparison!$E$70</definedName>
    <definedName name="FDP_612_1_aSrv" hidden="1">[12]Comparison!$E$339</definedName>
    <definedName name="FDP_613_1_aSrv" hidden="1">[12]Comparison!$E$340</definedName>
    <definedName name="FDP_614_1_aSrv" hidden="1">[12]Comparison!$E$341</definedName>
    <definedName name="FDP_615_1_aSrv" hidden="1">[12]Comparison!$E$342</definedName>
    <definedName name="FDP_616_1_aSrv" hidden="1">[12]Comparison!$E$343</definedName>
    <definedName name="FDP_617_1_aSrv" hidden="1">[12]Comparison!$E$344</definedName>
    <definedName name="FDP_618_1_aSrv" hidden="1">[12]Comparison!$E$345</definedName>
    <definedName name="FDP_619_1_aSrv" hidden="1">[12]Comparison!$E$346</definedName>
    <definedName name="FDP_62_1_aUrv" hidden="1">[12]Comparison!$E$51</definedName>
    <definedName name="FDP_620_1_aSrv" hidden="1">[12]Comparison!$E$347</definedName>
    <definedName name="FDP_63_1_aUrv" hidden="1">[12]Comparison!$E$52</definedName>
    <definedName name="FDP_64_1_aUrv" hidden="1">[12]Comparison!$E$53</definedName>
    <definedName name="FDP_65_1_aSrv" hidden="1">[12]Comparison!$E$54</definedName>
    <definedName name="FDP_66_1_aUrv" hidden="1">[12]Comparison!$E$55</definedName>
    <definedName name="FDP_67_1_aSrv" hidden="1">[12]Comparison!$E$56</definedName>
    <definedName name="FDP_68_1_aUrv" hidden="1">[12]Comparison!$E$57</definedName>
    <definedName name="FDP_69_1_aSrv" hidden="1">[12]Comparison!$E$58</definedName>
    <definedName name="FDP_7_1_aUrv" hidden="1">[12]Comparison!$Y$22</definedName>
    <definedName name="FDP_70_1_aSrv" hidden="1">[12]Comparison!$E$59</definedName>
    <definedName name="FDP_71_1_aUrv" hidden="1">[12]Comparison!$E$60</definedName>
    <definedName name="FDP_72_1_aUrv" hidden="1">[12]Comparison!$E$61</definedName>
    <definedName name="FDP_73_1_aSrv" hidden="1">[12]Comparison!$E$62</definedName>
    <definedName name="FDP_74_1_aSrv" hidden="1">[12]Comparison!$E$63</definedName>
    <definedName name="FDP_75_1_aUrv" hidden="1">[12]Comparison!$F$64</definedName>
    <definedName name="FDP_76_1_aSrv" hidden="1">[12]Comparison!$E$65</definedName>
    <definedName name="FDP_77_1_aSrv" hidden="1">[12]Comparison!$E$66</definedName>
    <definedName name="FDP_78_1_aUrv" hidden="1">[12]Comparison!$E$67</definedName>
    <definedName name="FDP_79_1_aUrv" hidden="1">[12]Comparison!$E$68</definedName>
    <definedName name="FDP_8_1_aUrv" hidden="1">[12]Comparison!$Y$23</definedName>
    <definedName name="FDP_80_1_aUrv" hidden="1">[12]Comparison!$E$69</definedName>
    <definedName name="FDP_81_1_aUrv" hidden="1">[12]Comparison!$E$70</definedName>
    <definedName name="FDP_82_1_aUrv" hidden="1">[12]Comparison!$E$71</definedName>
    <definedName name="FDP_83_1_aUrv" hidden="1">[12]Comparison!$E$72</definedName>
    <definedName name="FDP_84_1_aUrv" hidden="1">[12]Comparison!$E$73</definedName>
    <definedName name="FDP_85_1_aUrv" hidden="1">[12]Comparison!$E$74</definedName>
    <definedName name="FDP_86_1_aUrv" hidden="1">[12]Comparison!$E$75</definedName>
    <definedName name="FDP_87_1_aUrv" hidden="1">[12]Comparison!$E$76</definedName>
    <definedName name="FDP_88_1_aUrv" hidden="1">[12]Comparison!$E$77</definedName>
    <definedName name="FDP_89_1_aUrv" hidden="1">[12]Comparison!$E$78</definedName>
    <definedName name="FDP_9_1_aUrv" hidden="1">[12]Comparison!$Y$24</definedName>
    <definedName name="FDP_90_1_aUrv" hidden="1">[12]Comparison!$E$79</definedName>
    <definedName name="FDP_91_1_aUrv" hidden="1">[12]Comparison!$E$80</definedName>
    <definedName name="FDP_92_1_aUrv" hidden="1">[12]Comparison!$E$81</definedName>
    <definedName name="FDP_93_1_aUrv" hidden="1">[12]Comparison!$E$82</definedName>
    <definedName name="FDP_94_1_aUrv" hidden="1">[12]Comparison!$E$83</definedName>
    <definedName name="FDP_95_1_aUrv" hidden="1">[12]Comparison!$E$84</definedName>
    <definedName name="FDP_96_1_aUrv" hidden="1">[12]Comparison!$E$92</definedName>
    <definedName name="FDP_97_1_aUrv" hidden="1">[12]Comparison!$E$93</definedName>
    <definedName name="FDP_98_1_aUrv" hidden="1">[12]Comparison!$E$94</definedName>
    <definedName name="FDP_99_1_aUrv" hidden="1">[12]Comparison!$E$95</definedName>
    <definedName name="FINEXP">[6]Financials!$B$62:$AH$62</definedName>
    <definedName name="FiveYearGrowthRate" localSheetId="7">IndexInformation!$B$16</definedName>
    <definedName name="FollowingYearEPS" localSheetId="7">IndexInformation!$B$15</definedName>
    <definedName name="FollowingYearTotalRevenue" localSheetId="7">IndexInformation!$B$14</definedName>
    <definedName name="FollowingYearTotalRevenueActual" localSheetId="7">IndexInformation!$B$34</definedName>
    <definedName name="FORCURR">[6]Financials!$B$63:$AH$63</definedName>
    <definedName name="forecast" localSheetId="3" hidden="1">{"cover a","1q",FALSE,"Cover";"Op Earn Mgd Q1",#N/A,FALSE,"Op-Earn (Mng)";"Op Earn Rpt Q1",#N/A,FALSE,"Op-Earn (Rpt)";"Loans",#N/A,FALSE,"Loans";"Credit Costs",#N/A,FALSE,"CCosts";"Net Interest Margin",#N/A,FALSE,"Margin";"Nonint Income",#N/A,FALSE,"NonII";"Nonint Exp",#N/A,FALSE,"NonIE";"Valuation",#N/A,FALSE,"Valuation"}</definedName>
    <definedName name="forecast" localSheetId="4" hidden="1">{"cover a","1q",FALSE,"Cover";"Op Earn Mgd Q1",#N/A,FALSE,"Op-Earn (Mng)";"Op Earn Rpt Q1",#N/A,FALSE,"Op-Earn (Rpt)";"Loans",#N/A,FALSE,"Loans";"Credit Costs",#N/A,FALSE,"CCosts";"Net Interest Margin",#N/A,FALSE,"Margin";"Nonint Income",#N/A,FALSE,"NonII";"Nonint Exp",#N/A,FALSE,"NonIE";"Valuation",#N/A,FALSE,"Valuation"}</definedName>
    <definedName name="forecast" hidden="1">{"cover a","1q",FALSE,"Cover";"Op Earn Mgd Q1",#N/A,FALSE,"Op-Earn (Mng)";"Op Earn Rpt Q1",#N/A,FALSE,"Op-Earn (Rpt)";"Loans",#N/A,FALSE,"Loans";"Credit Costs",#N/A,FALSE,"CCosts";"Net Interest Margin",#N/A,FALSE,"Margin";"Nonint Income",#N/A,FALSE,"NonII";"Nonint Exp",#N/A,FALSE,"NonIE";"Valuation",#N/A,FALSE,"Valuation"}</definedName>
    <definedName name="FR_CODE_COPY_LINK">" "</definedName>
    <definedName name="FR_CODE_DOWNLOAD_START">" "</definedName>
    <definedName name="FR_CODE_STOCK_LINK">" "</definedName>
    <definedName name="FR_COM_ABBR">"CHKP"</definedName>
    <definedName name="FR_COM_AGG">0</definedName>
    <definedName name="FR_COU_ABBR">"usa"</definedName>
    <definedName name="FR_COU_NAME_LINK">" "</definedName>
    <definedName name="FR_DATABOX_DOWNLOAD">"N"</definedName>
    <definedName name="FR_DISP_HIDDEN">FALSE</definedName>
    <definedName name="FR_END_DATE">"'"</definedName>
    <definedName name="FR_LINKS_OVERRUN">TRUE</definedName>
    <definedName name="FR_LOG_END_DATE">"'"</definedName>
    <definedName name="FR_LOG_START_DATE">"'"</definedName>
    <definedName name="FR_PROTECT">"TRUE"</definedName>
    <definedName name="FR_RATIO_ABBR">"VDF_RATIO_BUNDLE"</definedName>
    <definedName name="FR_RATIO_COM_ABBR">"CWG.L"</definedName>
    <definedName name="FR_RATIO_COU_ABBR">"uk"</definedName>
    <definedName name="FR_RATIO_IGNORE_PROT_FLAG">TRUE</definedName>
    <definedName name="FR_RATIO_RECALC_FLAG">TRUE</definedName>
    <definedName name="FR_REPORT_TYPE">""</definedName>
    <definedName name="FR_RPT_AREA_LINK">" "</definedName>
    <definedName name="FR_RPT_FOOTER_LINK">" "</definedName>
    <definedName name="FR_RPT_HEADER_LINK">" "</definedName>
    <definedName name="FR_RPT_LINE_SPACING">1</definedName>
    <definedName name="FR_RPT_PAGE_BREAK">0</definedName>
    <definedName name="FR_SDS_KEY">1</definedName>
    <definedName name="FR_SHOW_LINK_MARKER">FALSE</definedName>
    <definedName name="FR_START_DATE">"'"</definedName>
    <definedName name="FR_SYBASE_SERVER">"PNYEQFRD01"</definedName>
    <definedName name="FR_TEMPLATE_KEY">"69924|1"</definedName>
    <definedName name="FR_USE_BILLIONS">FALSE</definedName>
    <definedName name="FR_USE_DIMFAC">TRUE</definedName>
    <definedName name="FR_USE_LOCAL_CCY">FALSE</definedName>
    <definedName name="FR_USE_PRICEFACTORING">FALSE</definedName>
    <definedName name="FR_USE_SCALE_FLAG">TRUE</definedName>
    <definedName name="GGG" localSheetId="3" hidden="1">{"quartfin",#N/A,FALSE,"quartfin"}</definedName>
    <definedName name="GGG" localSheetId="4" hidden="1">{"quartfin",#N/A,FALSE,"quartfin"}</definedName>
    <definedName name="GGG" hidden="1">{"quartfin",#N/A,FALSE,"quartfin"}</definedName>
    <definedName name="gggg" localSheetId="1" hidden="1">{"fdsup://directions/FAT Viewer?action=UPDATE&amp;creator=factset&amp;DYN_ARGS=TRUE&amp;DOC_NAME=FAT:FQL_AUDITING_CLIENT_TEMPLATE.FAT&amp;display_string=Audit&amp;VAR:KEY=LWNEPKPEBA&amp;VAR:QUERY=RkZfRUJJVERBX0lCKCdBTk4nLDIwMDgp&amp;WINDOW=FIRST_POPUP&amp;HEIGHT=450&amp;WIDTH=450&amp;START_MAXIMI","ZED=FALSE&amp;VAR:CALENDAR=FIVEDAY&amp;VAR:SYMBOL=PFE&amp;VAR:INDEX=0"}</definedName>
    <definedName name="gggg" localSheetId="3" hidden="1">{"fdsup://directions/FAT Viewer?action=UPDATE&amp;creator=factset&amp;DYN_ARGS=TRUE&amp;DOC_NAME=FAT:FQL_AUDITING_CLIENT_TEMPLATE.FAT&amp;display_string=Audit&amp;VAR:KEY=LWNEPKPEBA&amp;VAR:QUERY=RkZfRUJJVERBX0lCKCdBTk4nLDIwMDgp&amp;WINDOW=FIRST_POPUP&amp;HEIGHT=450&amp;WIDTH=450&amp;START_MAXIMI","ZED=FALSE&amp;VAR:CALENDAR=FIVEDAY&amp;VAR:SYMBOL=PFE&amp;VAR:INDEX=0"}</definedName>
    <definedName name="gggg" localSheetId="4" hidden="1">{"fdsup://directions/FAT Viewer?action=UPDATE&amp;creator=factset&amp;DYN_ARGS=TRUE&amp;DOC_NAME=FAT:FQL_AUDITING_CLIENT_TEMPLATE.FAT&amp;display_string=Audit&amp;VAR:KEY=LWNEPKPEBA&amp;VAR:QUERY=RkZfRUJJVERBX0lCKCdBTk4nLDIwMDgp&amp;WINDOW=FIRST_POPUP&amp;HEIGHT=450&amp;WIDTH=450&amp;START_MAXIMI","ZED=FALSE&amp;VAR:CALENDAR=FIVEDAY&amp;VAR:SYMBOL=PFE&amp;VAR:INDEX=0"}</definedName>
    <definedName name="gggg" hidden="1">{"fdsup://directions/FAT Viewer?action=UPDATE&amp;creator=factset&amp;DYN_ARGS=TRUE&amp;DOC_NAME=FAT:FQL_AUDITING_CLIENT_TEMPLATE.FAT&amp;display_string=Audit&amp;VAR:KEY=LWNEPKPEBA&amp;VAR:QUERY=RkZfRUJJVERBX0lCKCdBTk4nLDIwMDgp&amp;WINDOW=FIRST_POPUP&amp;HEIGHT=450&amp;WIDTH=450&amp;START_MAXIMI","ZED=FALSE&amp;VAR:CALENDAR=FIVEDAY&amp;VAR:SYMBOL=PFE&amp;VAR:INDEX=0"}</definedName>
    <definedName name="HHIhs" localSheetId="3" hidden="1">{"short1",#N/A,FALSE,"masmode";"short2",#N/A,FALSE,"masmode";"qtrres",#N/A,FALSE,"QTR. RES.";"sales",#N/A,FALSE,"Sales &amp; Market Share"}</definedName>
    <definedName name="HHIhs" localSheetId="4" hidden="1">{"short1",#N/A,FALSE,"masmode";"short2",#N/A,FALSE,"masmode";"qtrres",#N/A,FALSE,"QTR. RES.";"sales",#N/A,FALSE,"Sales &amp; Market Share"}</definedName>
    <definedName name="HHIhs" hidden="1">{"short1",#N/A,FALSE,"masmode";"short2",#N/A,FALSE,"masmode";"qtrres",#N/A,FALSE,"QTR. RES.";"sales",#N/A,FALSE,"Sales &amp; Market Share"}</definedName>
    <definedName name="hi" localSheetId="1" hidden="1">{"fdsup://directions/FAT Viewer?action=UPDATE&amp;creator=factset&amp;DYN_ARGS=TRUE&amp;DOC_NAME=FAT:FQL_AUDITING_CLIENT_TEMPLATE.FAT&amp;display_string=Audit&amp;VAR:KEY=LWNEPKPEBA&amp;VAR:QUERY=RkZfRUJJVERBX0lCKCdBTk4nLDIwMDgp&amp;WINDOW=FIRST_POPUP&amp;HEIGHT=450&amp;WIDTH=450&amp;START_MAXIMI","ZED=FALSE&amp;VAR:CALENDAR=FIVEDAY&amp;VAR:SYMBOL=PFE&amp;VAR:INDEX=0"}</definedName>
    <definedName name="hi" localSheetId="3" hidden="1">{"fdsup://directions/FAT Viewer?action=UPDATE&amp;creator=factset&amp;DYN_ARGS=TRUE&amp;DOC_NAME=FAT:FQL_AUDITING_CLIENT_TEMPLATE.FAT&amp;display_string=Audit&amp;VAR:KEY=LWNEPKPEBA&amp;VAR:QUERY=RkZfRUJJVERBX0lCKCdBTk4nLDIwMDgp&amp;WINDOW=FIRST_POPUP&amp;HEIGHT=450&amp;WIDTH=450&amp;START_MAXIMI","ZED=FALSE&amp;VAR:CALENDAR=FIVEDAY&amp;VAR:SYMBOL=PFE&amp;VAR:INDEX=0"}</definedName>
    <definedName name="hi" localSheetId="4" hidden="1">{"fdsup://directions/FAT Viewer?action=UPDATE&amp;creator=factset&amp;DYN_ARGS=TRUE&amp;DOC_NAME=FAT:FQL_AUDITING_CLIENT_TEMPLATE.FAT&amp;display_string=Audit&amp;VAR:KEY=LWNEPKPEBA&amp;VAR:QUERY=RkZfRUJJVERBX0lCKCdBTk4nLDIwMDgp&amp;WINDOW=FIRST_POPUP&amp;HEIGHT=450&amp;WIDTH=450&amp;START_MAXIMI","ZED=FALSE&amp;VAR:CALENDAR=FIVEDAY&amp;VAR:SYMBOL=PFE&amp;VAR:INDEX=0"}</definedName>
    <definedName name="hi" hidden="1">{"fdsup://directions/FAT Viewer?action=UPDATE&amp;creator=factset&amp;DYN_ARGS=TRUE&amp;DOC_NAME=FAT:FQL_AUDITING_CLIENT_TEMPLATE.FAT&amp;display_string=Audit&amp;VAR:KEY=LWNEPKPEBA&amp;VAR:QUERY=RkZfRUJJVERBX0lCKCdBTk4nLDIwMDgp&amp;WINDOW=FIRST_POPUP&amp;HEIGHT=450&amp;WIDTH=450&amp;START_MAXIMI","ZED=FALSE&amp;VAR:CALENDAR=FIVEDAY&amp;VAR:SYMBOL=PFE&amp;VAR:INDEX=0"}</definedName>
    <definedName name="HL" localSheetId="8">ModPubIndex!$A$8</definedName>
    <definedName name="hn.ModelVersion" hidden="1">1</definedName>
    <definedName name="hn.NoUpload" hidden="1">0</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 hidden="1">'[13]Qtr Income'!$A$1:$W$160</definedName>
    <definedName name="Img_ML_7g5e5e2b" hidden="1">"IMG_12"</definedName>
    <definedName name="INCTAX">[6]Financials!$B$68:$AH$68</definedName>
    <definedName name="INCTAXPD">[6]Financials!$B$207:$AH$207</definedName>
    <definedName name="IND" localSheetId="8">ModPubIndex!$A$9</definedName>
    <definedName name="Industry" localSheetId="0">ImportantDisclosures!$A$12</definedName>
    <definedName name="IndustryId">IndexInformation!$B$40</definedName>
    <definedName name="IndustryRating" localSheetId="0">ImportantDisclosures!$A$13</definedName>
    <definedName name="Infgod" localSheetId="3" hidden="1">{"monthlyunits",#N/A,FALSE,"openings"}</definedName>
    <definedName name="Infgod" localSheetId="4" hidden="1">{"monthlyunits",#N/A,FALSE,"openings"}</definedName>
    <definedName name="Infgod" hidden="1">{"monthlyunits",#N/A,FALSE,"openings"}</definedName>
    <definedName name="Infosed" localSheetId="3" hidden="1">{"quartfin",#N/A,FALSE,"quartfin"}</definedName>
    <definedName name="Infosed" localSheetId="4" hidden="1">{"quartfin",#N/A,FALSE,"quartfin"}</definedName>
    <definedName name="Infosed" hidden="1">{"quartfin",#N/A,FALSE,"quartfin"}</definedName>
    <definedName name="INTEXP">[6]Financials!$B$64:$AH$64</definedName>
    <definedName name="INTPD">[6]Financials!$B$206:$AH$206</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DUSTRY_REC" hidden="1">"c4455"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FLOW_ACT_OR_EST" hidden="1">"c4154"</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ACT_OR_EST" hidden="1">"c2217"</definedName>
    <definedName name="IQ_CFPS_EST" hidden="1">"c1667"</definedName>
    <definedName name="IQ_CFPS_HIGH_EST" hidden="1">"c1669"</definedName>
    <definedName name="IQ_CFPS_LOW_EST" hidden="1">"c1670"</definedName>
    <definedName name="IQ_CFPS_MEDIAN_EST" hidden="1">"c1668"</definedName>
    <definedName name="IQ_CFPS_NUM_EST" hidden="1">"c1671"</definedName>
    <definedName name="IQ_CFPS_STDDEV_EST" hidden="1">"c1672"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OSITS_INTEREST_SECURITIES" hidden="1">"c5509"</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localSheetId="3" hidden="1">"c2205"</definedName>
    <definedName name="IQ_DIV_PAYMENT_DATE" localSheetId="4" hidden="1">"c2205"</definedName>
    <definedName name="IQ_DIV_PAYMENT_DATE" hidden="1">"c2106"</definedName>
    <definedName name="IQ_DIV_RECORD_DATE" localSheetId="3" hidden="1">"c2204"</definedName>
    <definedName name="IQ_DIV_RECORD_DATE" localSheetId="4" hidden="1">"c2204"</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PS_ACT_OR_EST" hidden="1">"c2218"</definedName>
    <definedName name="IQ_DPS_EST" hidden="1">"c1674"</definedName>
    <definedName name="IQ_DPS_HIGH_EST" hidden="1">"c1676"</definedName>
    <definedName name="IQ_DPS_LOW_EST" hidden="1">"c1677"</definedName>
    <definedName name="IQ_DPS_MEDIAN_EST" hidden="1">"c1675"</definedName>
    <definedName name="IQ_DPS_NUM_EST" hidden="1">"c1678"</definedName>
    <definedName name="IQ_DPS_STDDEV_EST" hidden="1">"c1679"</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ACT_OR_EST" hidden="1">"c2219"</definedName>
    <definedName name="IQ_EBIT_EQ_INC" hidden="1">"c3498"</definedName>
    <definedName name="IQ_EBIT_EQ_INC_EXCL_SBC" hidden="1">"c3502"</definedName>
    <definedName name="IQ_EBIT_EST" hidden="1">"c1681"</definedName>
    <definedName name="IQ_EBIT_EXCL_SBC" hidden="1">"c3082"</definedName>
    <definedName name="IQ_EBIT_GW_ACT_OR_EST" hidden="1">"c4306"</definedName>
    <definedName name="IQ_EBIT_HIGH_EST" hidden="1">"c1683"</definedName>
    <definedName name="IQ_EBIT_INT" hidden="1">"c360"</definedName>
    <definedName name="IQ_EBIT_LOW_EST" hidden="1">"c1684"</definedName>
    <definedName name="IQ_EBIT_MARGIN" hidden="1">"c359"</definedName>
    <definedName name="IQ_EBIT_MEDIAN_EST" hidden="1">"c1682"</definedName>
    <definedName name="IQ_EBIT_NUM_EST" hidden="1">"c1685"</definedName>
    <definedName name="IQ_EBIT_OVER_IE" hidden="1">"c1369"</definedName>
    <definedName name="IQ_EBIT_SBC_ACT_OR_EST" hidden="1">"c4316"</definedName>
    <definedName name="IQ_EBIT_SBC_GW_ACT_OR_EST" hidden="1">"c4320"</definedName>
    <definedName name="IQ_EBIT_STDDEV_EST" hidden="1">"c1686"</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ACT_OR_EST" hidden="1">"c2215"</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 hidden="1">"c1663"</definedName>
    <definedName name="IQ_EBITDA_MEDIAN_EST_REUT" hidden="1">"c3641"</definedName>
    <definedName name="IQ_EBITDA_NUM_EST" hidden="1">"c374"</definedName>
    <definedName name="IQ_EBITDA_NUM_EST_REUT" hidden="1">"c3644"</definedName>
    <definedName name="IQ_EBITDA_OVER_TOTAL_IE" hidden="1">"c1371"</definedName>
    <definedName name="IQ_EBITDA_SBC_ACT_OR_EST" hidden="1">"c4337"</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SBC_ACT_OR_EST" hidden="1">"c4350"</definedName>
    <definedName name="IQ_EBT_SBC_GW_ACT_OR_EST" hidden="1">"c4354"</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ACT_OR_EST" hidden="1">"c2213"</definedName>
    <definedName name="IQ_EPS_EST" hidden="1">"c399"</definedName>
    <definedName name="IQ_EPS_EST_REUT" hidden="1">"c5453"</definedName>
    <definedName name="IQ_EPS_GW_ACT_OR_EST" hidden="1">"c2223"</definedName>
    <definedName name="IQ_EPS_GW_EST" hidden="1">"c1737"</definedName>
    <definedName name="IQ_EPS_GW_HIGH_EST" hidden="1">"c1739"</definedName>
    <definedName name="IQ_EPS_GW_LOW_EST" hidden="1">"c1740"</definedName>
    <definedName name="IQ_EPS_GW_MEDIAN_EST" hidden="1">"c1738"</definedName>
    <definedName name="IQ_EPS_GW_NUM_EST" hidden="1">"c1741"</definedName>
    <definedName name="IQ_EPS_GW_STDDEV_EST" hidden="1">"c1742"</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RM" hidden="1">"c1902"</definedName>
    <definedName name="IQ_EPS_NORM_EST" hidden="1">"c2226"</definedName>
    <definedName name="IQ_EPS_NORM_HIGH_EST" hidden="1">"c2228"</definedName>
    <definedName name="IQ_EPS_NORM_LOW_EST" hidden="1">"c2229"</definedName>
    <definedName name="IQ_EPS_NORM_MEDIAN_EST" hidden="1">"c2227"</definedName>
    <definedName name="IQ_EPS_NORM_NUM_EST" hidden="1">"c2230"</definedName>
    <definedName name="IQ_EPS_NORM_STDDEV_EST" hidden="1">"c2231"</definedName>
    <definedName name="IQ_EPS_NUM_EST" hidden="1">"c402"</definedName>
    <definedName name="IQ_EPS_NUM_EST_REUT" hidden="1">"c5451"</definedName>
    <definedName name="IQ_EPS_REPORT_ACT_OR_EST" hidden="1">"c2224"</definedName>
    <definedName name="IQ_EPS_REPORTED_EST" hidden="1">"c1744"</definedName>
    <definedName name="IQ_EPS_REPORTED_HIGH_EST" hidden="1">"c1746"</definedName>
    <definedName name="IQ_EPS_REPORTED_LOW_EST" hidden="1">"c1747"</definedName>
    <definedName name="IQ_EPS_REPORTED_MEDIAN_EST" hidden="1">"c1745"</definedName>
    <definedName name="IQ_EPS_REPORTED_NUM_EST" hidden="1">"c1748"</definedName>
    <definedName name="IQ_EPS_REPORTED_STDDEV_EST" hidden="1">"c1749"</definedName>
    <definedName name="IQ_EPS_SBC_ACT_OR_EST" hidden="1">"c4376"</definedName>
    <definedName name="IQ_EPS_SBC_GW_ACT_OR_EST" hidden="1">"c4380"</definedName>
    <definedName name="IQ_EPS_STDDEV_EST" hidden="1">"c403"</definedName>
    <definedName name="IQ_EPS_STDDEV_EST_REUT" hidden="1">"c5452"</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CFPS" hidden="1">"c1673"</definedName>
    <definedName name="IQ_EST_ACT_DPS" hidden="1">"c1680"</definedName>
    <definedName name="IQ_EST_ACT_EBIT" hidden="1">"c1687"</definedName>
    <definedName name="IQ_EST_ACT_EBITDA" hidden="1">"c1664"</definedName>
    <definedName name="IQ_EST_ACT_EPS" hidden="1">"c1648"</definedName>
    <definedName name="IQ_EST_ACT_EPS_GW" hidden="1">"c1743"</definedName>
    <definedName name="IQ_EST_ACT_EPS_NORM" hidden="1">"c2232"</definedName>
    <definedName name="IQ_EST_ACT_EPS_REPORTED" hidden="1">"c1750"</definedName>
    <definedName name="IQ_EST_ACT_FFO" hidden="1">"c1666"</definedName>
    <definedName name="IQ_EST_ACT_NAV" hidden="1">"c1757"</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V" hidden="1">"c2113"</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CURRENCY_REUT" hidden="1">"c5437"</definedName>
    <definedName name="IQ_EST_DATE" hidden="1">"c1634"</definedName>
    <definedName name="IQ_EST_DATE_REUT" hidden="1">"c5438"</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SURPRISE_PERCENT" hidden="1">"c1876"</definedName>
    <definedName name="IQ_EST_EBITDA_DIFF" hidden="1">"c1867"</definedName>
    <definedName name="IQ_EST_EBITDA_GROWTH_1YR" hidden="1">"c1766"</definedName>
    <definedName name="IQ_EST_EBITDA_GROWTH_2YR" hidden="1">"c1767"</definedName>
    <definedName name="IQ_EST_EBITDA_GROWTH_Q_1YR" hidden="1">"c1768"</definedName>
    <definedName name="IQ_EST_EBITDA_SEQ_GROWTH_Q" hidden="1">"c1769"</definedName>
    <definedName name="IQ_EST_EBITDA_SURPRISE_PERCENT" hidden="1">"c1868"</definedName>
    <definedName name="IQ_EST_EPS_DIFF" hidden="1">"c1864"</definedName>
    <definedName name="IQ_EST_EPS_GROWTH_1YR" hidden="1">"c1636"</definedName>
    <definedName name="IQ_EST_EPS_GROWTH_1YR_REUT" hidden="1">"c3646"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REUT" hidden="1">"c3633"</definedName>
    <definedName name="IQ_EST_EPS_GROWTH_5YR_STDDEV" hidden="1">"c1660"</definedName>
    <definedName name="IQ_EST_EPS_GROWTH_Q_1YR" hidden="1">"c1641"</definedName>
    <definedName name="IQ_EST_EPS_GROWTH_Q_1YR_REUT" hidden="1">"c5410"</definedName>
    <definedName name="IQ_EST_EPS_GW_DIFF" hidden="1">"c1891"</definedName>
    <definedName name="IQ_EST_EPS_GW_SURPRISE_PERCENT" hidden="1">"c1892"</definedName>
    <definedName name="IQ_EST_EPS_NORM_DIFF" hidden="1">"c2247"</definedName>
    <definedName name="IQ_EST_EPS_NORM_SURPRISE_PERCENT" hidden="1">"c2248"</definedName>
    <definedName name="IQ_EST_EPS_REPORT_DIFF" hidden="1">"c1893"</definedName>
    <definedName name="IQ_EST_EPS_REPORT_SURPRISE_PERCENT" hidden="1">"c1894"</definedName>
    <definedName name="IQ_EST_EPS_SEQ_GROWTH_Q" hidden="1">"c1764"</definedName>
    <definedName name="IQ_EST_EPS_SURPRISE_PERCENT" hidden="1">"c1635"</definedName>
    <definedName name="IQ_EST_FFO_DIFF" hidden="1">"c1869"</definedName>
    <definedName name="IQ_EST_FFO_GROWTH_1YR" hidden="1">"c1770"</definedName>
    <definedName name="IQ_EST_FFO_GROWTH_2YR" hidden="1">"c1771"</definedName>
    <definedName name="IQ_EST_FFO_GROWTH_Q_1YR" hidden="1">"c1772"</definedName>
    <definedName name="IQ_EST_FFO_SEQ_GROWTH_Q" hidden="1">"c1773"</definedName>
    <definedName name="IQ_EST_FFO_SURPRISE_PERCENT" hidden="1">"c1870"</definedName>
    <definedName name="IQ_EST_NAV_DIFF" hidden="1">"c1895"</definedName>
    <definedName name="IQ_EST_NAV_SURPRISE_PERCENT" hidden="1">"c1896"</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UM_BUY" hidden="1">"c1759"</definedName>
    <definedName name="IQ_EST_NUM_HOLD" hidden="1">"c1761"</definedName>
    <definedName name="IQ_EST_NUM_NO_OPINION" hidden="1">"c1758"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V_DIFF" hidden="1">"c1865"</definedName>
    <definedName name="IQ_EST_REV_GROWTH_1YR" hidden="1">"c1638"</definedName>
    <definedName name="IQ_EST_REV_GROWTH_2YR" hidden="1">"c1639"</definedName>
    <definedName name="IQ_EST_REV_GROWTH_Q_1YR" hidden="1">"c1640"</definedName>
    <definedName name="IQ_EST_REV_SEQ_GROWTH_Q" hidden="1">"c1765"</definedName>
    <definedName name="IQ_EST_REV_SURPRISE_PERCENT" hidden="1">"c1866"</definedName>
    <definedName name="IQ_EST_VENDOR" hidden="1">"c5564"</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HIGH_EST" hidden="1">"c419"</definedName>
    <definedName name="IQ_FFO_LOW_EST" hidden="1">"c420"</definedName>
    <definedName name="IQ_FFO_MEDIAN_EST" hidden="1">"c1665"</definedName>
    <definedName name="IQ_FFO_NUM_EST" hidden="1">"c421"</definedName>
    <definedName name="IQ_FFO_PAYOUT_RATIO" hidden="1">"c3492"</definedName>
    <definedName name="IQ_FFO_SHARE_ACT_OR_EST" hidden="1">"c4446"</definedName>
    <definedName name="IQ_FFO_STDDEV_EST" hidden="1">"c422"</definedName>
    <definedName name="IQ_FH" hidden="1">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_DIV_ST_DEBT_TOTAL" hidden="1">"c5527"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_TARGET_PRICE_REUT" hidden="1">"c5317"</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_SECURITY_SUPPL" hidden="1">"c5511"</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AMES_REVISION_DATE_" hidden="1">40084.4202199074</definedName>
    <definedName name="IQ_NAV_ACT_OR_EST" hidden="1">"c2225"</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TDDEV_EST" hidden="1">"c1756"</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CT_OR_EST" hidden="1">"c2222"</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LOW_EST" hidden="1">"c1719"</definedName>
    <definedName name="IQ_NI_MARGIN" hidden="1">"c794"</definedName>
    <definedName name="IQ_NI_MEDIAN_EST" hidden="1">"c1717"</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ACT_OR_EST" hidden="1">"c2220"</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IT" hidden="1">"c853"</definedName>
    <definedName name="IQ_OPER_INC_STDDEV_EST" hidden="1">"c1693"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MORT" hidden="1">"c5563"</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"c2127"</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 hidden="1">"c1863"</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8MONTHS" hidden="1">"c1853"</definedName>
    <definedName name="IQ_PERCENT_CHANGE_EST_5YR_GROWTH_RATE_3MONTHS" hidden="1">"c1849"</definedName>
    <definedName name="IQ_PERCENT_CHANGE_EST_5YR_GROWTH_RATE_6MONTHS" hidden="1">"c1850"</definedName>
    <definedName name="IQ_PERCENT_CHANGE_EST_5YR_GROWTH_RATE_9MONTHS" hidden="1">"c1851"</definedName>
    <definedName name="IQ_PERCENT_CHANGE_EST_5YR_GROWTH_RATE_DAY" hidden="1">"c1846"</definedName>
    <definedName name="IQ_PERCENT_CHANGE_EST_5YR_GROWTH_RATE_MONTH" hidden="1">"c1848"</definedName>
    <definedName name="IQ_PERCENT_CHANGE_EST_5YR_GROWTH_RATE_WEEK" hidden="1">"c1847"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8MONTHS" hidden="1">"c1805"</definedName>
    <definedName name="IQ_PERCENT_CHANGE_EST_EBITDA_3MONTHS" hidden="1">"c1801"</definedName>
    <definedName name="IQ_PERCENT_CHANGE_EST_EBITDA_6MONTHS" hidden="1">"c1802"</definedName>
    <definedName name="IQ_PERCENT_CHANGE_EST_EBITDA_9MONTHS" hidden="1">"c1803"</definedName>
    <definedName name="IQ_PERCENT_CHANGE_EST_EBITDA_DAY" hidden="1">"c1798"</definedName>
    <definedName name="IQ_PERCENT_CHANGE_EST_EBITDA_MONTH" hidden="1">"c1800"</definedName>
    <definedName name="IQ_PERCENT_CHANGE_EST_EBITDA_WEEK" hidden="1">"c1799"</definedName>
    <definedName name="IQ_PERCENT_CHANGE_EST_EPS_12MONTHS" hidden="1">"c1788"</definedName>
    <definedName name="IQ_PERCENT_CHANGE_EST_EPS_18MONTHS" hidden="1">"c1789"</definedName>
    <definedName name="IQ_PERCENT_CHANGE_EST_EPS_3MONTHS" hidden="1">"c1785"</definedName>
    <definedName name="IQ_PERCENT_CHANGE_EST_EPS_6MONTHS" hidden="1">"c1786"</definedName>
    <definedName name="IQ_PERCENT_CHANGE_EST_EPS_9MONTHS" hidden="1">"c1787"</definedName>
    <definedName name="IQ_PERCENT_CHANGE_EST_EPS_DAY" hidden="1">"c1782"</definedName>
    <definedName name="IQ_PERCENT_CHANGE_EST_EPS_MONTH" hidden="1">"c1784"</definedName>
    <definedName name="IQ_PERCENT_CHANGE_EST_EPS_WEEK" hidden="1">"c1783"</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8MONTHS" hidden="1">"c1845"</definedName>
    <definedName name="IQ_PERCENT_CHANGE_EST_PRICE_TARGET_3MONTHS" hidden="1">"c1841"</definedName>
    <definedName name="IQ_PERCENT_CHANGE_EST_PRICE_TARGET_6MONTHS" hidden="1">"c1842"</definedName>
    <definedName name="IQ_PERCENT_CHANGE_EST_PRICE_TARGET_9MONTHS" hidden="1">"c1843"</definedName>
    <definedName name="IQ_PERCENT_CHANGE_EST_PRICE_TARGET_DAY" hidden="1">"c1838"</definedName>
    <definedName name="IQ_PERCENT_CHANGE_EST_PRICE_TARGET_MONTH" hidden="1">"c1840"</definedName>
    <definedName name="IQ_PERCENT_CHANGE_EST_PRICE_TARGET_WEEK" hidden="1">"c1839"</definedName>
    <definedName name="IQ_PERCENT_CHANGE_EST_RECO_12MONTHS" hidden="1">"c1836"</definedName>
    <definedName name="IQ_PERCENT_CHANGE_EST_RECO_18MONTHS" hidden="1">"c1837"</definedName>
    <definedName name="IQ_PERCENT_CHANGE_EST_RECO_3MONTHS" hidden="1">"c1833"</definedName>
    <definedName name="IQ_PERCENT_CHANGE_EST_RECO_6MONTHS" hidden="1">"c1834"</definedName>
    <definedName name="IQ_PERCENT_CHANGE_EST_RECO_9MONTHS" hidden="1">"c1835"</definedName>
    <definedName name="IQ_PERCENT_CHANGE_EST_RECO_DAY" hidden="1">"c1830"</definedName>
    <definedName name="IQ_PERCENT_CHANGE_EST_RECO_MONTH" hidden="1">"c1832"</definedName>
    <definedName name="IQ_PERCENT_CHANGE_EST_RECO_WEEK" hidden="1">"c1831"</definedName>
    <definedName name="IQ_PERCENT_CHANGE_EST_REV_12MONTHS" hidden="1">"c1796"</definedName>
    <definedName name="IQ_PERCENT_CHANGE_EST_REV_18MONTHS" hidden="1">"c1797"</definedName>
    <definedName name="IQ_PERCENT_CHANGE_EST_REV_3MONTHS" hidden="1">"c1793"</definedName>
    <definedName name="IQ_PERCENT_CHANGE_EST_REV_6MONTHS" hidden="1">"c1794"</definedName>
    <definedName name="IQ_PERCENT_CHANGE_EST_REV_9MONTHS" hidden="1">"c1795"</definedName>
    <definedName name="IQ_PERCENT_CHANGE_EST_REV_DAY" hidden="1">"c1790"</definedName>
    <definedName name="IQ_PERCENT_CHANGE_EST_REV_MONTH" hidden="1">"c1792"</definedName>
    <definedName name="IQ_PERCENT_CHANGE_EST_REV_WEEK" hidden="1">"c1791"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RE_OPEN_COST" hidden="1">"c1040"</definedName>
    <definedName name="IQ_PRE_TAX_ACT_OR_EST" hidden="1">"c2221"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ICE_CFPS_FWD" hidden="1">"c2237"</definedName>
    <definedName name="IQ_PRICE_OVER_BVPS" hidden="1">"c1412"</definedName>
    <definedName name="IQ_PRICE_OVER_LTM_EPS" hidden="1">"c1413"</definedName>
    <definedName name="IQ_PRICE_TARGET" hidden="1">"c82"</definedName>
    <definedName name="IQ_PRICE_TARGET_REUT" hidden="1">"c3631"</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CURRING_PROFIT_ACT_OR_EST" hidden="1">"c4507"</definedName>
    <definedName name="IQ_RECURRING_PROFIT_SHARE_ACT_OR_EST" hidden="1">"c4508"</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ENUE" hidden="1">"c1422"</definedName>
    <definedName name="IQ_REVENUE_ACT_OR_EST" hidden="1">"c2214"</definedName>
    <definedName name="IQ_REVENUE_EST" hidden="1">"c1126"</definedName>
    <definedName name="IQ_REVENUE_EST_REUT" hidden="1">"c3634"</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 hidden="1">"c1662"</definedName>
    <definedName name="IQ_REVENUE_MEDIAN_EST_REUT" hidden="1">"c3635"</definedName>
    <definedName name="IQ_REVENUE_NUM_EST" hidden="1">"c1129"</definedName>
    <definedName name="IQ_REVENUE_NUM_EST_REUT" hidden="1">"c3638"</definedName>
    <definedName name="IQ_REVISION_DATE_" localSheetId="3" hidden="1">38919.6634375</definedName>
    <definedName name="IQ_REVISION_DATE_" localSheetId="4" hidden="1">38919.6634375</definedName>
    <definedName name="IQ_REVISION_DATE_" hidden="1">39489.6256597222</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NUM_REUT" hidden="1">"c5319"</definedName>
    <definedName name="IQ_TARGET_PRICE_STDDEV" hidden="1">"c1654"</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XDIV_DATE" localSheetId="3" hidden="1">"c2203"</definedName>
    <definedName name="IQ_XDIV_DATE" localSheetId="4" hidden="1">"c2203"</definedName>
    <definedName name="IQ_XDIV_DATE" hidden="1">"c2104"</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iQShowHideColumns" hidden="1">"iQShowAll"</definedName>
    <definedName name="ISMethod">1</definedName>
    <definedName name="KeepVersions" localSheetId="7">IndexInformation!$B$8</definedName>
    <definedName name="LanguageCode">IndexInformation!$B$38</definedName>
    <definedName name="LastCell" localSheetId="0">ImportantDisclosures!$A$22</definedName>
    <definedName name="LastListUpdate">0</definedName>
    <definedName name="limcount" hidden="1">1</definedName>
    <definedName name="Linking_1" localSheetId="1" xml:space="preserve">                        [14]IS!$B$4:$BE$48</definedName>
    <definedName name="Linking_10" localSheetId="1" xml:space="preserve">                                        [14]IS!$B$4:$BE$41</definedName>
    <definedName name="Linking_10">CF!$B$2:$O$40</definedName>
    <definedName name="Linking_11" localSheetId="1" xml:space="preserve">                                         [14]IS!$B$4:$BE$57</definedName>
    <definedName name="Linking_12" localSheetId="1" xml:space="preserve">                                                                                [14]IS!$B$4:$BE$57</definedName>
    <definedName name="Linking_13" localSheetId="1" xml:space="preserve">                                                                                [14]IS!$B$4:$BE$57</definedName>
    <definedName name="Linking_14" localSheetId="1" xml:space="preserve">                                                                                [14]IS!$B$4:$BE$57</definedName>
    <definedName name="Linking_14">IS!$B$4:$BO$42</definedName>
    <definedName name="Linking_15" localSheetId="1" xml:space="preserve">                                        [14]IS!$B$4:$BE$57</definedName>
    <definedName name="Linking_16" localSheetId="1" xml:space="preserve">                                                                                [14]IS!$B$4:$BE$57</definedName>
    <definedName name="Linking_17">DMD!$B$372:$AB$399</definedName>
    <definedName name="Linking_18">DMD!$B$372:$AB$447</definedName>
    <definedName name="Linking_19" localSheetId="4">'DMD Gene Therapy'!$B$4:$AB$33</definedName>
    <definedName name="Linking_19">DMD!$B$4:$AB$174</definedName>
    <definedName name="Linking_2" localSheetId="1" xml:space="preserve">                                                [14]IS!$B$4:$BE$48</definedName>
    <definedName name="Linking_20" localSheetId="4">'DMD Gene Therapy'!$B$50:$AB$85</definedName>
    <definedName name="Linking_20">DMD!$B$181:$AB$314</definedName>
    <definedName name="Linking_21">IS!$B$2:$BO$49</definedName>
    <definedName name="Linking_22">IS!$B$4:$BO$49</definedName>
    <definedName name="Linking_24">IS!$B$2:$BO$42</definedName>
    <definedName name="Linking_27">IS!$B$4:$BO$55</definedName>
    <definedName name="Linking_29">BS!$C$2:$P$42</definedName>
    <definedName name="Linking_3" localSheetId="1" xml:space="preserve">                                                'DCF '!$B$4:$S$27</definedName>
    <definedName name="Linking_30">CF!$B$2:$O$41</definedName>
    <definedName name="Linking_31">IS!$B$4:$BO$43</definedName>
    <definedName name="Linking_32" localSheetId="4">'DMD Gene Therapy'!$B$4:$AB$33</definedName>
    <definedName name="Linking_32">DMD!$B$4:$AB$179</definedName>
    <definedName name="Linking_33" localSheetId="4">'DMD Gene Therapy'!$B$50:$AB$85</definedName>
    <definedName name="Linking_33">DMD!$B$181:$AB$369</definedName>
    <definedName name="Linking_4" localSheetId="1" xml:space="preserve">              [14]Milestones!$B$2:$E$16</definedName>
    <definedName name="Linking_5" localSheetId="1">'DCF '!$B$4:$S$17</definedName>
    <definedName name="Linking_6" localSheetId="1" xml:space="preserve">                                                                                [14]Milestones!$B$2:$E$16</definedName>
    <definedName name="Linking_7" localSheetId="1" xml:space="preserve">                                                                                [14]Milestones!$B$2:$E$16</definedName>
    <definedName name="Linking_8" localSheetId="1" xml:space="preserve">                                        [14]Milestones!$B$2:$E$16</definedName>
    <definedName name="Linking_8">IS!$B$4:$BO$39</definedName>
    <definedName name="Linking_9" localSheetId="1" xml:space="preserve">             [14]Milestones!$B$2:$E$16</definedName>
    <definedName name="Linking_9">BS!$C$2:$P$41</definedName>
    <definedName name="Linking_Range_1">'DCF '!$B$4:$S$27</definedName>
    <definedName name="Linking_Range_2">IS!$B$4:$BO$42</definedName>
    <definedName name="Linking_Range_50">IS!$B$4:$BO$42</definedName>
    <definedName name="MacroVersion" localSheetId="7">IndexInformation!$B$1</definedName>
    <definedName name="ModelPrice" localSheetId="0">ImportantDisclosures!$A$14</definedName>
    <definedName name="MonitorRow">1</definedName>
    <definedName name="MonthlySalesList">'[15]Monthly Sales Master List'!$2:$100</definedName>
    <definedName name="Multiplier" localSheetId="7">IndexInformation!$B$35</definedName>
    <definedName name="NetInc">'[7]Master Inc.'!$B$23:$IV$23</definedName>
    <definedName name="new" localSheetId="3"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new" localSheetId="4"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new"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newstone">{"Client Name or Project Name"}</definedName>
    <definedName name="newstone1">{"Client Name or Project Name"}</definedName>
    <definedName name="NextYearEPS" localSheetId="7">IndexInformation!$B$13</definedName>
    <definedName name="NextYearTotalRevenue" localSheetId="7">IndexInformation!$B$12</definedName>
    <definedName name="NextYearTotalRevenueActual" localSheetId="7">IndexInformation!$B$33</definedName>
    <definedName name="ObjectType">IndexInformation!$B$37</definedName>
    <definedName name="over_15_years">0.1</definedName>
    <definedName name="PANA" localSheetId="8">ModPubIndex!$A$11</definedName>
    <definedName name="PathName" localSheetId="7">IndexInformation!$B$25</definedName>
    <definedName name="pbStartPageNumber">1</definedName>
    <definedName name="pbUpdatePageNumbering">TRUE</definedName>
    <definedName name="PRODUCT" localSheetId="8">ModPubIndex!$A$6</definedName>
    <definedName name="ProjectName">{"BU Name or Client/Project Name"}</definedName>
    <definedName name="pronames">{"Client Name or Project Name"}</definedName>
    <definedName name="PSYM" localSheetId="8">ModPubIndex!$A$4</definedName>
    <definedName name="PublishDate" localSheetId="7">IndexInformation!$B$2</definedName>
    <definedName name="q" hidden="1">'[13]Qtr Sales'!$EM$2:$FJ$127</definedName>
    <definedName name="q196_">[5]Quarterlies!$D$2:$D$65536</definedName>
    <definedName name="q197_">[5]Quarterlies!$K$2:$K$65536</definedName>
    <definedName name="q198_">[5]Quarterlies!$R$2:$R$65536</definedName>
    <definedName name="q199_">[5]Quarterlies!$Y$2:$Y$65536</definedName>
    <definedName name="q296_">[5]Quarterlies!$E$2:$E$65536</definedName>
    <definedName name="q297_">[5]Quarterlies!$L$2:$L$65536</definedName>
    <definedName name="q298_">[5]Quarterlies!$S$2:$S$65536</definedName>
    <definedName name="q299_">[5]Quarterlies!$Z$2:$Z$65536</definedName>
    <definedName name="q396_">[5]Quarterlies!$G$2:$G$65536</definedName>
    <definedName name="q397_">[5]Quarterlies!$N$2:$N$65536</definedName>
    <definedName name="q398_">[5]Quarterlies!$U$2:$U$65536</definedName>
    <definedName name="q496_">[5]Quarterlies!$I$2:$I$65536</definedName>
    <definedName name="q497_">[5]Quarterlies!$P$2:$P$65536</definedName>
    <definedName name="q498_">[5]Quarterlies!$W$2:$W$65536</definedName>
    <definedName name="qcash">[5]Quarterlies!$B$74:$IV$74</definedName>
    <definedName name="qebitda">[5]Quarterlies!$B$20:$IV$20</definedName>
    <definedName name="qeps">[5]Quarterlies!$B$29:$IV$29</definedName>
    <definedName name="qfcf">[5]Quarterlies!$B$51:$IV$51</definedName>
    <definedName name="qfin">[5]Quarterlies!$B$60:$IV$60</definedName>
    <definedName name="qincome">[5]Quarterlies!$B$27:$IV$27</definedName>
    <definedName name="qroy">[5]Quarterlies!$B$7:$IV$7</definedName>
    <definedName name="Rating" localSheetId="7">IndexInformation!$B$9</definedName>
    <definedName name="RatingsDefined" localSheetId="0">ImportantDisclosures!$A$21</definedName>
    <definedName name="RatingsDefs" localSheetId="0">ImportantDisclosures!#REF!</definedName>
    <definedName name="RD">[6]Financials!$B$54:$AH$54</definedName>
    <definedName name="RegACDisclosure" localSheetId="0">ImportantDisclosures!#REF!</definedName>
    <definedName name="rep" localSheetId="3" hidden="1">{#N/A,#N/A,FALSE,"COVER";#N/A,#N/A,FALSE,"VALUATION";#N/A,#N/A,FALSE,"FORECAST";#N/A,#N/A,FALSE,"FY ANALYSIS ";#N/A,#N/A,FALSE," HY ANALYSIS"}</definedName>
    <definedName name="rep" localSheetId="4" hidden="1">{#N/A,#N/A,FALSE,"COVER";#N/A,#N/A,FALSE,"VALUATION";#N/A,#N/A,FALSE,"FORECAST";#N/A,#N/A,FALSE,"FY ANALYSIS ";#N/A,#N/A,FALSE," HY ANALYSIS"}</definedName>
    <definedName name="rep" hidden="1">{#N/A,#N/A,FALSE,"COVER";#N/A,#N/A,FALSE,"VALUATION";#N/A,#N/A,FALSE,"FORECAST";#N/A,#N/A,FALSE,"FY ANALYSIS ";#N/A,#N/A,FALSE," HY ANALYSIS"}</definedName>
    <definedName name="RepairedName0004" hidden="1">"iQShowAnnual"</definedName>
    <definedName name="RepairedName0035" hidden="1">"iQShowAnnual"</definedName>
    <definedName name="RepairedName0074" hidden="1">"iQShowAnnual"</definedName>
    <definedName name="RepairedName2249" hidden="1">"iQShowAnnual"</definedName>
    <definedName name="ResearchTopic" localSheetId="7">IndexInformation!$B$4</definedName>
    <definedName name="RIC" localSheetId="7">IndexInformation!$B$21</definedName>
    <definedName name="RiskAutoStopPercChange">1.5</definedName>
    <definedName name="RiskCollectDistributionSamples">2</definedName>
    <definedName name="RiskExcelReportsGoInNewWorkbook">TRUE</definedName>
    <definedName name="RiskExcelReportsToGenerate">1024</definedName>
    <definedName name="RiskFixedSeed">923</definedName>
    <definedName name="RiskGenerateExcelReportsAtEndOfSimulation">FALSE</definedName>
    <definedName name="RiskHasSettings">TRUE</definedName>
    <definedName name="RiskMinimizeOnStart">TRUE</definedName>
    <definedName name="RiskMonitorConvergence">FALSE</definedName>
    <definedName name="RiskNumIterations">10000</definedName>
    <definedName name="RiskNumSimulations">1</definedName>
    <definedName name="RiskPauseOnError">FALSE</definedName>
    <definedName name="RiskRealTimeResults">FALSE</definedName>
    <definedName name="RiskReportGraphFormat">0</definedName>
    <definedName name="RiskResultsUpdateFreq">100</definedName>
    <definedName name="RiskRunAfterRecalcMacro">FALSE</definedName>
    <definedName name="RiskRunAfterSimMacro">FALSE</definedName>
    <definedName name="RiskRunBeforeRecalcMacro">FALSE</definedName>
    <definedName name="RiskRunBeforeSimMacro">FALSE</definedName>
    <definedName name="RiskSamplingType">2</definedName>
    <definedName name="RiskShowRiskWindowAtEndOfSimulation">TRUE</definedName>
    <definedName name="RiskStandardRecalc">1</definedName>
    <definedName name="RiskTemplateSheetName">"myTemplate"</definedName>
    <definedName name="RiskUpdateDisplay">FALSE</definedName>
    <definedName name="RiskUseDifferentSeedForEachSim">FALSE</definedName>
    <definedName name="RiskUseFixedSeed">TRUE</definedName>
    <definedName name="RiskUseMultipleCPUs">FALSE</definedName>
    <definedName name="SECSettlement" localSheetId="0">ImportantDisclosures!#REF!</definedName>
    <definedName name="SEDOL" localSheetId="7">IndexInformation!$B$22</definedName>
    <definedName name="sencount" hidden="1">1</definedName>
    <definedName name="SHRSBASIC">[6]Financials!$B$89:$AH$89</definedName>
    <definedName name="SHRSFD">[6]Financials!$B$90:$AH$90</definedName>
    <definedName name="SourceDefined" localSheetId="0">ImportantDisclosures!$A$19</definedName>
    <definedName name="SPWS_WBID">"9753D030-2292-11D7-9440-0040CA1A99C6"</definedName>
    <definedName name="StockRating" localSheetId="0">ImportantDisclosures!$A$11</definedName>
    <definedName name="SubjectCode" localSheetId="7">IndexInformation!$B$6</definedName>
    <definedName name="SubmitterUserId">IndexInformation!$B$39</definedName>
    <definedName name="Summary_IS" localSheetId="3"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Summary_IS" localSheetId="4"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Summary_IS"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SUPPRESSED" localSheetId="8">ModPubIndex!$A$13</definedName>
    <definedName name="Tarceva.new">{"Client Name or Project Name"}</definedName>
    <definedName name="TargetPrice" localSheetId="0">ImportantDisclosures!$A$15</definedName>
    <definedName name="Template.WIRE">"DBACCESS"</definedName>
    <definedName name="TemplateRegion">IndexInformation!$B$36</definedName>
    <definedName name="Ticker" localSheetId="0">ImportantDisclosures!$A$10</definedName>
    <definedName name="TickerRegion">IndexInformation!$B$41</definedName>
    <definedName name="Tickers" localSheetId="7">IndexInformation!$B$19</definedName>
    <definedName name="tones">{"Client Name or Project Name"}</definedName>
    <definedName name="TOTREV">[6]Financials!$B$44:$AH$44</definedName>
    <definedName name="trc_XLS_DATASHEET_ProtectDate" localSheetId="1">35417.7656018519</definedName>
    <definedName name="trc_XLS_DATASHEET_ProtectDate">36879.7119675925</definedName>
    <definedName name="UpdateReason" localSheetId="7">IndexInformation!$B$17</definedName>
    <definedName name="USRegDisclosures" localSheetId="0">ImportantDisclosures!#REF!</definedName>
    <definedName name="Version.WIRE">1</definedName>
    <definedName name="WeeklyNRx">[16]WeeklyNRx!$B$3:$IV$131</definedName>
    <definedName name="WeeklyRx">[16]WeeklyTRx!$B$3:$B$131</definedName>
    <definedName name="WeeklyTRx">[16]WeeklyTRx!$B$3:$IV$131</definedName>
    <definedName name="wrn.AGN._.MODELS." localSheetId="3" hidden="1">{"QTRINC1",#N/A,FALSE,"QTRINC";"QTRINC2",#N/A,FALSE,"QTRINC";"QTRSALES",#N/A,FALSE,"QTRSALES";"ANNSALES",#N/A,FALSE,"ANNSALES";"CASHFLOW",#N/A,FALSE,"CASHFLOW"}</definedName>
    <definedName name="wrn.AGN._.MODELS." localSheetId="4" hidden="1">{"QTRINC1",#N/A,FALSE,"QTRINC";"QTRINC2",#N/A,FALSE,"QTRINC";"QTRSALES",#N/A,FALSE,"QTRSALES";"ANNSALES",#N/A,FALSE,"ANNSALES";"CASHFLOW",#N/A,FALSE,"CASHFLOW"}</definedName>
    <definedName name="wrn.AGN._.MODELS." hidden="1">{"QTRINC1",#N/A,FALSE,"QTRINC";"QTRINC2",#N/A,FALSE,"QTRINC";"QTRSALES",#N/A,FALSE,"QTRSALES";"ANNSALES",#N/A,FALSE,"ANNSALES";"CASHFLOW",#N/A,FALSE,"CASHFLOW"}</definedName>
    <definedName name="wrn.AHP._.MODELS." localSheetId="3" hidden="1">{"QTRINC",#N/A,FALSE,"QTRINC";"MARGIN",#N/A,FALSE,"MARGIN";"CASHFLOW",#N/A,FALSE,"CASHFLOW"}</definedName>
    <definedName name="wrn.AHP._.MODELS." localSheetId="4" hidden="1">{"QTRINC",#N/A,FALSE,"QTRINC";"MARGIN",#N/A,FALSE,"MARGIN";"CASHFLOW",#N/A,FALSE,"CASHFLOW"}</definedName>
    <definedName name="wrn.AHP._.MODELS." hidden="1">{"QTRINC",#N/A,FALSE,"QTRINC";"MARGIN",#N/A,FALSE,"MARGIN";"CASHFLOW",#N/A,FALSE,"CASHFLOW"}</definedName>
    <definedName name="wrn.allpages." localSheetId="3" hidden="1">{#N/A,#N/A,TRUE,"Historicals";#N/A,#N/A,TRUE,"Charts";#N/A,#N/A,TRUE,"Forecasts"}</definedName>
    <definedName name="wrn.allpages." localSheetId="4" hidden="1">{#N/A,#N/A,TRUE,"Historicals";#N/A,#N/A,TRUE,"Charts";#N/A,#N/A,TRUE,"Forecasts"}</definedName>
    <definedName name="wrn.allpages." hidden="1">{#N/A,#N/A,TRUE,"Historicals";#N/A,#N/A,TRUE,"Charts";#N/A,#N/A,TRUE,"Forecasts"}</definedName>
    <definedName name="wrn.Annual._.Operating._.Earnings." localSheetId="3" hidden="1">{"Annual 1996",#N/A,FALSE,"Ann-Op (Mng)";"Annual 1996",#N/A,FALSE,"Ann-Op (Rep)";"Operating Vs. Reported Earnings",#N/A,FALSE,"Rpt-Op Inc"}</definedName>
    <definedName name="wrn.Annual._.Operating._.Earnings." localSheetId="4" hidden="1">{"Annual 1996",#N/A,FALSE,"Ann-Op (Mng)";"Annual 1996",#N/A,FALSE,"Ann-Op (Rep)";"Operating Vs. Reported Earnings",#N/A,FALSE,"Rpt-Op Inc"}</definedName>
    <definedName name="wrn.Annual._.Operating._.Earnings." hidden="1">{"Annual 1996",#N/A,FALSE,"Ann-Op (Mng)";"Annual 1996",#N/A,FALSE,"Ann-Op (Rep)";"Operating Vs. Reported Earnings",#N/A,FALSE,"Rpt-Op Inc"}</definedName>
    <definedName name="wrn.Annual._.Operating._.Earnings1." localSheetId="3" hidden="1">{"Annual 1996",#N/A,FALSE,"Ann-Op (Mng)";"Annual 1996",#N/A,FALSE,"Ann-Op (Rep)";"Operating Vs. Reported Earnings",#N/A,FALSE,"Rpt-Op Inc"}</definedName>
    <definedName name="wrn.Annual._.Operating._.Earnings1." localSheetId="4" hidden="1">{"Annual 1996",#N/A,FALSE,"Ann-Op (Mng)";"Annual 1996",#N/A,FALSE,"Ann-Op (Rep)";"Operating Vs. Reported Earnings",#N/A,FALSE,"Rpt-Op Inc"}</definedName>
    <definedName name="wrn.Annual._.Operating._.Earnings1." hidden="1">{"Annual 1996",#N/A,FALSE,"Ann-Op (Mng)";"Annual 1996",#N/A,FALSE,"Ann-Op (Rep)";"Operating Vs. Reported Earnings",#N/A,FALSE,"Rpt-Op Inc"}</definedName>
    <definedName name="wrn.BasicModel." localSheetId="3" hidden="1">{"MacroCo",#N/A,FALSE,"masmode";"IncomeS",#N/A,FALSE,"masmode";"BalanceS",#N/A,FALSE,"masmode";"CashF",#N/A,FALSE,"masmode";"Ratios",#N/A,FALSE,"masmode";"DebtFC",#N/A,FALSE,"masmode"}</definedName>
    <definedName name="wrn.BasicModel." localSheetId="4" hidden="1">{"MacroCo",#N/A,FALSE,"masmode";"IncomeS",#N/A,FALSE,"masmode";"BalanceS",#N/A,FALSE,"masmode";"CashF",#N/A,FALSE,"masmode";"Ratios",#N/A,FALSE,"masmode";"DebtFC",#N/A,FALSE,"masmode"}</definedName>
    <definedName name="wrn.BasicModel." hidden="1">{"MacroCo",#N/A,FALSE,"masmode";"IncomeS",#N/A,FALSE,"masmode";"BalanceS",#N/A,FALSE,"masmode";"CashF",#N/A,FALSE,"masmode";"Ratios",#N/A,FALSE,"masmode";"DebtFC",#N/A,FALSE,"masmode"}</definedName>
    <definedName name="wrn.Biogen._.model." hidden="1">{#N/A,#N/A,FALSE,"Inc";#N/A,#N/A,FALSE,"QInc";#N/A,#N/A,FALSE,"Pro";#N/A,#N/A,FALSE,"QPro"}</definedName>
    <definedName name="wrn.Earnings._.Model." localSheetId="3"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localSheetId="4"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finstat." localSheetId="3" hidden="1">{"ass",#N/A,FALSE,"finstat";"inc",#N/A,FALSE,"finstat";"bs",#N/A,FALSE,"finstat";"cf",#N/A,FALSE,"finstat";"ratios",#N/A,FALSE,"finstat"}</definedName>
    <definedName name="wrn.finstat." localSheetId="4" hidden="1">{"ass",#N/A,FALSE,"finstat";"inc",#N/A,FALSE,"finstat";"bs",#N/A,FALSE,"finstat";"cf",#N/A,FALSE,"finstat";"ratios",#N/A,FALSE,"finstat"}</definedName>
    <definedName name="wrn.finstat." hidden="1">{"ass",#N/A,FALSE,"finstat";"inc",#N/A,FALSE,"finstat";"bs",#N/A,FALSE,"finstat";"cf",#N/A,FALSE,"finstat";"ratios",#N/A,FALSE,"finstat"}</definedName>
    <definedName name="wrn.Forecast._.Q1." localSheetId="3" hidden="1">{"cover a","1q",FALSE,"Cover";"Op Earn Mgd Q1",#N/A,FALSE,"Op-Earn (Mng)";"Op Earn Rpt Q1",#N/A,FALSE,"Op-Earn (Rpt)";"Loans",#N/A,FALSE,"Loans";"Credit Costs",#N/A,FALSE,"CCosts";"Net Interest Margin",#N/A,FALSE,"Margin";"Nonint Income",#N/A,FALSE,"NonII";"Nonint Exp",#N/A,FALSE,"NonIE";"Valuation",#N/A,FALSE,"Valuation"}</definedName>
    <definedName name="wrn.Forecast._.Q1." localSheetId="4" hidden="1">{"cover a","1q",FALSE,"Cover";"Op Earn Mgd Q1",#N/A,FALSE,"Op-Earn (Mng)";"Op Earn Rpt Q1",#N/A,FALSE,"Op-Earn (Rpt)";"Loans",#N/A,FALSE,"Loans";"Credit Costs",#N/A,FALSE,"CCosts";"Net Interest Margin",#N/A,FALSE,"Margin";"Nonint Income",#N/A,FALSE,"NonII";"Nonint Exp",#N/A,FALSE,"NonIE";"Valuation",#N/A,FALSE,"Valuation"}</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2." localSheetId="3" hidden="1">{"cover a","2q",FALSE,"Cover";"Op Earn Mgd Q2",#N/A,FALSE,"Op-Earn (Mng)";"Op Earn Rpt Q2",#N/A,FALSE,"Op-Earn (Rpt)";"Loans",#N/A,FALSE,"Loans";"Credit Costs",#N/A,FALSE,"CCosts";"Net Interest Margin",#N/A,FALSE,"Margin";"Nonint Income",#N/A,FALSE,"NonII";"Nonint Exp",#N/A,FALSE,"NonIE";"Valuation",#N/A,FALSE,"Valuation"}</definedName>
    <definedName name="wrn.Forecast._.Q2." localSheetId="4" hidden="1">{"cover a","2q",FALSE,"Cover";"Op Earn Mgd Q2",#N/A,FALSE,"Op-Earn (Mng)";"Op Earn Rpt Q2",#N/A,FALSE,"Op-Earn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2a." localSheetId="3" hidden="1">{"cover a","2q",FALSE,"Cover";"Op Earn Mgd Q2",#N/A,FALSE,"Op-Earn (Mng)";"Op Earn Rpt Q2",#N/A,FALSE,"Op-Earn (Rpt)";"Loans",#N/A,FALSE,"Loans";"Credit Costs",#N/A,FALSE,"CCosts";"Net Interest Margin",#N/A,FALSE,"Margin";"Nonint Income",#N/A,FALSE,"NonII";"Nonint Exp",#N/A,FALSE,"NonIE";"Valuation",#N/A,FALSE,"Valuation"}</definedName>
    <definedName name="wrn.Forecast._.Q2a." localSheetId="4" hidden="1">{"cover a","2q",FALSE,"Cover";"Op Earn Mgd Q2",#N/A,FALSE,"Op-Earn (Mng)";"Op Earn Rpt Q2",#N/A,FALSE,"Op-Earn (Rpt)";"Loans",#N/A,FALSE,"Loans";"Credit Costs",#N/A,FALSE,"CCosts";"Net Interest Margin",#N/A,FALSE,"Margin";"Nonint Income",#N/A,FALSE,"NonII";"Nonint Exp",#N/A,FALSE,"NonIE";"Valuation",#N/A,FALSE,"Valuation"}</definedName>
    <definedName name="wrn.Forecast._.Q2a." hidden="1">{"cover a","2q",FALSE,"Cover";"Op Earn Mgd Q2",#N/A,FALSE,"Op-Earn (Mng)";"Op Earn Rpt Q2",#N/A,FALSE,"Op-Earn (Rpt)";"Loans",#N/A,FALSE,"Loans";"Credit Costs",#N/A,FALSE,"CCosts";"Net Interest Margin",#N/A,FALSE,"Margin";"Nonint Income",#N/A,FALSE,"NonII";"Nonint Exp",#N/A,FALSE,"NonIE";"Valuation",#N/A,FALSE,"Valuation"}</definedName>
    <definedName name="wrn.Forecast._.Q3." localSheetId="3" hidden="1">{"cover a","3q",FALSE,"Cover";"Op Earn Mgd Q3",#N/A,FALSE,"Op-Earn (Mng)";"Op Earn Rpt Q3",#N/A,FALSE,"Op-Earn (Rpt)";"Loans",#N/A,FALSE,"Loans";"Credit Costs",#N/A,FALSE,"CCosts";"Net Interest Margin",#N/A,FALSE,"Margin";"Nonint Income",#N/A,FALSE,"NonII";"Nonint Exp",#N/A,FALSE,"NonIE";"Valuation",#N/A,FALSE,"Valuation"}</definedName>
    <definedName name="wrn.Forecast._.Q3." localSheetId="4" hidden="1">{"cover a","3q",FALSE,"Cover";"Op Earn Mgd Q3",#N/A,FALSE,"Op-Earn (Mng)";"Op Earn Rpt Q3",#N/A,FALSE,"Op-Earn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4." localSheetId="3" hidden="1">{"cover a","4q",FALSE,"Cover";"Op Earn Mgd Q4",#N/A,FALSE,"Op-Earn (Mng)";"Op Earn Rpt Q4",#N/A,FALSE,"Op-Earn (Rpt)";"Loans",#N/A,FALSE,"Loans";"Credit Costs",#N/A,FALSE,"CCosts";"Net Interest Margin",#N/A,FALSE,"Margin";"Nonint Income",#N/A,FALSE,"NonII";"Nonint Exp",#N/A,FALSE,"NonIE";"Valuation",#N/A,FALSE,"Valuation"}</definedName>
    <definedName name="wrn.Forecast._.Q4." localSheetId="4" hidden="1">{"cover a","4q",FALSE,"Cover";"Op Earn Mgd Q4",#N/A,FALSE,"Op-Earn (Mng)";"Op Earn Rpt Q4",#N/A,FALSE,"Op-Earn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a" localSheetId="3" hidden="1">{"cover a","4q",FALSE,"Cover";"Op Earn Mgd Q4",#N/A,FALSE,"Op-Earn (Mng)";"Op Earn Rpt Q4",#N/A,FALSE,"Op-Earn (Rpt)";"Loans",#N/A,FALSE,"Loans";"Credit Costs",#N/A,FALSE,"CCosts";"Net Interest Margin",#N/A,FALSE,"Margin";"Nonint Income",#N/A,FALSE,"NonII";"Nonint Exp",#N/A,FALSE,"NonIE";"Valuation",#N/A,FALSE,"Valuation"}</definedName>
    <definedName name="wrn.Forecast._.Q4a" localSheetId="4"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ull._.Report." localSheetId="3" hidden="1">{#N/A,#N/A,FALSE,"COVER";#N/A,#N/A,FALSE,"VALUATION";#N/A,#N/A,FALSE,"FORECAST";#N/A,#N/A,FALSE,"FY ANALYSIS ";#N/A,#N/A,FALSE," HY ANALYSIS"}</definedName>
    <definedName name="wrn.Full._.Report." localSheetId="4" hidden="1">{#N/A,#N/A,FALSE,"COVER";#N/A,#N/A,FALSE,"VALUATION";#N/A,#N/A,FALSE,"FORECAST";#N/A,#N/A,FALSE,"FY ANALYSIS ";#N/A,#N/A,FALSE," HY ANALYSIS"}</definedName>
    <definedName name="wrn.Full._.Report." hidden="1">{#N/A,#N/A,FALSE,"COVER";#N/A,#N/A,FALSE,"VALUATION";#N/A,#N/A,FALSE,"FORECAST";#N/A,#N/A,FALSE,"FY ANALYSIS ";#N/A,#N/A,FALSE," HY ANALYSIS"}</definedName>
    <definedName name="wrn.Genentech._.Model." hidden="1">{#N/A,#N/A,FALSE,"Inc";#N/A,#N/A,FALSE,"Prod";#N/A,#N/A,FALSE,"QInc";#N/A,#N/A,FALSE,"QProd"}</definedName>
    <definedName name="wrn.inc." localSheetId="3" hidden="1">{"inc",#N/A,FALSE,"finstat"}</definedName>
    <definedName name="wrn.inc." localSheetId="4" hidden="1">{"inc",#N/A,FALSE,"finstat"}</definedName>
    <definedName name="wrn.inc." hidden="1">{"inc",#N/A,FALSE,"finstat"}</definedName>
    <definedName name="wrn.MODELS." localSheetId="3"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wrn.MODELS." localSheetId="4"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wrn.MODELS."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wrn.monthlyunits." localSheetId="3" hidden="1">{"monthlyunits",#N/A,FALSE,"openings"}</definedName>
    <definedName name="wrn.monthlyunits." localSheetId="4" hidden="1">{"monthlyunits",#N/A,FALSE,"openings"}</definedName>
    <definedName name="wrn.monthlyunits." hidden="1">{"monthlyunits",#N/A,FALSE,"openings"}</definedName>
    <definedName name="wrn.Qtr._.Op._.Q1." localSheetId="3" hidden="1">{"Qtr Op Mgd Q1",#N/A,FALSE,"Qtr-Op (Mng)";"Qtr Op Rpt Q1",#N/A,FALSE,"Qtr-Op (Rpt)";"Operating Vs Reported",#N/A,FALSE,"Rpt-Op Inc"}</definedName>
    <definedName name="wrn.Qtr._.Op._.Q1." localSheetId="4" hidden="1">{"Qtr Op Mgd Q1",#N/A,FALSE,"Qtr-Op (Mng)";"Qtr Op Rpt Q1",#N/A,FALSE,"Qtr-Op (Rpt)";"Operating Vs Reported",#N/A,FALSE,"Rpt-Op Inc"}</definedName>
    <definedName name="wrn.Qtr._.Op._.Q1." hidden="1">{"Qtr Op Mgd Q1",#N/A,FALSE,"Qtr-Op (Mng)";"Qtr Op Rpt Q1",#N/A,FALSE,"Qtr-Op (Rpt)";"Operating Vs Reported",#N/A,FALSE,"Rpt-Op Inc"}</definedName>
    <definedName name="wrn.Qtr._.Op._.Q2." localSheetId="3" hidden="1">{"Qtr Op Mgd Q2",#N/A,FALSE,"Qtr-Op (Mng)";"Qtr Op Rpt Q2",#N/A,FALSE,"Qtr-Op (Rpt)";"Operating Vs Reported",#N/A,FALSE,"Rpt-Op Inc"}</definedName>
    <definedName name="wrn.Qtr._.Op._.Q2." localSheetId="4" hidden="1">{"Qtr Op Mgd Q2",#N/A,FALSE,"Qtr-Op (Mng)";"Qtr Op Rpt Q2",#N/A,FALSE,"Qtr-Op (Rpt)";"Operating Vs Reported",#N/A,FALSE,"Rpt-Op Inc"}</definedName>
    <definedName name="wrn.Qtr._.Op._.Q2." hidden="1">{"Qtr Op Mgd Q2",#N/A,FALSE,"Qtr-Op (Mng)";"Qtr Op Rpt Q2",#N/A,FALSE,"Qtr-Op (Rpt)";"Operating Vs Reported",#N/A,FALSE,"Rpt-Op Inc"}</definedName>
    <definedName name="wrn.Qtr._.Op._.Q3." localSheetId="3" hidden="1">{"Qtr Op Mgd Q3",#N/A,FALSE,"Qtr-Op (Mng)";"Qtr Op Rpt Q3",#N/A,FALSE,"Qtr-Op (Rpt)";"Operating Vs Reported",#N/A,FALSE,"Rpt-Op Inc"}</definedName>
    <definedName name="wrn.Qtr._.Op._.Q3." localSheetId="4" hidden="1">{"Qtr Op Mgd Q3",#N/A,FALSE,"Qtr-Op (Mng)";"Qtr Op Rpt Q3",#N/A,FALSE,"Qtr-Op (Rpt)";"Operating Vs Reported",#N/A,FALSE,"Rpt-Op Inc"}</definedName>
    <definedName name="wrn.Qtr._.Op._.Q3." hidden="1">{"Qtr Op Mgd Q3",#N/A,FALSE,"Qtr-Op (Mng)";"Qtr Op Rpt Q3",#N/A,FALSE,"Qtr-Op (Rpt)";"Operating Vs Reported",#N/A,FALSE,"Rpt-Op Inc"}</definedName>
    <definedName name="wrn.Qtr._.Op._.Q4." localSheetId="3" hidden="1">{"Qtr Op Mgd Q3",#N/A,FALSE,"Qtr-Op (Mng)";"Qtr Op Rpt Q4",#N/A,FALSE,"Qtr-Op (Rpt)";"Operating Vs Reported",#N/A,FALSE,"Rpt-Op Inc"}</definedName>
    <definedName name="wrn.Qtr._.Op._.Q4." localSheetId="4" hidden="1">{"Qtr Op Mgd Q3",#N/A,FALSE,"Qtr-Op (Mng)";"Qtr Op Rpt Q4",#N/A,FALSE,"Qtr-Op (Rpt)";"Operating Vs Reported",#N/A,FALSE,"Rpt-Op Inc"}</definedName>
    <definedName name="wrn.Qtr._.Op._.Q4." hidden="1">{"Qtr Op Mgd Q3",#N/A,FALSE,"Qtr-Op (Mng)";"Qtr Op Rpt Q4",#N/A,FALSE,"Qtr-Op (Rpt)";"Operating Vs Reported",#N/A,FALSE,"Rpt-Op Inc"}</definedName>
    <definedName name="wrn.Qtr._.Op._Q2a." localSheetId="3" hidden="1">{"Qtr Op Mgd Q2",#N/A,FALSE,"Qtr-Op (Mng)";"Qtr Op Rpt Q2",#N/A,FALSE,"Qtr-Op (Rpt)";"Operating Vs Reported",#N/A,FALSE,"Rpt-Op Inc"}</definedName>
    <definedName name="wrn.Qtr._.Op._Q2a." localSheetId="4" hidden="1">{"Qtr Op Mgd Q2",#N/A,FALSE,"Qtr-Op (Mng)";"Qtr Op Rpt Q2",#N/A,FALSE,"Qtr-Op (Rpt)";"Operating Vs Reported",#N/A,FALSE,"Rpt-Op Inc"}</definedName>
    <definedName name="wrn.Qtr._.Op._Q2a." hidden="1">{"Qtr Op Mgd Q2",#N/A,FALSE,"Qtr-Op (Mng)";"Qtr Op Rpt Q2",#N/A,FALSE,"Qtr-Op (Rpt)";"Operating Vs Reported",#N/A,FALSE,"Rpt-Op Inc"}</definedName>
    <definedName name="wrn.Qtr_.Op._.Q4." localSheetId="3" hidden="1">{"Qtr Op Mgd Q3",#N/A,FALSE,"Qtr-Op (Mng)";"Qtr Op Rpt Q4",#N/A,FALSE,"Qtr-Op (Rpt)";"Operating Vs Reported",#N/A,FALSE,"Rpt-Op Inc"}</definedName>
    <definedName name="wrn.Qtr_.Op._.Q4." localSheetId="4" hidden="1">{"Qtr Op Mgd Q3",#N/A,FALSE,"Qtr-Op (Mng)";"Qtr Op Rpt Q4",#N/A,FALSE,"Qtr-Op (Rpt)";"Operating Vs Reported",#N/A,FALSE,"Rpt-Op Inc"}</definedName>
    <definedName name="wrn.Qtr_.Op._.Q4." hidden="1">{"Qtr Op Mgd Q3",#N/A,FALSE,"Qtr-Op (Mng)";"Qtr Op Rpt Q4",#N/A,FALSE,"Qtr-Op (Rpt)";"Operating Vs Reported",#N/A,FALSE,"Rpt-Op Inc"}</definedName>
    <definedName name="wrn.quart." localSheetId="3" hidden="1">{"quart",#N/A,FALSE,"quartfin"}</definedName>
    <definedName name="wrn.quart." localSheetId="4" hidden="1">{"quart",#N/A,FALSE,"quartfin"}</definedName>
    <definedName name="wrn.quart." hidden="1">{"quart",#N/A,FALSE,"quartfin"}</definedName>
    <definedName name="wrn.quartfin." localSheetId="3" hidden="1">{"quartfin",#N/A,FALSE,"quartfin"}</definedName>
    <definedName name="wrn.quartfin." localSheetId="4" hidden="1">{"quartfin",#N/A,FALSE,"quartfin"}</definedName>
    <definedName name="wrn.quartfin." hidden="1">{"quartfin",#N/A,FALSE,"quartfin"}</definedName>
    <definedName name="wrn.Report." localSheetId="3" hidden="1">{#N/A,#N/A,FALSE,"COVER";#N/A,#N/A,FALSE,"FORECAST";#N/A,#N/A,FALSE,"VALUATION";#N/A,#N/A,FALSE,"FY ANALYSIS ";#N/A,#N/A,FALSE," HY ANALYSIS"}</definedName>
    <definedName name="wrn.Report." localSheetId="4" hidden="1">{#N/A,#N/A,FALSE,"COVER";#N/A,#N/A,FALSE,"FORECAST";#N/A,#N/A,FALSE,"VALUATION";#N/A,#N/A,FALSE,"FY ANALYSIS ";#N/A,#N/A,FALSE," HY ANALYSIS"}</definedName>
    <definedName name="wrn.Report." hidden="1">{#N/A,#N/A,FALSE,"COVER";#N/A,#N/A,FALSE,"FORECAST";#N/A,#N/A,FALSE,"VALUATION";#N/A,#N/A,FALSE,"FY ANALYSIS ";#N/A,#N/A,FALSE," HY ANALYSIS"}</definedName>
    <definedName name="wrn.salesassum." localSheetId="3" hidden="1">{"Salesass",#N/A,FALSE,"assumpt"}</definedName>
    <definedName name="wrn.salesassum." localSheetId="4" hidden="1">{"Salesass",#N/A,FALSE,"assumpt"}</definedName>
    <definedName name="wrn.salesassum." hidden="1">{"Salesass",#N/A,FALSE,"assumpt"}</definedName>
    <definedName name="wrn.SGPMODELS." localSheetId="3" hidden="1">{"QTRINC1",#N/A,FALSE,"SGPNEW";"QTRINC2",#N/A,FALSE,"SGPNEW";"USSALES1",#N/A,FALSE,"SGPNEW";"USSALES2",#N/A,FALSE,"SGPNEW";"INTLSALES1",#N/A,FALSE,"SGPNEW";"INTLSALES2",#N/A,FALSE,"SGPNEW";"WWSALES1",#N/A,FALSE,"SGPNEW";"WWSALES2",#N/A,FALSE,"SGPNEW";"NEWPRODS",#N/A,FALSE,"SGPNEW";"CASHFLOW",#N/A,FALSE,"SGPNEW"}</definedName>
    <definedName name="wrn.SGPMODELS." localSheetId="4" hidden="1">{"QTRINC1",#N/A,FALSE,"SGPNEW";"QTRINC2",#N/A,FALSE,"SGPNEW";"USSALES1",#N/A,FALSE,"SGPNEW";"USSALES2",#N/A,FALSE,"SGPNEW";"INTLSALES1",#N/A,FALSE,"SGPNEW";"INTLSALES2",#N/A,FALSE,"SGPNEW";"WWSALES1",#N/A,FALSE,"SGPNEW";"WWSALES2",#N/A,FALSE,"SGPNEW";"NEWPRODS",#N/A,FALSE,"SGPNEW";"CASHFLOW",#N/A,FALSE,"SGPNEW"}</definedName>
    <definedName name="wrn.SGPMODELS." hidden="1">{"QTRINC1",#N/A,FALSE,"SGPNEW";"QTRINC2",#N/A,FALSE,"SGPNEW";"USSALES1",#N/A,FALSE,"SGPNEW";"USSALES2",#N/A,FALSE,"SGPNEW";"INTLSALES1",#N/A,FALSE,"SGPNEW";"INTLSALES2",#N/A,FALSE,"SGPNEW";"WWSALES1",#N/A,FALSE,"SGPNEW";"WWSALES2",#N/A,FALSE,"SGPNEW";"NEWPRODS",#N/A,FALSE,"SGPNEW";"CASHFLOW",#N/A,FALSE,"SGPNEW"}</definedName>
    <definedName name="wrn.Short._.Report." localSheetId="3" hidden="1">{"short1",#N/A,FALSE,"masmode";"short2",#N/A,FALSE,"masmode";"qtrres",#N/A,FALSE,"QTR. RES.";"sales",#N/A,FALSE,"Sales &amp; Market Share"}</definedName>
    <definedName name="wrn.Short._.Report." localSheetId="4" hidden="1">{"short1",#N/A,FALSE,"masmode";"short2",#N/A,FALSE,"masmode";"qtrres",#N/A,FALSE,"QTR. RES.";"sales",#N/A,FALSE,"Sales &amp; Market Share"}</definedName>
    <definedName name="wrn.Short._.Report." hidden="1">{"short1",#N/A,FALSE,"masmode";"short2",#N/A,FALSE,"masmode";"qtrres",#N/A,FALSE,"QTR. RES.";"sales",#N/A,FALSE,"Sales &amp; Market Share"}</definedName>
    <definedName name="wrn.Variance._.3." localSheetId="3" hidden="1">{"Variance Q3",#N/A,FALSE,"Var"}</definedName>
    <definedName name="wrn.Variance._.3." localSheetId="4" hidden="1">{"Variance Q3",#N/A,FALSE,"Var"}</definedName>
    <definedName name="wrn.Variance._.3." hidden="1">{"Variance Q3",#N/A,FALSE,"Var"}</definedName>
    <definedName name="wrn.Variance._.Q1." localSheetId="3" hidden="1">{"Variance Q1",#N/A,FALSE,"Var"}</definedName>
    <definedName name="wrn.Variance._.Q1." localSheetId="4" hidden="1">{"Variance Q1",#N/A,FALSE,"Var"}</definedName>
    <definedName name="wrn.Variance._.Q1." hidden="1">{"Variance Q1",#N/A,FALSE,"Var"}</definedName>
    <definedName name="wrn.Variance._.Q2." localSheetId="3" hidden="1">{"Variance Q2",#N/A,FALSE,"Var"}</definedName>
    <definedName name="wrn.Variance._.Q2." localSheetId="4" hidden="1">{"Variance Q2",#N/A,FALSE,"Var"}</definedName>
    <definedName name="wrn.Variance._.Q2." hidden="1">{"Variance Q2",#N/A,FALSE,"Var"}</definedName>
    <definedName name="wrn.Variance._.Q3." localSheetId="3" hidden="1">{"Variance Q3",#N/A,FALSE,"Var"}</definedName>
    <definedName name="wrn.Variance._.Q3." localSheetId="4" hidden="1">{"Variance Q3",#N/A,FALSE,"Var"}</definedName>
    <definedName name="wrn.Variance._.Q3." hidden="1">{"Variance Q3",#N/A,FALSE,"Var"}</definedName>
    <definedName name="wrn.Variance._.Q4" localSheetId="3" hidden="1">{"Variance Q4",#N/A,FALSE,"Var"}</definedName>
    <definedName name="wrn.Variance._.Q4" localSheetId="4" hidden="1">{"Variance Q4",#N/A,FALSE,"Var"}</definedName>
    <definedName name="wrn.Variance._.Q4" hidden="1">{"Variance Q4",#N/A,FALSE,"Var"}</definedName>
    <definedName name="wrn.Variance._.Q4." localSheetId="3" hidden="1">{"Variance Q4",#N/A,FALSE,"Var"}</definedName>
    <definedName name="wrn.Variance._.Q4." localSheetId="4" hidden="1">{"Variance Q4",#N/A,FALSE,"Var"}</definedName>
    <definedName name="wrn.Variance._.Q4." hidden="1">{"Variance Q4",#N/A,FALSE,"Var"}</definedName>
    <definedName name="wrn.WLAVARIANCEANALYSIS." localSheetId="3" hidden="1">{"INCOME STATEMENT",#N/A,FALSE,"IS";"WWSALES",#N/A,FALSE,"WWSALES";"USSALES",#N/A,FALSE,"USSALES";"INTLSALES",#N/A,FALSE,"INTLSALES"}</definedName>
    <definedName name="wrn.WLAVARIANCEANALYSIS." localSheetId="4" hidden="1">{"INCOME STATEMENT",#N/A,FALSE,"IS";"WWSALES",#N/A,FALSE,"WWSALES";"USSALES",#N/A,FALSE,"USSALES";"INTLSALES",#N/A,FALSE,"INTLSALES"}</definedName>
    <definedName name="wrn.WLAVARIANCEANALYSIS." hidden="1">{"INCOME STATEMENT",#N/A,FALSE,"IS";"WWSALES",#N/A,FALSE,"WWSALES";"USSALES",#N/A,FALSE,"USSALES";"INTLSALES",#N/A,FALSE,"INTLSALES"}</definedName>
  </definedNames>
  <calcPr calcId="145621" iterate="1" iterateDelta="1.0000000000000002E-3"/>
</workbook>
</file>

<file path=xl/calcChain.xml><?xml version="1.0" encoding="utf-8"?>
<calcChain xmlns="http://schemas.openxmlformats.org/spreadsheetml/2006/main">
  <c r="V9" i="1" l="1"/>
  <c r="U8" i="1"/>
  <c r="V8" i="1" s="1"/>
  <c r="AF40" i="1"/>
  <c r="AD40" i="1"/>
  <c r="AC14" i="1"/>
  <c r="AE40" i="1"/>
  <c r="AB14" i="1"/>
  <c r="AE14" i="1"/>
  <c r="AK40" i="1"/>
  <c r="AC40" i="1"/>
  <c r="AB40" i="1"/>
  <c r="AF14" i="1"/>
  <c r="AD14" i="1"/>
  <c r="AK14" i="1"/>
  <c r="G61" i="11" l="1"/>
  <c r="G55" i="11"/>
  <c r="G53" i="11"/>
  <c r="G50" i="11"/>
  <c r="F61" i="11"/>
  <c r="F55" i="11"/>
  <c r="F53" i="11"/>
  <c r="F50" i="11"/>
  <c r="G81" i="2"/>
  <c r="G82" i="2"/>
  <c r="H82" i="2"/>
  <c r="G84" i="2"/>
  <c r="H84" i="2"/>
  <c r="G86" i="2"/>
  <c r="G85" i="2" s="1"/>
  <c r="H86" i="2"/>
  <c r="G63" i="2"/>
  <c r="G65" i="2"/>
  <c r="G67" i="2"/>
  <c r="G69" i="2"/>
  <c r="G71" i="2"/>
  <c r="G73" i="2"/>
  <c r="G75" i="2"/>
  <c r="G77" i="2"/>
  <c r="H81" i="2" l="1"/>
  <c r="H85" i="2" s="1"/>
  <c r="AB209" i="41" l="1"/>
  <c r="AA209" i="41"/>
  <c r="Z209" i="41"/>
  <c r="Y209" i="41"/>
  <c r="X209" i="41"/>
  <c r="W209" i="41"/>
  <c r="V209" i="41"/>
  <c r="U209" i="41"/>
  <c r="T209" i="41"/>
  <c r="R209" i="41"/>
  <c r="Q209" i="41"/>
  <c r="T128" i="41"/>
  <c r="V104" i="41"/>
  <c r="W104" i="41" s="1"/>
  <c r="Y56" i="41"/>
  <c r="X56" i="41"/>
  <c r="W56" i="41"/>
  <c r="V56" i="41"/>
  <c r="U56" i="41"/>
  <c r="T56" i="41"/>
  <c r="V98" i="58" l="1"/>
  <c r="W98" i="58"/>
  <c r="X98" i="58"/>
  <c r="Y98" i="58" s="1"/>
  <c r="Z98" i="58" s="1"/>
  <c r="AA98" i="58" s="1"/>
  <c r="AB98" i="58" s="1"/>
  <c r="U98" i="58"/>
  <c r="U96" i="58"/>
  <c r="V96" i="58" s="1"/>
  <c r="W96" i="58" s="1"/>
  <c r="X96" i="58" s="1"/>
  <c r="Y96" i="58" s="1"/>
  <c r="Z96" i="58" s="1"/>
  <c r="AA96" i="58" s="1"/>
  <c r="AB96" i="58" s="1"/>
  <c r="U97" i="58"/>
  <c r="V97" i="58" s="1"/>
  <c r="W97" i="58" s="1"/>
  <c r="X97" i="58" s="1"/>
  <c r="Y97" i="58" s="1"/>
  <c r="Z97" i="58" s="1"/>
  <c r="AA97" i="58" s="1"/>
  <c r="AB97" i="58" s="1"/>
  <c r="N2" i="41"/>
  <c r="AL11" i="1" l="1"/>
  <c r="AM11" i="1"/>
  <c r="AN11" i="1"/>
  <c r="AO11" i="1"/>
  <c r="AQ11" i="1"/>
  <c r="AR11" i="1"/>
  <c r="AS11" i="1"/>
  <c r="AT11" i="1"/>
  <c r="AV11" i="1"/>
  <c r="AW11" i="1"/>
  <c r="AX11" i="1"/>
  <c r="AY11" i="1"/>
  <c r="BA11" i="1"/>
  <c r="BB11" i="1"/>
  <c r="BC11" i="1"/>
  <c r="BD11" i="1"/>
  <c r="BF11" i="1"/>
  <c r="BG11" i="1"/>
  <c r="BH11" i="1"/>
  <c r="BI11" i="1"/>
  <c r="BK11" i="1"/>
  <c r="BL11" i="1"/>
  <c r="BM11" i="1"/>
  <c r="BN11" i="1"/>
  <c r="AA8" i="1"/>
  <c r="U105" i="58" l="1"/>
  <c r="V105" i="58"/>
  <c r="W105" i="58"/>
  <c r="X105" i="58"/>
  <c r="Y105" i="58"/>
  <c r="Z105" i="58"/>
  <c r="AA105" i="58"/>
  <c r="AB105" i="58"/>
  <c r="U106" i="58"/>
  <c r="V106" i="58"/>
  <c r="W106" i="58"/>
  <c r="X106" i="58"/>
  <c r="Y106" i="58"/>
  <c r="Z106" i="58"/>
  <c r="AA106" i="58"/>
  <c r="AB106" i="58"/>
  <c r="U107" i="58"/>
  <c r="V107" i="58"/>
  <c r="W107" i="58"/>
  <c r="X107" i="58"/>
  <c r="Y107" i="58"/>
  <c r="Z107" i="58"/>
  <c r="AA107" i="58"/>
  <c r="AB107" i="58"/>
  <c r="T107" i="58"/>
  <c r="T106" i="58"/>
  <c r="T105" i="58"/>
  <c r="U41" i="58" l="1"/>
  <c r="U72" i="58" s="1"/>
  <c r="AA124" i="1"/>
  <c r="V90" i="58"/>
  <c r="W90" i="58" s="1"/>
  <c r="X90" i="58" s="1"/>
  <c r="Y90" i="58" s="1"/>
  <c r="Z90" i="58" s="1"/>
  <c r="AA90" i="58" s="1"/>
  <c r="AB90" i="58" s="1"/>
  <c r="S82" i="58"/>
  <c r="N82" i="58"/>
  <c r="G82" i="58"/>
  <c r="F82" i="58"/>
  <c r="E82" i="58"/>
  <c r="D82" i="58"/>
  <c r="S81" i="58"/>
  <c r="N81" i="58"/>
  <c r="I81" i="58"/>
  <c r="S80" i="58"/>
  <c r="N80" i="58"/>
  <c r="G80" i="58"/>
  <c r="F80" i="58"/>
  <c r="E80" i="58"/>
  <c r="D80" i="58"/>
  <c r="V75" i="58"/>
  <c r="W75" i="58" s="1"/>
  <c r="X75" i="58" s="1"/>
  <c r="Y75" i="58" s="1"/>
  <c r="Z75" i="58" s="1"/>
  <c r="AA75" i="58" s="1"/>
  <c r="AB75" i="58" s="1"/>
  <c r="S67" i="58"/>
  <c r="N67" i="58"/>
  <c r="G67" i="58"/>
  <c r="F67" i="58"/>
  <c r="E67" i="58"/>
  <c r="D67" i="58"/>
  <c r="S66" i="58"/>
  <c r="N66" i="58"/>
  <c r="I66" i="58"/>
  <c r="S65" i="58"/>
  <c r="N65" i="58"/>
  <c r="G65" i="58"/>
  <c r="F65" i="58"/>
  <c r="E65" i="58"/>
  <c r="D65" i="58"/>
  <c r="V44" i="58"/>
  <c r="W44" i="58" s="1"/>
  <c r="U28" i="58"/>
  <c r="V29" i="58"/>
  <c r="W29" i="58" s="1"/>
  <c r="X29" i="58" s="1"/>
  <c r="Y29" i="58" s="1"/>
  <c r="Z29" i="58" s="1"/>
  <c r="AA29" i="58" s="1"/>
  <c r="AB29" i="58" s="1"/>
  <c r="V41" i="58"/>
  <c r="W41" i="58" s="1"/>
  <c r="X41" i="58" s="1"/>
  <c r="Y41" i="58" s="1"/>
  <c r="Z41" i="58" s="1"/>
  <c r="AA41" i="58" s="1"/>
  <c r="AB41" i="58" s="1"/>
  <c r="V26" i="58"/>
  <c r="W26" i="58" s="1"/>
  <c r="X26" i="58" s="1"/>
  <c r="Y26" i="58" s="1"/>
  <c r="Z26" i="58" s="1"/>
  <c r="AA26" i="58" s="1"/>
  <c r="AB26" i="58" s="1"/>
  <c r="S36" i="58"/>
  <c r="N36" i="58"/>
  <c r="G36" i="58"/>
  <c r="F36" i="58"/>
  <c r="E36" i="58"/>
  <c r="D36" i="58"/>
  <c r="S35" i="58"/>
  <c r="N35" i="58"/>
  <c r="I35" i="58"/>
  <c r="S34" i="58"/>
  <c r="N34" i="58"/>
  <c r="G34" i="58"/>
  <c r="F34" i="58"/>
  <c r="E34" i="58"/>
  <c r="D34" i="58"/>
  <c r="U74" i="58" l="1"/>
  <c r="U87" i="58"/>
  <c r="AB28" i="58"/>
  <c r="U43" i="58"/>
  <c r="V72" i="58"/>
  <c r="W72" i="58" s="1"/>
  <c r="X72" i="58" s="1"/>
  <c r="I34" i="58"/>
  <c r="I82" i="58"/>
  <c r="I65" i="58"/>
  <c r="V28" i="58"/>
  <c r="I80" i="58"/>
  <c r="I36" i="58"/>
  <c r="X28" i="58"/>
  <c r="Y28" i="58"/>
  <c r="AA28" i="58"/>
  <c r="W28" i="58"/>
  <c r="I67" i="58"/>
  <c r="Z28" i="58"/>
  <c r="W74" i="58"/>
  <c r="V74" i="58"/>
  <c r="X44" i="58"/>
  <c r="W43" i="58"/>
  <c r="V43" i="58"/>
  <c r="C53" i="58"/>
  <c r="C56" i="58" s="1"/>
  <c r="C60" i="58" s="1"/>
  <c r="I52" i="58"/>
  <c r="N52" i="58" s="1"/>
  <c r="S52" i="58" s="1"/>
  <c r="T52" i="58" s="1"/>
  <c r="U52" i="58" s="1"/>
  <c r="V52" i="58" s="1"/>
  <c r="W52" i="58" s="1"/>
  <c r="X52" i="58" s="1"/>
  <c r="Y52" i="58" s="1"/>
  <c r="Z52" i="58" s="1"/>
  <c r="AA52" i="58" s="1"/>
  <c r="AB52" i="58" s="1"/>
  <c r="D51" i="58"/>
  <c r="D53" i="58" s="1"/>
  <c r="D50" i="58"/>
  <c r="I50" i="58" s="1"/>
  <c r="N50" i="58" s="1"/>
  <c r="S50" i="58" s="1"/>
  <c r="T50" i="58" s="1"/>
  <c r="U50" i="58" s="1"/>
  <c r="V50" i="58" s="1"/>
  <c r="W50" i="58" s="1"/>
  <c r="X50" i="58" s="1"/>
  <c r="Y50" i="58" s="1"/>
  <c r="Z50" i="58" s="1"/>
  <c r="AA50" i="58" s="1"/>
  <c r="AB50" i="58" s="1"/>
  <c r="S21" i="58"/>
  <c r="G21" i="58"/>
  <c r="F21" i="58"/>
  <c r="E21" i="58"/>
  <c r="D21" i="58"/>
  <c r="S20" i="58"/>
  <c r="I20" i="58"/>
  <c r="S19" i="58"/>
  <c r="N19" i="58"/>
  <c r="G19" i="58"/>
  <c r="F19" i="58"/>
  <c r="E19" i="58"/>
  <c r="D19" i="58"/>
  <c r="C7" i="58"/>
  <c r="C10" i="58" s="1"/>
  <c r="C14" i="58" s="1"/>
  <c r="I6" i="58"/>
  <c r="N6" i="58" s="1"/>
  <c r="S6" i="58" s="1"/>
  <c r="T6" i="58" s="1"/>
  <c r="U6" i="58" s="1"/>
  <c r="V6" i="58" s="1"/>
  <c r="W6" i="58" s="1"/>
  <c r="X6" i="58" s="1"/>
  <c r="Y6" i="58" s="1"/>
  <c r="Z6" i="58" s="1"/>
  <c r="AA6" i="58" s="1"/>
  <c r="AB6" i="58" s="1"/>
  <c r="D5" i="58"/>
  <c r="D4" i="58"/>
  <c r="T2" i="58"/>
  <c r="U431" i="41"/>
  <c r="T431" i="41"/>
  <c r="S431" i="41"/>
  <c r="R431" i="41"/>
  <c r="Q431" i="41"/>
  <c r="P431" i="41"/>
  <c r="O431" i="41"/>
  <c r="N431" i="41"/>
  <c r="U430" i="41"/>
  <c r="T430" i="41"/>
  <c r="S430" i="41"/>
  <c r="R430" i="41"/>
  <c r="Q430" i="41"/>
  <c r="P430" i="41"/>
  <c r="O430" i="41"/>
  <c r="N430" i="41"/>
  <c r="U427" i="41"/>
  <c r="T427" i="41"/>
  <c r="S427" i="41"/>
  <c r="R427" i="41"/>
  <c r="Q427" i="41"/>
  <c r="P427" i="41"/>
  <c r="O427" i="41"/>
  <c r="N427" i="41"/>
  <c r="U426" i="41"/>
  <c r="T426" i="41"/>
  <c r="S426" i="41"/>
  <c r="R426" i="41"/>
  <c r="Q426" i="41"/>
  <c r="P426" i="41"/>
  <c r="O426" i="41"/>
  <c r="N426" i="41"/>
  <c r="M431" i="41"/>
  <c r="L431" i="41"/>
  <c r="K431" i="41"/>
  <c r="J431" i="41"/>
  <c r="I431" i="41"/>
  <c r="D431" i="41"/>
  <c r="C431" i="41"/>
  <c r="M430" i="41"/>
  <c r="L430" i="41"/>
  <c r="K430" i="41"/>
  <c r="J430" i="41"/>
  <c r="I430" i="41"/>
  <c r="D430" i="41"/>
  <c r="C430" i="41"/>
  <c r="M427" i="41"/>
  <c r="L427" i="41"/>
  <c r="K427" i="41"/>
  <c r="J427" i="41"/>
  <c r="I427" i="41"/>
  <c r="D427" i="41"/>
  <c r="C427" i="41"/>
  <c r="M426" i="41"/>
  <c r="L426" i="41"/>
  <c r="K426" i="41"/>
  <c r="J426" i="41"/>
  <c r="I426" i="41"/>
  <c r="D426" i="41"/>
  <c r="C426" i="41"/>
  <c r="I410" i="41"/>
  <c r="D410" i="41"/>
  <c r="C410" i="41"/>
  <c r="S395" i="41"/>
  <c r="R395" i="41"/>
  <c r="Q395" i="41"/>
  <c r="P395" i="41"/>
  <c r="O395" i="41"/>
  <c r="N395" i="41"/>
  <c r="S392" i="41"/>
  <c r="R392" i="41"/>
  <c r="Q392" i="41"/>
  <c r="P392" i="41"/>
  <c r="O392" i="41"/>
  <c r="N392" i="41"/>
  <c r="I395" i="41"/>
  <c r="D395" i="41"/>
  <c r="C395" i="41"/>
  <c r="M392" i="41"/>
  <c r="L392" i="41"/>
  <c r="K392" i="41"/>
  <c r="J392" i="41"/>
  <c r="I392" i="41"/>
  <c r="H392" i="41"/>
  <c r="D392" i="41"/>
  <c r="C392" i="41"/>
  <c r="I378" i="41"/>
  <c r="D378" i="41"/>
  <c r="C378" i="41"/>
  <c r="W274" i="41"/>
  <c r="V274" i="41"/>
  <c r="X79" i="41"/>
  <c r="Y79" i="41"/>
  <c r="Z79" i="41"/>
  <c r="AA79" i="41"/>
  <c r="W78" i="41"/>
  <c r="X78" i="41"/>
  <c r="Y78" i="41"/>
  <c r="Z78" i="41"/>
  <c r="V78" i="41"/>
  <c r="V151" i="41"/>
  <c r="V126" i="41"/>
  <c r="X150" i="41" s="1"/>
  <c r="W126" i="41"/>
  <c r="Y150" i="41" s="1"/>
  <c r="X126" i="41"/>
  <c r="Z150" i="41" s="1"/>
  <c r="Y126" i="41"/>
  <c r="AA150" i="41" s="1"/>
  <c r="X127" i="41"/>
  <c r="Y127" i="41"/>
  <c r="V79" i="41"/>
  <c r="AA151" i="41" l="1"/>
  <c r="Y128" i="41"/>
  <c r="Z151" i="41"/>
  <c r="X128" i="41"/>
  <c r="U89" i="58"/>
  <c r="V87" i="58"/>
  <c r="U99" i="58"/>
  <c r="Y99" i="58"/>
  <c r="T99" i="58"/>
  <c r="V99" i="58"/>
  <c r="Z99" i="58"/>
  <c r="W99" i="58"/>
  <c r="AA99" i="58"/>
  <c r="X99" i="58"/>
  <c r="AB99" i="58"/>
  <c r="I5" i="58"/>
  <c r="AB83" i="58"/>
  <c r="X83" i="58"/>
  <c r="T83" i="58"/>
  <c r="O83" i="58"/>
  <c r="J83" i="58"/>
  <c r="E83" i="58"/>
  <c r="Y68" i="58"/>
  <c r="U68" i="58"/>
  <c r="P68" i="58"/>
  <c r="K68" i="58"/>
  <c r="F68" i="58"/>
  <c r="AB37" i="58"/>
  <c r="X37" i="58"/>
  <c r="T37" i="58"/>
  <c r="O37" i="58"/>
  <c r="J37" i="58"/>
  <c r="E37" i="58"/>
  <c r="W83" i="58"/>
  <c r="R83" i="58"/>
  <c r="M83" i="58"/>
  <c r="H83" i="58"/>
  <c r="J68" i="58"/>
  <c r="R37" i="58"/>
  <c r="Z83" i="58"/>
  <c r="V83" i="58"/>
  <c r="Q83" i="58"/>
  <c r="L83" i="58"/>
  <c r="G83" i="58"/>
  <c r="AA68" i="58"/>
  <c r="W68" i="58"/>
  <c r="R68" i="58"/>
  <c r="M68" i="58"/>
  <c r="H68" i="58"/>
  <c r="D68" i="58"/>
  <c r="Z37" i="58"/>
  <c r="V37" i="58"/>
  <c r="Q37" i="58"/>
  <c r="L37" i="58"/>
  <c r="G37" i="58"/>
  <c r="AA83" i="58"/>
  <c r="D83" i="58"/>
  <c r="AB68" i="58"/>
  <c r="T68" i="58"/>
  <c r="E68" i="58"/>
  <c r="W37" i="58"/>
  <c r="M37" i="58"/>
  <c r="D37" i="58"/>
  <c r="Y83" i="58"/>
  <c r="U83" i="58"/>
  <c r="P83" i="58"/>
  <c r="K83" i="58"/>
  <c r="F83" i="58"/>
  <c r="Z68" i="58"/>
  <c r="V68" i="58"/>
  <c r="Q68" i="58"/>
  <c r="L68" i="58"/>
  <c r="G68" i="58"/>
  <c r="Y37" i="58"/>
  <c r="U37" i="58"/>
  <c r="P37" i="58"/>
  <c r="K37" i="58"/>
  <c r="F37" i="58"/>
  <c r="X68" i="58"/>
  <c r="O68" i="58"/>
  <c r="AA37" i="58"/>
  <c r="H37" i="58"/>
  <c r="X74" i="58"/>
  <c r="Y72" i="58"/>
  <c r="Y44" i="58"/>
  <c r="X43" i="58"/>
  <c r="I4" i="58"/>
  <c r="N4" i="58" s="1"/>
  <c r="S4" i="58" s="1"/>
  <c r="T4" i="58" s="1"/>
  <c r="U4" i="58" s="1"/>
  <c r="N20" i="58"/>
  <c r="I51" i="58"/>
  <c r="H51" i="58" s="1"/>
  <c r="H53" i="58" s="1"/>
  <c r="C55" i="58"/>
  <c r="C59" i="58" s="1"/>
  <c r="I19" i="58"/>
  <c r="I21" i="58"/>
  <c r="E5" i="58"/>
  <c r="E7" i="58" s="1"/>
  <c r="H5" i="58"/>
  <c r="H7" i="58" s="1"/>
  <c r="I7" i="58"/>
  <c r="G5" i="58"/>
  <c r="G7" i="58" s="1"/>
  <c r="N5" i="58"/>
  <c r="F5" i="58"/>
  <c r="F7" i="58" s="1"/>
  <c r="O22" i="58"/>
  <c r="K22" i="58"/>
  <c r="G22" i="58"/>
  <c r="R22" i="58"/>
  <c r="J22" i="58"/>
  <c r="F22" i="58"/>
  <c r="Q22" i="58"/>
  <c r="M22" i="58"/>
  <c r="E22" i="58"/>
  <c r="D7" i="58"/>
  <c r="H22" i="58"/>
  <c r="C9" i="58"/>
  <c r="C13" i="58" s="1"/>
  <c r="L22" i="58"/>
  <c r="P22" i="58"/>
  <c r="V22" i="58"/>
  <c r="D22" i="58"/>
  <c r="D56" i="58"/>
  <c r="D60" i="58" s="1"/>
  <c r="D55" i="58"/>
  <c r="D59" i="58" s="1"/>
  <c r="N21" i="58"/>
  <c r="C57" i="58"/>
  <c r="C61" i="58" s="1"/>
  <c r="U55" i="41"/>
  <c r="W79" i="41" s="1"/>
  <c r="W87" i="58" l="1"/>
  <c r="V89" i="58"/>
  <c r="I22" i="58"/>
  <c r="I37" i="58"/>
  <c r="N68" i="58"/>
  <c r="S68" i="58"/>
  <c r="N83" i="58"/>
  <c r="S37" i="58"/>
  <c r="S83" i="58"/>
  <c r="N37" i="58"/>
  <c r="Z72" i="58"/>
  <c r="Y74" i="58"/>
  <c r="Z44" i="58"/>
  <c r="Y43" i="58"/>
  <c r="C62" i="58"/>
  <c r="F51" i="58"/>
  <c r="F53" i="58" s="1"/>
  <c r="F56" i="58" s="1"/>
  <c r="F60" i="58" s="1"/>
  <c r="N51" i="58"/>
  <c r="E51" i="58"/>
  <c r="E53" i="58" s="1"/>
  <c r="I53" i="58"/>
  <c r="G51" i="58"/>
  <c r="G53" i="58" s="1"/>
  <c r="N22" i="58"/>
  <c r="H56" i="58"/>
  <c r="H60" i="58" s="1"/>
  <c r="H55" i="58"/>
  <c r="H59" i="58" s="1"/>
  <c r="H70" i="58" s="1"/>
  <c r="I70" i="58" s="1"/>
  <c r="C11" i="58"/>
  <c r="C15" i="58" s="1"/>
  <c r="C16" i="58" s="1"/>
  <c r="D9" i="58"/>
  <c r="D13" i="58" s="1"/>
  <c r="D10" i="58"/>
  <c r="D14" i="58" s="1"/>
  <c r="U22" i="58"/>
  <c r="S22" i="58"/>
  <c r="F10" i="58"/>
  <c r="F14" i="58" s="1"/>
  <c r="F9" i="58"/>
  <c r="F13" i="58" s="1"/>
  <c r="H9" i="58"/>
  <c r="H13" i="58" s="1"/>
  <c r="H24" i="58" s="1"/>
  <c r="H10" i="58"/>
  <c r="H14" i="58" s="1"/>
  <c r="D57" i="58"/>
  <c r="D61" i="58" s="1"/>
  <c r="D62" i="58" s="1"/>
  <c r="V4" i="58"/>
  <c r="M5" i="58"/>
  <c r="M7" i="58" s="1"/>
  <c r="N7" i="58"/>
  <c r="L5" i="58"/>
  <c r="L7" i="58" s="1"/>
  <c r="S5" i="58"/>
  <c r="K5" i="58"/>
  <c r="K7" i="58" s="1"/>
  <c r="J5" i="58"/>
  <c r="J7" i="58" s="1"/>
  <c r="E9" i="58"/>
  <c r="E13" i="58" s="1"/>
  <c r="E10" i="58"/>
  <c r="E14" i="58" s="1"/>
  <c r="G10" i="58"/>
  <c r="G14" i="58" s="1"/>
  <c r="G9" i="58"/>
  <c r="G13" i="58" s="1"/>
  <c r="T22" i="58"/>
  <c r="I9" i="58"/>
  <c r="I13" i="58" s="1"/>
  <c r="I10" i="58"/>
  <c r="I14" i="58" s="1"/>
  <c r="D356" i="41"/>
  <c r="AB350" i="41"/>
  <c r="AA350" i="41"/>
  <c r="Z350" i="41"/>
  <c r="Y350" i="41"/>
  <c r="X350" i="41"/>
  <c r="W350" i="41"/>
  <c r="V350" i="41"/>
  <c r="D280" i="41"/>
  <c r="AB274" i="41"/>
  <c r="AA274" i="41"/>
  <c r="Z274" i="41"/>
  <c r="Y274" i="41"/>
  <c r="X274" i="41"/>
  <c r="AB259" i="41"/>
  <c r="AA259" i="41"/>
  <c r="Z259" i="41"/>
  <c r="Y259" i="41"/>
  <c r="X259" i="41"/>
  <c r="W259" i="41"/>
  <c r="V259" i="41"/>
  <c r="W89" i="58" l="1"/>
  <c r="X87" i="58"/>
  <c r="AA72" i="58"/>
  <c r="Z74" i="58"/>
  <c r="AA44" i="58"/>
  <c r="Z43" i="58"/>
  <c r="F55" i="58"/>
  <c r="F59" i="58" s="1"/>
  <c r="I55" i="58"/>
  <c r="I59" i="58" s="1"/>
  <c r="I56" i="58"/>
  <c r="I60" i="58" s="1"/>
  <c r="E56" i="58"/>
  <c r="E60" i="58" s="1"/>
  <c r="E55" i="58"/>
  <c r="E59" i="58" s="1"/>
  <c r="J51" i="58"/>
  <c r="J53" i="58" s="1"/>
  <c r="S51" i="58"/>
  <c r="M51" i="58"/>
  <c r="M53" i="58" s="1"/>
  <c r="K51" i="58"/>
  <c r="K53" i="58" s="1"/>
  <c r="L51" i="58"/>
  <c r="L53" i="58" s="1"/>
  <c r="N53" i="58"/>
  <c r="G56" i="58"/>
  <c r="G60" i="58" s="1"/>
  <c r="G55" i="58"/>
  <c r="G59" i="58" s="1"/>
  <c r="W22" i="58"/>
  <c r="K10" i="58"/>
  <c r="K14" i="58" s="1"/>
  <c r="K9" i="58"/>
  <c r="K13" i="58" s="1"/>
  <c r="K24" i="58" s="1"/>
  <c r="E11" i="58"/>
  <c r="E15" i="58" s="1"/>
  <c r="E16" i="58" s="1"/>
  <c r="L9" i="58"/>
  <c r="L13" i="58" s="1"/>
  <c r="L24" i="58" s="1"/>
  <c r="L10" i="58"/>
  <c r="L14" i="58" s="1"/>
  <c r="H57" i="58"/>
  <c r="H61" i="58" s="1"/>
  <c r="I11" i="58"/>
  <c r="I15" i="58" s="1"/>
  <c r="I16" i="58" s="1"/>
  <c r="J10" i="58"/>
  <c r="J14" i="58" s="1"/>
  <c r="J9" i="58"/>
  <c r="J13" i="58" s="1"/>
  <c r="J24" i="58" s="1"/>
  <c r="N10" i="58"/>
  <c r="N14" i="58" s="1"/>
  <c r="N9" i="58"/>
  <c r="N13" i="58" s="1"/>
  <c r="H11" i="58"/>
  <c r="H15" i="58" s="1"/>
  <c r="D11" i="58"/>
  <c r="D15" i="58" s="1"/>
  <c r="D16" i="58" s="1"/>
  <c r="M9" i="58"/>
  <c r="M13" i="58" s="1"/>
  <c r="M24" i="58" s="1"/>
  <c r="M10" i="58"/>
  <c r="M14" i="58" s="1"/>
  <c r="G11" i="58"/>
  <c r="G15" i="58" s="1"/>
  <c r="G16" i="58" s="1"/>
  <c r="S7" i="58"/>
  <c r="Q5" i="58"/>
  <c r="Q7" i="58" s="1"/>
  <c r="T5" i="58"/>
  <c r="O5" i="58"/>
  <c r="O7" i="58" s="1"/>
  <c r="R5" i="58"/>
  <c r="R7" i="58" s="1"/>
  <c r="P5" i="58"/>
  <c r="P7" i="58" s="1"/>
  <c r="W4" i="58"/>
  <c r="F11" i="58"/>
  <c r="F15" i="58" s="1"/>
  <c r="F16" i="58" s="1"/>
  <c r="T126" i="41"/>
  <c r="V150" i="41" s="1"/>
  <c r="Y231" i="41"/>
  <c r="Y257" i="41" s="1"/>
  <c r="X231" i="41"/>
  <c r="X257" i="41" s="1"/>
  <c r="X333" i="41" s="1"/>
  <c r="W231" i="41"/>
  <c r="AB232" i="41"/>
  <c r="AA232" i="41"/>
  <c r="Z232" i="41"/>
  <c r="Y232" i="41"/>
  <c r="X232" i="41"/>
  <c r="W232" i="41"/>
  <c r="Z258" i="41" l="1"/>
  <c r="Z233" i="41"/>
  <c r="AA258" i="41"/>
  <c r="AA233" i="41"/>
  <c r="W258" i="41"/>
  <c r="W233" i="41"/>
  <c r="X258" i="41"/>
  <c r="X233" i="41"/>
  <c r="AB258" i="41"/>
  <c r="AB233" i="41"/>
  <c r="Y258" i="41"/>
  <c r="Y233" i="41"/>
  <c r="X89" i="58"/>
  <c r="Y87" i="58"/>
  <c r="H39" i="58"/>
  <c r="I39" i="58" s="1"/>
  <c r="H85" i="58"/>
  <c r="I85" i="58" s="1"/>
  <c r="I83" i="58" s="1"/>
  <c r="AA74" i="58"/>
  <c r="AB72" i="58"/>
  <c r="AB74" i="58" s="1"/>
  <c r="AB44" i="58"/>
  <c r="AB43" i="58" s="1"/>
  <c r="AA43" i="58"/>
  <c r="F57" i="58"/>
  <c r="F61" i="58" s="1"/>
  <c r="F62" i="58" s="1"/>
  <c r="I57" i="58"/>
  <c r="I61" i="58" s="1"/>
  <c r="G57" i="58"/>
  <c r="G61" i="58" s="1"/>
  <c r="J55" i="58"/>
  <c r="J59" i="58" s="1"/>
  <c r="J70" i="58" s="1"/>
  <c r="J56" i="58"/>
  <c r="J60" i="58" s="1"/>
  <c r="K56" i="58"/>
  <c r="K60" i="58" s="1"/>
  <c r="K55" i="58"/>
  <c r="K59" i="58" s="1"/>
  <c r="K70" i="58" s="1"/>
  <c r="H16" i="58"/>
  <c r="K11" i="58"/>
  <c r="K15" i="58" s="1"/>
  <c r="M55" i="58"/>
  <c r="M56" i="58"/>
  <c r="M60" i="58" s="1"/>
  <c r="E57" i="58"/>
  <c r="E61" i="58" s="1"/>
  <c r="L55" i="58"/>
  <c r="L59" i="58" s="1"/>
  <c r="L70" i="58" s="1"/>
  <c r="L56" i="58"/>
  <c r="L60" i="58" s="1"/>
  <c r="M11" i="58"/>
  <c r="M15" i="58" s="1"/>
  <c r="N56" i="58"/>
  <c r="N60" i="58" s="1"/>
  <c r="N55" i="58"/>
  <c r="Q51" i="58"/>
  <c r="Q53" i="58" s="1"/>
  <c r="T51" i="58"/>
  <c r="S53" i="58"/>
  <c r="R51" i="58"/>
  <c r="R53" i="58" s="1"/>
  <c r="P51" i="58"/>
  <c r="P53" i="58" s="1"/>
  <c r="O51" i="58"/>
  <c r="O53" i="58" s="1"/>
  <c r="I68" i="58"/>
  <c r="O10" i="58"/>
  <c r="O14" i="58" s="1"/>
  <c r="O9" i="58"/>
  <c r="O13" i="58" s="1"/>
  <c r="O24" i="58" s="1"/>
  <c r="P9" i="58"/>
  <c r="P13" i="58" s="1"/>
  <c r="P24" i="58" s="1"/>
  <c r="P10" i="58"/>
  <c r="P14" i="58" s="1"/>
  <c r="Q9" i="58"/>
  <c r="Q13" i="58" s="1"/>
  <c r="Q24" i="58" s="1"/>
  <c r="Q10" i="58"/>
  <c r="Q14" i="58" s="1"/>
  <c r="H62" i="58"/>
  <c r="R10" i="58"/>
  <c r="R14" i="58" s="1"/>
  <c r="R9" i="58"/>
  <c r="R13" i="58" s="1"/>
  <c r="R24" i="58" s="1"/>
  <c r="S10" i="58"/>
  <c r="S14" i="58" s="1"/>
  <c r="S9" i="58"/>
  <c r="S13" i="58" s="1"/>
  <c r="J11" i="58"/>
  <c r="J15" i="58" s="1"/>
  <c r="I24" i="58"/>
  <c r="X22" i="58"/>
  <c r="X4" i="58"/>
  <c r="U5" i="58"/>
  <c r="T7" i="58"/>
  <c r="N11" i="58"/>
  <c r="N15" i="58" s="1"/>
  <c r="L11" i="58"/>
  <c r="L15" i="58" s="1"/>
  <c r="L16" i="58" s="1"/>
  <c r="W307" i="41"/>
  <c r="W257" i="41"/>
  <c r="W333" i="41" s="1"/>
  <c r="Z87" i="58" l="1"/>
  <c r="Y89" i="58"/>
  <c r="J39" i="58"/>
  <c r="L39" i="58"/>
  <c r="K39" i="58"/>
  <c r="M39" i="58"/>
  <c r="M16" i="58"/>
  <c r="I62" i="58"/>
  <c r="K16" i="58"/>
  <c r="E62" i="58"/>
  <c r="G62" i="58"/>
  <c r="N59" i="58"/>
  <c r="N57" i="58"/>
  <c r="N61" i="58" s="1"/>
  <c r="P11" i="58"/>
  <c r="P15" i="58" s="1"/>
  <c r="P16" i="58" s="1"/>
  <c r="S56" i="58"/>
  <c r="S60" i="58" s="1"/>
  <c r="S55" i="58"/>
  <c r="J16" i="58"/>
  <c r="O55" i="58"/>
  <c r="O56" i="58"/>
  <c r="O60" i="58" s="1"/>
  <c r="T53" i="58"/>
  <c r="U51" i="58"/>
  <c r="K57" i="58"/>
  <c r="K61" i="58" s="1"/>
  <c r="J57" i="58"/>
  <c r="J61" i="58" s="1"/>
  <c r="R55" i="58"/>
  <c r="R59" i="58" s="1"/>
  <c r="R70" i="58" s="1"/>
  <c r="R56" i="58"/>
  <c r="R60" i="58" s="1"/>
  <c r="M59" i="58"/>
  <c r="M70" i="58" s="1"/>
  <c r="N70" i="58" s="1"/>
  <c r="M57" i="58"/>
  <c r="M61" i="58" s="1"/>
  <c r="P55" i="58"/>
  <c r="P56" i="58"/>
  <c r="P60" i="58" s="1"/>
  <c r="Q55" i="58"/>
  <c r="Q56" i="58"/>
  <c r="Q60" i="58" s="1"/>
  <c r="L57" i="58"/>
  <c r="L61" i="58" s="1"/>
  <c r="Y22" i="58"/>
  <c r="N24" i="58"/>
  <c r="T9" i="58"/>
  <c r="T10" i="58"/>
  <c r="U7" i="58"/>
  <c r="V5" i="58"/>
  <c r="Y4" i="58"/>
  <c r="N16" i="58"/>
  <c r="Q11" i="58"/>
  <c r="Q15" i="58" s="1"/>
  <c r="Q16" i="58" s="1"/>
  <c r="R11" i="58"/>
  <c r="R15" i="58" s="1"/>
  <c r="S11" i="58"/>
  <c r="S15" i="58" s="1"/>
  <c r="O11" i="58"/>
  <c r="O15" i="58" s="1"/>
  <c r="AA87" i="58" l="1"/>
  <c r="Z89" i="58"/>
  <c r="P39" i="58"/>
  <c r="N39" i="58"/>
  <c r="K85" i="58"/>
  <c r="J85" i="58"/>
  <c r="O39" i="58"/>
  <c r="M85" i="58"/>
  <c r="R39" i="58"/>
  <c r="Q39" i="58"/>
  <c r="L85" i="58"/>
  <c r="R57" i="58"/>
  <c r="R61" i="58" s="1"/>
  <c r="R62" i="58" s="1"/>
  <c r="L62" i="58"/>
  <c r="Q59" i="58"/>
  <c r="Q70" i="58" s="1"/>
  <c r="Q57" i="58"/>
  <c r="Q61" i="58" s="1"/>
  <c r="O59" i="58"/>
  <c r="O70" i="58" s="1"/>
  <c r="O57" i="58"/>
  <c r="O61" i="58" s="1"/>
  <c r="O85" i="58" s="1"/>
  <c r="T11" i="58"/>
  <c r="K62" i="58"/>
  <c r="V51" i="58"/>
  <c r="U53" i="58"/>
  <c r="S59" i="58"/>
  <c r="S57" i="58"/>
  <c r="S61" i="58" s="1"/>
  <c r="P59" i="58"/>
  <c r="P70" i="58" s="1"/>
  <c r="P57" i="58"/>
  <c r="P61" i="58" s="1"/>
  <c r="M62" i="58"/>
  <c r="T55" i="58"/>
  <c r="T56" i="58"/>
  <c r="J62" i="58"/>
  <c r="N62" i="58"/>
  <c r="R16" i="58"/>
  <c r="U9" i="58"/>
  <c r="U10" i="58"/>
  <c r="O16" i="58"/>
  <c r="S16" i="58"/>
  <c r="S24" i="58"/>
  <c r="T13" i="58" s="1"/>
  <c r="Z4" i="58"/>
  <c r="W5" i="58"/>
  <c r="V7" i="58"/>
  <c r="Z22" i="58"/>
  <c r="AB87" i="58" l="1"/>
  <c r="AB89" i="58" s="1"/>
  <c r="AA89" i="58"/>
  <c r="N85" i="58"/>
  <c r="S39" i="58"/>
  <c r="S70" i="58"/>
  <c r="R85" i="58"/>
  <c r="Q85" i="58"/>
  <c r="P85" i="58"/>
  <c r="S62" i="58"/>
  <c r="V53" i="58"/>
  <c r="W51" i="58"/>
  <c r="Q62" i="58"/>
  <c r="O62" i="58"/>
  <c r="U55" i="58"/>
  <c r="U56" i="58"/>
  <c r="T57" i="58"/>
  <c r="P62" i="58"/>
  <c r="AA4" i="58"/>
  <c r="W7" i="58"/>
  <c r="X5" i="58"/>
  <c r="V10" i="58"/>
  <c r="V9" i="58"/>
  <c r="AB22" i="58"/>
  <c r="AA22" i="58"/>
  <c r="U11" i="58"/>
  <c r="T59" i="58" l="1"/>
  <c r="T70" i="58" s="1"/>
  <c r="T24" i="58"/>
  <c r="T14" i="58"/>
  <c r="T15" i="58"/>
  <c r="S85" i="58"/>
  <c r="W53" i="58"/>
  <c r="X51" i="58"/>
  <c r="V55" i="58"/>
  <c r="V56" i="58"/>
  <c r="U57" i="58"/>
  <c r="V11" i="58"/>
  <c r="AB4" i="58"/>
  <c r="Y5" i="58"/>
  <c r="X7" i="58"/>
  <c r="W10" i="58"/>
  <c r="W9" i="58"/>
  <c r="AA107" i="1"/>
  <c r="V107" i="1"/>
  <c r="U59" i="58" l="1"/>
  <c r="U70" i="58" s="1"/>
  <c r="V59" i="58" s="1"/>
  <c r="V70" i="58" s="1"/>
  <c r="W59" i="58" s="1"/>
  <c r="T77" i="58"/>
  <c r="T31" i="58"/>
  <c r="U13" i="58"/>
  <c r="U24" i="58" s="1"/>
  <c r="V13" i="58" s="1"/>
  <c r="T60" i="58"/>
  <c r="T61" i="58"/>
  <c r="T16" i="58"/>
  <c r="T39" i="58"/>
  <c r="V57" i="58"/>
  <c r="X53" i="58"/>
  <c r="Y51" i="58"/>
  <c r="W56" i="58"/>
  <c r="W55" i="58"/>
  <c r="W11" i="58"/>
  <c r="X9" i="58"/>
  <c r="X10" i="58"/>
  <c r="Y7" i="58"/>
  <c r="Z5" i="58"/>
  <c r="AA68" i="1"/>
  <c r="AA63" i="1"/>
  <c r="AA42" i="1"/>
  <c r="G30" i="11"/>
  <c r="G29" i="11"/>
  <c r="G22" i="11"/>
  <c r="G24" i="11"/>
  <c r="G14" i="11"/>
  <c r="G10" i="11"/>
  <c r="H17" i="2"/>
  <c r="U77" i="58" l="1"/>
  <c r="U15" i="58"/>
  <c r="T46" i="58"/>
  <c r="V24" i="58"/>
  <c r="W13" i="58" s="1"/>
  <c r="U31" i="58"/>
  <c r="V77" i="58"/>
  <c r="T85" i="58"/>
  <c r="T62" i="58"/>
  <c r="U14" i="58"/>
  <c r="X55" i="58"/>
  <c r="X56" i="58"/>
  <c r="W70" i="58"/>
  <c r="X59" i="58" s="1"/>
  <c r="W57" i="58"/>
  <c r="Z51" i="58"/>
  <c r="Y53" i="58"/>
  <c r="Y9" i="58"/>
  <c r="Y10" i="58"/>
  <c r="Z7" i="58"/>
  <c r="AA5" i="58"/>
  <c r="X11" i="58"/>
  <c r="Z65" i="1"/>
  <c r="AA59" i="1"/>
  <c r="AA26" i="1" s="1"/>
  <c r="Z60" i="1"/>
  <c r="Z51" i="1" s="1"/>
  <c r="Z26" i="1"/>
  <c r="Z25" i="1" s="1"/>
  <c r="Z24" i="1" s="1"/>
  <c r="Z23" i="1" s="1"/>
  <c r="Z22" i="1"/>
  <c r="Z21" i="1" s="1"/>
  <c r="Z20" i="1" s="1"/>
  <c r="Z19" i="1" s="1"/>
  <c r="W24" i="58" l="1"/>
  <c r="X13" i="58" s="1"/>
  <c r="V31" i="58"/>
  <c r="V32" i="58" s="1"/>
  <c r="U60" i="58"/>
  <c r="T92" i="58"/>
  <c r="T101" i="58" s="1"/>
  <c r="V78" i="58"/>
  <c r="W77" i="58"/>
  <c r="U61" i="58"/>
  <c r="X70" i="58"/>
  <c r="Y59" i="58" s="1"/>
  <c r="U16" i="58"/>
  <c r="U39" i="58"/>
  <c r="V14" i="58" s="1"/>
  <c r="Z53" i="58"/>
  <c r="AA51" i="58"/>
  <c r="Y55" i="58"/>
  <c r="Y56" i="58"/>
  <c r="X57" i="58"/>
  <c r="Z10" i="58"/>
  <c r="Z9" i="58"/>
  <c r="Y11" i="58"/>
  <c r="AA7" i="58"/>
  <c r="AB5" i="58"/>
  <c r="AB7" i="58" s="1"/>
  <c r="Z44" i="1"/>
  <c r="Z89" i="1"/>
  <c r="Z90" i="1" s="1"/>
  <c r="Z81" i="1"/>
  <c r="Z52" i="1"/>
  <c r="Z66" i="1"/>
  <c r="Z61" i="1"/>
  <c r="V15" i="58" l="1"/>
  <c r="V39" i="58" s="1"/>
  <c r="U46" i="58"/>
  <c r="X24" i="58"/>
  <c r="Y13" i="58" s="1"/>
  <c r="W31" i="58"/>
  <c r="W32" i="58" s="1"/>
  <c r="U85" i="58"/>
  <c r="V60" i="58" s="1"/>
  <c r="U62" i="58"/>
  <c r="W78" i="58"/>
  <c r="X77" i="58"/>
  <c r="Y70" i="58"/>
  <c r="Z59" i="58" s="1"/>
  <c r="Z55" i="58"/>
  <c r="Z56" i="58"/>
  <c r="AA53" i="58"/>
  <c r="AB51" i="58"/>
  <c r="AB53" i="58" s="1"/>
  <c r="Y57" i="58"/>
  <c r="Z11" i="58"/>
  <c r="AB9" i="58"/>
  <c r="AB10" i="58"/>
  <c r="AA10" i="58"/>
  <c r="AA9" i="58"/>
  <c r="Z88" i="1"/>
  <c r="Z80" i="1"/>
  <c r="Z82" i="1"/>
  <c r="V16" i="58" l="1"/>
  <c r="Y24" i="58"/>
  <c r="Z13" i="58" s="1"/>
  <c r="X31" i="58"/>
  <c r="X32" i="58" s="1"/>
  <c r="W14" i="58"/>
  <c r="V46" i="58"/>
  <c r="V47" i="58" s="1"/>
  <c r="U92" i="58"/>
  <c r="U101" i="58" s="1"/>
  <c r="V61" i="58"/>
  <c r="V62" i="58" s="1"/>
  <c r="X78" i="58"/>
  <c r="Y77" i="58"/>
  <c r="W15" i="58"/>
  <c r="AA55" i="58"/>
  <c r="AA56" i="58"/>
  <c r="AB55" i="58"/>
  <c r="AB56" i="58"/>
  <c r="Z70" i="58"/>
  <c r="AA59" i="58" s="1"/>
  <c r="Z57" i="58"/>
  <c r="AB11" i="58"/>
  <c r="AA11" i="58"/>
  <c r="I5" i="42"/>
  <c r="V85" i="58" l="1"/>
  <c r="V92" i="58" s="1"/>
  <c r="V101" i="58" s="1"/>
  <c r="Y31" i="58"/>
  <c r="Y32" i="58" s="1"/>
  <c r="Y78" i="58"/>
  <c r="Z77" i="58"/>
  <c r="AA70" i="58"/>
  <c r="AB59" i="58" s="1"/>
  <c r="W39" i="58"/>
  <c r="X15" i="58" s="1"/>
  <c r="W16" i="58"/>
  <c r="AA57" i="58"/>
  <c r="AB57" i="58"/>
  <c r="AC44" i="1"/>
  <c r="AB17" i="1"/>
  <c r="V93" i="58" l="1"/>
  <c r="W60" i="58"/>
  <c r="W61" i="58"/>
  <c r="X14" i="58"/>
  <c r="X39" i="58" s="1"/>
  <c r="Y15" i="58" s="1"/>
  <c r="W46" i="58"/>
  <c r="W47" i="58" s="1"/>
  <c r="Z24" i="58"/>
  <c r="Z78" i="58"/>
  <c r="AB70" i="58"/>
  <c r="AB77" i="58" s="1"/>
  <c r="AA77" i="58"/>
  <c r="AD44" i="1"/>
  <c r="AC17" i="1"/>
  <c r="W85" i="58" l="1"/>
  <c r="W92" i="58" s="1"/>
  <c r="V102" i="58"/>
  <c r="X16" i="58"/>
  <c r="W62" i="58"/>
  <c r="Z31" i="58"/>
  <c r="AA13" i="58"/>
  <c r="Y14" i="58"/>
  <c r="Y39" i="58" s="1"/>
  <c r="Z15" i="58" s="1"/>
  <c r="X46" i="58"/>
  <c r="X47" i="58" s="1"/>
  <c r="AA78" i="58"/>
  <c r="AB78" i="58"/>
  <c r="AD17" i="1"/>
  <c r="AE17" i="1" s="1"/>
  <c r="X61" i="58" l="1"/>
  <c r="X60" i="58"/>
  <c r="W101" i="58"/>
  <c r="W102" i="58" s="1"/>
  <c r="Z32" i="58"/>
  <c r="Y16" i="58"/>
  <c r="AA24" i="58"/>
  <c r="AA31" i="58" s="1"/>
  <c r="Z14" i="58"/>
  <c r="Z16" i="58" s="1"/>
  <c r="Y46" i="58"/>
  <c r="W93" i="58"/>
  <c r="AO111" i="1"/>
  <c r="AN111" i="1"/>
  <c r="AM111" i="1"/>
  <c r="AL111" i="1"/>
  <c r="AJ111" i="1"/>
  <c r="AI111" i="1"/>
  <c r="AH111" i="1"/>
  <c r="AG111" i="1"/>
  <c r="AK110" i="1"/>
  <c r="AP110" i="1" s="1"/>
  <c r="AU110" i="1" s="1"/>
  <c r="X85" i="58" l="1"/>
  <c r="X92" i="58" s="1"/>
  <c r="X62" i="58"/>
  <c r="Y47" i="58"/>
  <c r="AA32" i="58"/>
  <c r="AB13" i="58"/>
  <c r="AB24" i="58" s="1"/>
  <c r="AB31" i="58" s="1"/>
  <c r="Z39" i="58"/>
  <c r="AZ110" i="1"/>
  <c r="AD1" i="11"/>
  <c r="CC3" i="1"/>
  <c r="X12" i="1"/>
  <c r="AP12" i="1"/>
  <c r="AA12" i="1"/>
  <c r="Z12" i="1"/>
  <c r="AQ12" i="1"/>
  <c r="AR12" i="1"/>
  <c r="AK12" i="1"/>
  <c r="AS12" i="1"/>
  <c r="Y61" i="58" l="1"/>
  <c r="Y60" i="58"/>
  <c r="X101" i="58"/>
  <c r="AB32" i="58"/>
  <c r="AA14" i="58"/>
  <c r="Z46" i="58"/>
  <c r="AA15" i="58"/>
  <c r="X93" i="58"/>
  <c r="BE110" i="1"/>
  <c r="AD2" i="11"/>
  <c r="Y12" i="1"/>
  <c r="AT12" i="1"/>
  <c r="C47" i="11"/>
  <c r="AF12" i="1"/>
  <c r="D47" i="11"/>
  <c r="E47" i="11"/>
  <c r="Y62" i="58" l="1"/>
  <c r="Y85" i="58"/>
  <c r="Z60" i="58" s="1"/>
  <c r="X102" i="58"/>
  <c r="Z47" i="58"/>
  <c r="AA16" i="58"/>
  <c r="AA39" i="58"/>
  <c r="AA46" i="58" s="1"/>
  <c r="BJ110" i="1"/>
  <c r="BO110" i="1" s="1"/>
  <c r="L30" i="41"/>
  <c r="L32" i="41"/>
  <c r="L102" i="41"/>
  <c r="L104" i="41"/>
  <c r="K104" i="41"/>
  <c r="K102" i="41"/>
  <c r="J104" i="41"/>
  <c r="J102" i="41"/>
  <c r="H30" i="41"/>
  <c r="K32" i="41"/>
  <c r="K30" i="41"/>
  <c r="Z42" i="1"/>
  <c r="H443" i="41"/>
  <c r="Y92" i="58" l="1"/>
  <c r="Z61" i="58"/>
  <c r="Z85" i="58" s="1"/>
  <c r="Y101" i="58"/>
  <c r="AA47" i="58"/>
  <c r="AB14" i="58"/>
  <c r="AB15" i="58"/>
  <c r="Y93" i="58"/>
  <c r="Z62" i="58"/>
  <c r="Y68" i="1"/>
  <c r="Y64" i="1"/>
  <c r="Y63" i="1"/>
  <c r="Y58" i="1"/>
  <c r="Y42" i="1"/>
  <c r="Y26" i="1"/>
  <c r="Y25" i="1" s="1"/>
  <c r="Y24" i="1" s="1"/>
  <c r="Y23" i="1" s="1"/>
  <c r="Y22" i="1" l="1"/>
  <c r="Y21" i="1" s="1"/>
  <c r="Y20" i="1" s="1"/>
  <c r="Y19" i="1" s="1"/>
  <c r="Y102" i="58"/>
  <c r="AB16" i="58"/>
  <c r="AB39" i="58"/>
  <c r="AB46" i="58" s="1"/>
  <c r="AA61" i="58"/>
  <c r="Z92" i="58"/>
  <c r="AA60" i="58"/>
  <c r="Y65" i="1"/>
  <c r="Y66" i="1" s="1"/>
  <c r="Y60" i="1"/>
  <c r="Y61" i="1" s="1"/>
  <c r="AA58" i="1"/>
  <c r="Y89" i="1"/>
  <c r="Y81" i="1"/>
  <c r="Z101" i="58" l="1"/>
  <c r="AB47" i="58"/>
  <c r="Z93" i="58"/>
  <c r="AA62" i="58"/>
  <c r="AA85" i="58"/>
  <c r="AB60" i="58" s="1"/>
  <c r="Y51" i="1"/>
  <c r="Y52" i="1" s="1"/>
  <c r="AA60" i="1"/>
  <c r="AA22" i="1"/>
  <c r="Y44" i="1"/>
  <c r="Y90" i="1"/>
  <c r="Y88" i="1"/>
  <c r="Y82" i="1"/>
  <c r="Y80" i="1"/>
  <c r="Z102" i="58" l="1"/>
  <c r="AB61" i="58"/>
  <c r="AB85" i="58" s="1"/>
  <c r="AB92" i="58" s="1"/>
  <c r="AB101" i="58" s="1"/>
  <c r="AA92" i="58"/>
  <c r="AA101" i="58" s="1"/>
  <c r="AB62" i="58" l="1"/>
  <c r="AB93" i="58"/>
  <c r="AA93" i="58"/>
  <c r="AA102" i="58"/>
  <c r="AB102" i="58" l="1"/>
  <c r="W308" i="41"/>
  <c r="W309" i="41" s="1"/>
  <c r="Y307" i="41"/>
  <c r="AB308" i="41"/>
  <c r="AB309" i="41" s="1"/>
  <c r="AA308" i="41"/>
  <c r="AA309" i="41" s="1"/>
  <c r="Z308" i="41"/>
  <c r="Z309" i="41" s="1"/>
  <c r="Y308" i="41"/>
  <c r="Y309" i="41" s="1"/>
  <c r="W207" i="41"/>
  <c r="Z231" i="41" l="1"/>
  <c r="X207" i="41"/>
  <c r="Z307" i="41" l="1"/>
  <c r="Z257" i="41"/>
  <c r="Z333" i="41" s="1"/>
  <c r="Y207" i="41"/>
  <c r="AA231" i="41"/>
  <c r="AF42" i="1"/>
  <c r="AB42" i="1" s="1"/>
  <c r="AC42" i="1" s="1"/>
  <c r="AD42" i="1" s="1"/>
  <c r="AE42" i="1" s="1"/>
  <c r="AA307" i="41" l="1"/>
  <c r="AA257" i="41"/>
  <c r="AA333" i="41" s="1"/>
  <c r="Z207" i="41"/>
  <c r="AA207" i="41" s="1"/>
  <c r="AB207" i="41" s="1"/>
  <c r="AB231" i="41"/>
  <c r="AF41" i="1"/>
  <c r="AB307" i="41" l="1"/>
  <c r="AB257" i="41"/>
  <c r="AB333" i="41" s="1"/>
  <c r="C27" i="42"/>
  <c r="AB41" i="1"/>
  <c r="AC41" i="1" s="1"/>
  <c r="AD41" i="1" s="1"/>
  <c r="AE41" i="1" s="1"/>
  <c r="X68" i="1"/>
  <c r="X60" i="1"/>
  <c r="X51" i="1" s="1"/>
  <c r="X63" i="1"/>
  <c r="X42" i="1"/>
  <c r="X26" i="1"/>
  <c r="X25" i="1" s="1"/>
  <c r="X24" i="1" s="1"/>
  <c r="AA109" i="1"/>
  <c r="I23" i="2"/>
  <c r="J23" i="2" s="1"/>
  <c r="K23" i="2" s="1"/>
  <c r="L23" i="2" s="1"/>
  <c r="M23" i="2" s="1"/>
  <c r="N23" i="2" s="1"/>
  <c r="O23" i="2" s="1"/>
  <c r="P23" i="2" s="1"/>
  <c r="F24" i="11"/>
  <c r="F10" i="11"/>
  <c r="F15" i="11"/>
  <c r="F8" i="11"/>
  <c r="G17" i="2"/>
  <c r="Y438" i="41"/>
  <c r="R438" i="41"/>
  <c r="Q438" i="41"/>
  <c r="P438" i="41"/>
  <c r="O438" i="41"/>
  <c r="N438" i="41"/>
  <c r="M438" i="41"/>
  <c r="L438" i="41"/>
  <c r="M363" i="41"/>
  <c r="L363" i="41"/>
  <c r="K363" i="41"/>
  <c r="J363" i="41"/>
  <c r="M179" i="41"/>
  <c r="O179" i="41" s="1"/>
  <c r="P179" i="41" s="1"/>
  <c r="Q179" i="41" s="1"/>
  <c r="R179" i="41" s="1"/>
  <c r="S179" i="41" s="1"/>
  <c r="T179" i="41" s="1"/>
  <c r="U179" i="41" s="1"/>
  <c r="V179" i="41" s="1"/>
  <c r="W179" i="41" s="1"/>
  <c r="X179" i="41" s="1"/>
  <c r="P402" i="41"/>
  <c r="Q402" i="41" s="1"/>
  <c r="R402" i="41" s="1"/>
  <c r="S402" i="41" s="1"/>
  <c r="T402" i="41" s="1"/>
  <c r="U402" i="41" s="1"/>
  <c r="V402" i="41" s="1"/>
  <c r="W402" i="41" s="1"/>
  <c r="X402" i="41" s="1"/>
  <c r="Y402" i="41" s="1"/>
  <c r="Z402" i="41" s="1"/>
  <c r="AA402" i="41" s="1"/>
  <c r="AB402" i="41" s="1"/>
  <c r="X22" i="1" l="1"/>
  <c r="X81" i="1" s="1"/>
  <c r="AA65" i="1"/>
  <c r="AA44" i="1" s="1"/>
  <c r="X23" i="1"/>
  <c r="X89" i="1"/>
  <c r="X65" i="1"/>
  <c r="X44" i="1" s="1"/>
  <c r="X21" i="1"/>
  <c r="X20" i="1" s="1"/>
  <c r="X19" i="1" s="1"/>
  <c r="N363" i="41"/>
  <c r="O363" i="41"/>
  <c r="X52" i="1" l="1"/>
  <c r="X61" i="1"/>
  <c r="X88" i="1"/>
  <c r="X90" i="1"/>
  <c r="X66" i="1"/>
  <c r="X80" i="1"/>
  <c r="X82" i="1"/>
  <c r="P363" i="41"/>
  <c r="Q363" i="41" l="1"/>
  <c r="S364" i="41" l="1"/>
  <c r="R363" i="41"/>
  <c r="T364" i="41" l="1"/>
  <c r="T438" i="41" s="1"/>
  <c r="S438" i="41"/>
  <c r="U364" i="41" l="1"/>
  <c r="U438" i="41" s="1"/>
  <c r="V364" i="41" l="1"/>
  <c r="V438" i="41" s="1"/>
  <c r="W364" i="41" l="1"/>
  <c r="W438" i="41" s="1"/>
  <c r="X364" i="41" l="1"/>
  <c r="X438" i="41" s="1"/>
  <c r="E82" i="11"/>
  <c r="D82" i="11"/>
  <c r="E76" i="11"/>
  <c r="D76" i="11"/>
  <c r="C76" i="11"/>
  <c r="F70" i="11"/>
  <c r="E70" i="11"/>
  <c r="D70" i="11"/>
  <c r="F69" i="11"/>
  <c r="E69" i="11"/>
  <c r="D69" i="11"/>
  <c r="F68" i="11"/>
  <c r="H68" i="11" s="1"/>
  <c r="I68" i="11" s="1"/>
  <c r="J68" i="11" s="1"/>
  <c r="K68" i="11" s="1"/>
  <c r="L68" i="11" s="1"/>
  <c r="M68" i="11" s="1"/>
  <c r="N68" i="11" s="1"/>
  <c r="O68" i="11" s="1"/>
  <c r="C63" i="11"/>
  <c r="C66" i="11" s="1"/>
  <c r="C61" i="11"/>
  <c r="E58" i="11"/>
  <c r="D58" i="11"/>
  <c r="C58" i="11"/>
  <c r="E57" i="11"/>
  <c r="D57" i="11" s="1"/>
  <c r="C57" i="11" s="1"/>
  <c r="H56" i="11"/>
  <c r="H51" i="11"/>
  <c r="I51" i="11" s="1"/>
  <c r="J51" i="11" s="1"/>
  <c r="K51" i="11" s="1"/>
  <c r="L51" i="11" s="1"/>
  <c r="M51" i="11" s="1"/>
  <c r="N51" i="11" s="1"/>
  <c r="O51" i="11" s="1"/>
  <c r="C55" i="11"/>
  <c r="C53" i="11"/>
  <c r="C50" i="11"/>
  <c r="H57" i="11"/>
  <c r="I57" i="11" s="1"/>
  <c r="J57" i="11" s="1"/>
  <c r="K57" i="11" s="1"/>
  <c r="L57" i="11" s="1"/>
  <c r="M57" i="11" s="1"/>
  <c r="N57" i="11" s="1"/>
  <c r="O57" i="11" s="1"/>
  <c r="G57" i="11"/>
  <c r="G47" i="11"/>
  <c r="H47" i="11" s="1"/>
  <c r="I47" i="11" s="1"/>
  <c r="E48" i="11"/>
  <c r="D48" i="11"/>
  <c r="C68" i="11" l="1"/>
  <c r="C59" i="11"/>
  <c r="D68" i="11"/>
  <c r="D59" i="11"/>
  <c r="E68" i="11"/>
  <c r="E59" i="11"/>
  <c r="J47" i="11"/>
  <c r="E61" i="11"/>
  <c r="I61" i="11" s="1"/>
  <c r="J61" i="11" s="1"/>
  <c r="K61" i="11" s="1"/>
  <c r="L61" i="11" s="1"/>
  <c r="M61" i="11" s="1"/>
  <c r="N61" i="11" s="1"/>
  <c r="O61" i="11" s="1"/>
  <c r="E53" i="11"/>
  <c r="E63" i="11"/>
  <c r="E66" i="11" s="1"/>
  <c r="E55" i="11"/>
  <c r="E50" i="11"/>
  <c r="I50" i="11" s="1"/>
  <c r="J50" i="11" s="1"/>
  <c r="K50" i="11" s="1"/>
  <c r="L50" i="11" s="1"/>
  <c r="M50" i="11" s="1"/>
  <c r="N50" i="11" s="1"/>
  <c r="O50" i="11" s="1"/>
  <c r="D63" i="11"/>
  <c r="D66" i="11" s="1"/>
  <c r="D55" i="11"/>
  <c r="D50" i="11"/>
  <c r="D61" i="11"/>
  <c r="D53" i="11"/>
  <c r="I56" i="11"/>
  <c r="E39" i="11"/>
  <c r="D39" i="11"/>
  <c r="C39" i="11"/>
  <c r="D33" i="11"/>
  <c r="C33" i="11"/>
  <c r="E30" i="11"/>
  <c r="E33" i="11" s="1"/>
  <c r="O30" i="11"/>
  <c r="M30" i="11"/>
  <c r="L30" i="11"/>
  <c r="K30" i="11"/>
  <c r="J30" i="11"/>
  <c r="I30" i="11"/>
  <c r="H30" i="11"/>
  <c r="O29" i="11"/>
  <c r="N29" i="11"/>
  <c r="M29" i="11"/>
  <c r="L29" i="11"/>
  <c r="K29" i="11"/>
  <c r="J29" i="11"/>
  <c r="I29" i="11"/>
  <c r="H29" i="11"/>
  <c r="E25" i="11"/>
  <c r="C25" i="11"/>
  <c r="D24" i="11"/>
  <c r="D25" i="11" s="1"/>
  <c r="F25" i="11"/>
  <c r="E10" i="11"/>
  <c r="E16" i="11" s="1"/>
  <c r="D10" i="11"/>
  <c r="D16" i="11" s="1"/>
  <c r="C10" i="11"/>
  <c r="C16" i="11" s="1"/>
  <c r="F16" i="11"/>
  <c r="F86" i="2"/>
  <c r="E86" i="2"/>
  <c r="F81" i="2" s="1"/>
  <c r="D86" i="2"/>
  <c r="F84" i="2"/>
  <c r="E84" i="2"/>
  <c r="E103" i="2" s="1"/>
  <c r="D84" i="2"/>
  <c r="E81" i="2"/>
  <c r="F77" i="2"/>
  <c r="E77" i="2"/>
  <c r="F75" i="2"/>
  <c r="E75" i="2"/>
  <c r="D75" i="2"/>
  <c r="F73" i="2"/>
  <c r="E73" i="2"/>
  <c r="D73" i="2"/>
  <c r="F71" i="2"/>
  <c r="E71" i="2"/>
  <c r="D71" i="2"/>
  <c r="F67" i="2"/>
  <c r="E67" i="2"/>
  <c r="D67" i="2"/>
  <c r="F63" i="2"/>
  <c r="E63" i="2"/>
  <c r="D63" i="2"/>
  <c r="F54" i="2"/>
  <c r="F82" i="2" s="1"/>
  <c r="E54" i="2"/>
  <c r="E82" i="2" s="1"/>
  <c r="D54" i="2"/>
  <c r="D82" i="2" s="1"/>
  <c r="G52" i="2"/>
  <c r="P47" i="2"/>
  <c r="O47" i="2"/>
  <c r="N47" i="2"/>
  <c r="M47" i="2"/>
  <c r="L47" i="2"/>
  <c r="K47" i="2"/>
  <c r="J47" i="2"/>
  <c r="I47" i="2"/>
  <c r="H47" i="2"/>
  <c r="G47" i="2"/>
  <c r="F47" i="2"/>
  <c r="E47" i="2"/>
  <c r="D47" i="2"/>
  <c r="E39" i="2"/>
  <c r="D39" i="2"/>
  <c r="I37" i="2"/>
  <c r="J37" i="2" s="1"/>
  <c r="K37" i="2" s="1"/>
  <c r="L37" i="2" s="1"/>
  <c r="M37" i="2" s="1"/>
  <c r="N37" i="2" s="1"/>
  <c r="O37" i="2" s="1"/>
  <c r="P37" i="2" s="1"/>
  <c r="I35" i="2"/>
  <c r="J35" i="2" s="1"/>
  <c r="K35" i="2" s="1"/>
  <c r="L35" i="2" s="1"/>
  <c r="M35" i="2" s="1"/>
  <c r="N35" i="2" s="1"/>
  <c r="O35" i="2" s="1"/>
  <c r="P35" i="2" s="1"/>
  <c r="F34" i="2"/>
  <c r="F39" i="2" s="1"/>
  <c r="E30" i="2"/>
  <c r="D25" i="2"/>
  <c r="D77" i="2" s="1"/>
  <c r="F23" i="2"/>
  <c r="F26" i="2" s="1"/>
  <c r="F31" i="2" s="1"/>
  <c r="F41" i="2" s="1"/>
  <c r="E23" i="2"/>
  <c r="E26" i="2" s="1"/>
  <c r="I25" i="2"/>
  <c r="J25" i="2" s="1"/>
  <c r="K25" i="2" s="1"/>
  <c r="L25" i="2" s="1"/>
  <c r="M25" i="2" s="1"/>
  <c r="N25" i="2" s="1"/>
  <c r="O25" i="2" s="1"/>
  <c r="P25" i="2" s="1"/>
  <c r="I24" i="2"/>
  <c r="J24" i="2" s="1"/>
  <c r="K24" i="2" s="1"/>
  <c r="L24" i="2" s="1"/>
  <c r="M24" i="2" s="1"/>
  <c r="N24" i="2" s="1"/>
  <c r="O24" i="2" s="1"/>
  <c r="P24" i="2" s="1"/>
  <c r="F17" i="2"/>
  <c r="F69" i="2" s="1"/>
  <c r="E17" i="2"/>
  <c r="E69" i="2" s="1"/>
  <c r="D17" i="2"/>
  <c r="D69" i="2" s="1"/>
  <c r="I15" i="2"/>
  <c r="J15" i="2" s="1"/>
  <c r="K15" i="2" s="1"/>
  <c r="L15" i="2" s="1"/>
  <c r="M15" i="2" s="1"/>
  <c r="N15" i="2" s="1"/>
  <c r="O15" i="2" s="1"/>
  <c r="P15" i="2" s="1"/>
  <c r="G15" i="2"/>
  <c r="I14" i="2"/>
  <c r="J14" i="2" s="1"/>
  <c r="K14" i="2" s="1"/>
  <c r="L14" i="2" s="1"/>
  <c r="M14" i="2" s="1"/>
  <c r="N14" i="2" s="1"/>
  <c r="O14" i="2" s="1"/>
  <c r="P14" i="2" s="1"/>
  <c r="G13" i="2"/>
  <c r="H13" i="2" s="1"/>
  <c r="I13" i="2" s="1"/>
  <c r="J13" i="2" s="1"/>
  <c r="K13" i="2" s="1"/>
  <c r="L13" i="2" s="1"/>
  <c r="M13" i="2" s="1"/>
  <c r="N13" i="2" s="1"/>
  <c r="O13" i="2" s="1"/>
  <c r="P13" i="2" s="1"/>
  <c r="F10" i="2"/>
  <c r="E10" i="2"/>
  <c r="E65" i="2" s="1"/>
  <c r="D10" i="2"/>
  <c r="I8" i="2"/>
  <c r="J8" i="2" s="1"/>
  <c r="K8" i="2" s="1"/>
  <c r="L8" i="2" s="1"/>
  <c r="M8" i="2" s="1"/>
  <c r="N8" i="2" s="1"/>
  <c r="O8" i="2" s="1"/>
  <c r="P8" i="2" s="1"/>
  <c r="I6" i="2"/>
  <c r="J6" i="2" s="1"/>
  <c r="K6" i="2" s="1"/>
  <c r="L6" i="2" s="1"/>
  <c r="M6" i="2" s="1"/>
  <c r="N6" i="2" s="1"/>
  <c r="O6" i="2" s="1"/>
  <c r="P6" i="2" s="1"/>
  <c r="U423" i="41"/>
  <c r="T423" i="41"/>
  <c r="S423" i="41"/>
  <c r="R423" i="41"/>
  <c r="Q423" i="41"/>
  <c r="P423" i="41"/>
  <c r="O423" i="41"/>
  <c r="N423" i="41"/>
  <c r="M423" i="41"/>
  <c r="L423" i="41"/>
  <c r="K423" i="41"/>
  <c r="J423" i="41"/>
  <c r="I423" i="41"/>
  <c r="U422" i="41"/>
  <c r="T422" i="41"/>
  <c r="S422" i="41"/>
  <c r="R422" i="41"/>
  <c r="Q422" i="41"/>
  <c r="P422" i="41"/>
  <c r="O422" i="41"/>
  <c r="N422" i="41"/>
  <c r="M422" i="41"/>
  <c r="L422" i="41"/>
  <c r="K422" i="41"/>
  <c r="J422" i="41"/>
  <c r="I422" i="41"/>
  <c r="D423" i="41"/>
  <c r="C423" i="41"/>
  <c r="D422" i="41"/>
  <c r="C422" i="41"/>
  <c r="U419" i="41"/>
  <c r="T419" i="41"/>
  <c r="S419" i="41"/>
  <c r="R419" i="41"/>
  <c r="Q419" i="41"/>
  <c r="P419" i="41"/>
  <c r="O419" i="41"/>
  <c r="N419" i="41"/>
  <c r="M419" i="41"/>
  <c r="L419" i="41"/>
  <c r="K419" i="41"/>
  <c r="J419" i="41"/>
  <c r="I419" i="41"/>
  <c r="U418" i="41"/>
  <c r="T418" i="41"/>
  <c r="S418" i="41"/>
  <c r="R418" i="41"/>
  <c r="Q418" i="41"/>
  <c r="P418" i="41"/>
  <c r="O418" i="41"/>
  <c r="N418" i="41"/>
  <c r="M418" i="41"/>
  <c r="L418" i="41"/>
  <c r="K418" i="41"/>
  <c r="J418" i="41"/>
  <c r="I418" i="41"/>
  <c r="D419" i="41"/>
  <c r="C419" i="41"/>
  <c r="D418" i="41"/>
  <c r="C418" i="41"/>
  <c r="D415" i="41"/>
  <c r="C415" i="41"/>
  <c r="D412" i="41"/>
  <c r="C412" i="41"/>
  <c r="N389" i="41"/>
  <c r="I389" i="41"/>
  <c r="S389" i="41"/>
  <c r="D389" i="41"/>
  <c r="C389" i="41"/>
  <c r="S386" i="41"/>
  <c r="R386" i="41"/>
  <c r="Q386" i="41"/>
  <c r="P386" i="41"/>
  <c r="O386" i="41"/>
  <c r="N386" i="41"/>
  <c r="M386" i="41"/>
  <c r="L386" i="41"/>
  <c r="K386" i="41"/>
  <c r="J386" i="41"/>
  <c r="I386" i="41"/>
  <c r="H386" i="41"/>
  <c r="D386" i="41"/>
  <c r="C386" i="41"/>
  <c r="C383" i="41"/>
  <c r="C380" i="41"/>
  <c r="C372" i="41"/>
  <c r="C404" i="41" s="1"/>
  <c r="D330" i="41"/>
  <c r="J301" i="41"/>
  <c r="K301" i="41" s="1"/>
  <c r="L301" i="41" s="1"/>
  <c r="M301" i="41" s="1"/>
  <c r="O301" i="41" s="1"/>
  <c r="P301" i="41" s="1"/>
  <c r="Q301" i="41" s="1"/>
  <c r="R301" i="41" s="1"/>
  <c r="I301" i="41"/>
  <c r="N301" i="41" s="1"/>
  <c r="S301" i="41" s="1"/>
  <c r="T301" i="41" s="1"/>
  <c r="U301" i="41" s="1"/>
  <c r="J300" i="41"/>
  <c r="K300" i="41" s="1"/>
  <c r="L300" i="41" s="1"/>
  <c r="M300" i="41" s="1"/>
  <c r="O300" i="41" s="1"/>
  <c r="P300" i="41" s="1"/>
  <c r="Q300" i="41" s="1"/>
  <c r="R300" i="41" s="1"/>
  <c r="I300" i="41"/>
  <c r="N300" i="41" s="1"/>
  <c r="S300" i="41" s="1"/>
  <c r="T300" i="41" s="1"/>
  <c r="U300" i="41" s="1"/>
  <c r="J299" i="41"/>
  <c r="K299" i="41" s="1"/>
  <c r="L299" i="41" s="1"/>
  <c r="M299" i="41" s="1"/>
  <c r="O299" i="41" s="1"/>
  <c r="I299" i="41"/>
  <c r="U295" i="41"/>
  <c r="V295" i="41" s="1"/>
  <c r="W295" i="41" s="1"/>
  <c r="X295" i="41" s="1"/>
  <c r="Y295" i="41" s="1"/>
  <c r="Z295" i="41" s="1"/>
  <c r="AA295" i="41" s="1"/>
  <c r="AB295" i="41" s="1"/>
  <c r="D294" i="41"/>
  <c r="D297" i="41" s="1"/>
  <c r="H292" i="41"/>
  <c r="I292" i="41" s="1"/>
  <c r="N292" i="41" s="1"/>
  <c r="L285" i="41"/>
  <c r="K285" i="41"/>
  <c r="J285" i="41"/>
  <c r="G285" i="41"/>
  <c r="F285" i="41"/>
  <c r="E285" i="41"/>
  <c r="AB284" i="41"/>
  <c r="AB285" i="41" s="1"/>
  <c r="AA284" i="41"/>
  <c r="AA285" i="41" s="1"/>
  <c r="Z284" i="41"/>
  <c r="Z285" i="41" s="1"/>
  <c r="Y284" i="41"/>
  <c r="Y285" i="41" s="1"/>
  <c r="X284" i="41"/>
  <c r="X285" i="41" s="1"/>
  <c r="W284" i="41"/>
  <c r="W285" i="41" s="1"/>
  <c r="V284" i="41"/>
  <c r="V285" i="41" s="1"/>
  <c r="U284" i="41"/>
  <c r="U285" i="41" s="1"/>
  <c r="T284" i="41"/>
  <c r="T285" i="41" s="1"/>
  <c r="R284" i="41"/>
  <c r="R285" i="41" s="1"/>
  <c r="Q284" i="41"/>
  <c r="Q285" i="41" s="1"/>
  <c r="P284" i="41"/>
  <c r="P285" i="41" s="1"/>
  <c r="O284" i="41"/>
  <c r="O285" i="41" s="1"/>
  <c r="N284" i="41"/>
  <c r="I284" i="41"/>
  <c r="L283" i="41"/>
  <c r="K283" i="41"/>
  <c r="J283" i="41"/>
  <c r="G283" i="41"/>
  <c r="F283" i="41"/>
  <c r="E283" i="41"/>
  <c r="D254" i="41"/>
  <c r="J225" i="41"/>
  <c r="K225" i="41" s="1"/>
  <c r="L225" i="41" s="1"/>
  <c r="M225" i="41" s="1"/>
  <c r="O225" i="41" s="1"/>
  <c r="P225" i="41" s="1"/>
  <c r="Q225" i="41" s="1"/>
  <c r="R225" i="41" s="1"/>
  <c r="I225" i="41"/>
  <c r="N225" i="41" s="1"/>
  <c r="S225" i="41" s="1"/>
  <c r="T225" i="41" s="1"/>
  <c r="U225" i="41" s="1"/>
  <c r="V225" i="41" s="1"/>
  <c r="V249" i="41" s="1"/>
  <c r="V275" i="41" s="1"/>
  <c r="J224" i="41"/>
  <c r="K224" i="41" s="1"/>
  <c r="L224" i="41" s="1"/>
  <c r="M224" i="41" s="1"/>
  <c r="O224" i="41" s="1"/>
  <c r="P224" i="41" s="1"/>
  <c r="Q224" i="41" s="1"/>
  <c r="R224" i="41" s="1"/>
  <c r="I224" i="41"/>
  <c r="N224" i="41" s="1"/>
  <c r="S224" i="41" s="1"/>
  <c r="T224" i="41" s="1"/>
  <c r="U224" i="41" s="1"/>
  <c r="V224" i="41" s="1"/>
  <c r="V248" i="41" s="1"/>
  <c r="J223" i="41"/>
  <c r="I223" i="41"/>
  <c r="D221" i="41"/>
  <c r="U219" i="41"/>
  <c r="V219" i="41" s="1"/>
  <c r="W219" i="41" s="1"/>
  <c r="X219" i="41" s="1"/>
  <c r="Y219" i="41" s="1"/>
  <c r="Z219" i="41" s="1"/>
  <c r="AA219" i="41" s="1"/>
  <c r="AB219" i="41" s="1"/>
  <c r="H216" i="41"/>
  <c r="I216" i="41" s="1"/>
  <c r="V240" i="41" s="1"/>
  <c r="V266" i="41" s="1"/>
  <c r="S209" i="41"/>
  <c r="Y333" i="41" s="1"/>
  <c r="S208" i="41"/>
  <c r="S207" i="41"/>
  <c r="N208" i="41"/>
  <c r="L209" i="41"/>
  <c r="K209" i="41"/>
  <c r="J209" i="41"/>
  <c r="G209" i="41"/>
  <c r="F209" i="41"/>
  <c r="E209" i="41"/>
  <c r="D209" i="41"/>
  <c r="I208" i="41"/>
  <c r="L207" i="41"/>
  <c r="K207" i="41"/>
  <c r="J207" i="41"/>
  <c r="G207" i="41"/>
  <c r="F207" i="41"/>
  <c r="E207" i="41"/>
  <c r="D207" i="41"/>
  <c r="C184" i="41"/>
  <c r="I183" i="41"/>
  <c r="N183" i="41" s="1"/>
  <c r="S183" i="41" s="1"/>
  <c r="T183" i="41" s="1"/>
  <c r="U183" i="41" s="1"/>
  <c r="V183" i="41" s="1"/>
  <c r="W183" i="41" s="1"/>
  <c r="X183" i="41" s="1"/>
  <c r="Y183" i="41" s="1"/>
  <c r="Z183" i="41" s="1"/>
  <c r="AA183" i="41" s="1"/>
  <c r="AB183" i="41" s="1"/>
  <c r="D182" i="41"/>
  <c r="D184" i="41" s="1"/>
  <c r="D181" i="41"/>
  <c r="I181" i="41" s="1"/>
  <c r="N181" i="41" s="1"/>
  <c r="S181" i="41" s="1"/>
  <c r="T181" i="41" s="1"/>
  <c r="U181" i="41" s="1"/>
  <c r="V181" i="41" s="1"/>
  <c r="W181" i="41" s="1"/>
  <c r="X181" i="41" s="1"/>
  <c r="Y181" i="41" s="1"/>
  <c r="Z181" i="41" s="1"/>
  <c r="AA181" i="41" s="1"/>
  <c r="AB181" i="41" s="1"/>
  <c r="G173" i="41"/>
  <c r="G369" i="41" s="1"/>
  <c r="F173" i="41"/>
  <c r="F369" i="41" s="1"/>
  <c r="E173" i="41"/>
  <c r="E369" i="41" s="1"/>
  <c r="O120" i="41"/>
  <c r="H120" i="41"/>
  <c r="I120" i="41" s="1"/>
  <c r="N120" i="41" s="1"/>
  <c r="S120" i="41" s="1"/>
  <c r="O119" i="41"/>
  <c r="M119" i="41"/>
  <c r="H119" i="41"/>
  <c r="I119" i="41" s="1"/>
  <c r="H118" i="41"/>
  <c r="I118" i="41" s="1"/>
  <c r="D113" i="41"/>
  <c r="D116" i="41" s="1"/>
  <c r="I111" i="41"/>
  <c r="T135" i="41" s="1"/>
  <c r="V159" i="41" s="1"/>
  <c r="S104" i="41"/>
  <c r="S102" i="41"/>
  <c r="N104" i="41"/>
  <c r="N102" i="41"/>
  <c r="U126" i="41" s="1"/>
  <c r="W150" i="41" s="1"/>
  <c r="I103" i="41"/>
  <c r="G104" i="41"/>
  <c r="F104" i="41"/>
  <c r="E104" i="41"/>
  <c r="X104" i="41"/>
  <c r="Y104" i="41" s="1"/>
  <c r="Z104" i="41" s="1"/>
  <c r="AA104" i="41" s="1"/>
  <c r="AB104" i="41" s="1"/>
  <c r="G102" i="41"/>
  <c r="F102" i="41"/>
  <c r="E102" i="41"/>
  <c r="J48" i="41"/>
  <c r="K48" i="41" s="1"/>
  <c r="I48" i="41"/>
  <c r="N48" i="41" s="1"/>
  <c r="P48" i="41"/>
  <c r="P120" i="41" s="1"/>
  <c r="P47" i="41"/>
  <c r="P119" i="41" s="1"/>
  <c r="J47" i="41"/>
  <c r="J119" i="41" s="1"/>
  <c r="I47" i="41"/>
  <c r="J46" i="41"/>
  <c r="J118" i="41" s="1"/>
  <c r="I46" i="41"/>
  <c r="D44" i="41"/>
  <c r="S42" i="41"/>
  <c r="T42" i="41" s="1"/>
  <c r="U42" i="41" s="1"/>
  <c r="V42" i="41" s="1"/>
  <c r="W42" i="41" s="1"/>
  <c r="X42" i="41" s="1"/>
  <c r="Y42" i="41" s="1"/>
  <c r="Z42" i="41" s="1"/>
  <c r="AA42" i="41" s="1"/>
  <c r="AB42" i="41" s="1"/>
  <c r="H41" i="41"/>
  <c r="H218" i="41" s="1"/>
  <c r="I39" i="41"/>
  <c r="T63" i="41" s="1"/>
  <c r="V87" i="41" s="1"/>
  <c r="U87" i="41" s="1"/>
  <c r="I31" i="41"/>
  <c r="G32" i="41"/>
  <c r="F32" i="41"/>
  <c r="E32" i="41"/>
  <c r="D32" i="41"/>
  <c r="J31" i="41"/>
  <c r="S32" i="41"/>
  <c r="V32" i="41" s="1"/>
  <c r="W32" i="41" s="1"/>
  <c r="X32" i="41" s="1"/>
  <c r="Y32" i="41" s="1"/>
  <c r="Z32" i="41" s="1"/>
  <c r="AA32" i="41" s="1"/>
  <c r="AB32" i="41" s="1"/>
  <c r="S30" i="41"/>
  <c r="G30" i="41"/>
  <c r="F30" i="41"/>
  <c r="E30" i="41"/>
  <c r="D30" i="41"/>
  <c r="AH29" i="41"/>
  <c r="AI29" i="41" s="1"/>
  <c r="AJ26" i="41"/>
  <c r="AJ28" i="41" s="1"/>
  <c r="AJ29" i="41" s="1"/>
  <c r="AK29" i="41" s="1"/>
  <c r="AL29" i="41" s="1"/>
  <c r="AH24" i="41"/>
  <c r="AH28" i="41" s="1"/>
  <c r="AH20" i="41"/>
  <c r="AH19" i="41" s="1"/>
  <c r="AH21" i="41" s="1"/>
  <c r="C7" i="41"/>
  <c r="I6" i="41"/>
  <c r="N6" i="41" s="1"/>
  <c r="S6" i="41" s="1"/>
  <c r="T6" i="41" s="1"/>
  <c r="U6" i="41" s="1"/>
  <c r="V6" i="41" s="1"/>
  <c r="W6" i="41" s="1"/>
  <c r="X6" i="41" s="1"/>
  <c r="Y6" i="41" s="1"/>
  <c r="Z6" i="41" s="1"/>
  <c r="AA6" i="41" s="1"/>
  <c r="AB6" i="41" s="1"/>
  <c r="D5" i="41"/>
  <c r="D7" i="41" s="1"/>
  <c r="D4" i="41"/>
  <c r="D372" i="41" s="1"/>
  <c r="D404" i="41" s="1"/>
  <c r="V131" i="1"/>
  <c r="AA131" i="1" s="1"/>
  <c r="AF131" i="1" s="1"/>
  <c r="AK131" i="1" s="1"/>
  <c r="AP131" i="1" s="1"/>
  <c r="AU131" i="1" s="1"/>
  <c r="AZ131" i="1" s="1"/>
  <c r="BE131" i="1" s="1"/>
  <c r="BJ131" i="1" s="1"/>
  <c r="BO131" i="1" s="1"/>
  <c r="Q132" i="1"/>
  <c r="S131" i="1"/>
  <c r="T131" i="1" s="1"/>
  <c r="U131" i="1" s="1"/>
  <c r="L114" i="1"/>
  <c r="G115" i="1"/>
  <c r="AK109" i="1"/>
  <c r="Q107" i="1"/>
  <c r="V105" i="1" s="1"/>
  <c r="V106" i="1" s="1"/>
  <c r="L107" i="1"/>
  <c r="Q105" i="1" s="1"/>
  <c r="G107" i="1"/>
  <c r="L105" i="1" s="1"/>
  <c r="V97" i="1"/>
  <c r="AA97" i="1" s="1"/>
  <c r="V96" i="1"/>
  <c r="L96" i="1"/>
  <c r="G96" i="1"/>
  <c r="Q96" i="1"/>
  <c r="Q98" i="1" s="1"/>
  <c r="AT85" i="1"/>
  <c r="AY85" i="1" s="1"/>
  <c r="AS85" i="1"/>
  <c r="AX85" i="1" s="1"/>
  <c r="AR85" i="1"/>
  <c r="AW85" i="1" s="1"/>
  <c r="AQ85" i="1"/>
  <c r="AV85" i="1" s="1"/>
  <c r="AZ84" i="1"/>
  <c r="BJ84" i="1" s="1"/>
  <c r="BO84" i="1" s="1"/>
  <c r="AT84" i="1"/>
  <c r="AY84" i="1" s="1"/>
  <c r="AS84" i="1"/>
  <c r="AX84" i="1" s="1"/>
  <c r="AR84" i="1"/>
  <c r="AW84" i="1" s="1"/>
  <c r="AQ84" i="1"/>
  <c r="AV84" i="1" s="1"/>
  <c r="AT83" i="1"/>
  <c r="AY83" i="1" s="1"/>
  <c r="AS83" i="1"/>
  <c r="AX83" i="1" s="1"/>
  <c r="AR83" i="1"/>
  <c r="AW83" i="1" s="1"/>
  <c r="AQ83" i="1"/>
  <c r="AV83" i="1" s="1"/>
  <c r="B77" i="1"/>
  <c r="L72" i="1"/>
  <c r="G72" i="1"/>
  <c r="Q72" i="1"/>
  <c r="AF70" i="1"/>
  <c r="AK70" i="1" s="1"/>
  <c r="AP70" i="1" s="1"/>
  <c r="AU70" i="1" s="1"/>
  <c r="AZ70" i="1" s="1"/>
  <c r="BE70" i="1" s="1"/>
  <c r="BJ70" i="1" s="1"/>
  <c r="BO70" i="1" s="1"/>
  <c r="V70" i="1"/>
  <c r="Q70" i="1"/>
  <c r="L70" i="1"/>
  <c r="G70" i="1"/>
  <c r="W68" i="1"/>
  <c r="V68" i="1"/>
  <c r="AF64" i="1"/>
  <c r="AK64" i="1" s="1"/>
  <c r="AP64" i="1" s="1"/>
  <c r="AU64" i="1" s="1"/>
  <c r="AZ64" i="1" s="1"/>
  <c r="BE64" i="1" s="1"/>
  <c r="BJ64" i="1" s="1"/>
  <c r="BO64" i="1" s="1"/>
  <c r="AF63" i="1"/>
  <c r="AK63" i="1" s="1"/>
  <c r="AP63" i="1" s="1"/>
  <c r="AU63" i="1" s="1"/>
  <c r="AZ63" i="1" s="1"/>
  <c r="BE63" i="1" s="1"/>
  <c r="BJ63" i="1" s="1"/>
  <c r="BO63" i="1" s="1"/>
  <c r="W65" i="1"/>
  <c r="U65" i="1"/>
  <c r="T65" i="1"/>
  <c r="S65" i="1"/>
  <c r="R65" i="1"/>
  <c r="P65" i="1"/>
  <c r="O65" i="1"/>
  <c r="N65" i="1"/>
  <c r="M65" i="1"/>
  <c r="K65" i="1"/>
  <c r="J65" i="1"/>
  <c r="I65" i="1"/>
  <c r="H65" i="1"/>
  <c r="F65" i="1"/>
  <c r="E65" i="1"/>
  <c r="D65" i="1"/>
  <c r="C65" i="1"/>
  <c r="V64" i="1"/>
  <c r="V63" i="1"/>
  <c r="Q64" i="1"/>
  <c r="Q63" i="1"/>
  <c r="L64" i="1"/>
  <c r="L63" i="1"/>
  <c r="G64" i="1"/>
  <c r="G63" i="1"/>
  <c r="W60" i="1"/>
  <c r="W51" i="1" s="1"/>
  <c r="U60" i="1"/>
  <c r="T60" i="1"/>
  <c r="T51" i="1" s="1"/>
  <c r="S60" i="1"/>
  <c r="R60" i="1"/>
  <c r="R51" i="1" s="1"/>
  <c r="P60" i="1"/>
  <c r="O60" i="1"/>
  <c r="N60" i="1"/>
  <c r="M60" i="1"/>
  <c r="M51" i="1" s="1"/>
  <c r="K60" i="1"/>
  <c r="J60" i="1"/>
  <c r="I60" i="1"/>
  <c r="I51" i="1" s="1"/>
  <c r="H60" i="1"/>
  <c r="F60" i="1"/>
  <c r="E60" i="1"/>
  <c r="E51" i="1" s="1"/>
  <c r="D60" i="1"/>
  <c r="C60" i="1"/>
  <c r="C51" i="1" s="1"/>
  <c r="V59" i="1"/>
  <c r="AF59" i="1" s="1"/>
  <c r="V58" i="1"/>
  <c r="AF58" i="1" s="1"/>
  <c r="AK58" i="1" s="1"/>
  <c r="AP58" i="1" s="1"/>
  <c r="AU58" i="1" s="1"/>
  <c r="AZ58" i="1" s="1"/>
  <c r="BE58" i="1" s="1"/>
  <c r="BJ58" i="1" s="1"/>
  <c r="BO58" i="1" s="1"/>
  <c r="Q59" i="1"/>
  <c r="Q58" i="1"/>
  <c r="L59" i="1"/>
  <c r="L58" i="1"/>
  <c r="G59" i="1"/>
  <c r="G58" i="1"/>
  <c r="U51" i="1"/>
  <c r="O51" i="1"/>
  <c r="V42" i="1"/>
  <c r="U42" i="1"/>
  <c r="T42" i="1"/>
  <c r="V31" i="1"/>
  <c r="T34" i="1"/>
  <c r="V34" i="1" s="1"/>
  <c r="G51" i="2" s="1"/>
  <c r="T32" i="1"/>
  <c r="Q34" i="1"/>
  <c r="F51" i="2" s="1"/>
  <c r="Q31" i="1"/>
  <c r="L34" i="1"/>
  <c r="E51" i="2" s="1"/>
  <c r="L31" i="1"/>
  <c r="L98" i="1" s="1"/>
  <c r="G34" i="1"/>
  <c r="D51" i="2" s="1"/>
  <c r="G31" i="1"/>
  <c r="G98" i="1" s="1"/>
  <c r="S32" i="1"/>
  <c r="R32" i="1"/>
  <c r="P32" i="1"/>
  <c r="O32" i="1"/>
  <c r="N32" i="1"/>
  <c r="M32" i="1"/>
  <c r="K32" i="1"/>
  <c r="J32" i="1"/>
  <c r="I32" i="1"/>
  <c r="H32" i="1"/>
  <c r="F32" i="1"/>
  <c r="E32" i="1"/>
  <c r="D32" i="1"/>
  <c r="C32" i="1"/>
  <c r="W26" i="1"/>
  <c r="W25" i="1" s="1"/>
  <c r="W24" i="1" s="1"/>
  <c r="U26" i="1"/>
  <c r="U24" i="1" s="1"/>
  <c r="U89" i="1" s="1"/>
  <c r="Z92" i="1" s="1"/>
  <c r="T26" i="1"/>
  <c r="S26" i="1"/>
  <c r="S89" i="1" s="1"/>
  <c r="X92" i="1" s="1"/>
  <c r="R26" i="1"/>
  <c r="R23" i="1" s="1"/>
  <c r="P26" i="1"/>
  <c r="P24" i="1" s="1"/>
  <c r="O26" i="1"/>
  <c r="O89" i="1" s="1"/>
  <c r="O88" i="1" s="1"/>
  <c r="N26" i="1"/>
  <c r="N23" i="1" s="1"/>
  <c r="M26" i="1"/>
  <c r="M89" i="1" s="1"/>
  <c r="K26" i="1"/>
  <c r="K89" i="1" s="1"/>
  <c r="J26" i="1"/>
  <c r="J23" i="1" s="1"/>
  <c r="I26" i="1"/>
  <c r="I89" i="1" s="1"/>
  <c r="H26" i="1"/>
  <c r="H23" i="1" s="1"/>
  <c r="F26" i="1"/>
  <c r="F23" i="1" s="1"/>
  <c r="E26" i="1"/>
  <c r="E89" i="1" s="1"/>
  <c r="E90" i="1" s="1"/>
  <c r="D26" i="1"/>
  <c r="D23" i="1" s="1"/>
  <c r="C26" i="1"/>
  <c r="C89" i="1" s="1"/>
  <c r="U25" i="1"/>
  <c r="I25" i="1"/>
  <c r="W22" i="1"/>
  <c r="U22" i="1"/>
  <c r="U81" i="1" s="1"/>
  <c r="T22" i="1"/>
  <c r="T81" i="1" s="1"/>
  <c r="S22" i="1"/>
  <c r="S81" i="1" s="1"/>
  <c r="X84" i="1" s="1"/>
  <c r="R22" i="1"/>
  <c r="R81" i="1" s="1"/>
  <c r="P22" i="1"/>
  <c r="P81" i="1" s="1"/>
  <c r="O22" i="1"/>
  <c r="O81" i="1" s="1"/>
  <c r="N22" i="1"/>
  <c r="N81" i="1" s="1"/>
  <c r="M22" i="1"/>
  <c r="M81" i="1" s="1"/>
  <c r="K22" i="1"/>
  <c r="K81" i="1" s="1"/>
  <c r="J22" i="1"/>
  <c r="J81" i="1" s="1"/>
  <c r="I22" i="1"/>
  <c r="I81" i="1" s="1"/>
  <c r="H22" i="1"/>
  <c r="H19" i="1" s="1"/>
  <c r="F22" i="1"/>
  <c r="F81" i="1" s="1"/>
  <c r="E22" i="1"/>
  <c r="E81" i="1" s="1"/>
  <c r="D22" i="1"/>
  <c r="D81" i="1" s="1"/>
  <c r="C22" i="1"/>
  <c r="C81" i="1" s="1"/>
  <c r="P21" i="1"/>
  <c r="J21" i="1"/>
  <c r="Q16" i="1"/>
  <c r="F49" i="2" s="1"/>
  <c r="F59" i="2" s="1"/>
  <c r="F62" i="2" s="1"/>
  <c r="L16" i="1"/>
  <c r="E49" i="2" s="1"/>
  <c r="G16" i="1"/>
  <c r="D49" i="2" s="1"/>
  <c r="D59" i="2" s="1"/>
  <c r="D62" i="2" s="1"/>
  <c r="W11" i="1"/>
  <c r="U11" i="1"/>
  <c r="T11" i="1"/>
  <c r="T16" i="1" s="1"/>
  <c r="S11" i="1"/>
  <c r="R11" i="1"/>
  <c r="P11" i="1"/>
  <c r="O11" i="1"/>
  <c r="N11" i="1"/>
  <c r="M11" i="1"/>
  <c r="K11" i="1"/>
  <c r="J11" i="1"/>
  <c r="I11" i="1"/>
  <c r="H11" i="1"/>
  <c r="F11" i="1"/>
  <c r="E11" i="1"/>
  <c r="D11" i="1"/>
  <c r="C11" i="1"/>
  <c r="V10" i="1"/>
  <c r="V7" i="1"/>
  <c r="Q10" i="1"/>
  <c r="L10" i="1"/>
  <c r="G10" i="1"/>
  <c r="Q7" i="1"/>
  <c r="L7" i="1"/>
  <c r="G7" i="1"/>
  <c r="O10" i="42"/>
  <c r="P10" i="42" s="1"/>
  <c r="Q10" i="42" s="1"/>
  <c r="R10" i="42" s="1"/>
  <c r="N10" i="42"/>
  <c r="E5" i="42"/>
  <c r="F5" i="42" s="1"/>
  <c r="G5" i="42" s="1"/>
  <c r="H5" i="42" s="1"/>
  <c r="K23" i="1" l="1"/>
  <c r="U23" i="1"/>
  <c r="L106" i="1"/>
  <c r="T87" i="41"/>
  <c r="N336" i="41"/>
  <c r="U336" i="41"/>
  <c r="I336" i="41"/>
  <c r="T336" i="41"/>
  <c r="D336" i="41"/>
  <c r="S336" i="41"/>
  <c r="T102" i="41"/>
  <c r="Z126" i="41"/>
  <c r="AB150" i="41" s="1"/>
  <c r="S260" i="41"/>
  <c r="N260" i="41"/>
  <c r="U260" i="41"/>
  <c r="I260" i="41"/>
  <c r="T260" i="41"/>
  <c r="D260" i="41"/>
  <c r="N153" i="41"/>
  <c r="I153" i="41"/>
  <c r="T153" i="41"/>
  <c r="D153" i="41"/>
  <c r="S153" i="41"/>
  <c r="V153" i="41"/>
  <c r="U153" i="41"/>
  <c r="Z153" i="41"/>
  <c r="AA153" i="41"/>
  <c r="Y81" i="41"/>
  <c r="T81" i="41"/>
  <c r="D81" i="41"/>
  <c r="X81" i="41"/>
  <c r="S81" i="41"/>
  <c r="W81" i="41"/>
  <c r="N81" i="41"/>
  <c r="Z81" i="41"/>
  <c r="V81" i="41"/>
  <c r="I81" i="41"/>
  <c r="AA81" i="41"/>
  <c r="U81" i="41"/>
  <c r="X308" i="41"/>
  <c r="X309" i="41" s="1"/>
  <c r="V232" i="41"/>
  <c r="V233" i="41" s="1"/>
  <c r="X307" i="41"/>
  <c r="V231" i="41"/>
  <c r="O283" i="41"/>
  <c r="Q283" i="41"/>
  <c r="T57" i="41"/>
  <c r="V57" i="41"/>
  <c r="U57" i="41"/>
  <c r="U135" i="41"/>
  <c r="W159" i="41" s="1"/>
  <c r="U63" i="41"/>
  <c r="W87" i="41" s="1"/>
  <c r="U20" i="1"/>
  <c r="Z84" i="1"/>
  <c r="N24" i="1"/>
  <c r="I24" i="1"/>
  <c r="S25" i="1"/>
  <c r="L11" i="1"/>
  <c r="E48" i="2" s="1"/>
  <c r="E57" i="2" s="1"/>
  <c r="E60" i="2" s="1"/>
  <c r="F44" i="1"/>
  <c r="K44" i="1"/>
  <c r="U44" i="1"/>
  <c r="L65" i="1"/>
  <c r="V65" i="1"/>
  <c r="E28" i="1"/>
  <c r="E33" i="1" s="1"/>
  <c r="E36" i="1" s="1"/>
  <c r="AP109" i="1"/>
  <c r="K20" i="1"/>
  <c r="P20" i="1"/>
  <c r="S23" i="1"/>
  <c r="S24" i="1"/>
  <c r="V98" i="1"/>
  <c r="E31" i="2"/>
  <c r="E41" i="2" s="1"/>
  <c r="F19" i="1"/>
  <c r="I23" i="1"/>
  <c r="L23" i="1" s="1"/>
  <c r="E11" i="2"/>
  <c r="E18" i="2" s="1"/>
  <c r="J30" i="41"/>
  <c r="N30" i="41" s="1"/>
  <c r="J32" i="41"/>
  <c r="N32" i="41" s="1"/>
  <c r="F20" i="1"/>
  <c r="P23" i="1"/>
  <c r="J24" i="1"/>
  <c r="K25" i="1"/>
  <c r="D44" i="1"/>
  <c r="S44" i="1"/>
  <c r="G65" i="1"/>
  <c r="Q65" i="1"/>
  <c r="C44" i="1"/>
  <c r="R44" i="1"/>
  <c r="K24" i="1"/>
  <c r="K28" i="1"/>
  <c r="K33" i="1" s="1"/>
  <c r="K35" i="1" s="1"/>
  <c r="P28" i="1"/>
  <c r="U28" i="1"/>
  <c r="P19" i="1"/>
  <c r="O24" i="1"/>
  <c r="L97" i="1"/>
  <c r="I41" i="41"/>
  <c r="N285" i="41"/>
  <c r="AF97" i="1"/>
  <c r="AK97" i="1" s="1"/>
  <c r="AP97" i="1" s="1"/>
  <c r="AU97" i="1" s="1"/>
  <c r="AZ97" i="1" s="1"/>
  <c r="BE97" i="1" s="1"/>
  <c r="BJ97" i="1" s="1"/>
  <c r="W23" i="1"/>
  <c r="W89" i="1"/>
  <c r="N19" i="1"/>
  <c r="I20" i="1"/>
  <c r="S20" i="1"/>
  <c r="N21" i="1"/>
  <c r="S51" i="1"/>
  <c r="S52" i="1" s="1"/>
  <c r="I29" i="2"/>
  <c r="J29" i="2" s="1"/>
  <c r="K29" i="2" s="1"/>
  <c r="L29" i="2" s="1"/>
  <c r="M29" i="2" s="1"/>
  <c r="N29" i="2" s="1"/>
  <c r="D19" i="1"/>
  <c r="D51" i="1"/>
  <c r="D52" i="1" s="1"/>
  <c r="E44" i="1"/>
  <c r="I28" i="1"/>
  <c r="I33" i="1" s="1"/>
  <c r="I35" i="1" s="1"/>
  <c r="N28" i="1"/>
  <c r="N33" i="1" s="1"/>
  <c r="N36" i="1" s="1"/>
  <c r="N38" i="1" s="1"/>
  <c r="S28" i="1"/>
  <c r="D20" i="1"/>
  <c r="N20" i="1"/>
  <c r="F21" i="1"/>
  <c r="L22" i="1"/>
  <c r="G11" i="1"/>
  <c r="D48" i="2" s="1"/>
  <c r="D70" i="2" s="1"/>
  <c r="V11" i="1"/>
  <c r="G48" i="2" s="1"/>
  <c r="T66" i="1"/>
  <c r="R19" i="1"/>
  <c r="G97" i="1"/>
  <c r="L60" i="1"/>
  <c r="D75" i="11" s="1"/>
  <c r="D78" i="11" s="1"/>
  <c r="D80" i="11" s="1"/>
  <c r="O44" i="1"/>
  <c r="Q11" i="1"/>
  <c r="F48" i="2" s="1"/>
  <c r="F74" i="2" s="1"/>
  <c r="W28" i="1"/>
  <c r="W73" i="1" s="1"/>
  <c r="C24" i="1"/>
  <c r="M25" i="1"/>
  <c r="W44" i="1"/>
  <c r="F51" i="1"/>
  <c r="F52" i="1" s="1"/>
  <c r="BO65" i="1"/>
  <c r="C25" i="1"/>
  <c r="M44" i="1"/>
  <c r="AK65" i="1"/>
  <c r="W81" i="1"/>
  <c r="W21" i="1"/>
  <c r="W20" i="1" s="1"/>
  <c r="W19" i="1" s="1"/>
  <c r="T20" i="1"/>
  <c r="Y84" i="1"/>
  <c r="I44" i="1"/>
  <c r="W52" i="1"/>
  <c r="D21" i="1"/>
  <c r="E43" i="2"/>
  <c r="O39" i="11"/>
  <c r="F39" i="11"/>
  <c r="Q47" i="41"/>
  <c r="R47" i="41" s="1"/>
  <c r="T47" i="41" s="1"/>
  <c r="T71" i="41" s="1"/>
  <c r="T95" i="41" s="1"/>
  <c r="I104" i="41"/>
  <c r="N111" i="41"/>
  <c r="K111" i="41" s="1"/>
  <c r="N207" i="41"/>
  <c r="N209" i="41"/>
  <c r="I209" i="41"/>
  <c r="I30" i="41"/>
  <c r="O31" i="41"/>
  <c r="P31" i="41" s="1"/>
  <c r="Q31" i="41" s="1"/>
  <c r="R31" i="41" s="1"/>
  <c r="T31" i="41" s="1"/>
  <c r="N31" i="41"/>
  <c r="I32" i="41"/>
  <c r="I102" i="41"/>
  <c r="P283" i="41"/>
  <c r="T30" i="41"/>
  <c r="N283" i="41"/>
  <c r="I285" i="41"/>
  <c r="N39" i="41"/>
  <c r="K39" i="41" s="1"/>
  <c r="I207" i="41"/>
  <c r="I283" i="41"/>
  <c r="S284" i="41"/>
  <c r="C28" i="1"/>
  <c r="C33" i="1" s="1"/>
  <c r="C36" i="1" s="1"/>
  <c r="P33" i="1"/>
  <c r="P35" i="1" s="1"/>
  <c r="H24" i="1"/>
  <c r="M24" i="1"/>
  <c r="V32" i="1"/>
  <c r="T44" i="1"/>
  <c r="K51" i="1"/>
  <c r="K52" i="1" s="1"/>
  <c r="BE65" i="1"/>
  <c r="H81" i="1"/>
  <c r="L81" i="1" s="1"/>
  <c r="E70" i="2"/>
  <c r="H28" i="1"/>
  <c r="H33" i="1" s="1"/>
  <c r="H36" i="1" s="1"/>
  <c r="H38" i="1" s="1"/>
  <c r="M28" i="1"/>
  <c r="M33" i="1" s="1"/>
  <c r="M35" i="1" s="1"/>
  <c r="E20" i="1"/>
  <c r="J20" i="1"/>
  <c r="O20" i="1"/>
  <c r="H21" i="1"/>
  <c r="R21" i="1"/>
  <c r="E23" i="1"/>
  <c r="O23" i="1"/>
  <c r="J28" i="1"/>
  <c r="J33" i="1" s="1"/>
  <c r="O28" i="1"/>
  <c r="O33" i="1" s="1"/>
  <c r="O35" i="1" s="1"/>
  <c r="J19" i="1"/>
  <c r="C20" i="1"/>
  <c r="H20" i="1"/>
  <c r="M20" i="1"/>
  <c r="R20" i="1"/>
  <c r="C23" i="1"/>
  <c r="M23" i="1"/>
  <c r="E24" i="1"/>
  <c r="E25" i="1"/>
  <c r="O25" i="1"/>
  <c r="G32" i="1"/>
  <c r="L32" i="1"/>
  <c r="Q32" i="1"/>
  <c r="G60" i="1"/>
  <c r="C75" i="11" s="1"/>
  <c r="C78" i="11" s="1"/>
  <c r="AU65" i="1"/>
  <c r="E66" i="2"/>
  <c r="V60" i="1"/>
  <c r="V44" i="1" s="1"/>
  <c r="Q106" i="1"/>
  <c r="G39" i="11"/>
  <c r="K39" i="11"/>
  <c r="H39" i="11"/>
  <c r="L39" i="11"/>
  <c r="I39" i="11"/>
  <c r="M39" i="11"/>
  <c r="J39" i="11"/>
  <c r="N39" i="11"/>
  <c r="N299" i="41"/>
  <c r="D35" i="11"/>
  <c r="E53" i="2"/>
  <c r="C35" i="11"/>
  <c r="C38" i="11" s="1"/>
  <c r="D53" i="2"/>
  <c r="E35" i="11"/>
  <c r="F53" i="2"/>
  <c r="J56" i="11"/>
  <c r="K47" i="11"/>
  <c r="D65" i="2"/>
  <c r="D11" i="2"/>
  <c r="D18" i="2" s="1"/>
  <c r="F65" i="2"/>
  <c r="F11" i="2"/>
  <c r="F18" i="2" s="1"/>
  <c r="F43" i="2" s="1"/>
  <c r="I10" i="2"/>
  <c r="J10" i="2" s="1"/>
  <c r="K10" i="2" s="1"/>
  <c r="L10" i="2" s="1"/>
  <c r="M10" i="2" s="1"/>
  <c r="N10" i="2" s="1"/>
  <c r="O10" i="2" s="1"/>
  <c r="P10" i="2" s="1"/>
  <c r="D26" i="2"/>
  <c r="D31" i="2" s="1"/>
  <c r="D41" i="2" s="1"/>
  <c r="G34" i="2"/>
  <c r="E59" i="2"/>
  <c r="E62" i="2" s="1"/>
  <c r="E58" i="2"/>
  <c r="E61" i="2" s="1"/>
  <c r="F92" i="2"/>
  <c r="D58" i="2"/>
  <c r="D61" i="2" s="1"/>
  <c r="E68" i="2"/>
  <c r="E74" i="2"/>
  <c r="F58" i="2"/>
  <c r="F61" i="2" s="1"/>
  <c r="E64" i="2"/>
  <c r="E91" i="2"/>
  <c r="E90" i="2" s="1"/>
  <c r="F90" i="2" s="1"/>
  <c r="E83" i="2"/>
  <c r="E85" i="2"/>
  <c r="D85" i="2"/>
  <c r="F85" i="2"/>
  <c r="D10" i="41"/>
  <c r="D14" i="41" s="1"/>
  <c r="D9" i="41"/>
  <c r="D13" i="41" s="1"/>
  <c r="AB310" i="41"/>
  <c r="Z310" i="41"/>
  <c r="X310" i="41"/>
  <c r="T310" i="41"/>
  <c r="N310" i="41"/>
  <c r="D310" i="41"/>
  <c r="AA310" i="41"/>
  <c r="Y310" i="41"/>
  <c r="W310" i="41"/>
  <c r="U310" i="41"/>
  <c r="S310" i="41"/>
  <c r="I310" i="41"/>
  <c r="AB286" i="41"/>
  <c r="Z286" i="41"/>
  <c r="X286" i="41"/>
  <c r="V286" i="41"/>
  <c r="T286" i="41"/>
  <c r="R286" i="41"/>
  <c r="P286" i="41"/>
  <c r="L286" i="41"/>
  <c r="L290" i="41" s="1"/>
  <c r="J286" i="41"/>
  <c r="J290" i="41" s="1"/>
  <c r="H286" i="41"/>
  <c r="H290" i="41" s="1"/>
  <c r="F286" i="41"/>
  <c r="AA234" i="41"/>
  <c r="Y234" i="41"/>
  <c r="W234" i="41"/>
  <c r="U234" i="41"/>
  <c r="S234" i="41"/>
  <c r="I234" i="41"/>
  <c r="AA286" i="41"/>
  <c r="Y286" i="41"/>
  <c r="W286" i="41"/>
  <c r="U286" i="41"/>
  <c r="Q286" i="41"/>
  <c r="O286" i="41"/>
  <c r="M286" i="41"/>
  <c r="K286" i="41"/>
  <c r="K290" i="41" s="1"/>
  <c r="G286" i="41"/>
  <c r="E286" i="41"/>
  <c r="AB234" i="41"/>
  <c r="Z234" i="41"/>
  <c r="X234" i="41"/>
  <c r="T234" i="41"/>
  <c r="N234" i="41"/>
  <c r="D234" i="41"/>
  <c r="AB210" i="41"/>
  <c r="Z210" i="41"/>
  <c r="X210" i="41"/>
  <c r="V210" i="41"/>
  <c r="T210" i="41"/>
  <c r="R210" i="41"/>
  <c r="P210" i="41"/>
  <c r="L210" i="41"/>
  <c r="J210" i="41"/>
  <c r="H210" i="41"/>
  <c r="F210" i="41"/>
  <c r="D210" i="41"/>
  <c r="AA210" i="41"/>
  <c r="Y210" i="41"/>
  <c r="W210" i="41"/>
  <c r="U210" i="41"/>
  <c r="Q210" i="41"/>
  <c r="O210" i="41"/>
  <c r="M210" i="41"/>
  <c r="K210" i="41"/>
  <c r="G210" i="41"/>
  <c r="E210" i="41"/>
  <c r="X129" i="41"/>
  <c r="T129" i="41"/>
  <c r="N129" i="41"/>
  <c r="D129" i="41"/>
  <c r="Y129" i="41"/>
  <c r="I129" i="41"/>
  <c r="M105" i="41"/>
  <c r="K105" i="41"/>
  <c r="G105" i="41"/>
  <c r="E105" i="41"/>
  <c r="S57" i="41"/>
  <c r="I57" i="41"/>
  <c r="L33" i="41"/>
  <c r="H33" i="41"/>
  <c r="F33" i="41"/>
  <c r="D33" i="41"/>
  <c r="S129" i="41"/>
  <c r="L105" i="41"/>
  <c r="J105" i="41"/>
  <c r="H105" i="41"/>
  <c r="F105" i="41"/>
  <c r="N57" i="41"/>
  <c r="D57" i="41"/>
  <c r="M33" i="41"/>
  <c r="K33" i="41"/>
  <c r="G33" i="41"/>
  <c r="E33" i="41"/>
  <c r="I4" i="41"/>
  <c r="N4" i="41" s="1"/>
  <c r="S4" i="41" s="1"/>
  <c r="T4" i="41" s="1"/>
  <c r="C9" i="41"/>
  <c r="C13" i="41" s="1"/>
  <c r="C10" i="41"/>
  <c r="C14" i="41" s="1"/>
  <c r="AI20" i="41"/>
  <c r="I5" i="41"/>
  <c r="K120" i="41"/>
  <c r="L48" i="41"/>
  <c r="O103" i="41"/>
  <c r="N103" i="41"/>
  <c r="U127" i="41" s="1"/>
  <c r="J120" i="41"/>
  <c r="D187" i="41"/>
  <c r="D191" i="41" s="1"/>
  <c r="D186" i="41"/>
  <c r="D190" i="41" s="1"/>
  <c r="H221" i="41"/>
  <c r="I218" i="41"/>
  <c r="H44" i="41"/>
  <c r="K46" i="41"/>
  <c r="K47" i="41"/>
  <c r="Q48" i="41"/>
  <c r="H113" i="41"/>
  <c r="C186" i="41"/>
  <c r="C190" i="41" s="1"/>
  <c r="C187" i="41"/>
  <c r="C191" i="41" s="1"/>
  <c r="N216" i="41"/>
  <c r="AA240" i="41" s="1"/>
  <c r="V300" i="41"/>
  <c r="V324" i="41" s="1"/>
  <c r="W224" i="41"/>
  <c r="W248" i="41" s="1"/>
  <c r="S285" i="41"/>
  <c r="L292" i="41"/>
  <c r="J292" i="41"/>
  <c r="S292" i="41"/>
  <c r="M292" i="41"/>
  <c r="K292" i="41"/>
  <c r="I182" i="41"/>
  <c r="V301" i="41"/>
  <c r="W225" i="41"/>
  <c r="W249" i="41" s="1"/>
  <c r="W275" i="41" s="1"/>
  <c r="P299" i="41"/>
  <c r="Q299" i="41" s="1"/>
  <c r="R299" i="41" s="1"/>
  <c r="K223" i="41"/>
  <c r="L223" i="41" s="1"/>
  <c r="M223" i="41" s="1"/>
  <c r="O223" i="41" s="1"/>
  <c r="P84" i="1"/>
  <c r="P82" i="1"/>
  <c r="P80" i="1"/>
  <c r="U73" i="1"/>
  <c r="W17" i="1"/>
  <c r="C82" i="1"/>
  <c r="G81" i="1"/>
  <c r="C80" i="1"/>
  <c r="E82" i="1"/>
  <c r="E80" i="1"/>
  <c r="G22" i="1"/>
  <c r="I84" i="1"/>
  <c r="I82" i="1"/>
  <c r="I80" i="1"/>
  <c r="K84" i="1"/>
  <c r="K82" i="1"/>
  <c r="K80" i="1"/>
  <c r="M82" i="1"/>
  <c r="Q81" i="1"/>
  <c r="M80" i="1"/>
  <c r="O84" i="1"/>
  <c r="O82" i="1"/>
  <c r="O80" i="1"/>
  <c r="Q22" i="1"/>
  <c r="S84" i="1"/>
  <c r="S82" i="1"/>
  <c r="X85" i="1" s="1"/>
  <c r="S80" i="1"/>
  <c r="X83" i="1" s="1"/>
  <c r="U84" i="1"/>
  <c r="U82" i="1"/>
  <c r="Z85" i="1" s="1"/>
  <c r="U80" i="1"/>
  <c r="Z83" i="1" s="1"/>
  <c r="V81" i="1"/>
  <c r="D66" i="1"/>
  <c r="D25" i="1"/>
  <c r="F89" i="1"/>
  <c r="F66" i="1"/>
  <c r="F25" i="1"/>
  <c r="K90" i="1"/>
  <c r="K88" i="1"/>
  <c r="O61" i="1"/>
  <c r="R89" i="1"/>
  <c r="R25" i="1"/>
  <c r="T25" i="1"/>
  <c r="T23" i="1"/>
  <c r="V26" i="1"/>
  <c r="R52" i="1"/>
  <c r="T52" i="1"/>
  <c r="H61" i="1"/>
  <c r="H44" i="1"/>
  <c r="J61" i="1"/>
  <c r="J44" i="1"/>
  <c r="N61" i="1"/>
  <c r="N44" i="1"/>
  <c r="P61" i="1"/>
  <c r="Q60" i="1"/>
  <c r="E75" i="11" s="1"/>
  <c r="E78" i="11" s="1"/>
  <c r="E80" i="11" s="1"/>
  <c r="P44" i="1"/>
  <c r="E61" i="1"/>
  <c r="M61" i="1"/>
  <c r="U61" i="1"/>
  <c r="AF60" i="1"/>
  <c r="H9" i="11" s="1"/>
  <c r="W66" i="1"/>
  <c r="R66" i="1"/>
  <c r="D89" i="1"/>
  <c r="D28" i="1"/>
  <c r="D33" i="1" s="1"/>
  <c r="F28" i="1"/>
  <c r="F33" i="1" s="1"/>
  <c r="R28" i="1"/>
  <c r="T28" i="1"/>
  <c r="V16" i="1"/>
  <c r="C19" i="1"/>
  <c r="E19" i="1"/>
  <c r="I19" i="1"/>
  <c r="K19" i="1"/>
  <c r="M19" i="1"/>
  <c r="O19" i="1"/>
  <c r="S19" i="1"/>
  <c r="C21" i="1"/>
  <c r="E21" i="1"/>
  <c r="I21" i="1"/>
  <c r="K21" i="1"/>
  <c r="M21" i="1"/>
  <c r="O21" i="1"/>
  <c r="S21" i="1"/>
  <c r="D82" i="1"/>
  <c r="D80" i="1"/>
  <c r="F82" i="1"/>
  <c r="F80" i="1"/>
  <c r="J82" i="1"/>
  <c r="J80" i="1"/>
  <c r="J84" i="1"/>
  <c r="N82" i="1"/>
  <c r="N80" i="1"/>
  <c r="R82" i="1"/>
  <c r="R80" i="1"/>
  <c r="R84" i="1"/>
  <c r="T84" i="1"/>
  <c r="T82" i="1"/>
  <c r="Y85" i="1" s="1"/>
  <c r="T80" i="1"/>
  <c r="Y83" i="1" s="1"/>
  <c r="V22" i="1"/>
  <c r="D24" i="1"/>
  <c r="F24" i="1"/>
  <c r="R24" i="1"/>
  <c r="T24" i="1"/>
  <c r="H89" i="1"/>
  <c r="M92" i="1" s="1"/>
  <c r="H66" i="1"/>
  <c r="H25" i="1"/>
  <c r="J89" i="1"/>
  <c r="J25" i="1"/>
  <c r="L26" i="1"/>
  <c r="N89" i="1"/>
  <c r="N66" i="1"/>
  <c r="N25" i="1"/>
  <c r="P89" i="1"/>
  <c r="U92" i="1" s="1"/>
  <c r="P66" i="1"/>
  <c r="P25" i="1"/>
  <c r="W61" i="1"/>
  <c r="AK41" i="1"/>
  <c r="AP41" i="1" s="1"/>
  <c r="AU41" i="1" s="1"/>
  <c r="AZ41" i="1" s="1"/>
  <c r="BE41" i="1" s="1"/>
  <c r="BJ41" i="1" s="1"/>
  <c r="BO41" i="1" s="1"/>
  <c r="C52" i="1"/>
  <c r="E52" i="1"/>
  <c r="H51" i="1"/>
  <c r="H52" i="1" s="1"/>
  <c r="J51" i="1"/>
  <c r="J52" i="1" s="1"/>
  <c r="N51" i="1"/>
  <c r="N52" i="1" s="1"/>
  <c r="P51" i="1"/>
  <c r="P52" i="1" s="1"/>
  <c r="U52" i="1"/>
  <c r="I61" i="1"/>
  <c r="AK59" i="1"/>
  <c r="J66" i="1"/>
  <c r="N84" i="1"/>
  <c r="O90" i="1"/>
  <c r="U90" i="1"/>
  <c r="Z93" i="1" s="1"/>
  <c r="U88" i="1"/>
  <c r="Z91" i="1" s="1"/>
  <c r="C88" i="1"/>
  <c r="G26" i="1"/>
  <c r="I90" i="1"/>
  <c r="I88" i="1"/>
  <c r="M90" i="1"/>
  <c r="M88" i="1"/>
  <c r="Q26" i="1"/>
  <c r="S90" i="1"/>
  <c r="X93" i="1" s="1"/>
  <c r="I52" i="1"/>
  <c r="M52" i="1"/>
  <c r="O52" i="1"/>
  <c r="D61" i="1"/>
  <c r="F61" i="1"/>
  <c r="R61" i="1"/>
  <c r="T61" i="1"/>
  <c r="C61" i="1"/>
  <c r="K61" i="1"/>
  <c r="S61" i="1"/>
  <c r="C66" i="1"/>
  <c r="E66" i="1"/>
  <c r="I66" i="1"/>
  <c r="K66" i="1"/>
  <c r="AF65" i="1"/>
  <c r="AP65" i="1"/>
  <c r="AZ65" i="1"/>
  <c r="BJ65" i="1"/>
  <c r="E88" i="1"/>
  <c r="C90" i="1"/>
  <c r="S88" i="1"/>
  <c r="X91" i="1" s="1"/>
  <c r="M66" i="1"/>
  <c r="O66" i="1"/>
  <c r="S66" i="1"/>
  <c r="U66" i="1"/>
  <c r="V111" i="1"/>
  <c r="AA105" i="1"/>
  <c r="Q114" i="1"/>
  <c r="N139" i="1" l="1"/>
  <c r="Q24" i="1"/>
  <c r="G93" i="2"/>
  <c r="G68" i="2"/>
  <c r="G64" i="2"/>
  <c r="G70" i="2"/>
  <c r="G83" i="2"/>
  <c r="G74" i="2"/>
  <c r="G66" i="2"/>
  <c r="W151" i="41"/>
  <c r="W153" i="41" s="1"/>
  <c r="U128" i="41"/>
  <c r="J33" i="41"/>
  <c r="N33" i="41" s="1"/>
  <c r="S74" i="1"/>
  <c r="M111" i="41"/>
  <c r="I36" i="1"/>
  <c r="C35" i="1"/>
  <c r="M36" i="1"/>
  <c r="M54" i="1" s="1"/>
  <c r="M55" i="1" s="1"/>
  <c r="W33" i="1"/>
  <c r="W36" i="1" s="1"/>
  <c r="W54" i="1" s="1"/>
  <c r="W55" i="1" s="1"/>
  <c r="N41" i="41"/>
  <c r="J41" i="41" s="1"/>
  <c r="I113" i="41"/>
  <c r="V307" i="41"/>
  <c r="V257" i="41"/>
  <c r="V333" i="41" s="1"/>
  <c r="U129" i="41"/>
  <c r="V308" i="41"/>
  <c r="V258" i="41"/>
  <c r="V260" i="41" s="1"/>
  <c r="P103" i="41"/>
  <c r="W127" i="41" s="1"/>
  <c r="W128" i="41" s="1"/>
  <c r="V127" i="41"/>
  <c r="V128" i="41" s="1"/>
  <c r="U102" i="41"/>
  <c r="AA126" i="41"/>
  <c r="R119" i="41"/>
  <c r="V234" i="41"/>
  <c r="W260" i="41"/>
  <c r="W334" i="41"/>
  <c r="W336" i="41" s="1"/>
  <c r="Y260" i="41"/>
  <c r="X260" i="41"/>
  <c r="X334" i="41"/>
  <c r="X336" i="41" s="1"/>
  <c r="J111" i="41"/>
  <c r="V63" i="41"/>
  <c r="X87" i="41" s="1"/>
  <c r="AA260" i="41"/>
  <c r="AA334" i="41"/>
  <c r="AA336" i="41" s="1"/>
  <c r="Z260" i="41"/>
  <c r="Z334" i="41"/>
  <c r="Z336" i="41" s="1"/>
  <c r="AB260" i="41"/>
  <c r="AB334" i="41"/>
  <c r="AB336" i="41" s="1"/>
  <c r="S283" i="41"/>
  <c r="M39" i="41"/>
  <c r="V135" i="41"/>
  <c r="S41" i="41"/>
  <c r="Q41" i="41" s="1"/>
  <c r="Q113" i="41" s="1"/>
  <c r="AA111" i="1"/>
  <c r="AA106" i="1"/>
  <c r="F64" i="2"/>
  <c r="L24" i="1"/>
  <c r="U74" i="1"/>
  <c r="V23" i="1"/>
  <c r="S33" i="1"/>
  <c r="S35" i="1" s="1"/>
  <c r="G66" i="1"/>
  <c r="P36" i="1"/>
  <c r="P46" i="1" s="1"/>
  <c r="E35" i="1"/>
  <c r="D83" i="2"/>
  <c r="D68" i="2"/>
  <c r="AU109" i="1"/>
  <c r="AZ109" i="1" s="1"/>
  <c r="BE109" i="1" s="1"/>
  <c r="BJ109" i="1" s="1"/>
  <c r="BO109" i="1" s="1"/>
  <c r="W74" i="1"/>
  <c r="AF32" i="1"/>
  <c r="O36" i="1"/>
  <c r="O54" i="1" s="1"/>
  <c r="O55" i="1" s="1"/>
  <c r="G57" i="2"/>
  <c r="G60" i="2" s="1"/>
  <c r="F68" i="2"/>
  <c r="F66" i="2"/>
  <c r="G89" i="1"/>
  <c r="BE32" i="1"/>
  <c r="G44" i="1"/>
  <c r="Q66" i="1"/>
  <c r="V51" i="1"/>
  <c r="V52" i="1" s="1"/>
  <c r="H139" i="1"/>
  <c r="G51" i="1"/>
  <c r="U33" i="1"/>
  <c r="U36" i="1" s="1"/>
  <c r="S73" i="1"/>
  <c r="F57" i="2"/>
  <c r="F60" i="2" s="1"/>
  <c r="D64" i="2"/>
  <c r="D66" i="2"/>
  <c r="F70" i="2"/>
  <c r="AU32" i="1"/>
  <c r="AP32" i="1"/>
  <c r="AZ32" i="1"/>
  <c r="H35" i="1"/>
  <c r="L28" i="1"/>
  <c r="L73" i="1" s="1"/>
  <c r="H39" i="1"/>
  <c r="H143" i="1" s="1"/>
  <c r="D57" i="2"/>
  <c r="D60" i="2" s="1"/>
  <c r="AK32" i="1"/>
  <c r="G23" i="1"/>
  <c r="L84" i="1"/>
  <c r="N46" i="1"/>
  <c r="N137" i="1" s="1"/>
  <c r="N39" i="1"/>
  <c r="N143" i="1" s="1"/>
  <c r="Q23" i="1"/>
  <c r="W88" i="1"/>
  <c r="W92" i="1"/>
  <c r="W90" i="1"/>
  <c r="H84" i="1"/>
  <c r="M84" i="1"/>
  <c r="V20" i="1"/>
  <c r="G50" i="2"/>
  <c r="N35" i="1"/>
  <c r="BO97" i="1"/>
  <c r="BO32" i="1" s="1"/>
  <c r="BJ32" i="1"/>
  <c r="H82" i="1"/>
  <c r="M85" i="1" s="1"/>
  <c r="H80" i="1"/>
  <c r="H83" i="1" s="1"/>
  <c r="G24" i="1"/>
  <c r="N83" i="1"/>
  <c r="L21" i="1"/>
  <c r="F83" i="2"/>
  <c r="D74" i="2"/>
  <c r="Q19" i="1"/>
  <c r="G19" i="1"/>
  <c r="K36" i="1"/>
  <c r="K46" i="1" s="1"/>
  <c r="L51" i="1"/>
  <c r="L52" i="1" s="1"/>
  <c r="L66" i="1"/>
  <c r="V61" i="1"/>
  <c r="Q28" i="1"/>
  <c r="Q33" i="1" s="1"/>
  <c r="Q89" i="1"/>
  <c r="G20" i="1"/>
  <c r="W80" i="1"/>
  <c r="W83" i="1" s="1"/>
  <c r="W84" i="1"/>
  <c r="W82" i="1"/>
  <c r="W85" i="1" s="1"/>
  <c r="S111" i="41"/>
  <c r="L111" i="41"/>
  <c r="U30" i="41"/>
  <c r="Q119" i="41"/>
  <c r="S39" i="41"/>
  <c r="L39" i="41"/>
  <c r="J39" i="41"/>
  <c r="Q25" i="1"/>
  <c r="N85" i="1"/>
  <c r="N54" i="1"/>
  <c r="N55" i="1" s="1"/>
  <c r="I83" i="1"/>
  <c r="AK42" i="1"/>
  <c r="AP42" i="1" s="1"/>
  <c r="AU42" i="1" s="1"/>
  <c r="AZ42" i="1" s="1"/>
  <c r="BE42" i="1" s="1"/>
  <c r="BJ42" i="1" s="1"/>
  <c r="BO42" i="1" s="1"/>
  <c r="L20" i="1"/>
  <c r="J36" i="1"/>
  <c r="J46" i="1" s="1"/>
  <c r="J35" i="1"/>
  <c r="V17" i="1"/>
  <c r="G49" i="2"/>
  <c r="G58" i="2" s="1"/>
  <c r="G61" i="2" s="1"/>
  <c r="Q44" i="1"/>
  <c r="O83" i="1"/>
  <c r="S92" i="1"/>
  <c r="J85" i="1"/>
  <c r="L19" i="1"/>
  <c r="V25" i="1"/>
  <c r="G25" i="1"/>
  <c r="Q20" i="1"/>
  <c r="F50" i="2"/>
  <c r="D50" i="2"/>
  <c r="E50" i="2"/>
  <c r="N210" i="41"/>
  <c r="H53" i="11"/>
  <c r="H55" i="11"/>
  <c r="L47" i="11"/>
  <c r="K56" i="11"/>
  <c r="F71" i="11"/>
  <c r="F58" i="11"/>
  <c r="F59" i="11"/>
  <c r="C40" i="11"/>
  <c r="D36" i="11"/>
  <c r="D38" i="11" s="1"/>
  <c r="C42" i="11"/>
  <c r="G90" i="2"/>
  <c r="G26" i="2"/>
  <c r="G31" i="2" s="1"/>
  <c r="G92" i="2"/>
  <c r="D43" i="2"/>
  <c r="F91" i="2"/>
  <c r="F103" i="2" s="1"/>
  <c r="G91" i="2"/>
  <c r="H34" i="2"/>
  <c r="S299" i="41"/>
  <c r="T299" i="41" s="1"/>
  <c r="U299" i="41" s="1"/>
  <c r="W301" i="41"/>
  <c r="X225" i="41"/>
  <c r="H182" i="41"/>
  <c r="H184" i="41" s="1"/>
  <c r="F182" i="41"/>
  <c r="F184" i="41" s="1"/>
  <c r="I184" i="41"/>
  <c r="N182" i="41"/>
  <c r="G182" i="41"/>
  <c r="G184" i="41" s="1"/>
  <c r="E182" i="41"/>
  <c r="E184" i="41" s="1"/>
  <c r="C201" i="41"/>
  <c r="C407" i="41" s="1"/>
  <c r="C199" i="41"/>
  <c r="C405" i="41" s="1"/>
  <c r="C188" i="41"/>
  <c r="C192" i="41" s="1"/>
  <c r="C193" i="41" s="1"/>
  <c r="Q120" i="41"/>
  <c r="R48" i="41"/>
  <c r="K119" i="41"/>
  <c r="L47" i="41"/>
  <c r="D201" i="41"/>
  <c r="D407" i="41" s="1"/>
  <c r="D199" i="41"/>
  <c r="D405" i="41" s="1"/>
  <c r="D188" i="41"/>
  <c r="D192" i="41" s="1"/>
  <c r="D193" i="41" s="1"/>
  <c r="L120" i="41"/>
  <c r="M48" i="41"/>
  <c r="M120" i="41" s="1"/>
  <c r="T372" i="41"/>
  <c r="T404" i="41" s="1"/>
  <c r="U4" i="41"/>
  <c r="O105" i="41"/>
  <c r="S210" i="41"/>
  <c r="M290" i="41"/>
  <c r="N286" i="41"/>
  <c r="I290" i="41"/>
  <c r="H288" i="41"/>
  <c r="H289" i="41" s="1"/>
  <c r="S286" i="41"/>
  <c r="C11" i="41"/>
  <c r="C15" i="41" s="1"/>
  <c r="C23" i="41" s="1"/>
  <c r="C374" i="41" s="1"/>
  <c r="P223" i="41"/>
  <c r="Q223" i="41" s="1"/>
  <c r="R223" i="41" s="1"/>
  <c r="V325" i="41"/>
  <c r="V351" i="41" s="1"/>
  <c r="N223" i="41"/>
  <c r="T292" i="41"/>
  <c r="R292" i="41"/>
  <c r="P292" i="41"/>
  <c r="Q292" i="41"/>
  <c r="O292" i="41"/>
  <c r="W300" i="41"/>
  <c r="W324" i="41" s="1"/>
  <c r="X224" i="41"/>
  <c r="L216" i="41"/>
  <c r="Y240" i="41" s="1"/>
  <c r="J216" i="41"/>
  <c r="W240" i="41" s="1"/>
  <c r="W266" i="41" s="1"/>
  <c r="S216" i="41"/>
  <c r="K216" i="41"/>
  <c r="X240" i="41" s="1"/>
  <c r="X266" i="41" s="1"/>
  <c r="Y266" i="41" s="1"/>
  <c r="Z266" i="41" s="1"/>
  <c r="AA266" i="41" s="1"/>
  <c r="AB266" i="41" s="1"/>
  <c r="M216" i="41"/>
  <c r="Z240" i="41" s="1"/>
  <c r="H294" i="41"/>
  <c r="H116" i="41"/>
  <c r="K118" i="41"/>
  <c r="L46" i="41"/>
  <c r="N218" i="41"/>
  <c r="I221" i="41"/>
  <c r="T103" i="41"/>
  <c r="AA127" i="41" s="1"/>
  <c r="H5" i="41"/>
  <c r="H7" i="41" s="1"/>
  <c r="F5" i="41"/>
  <c r="F7" i="41" s="1"/>
  <c r="I7" i="41"/>
  <c r="N5" i="41"/>
  <c r="G5" i="41"/>
  <c r="G7" i="41" s="1"/>
  <c r="E5" i="41"/>
  <c r="E7" i="41" s="1"/>
  <c r="T119" i="41"/>
  <c r="T143" i="41" s="1"/>
  <c r="T167" i="41" s="1"/>
  <c r="U47" i="41"/>
  <c r="C24" i="41"/>
  <c r="C375" i="41" s="1"/>
  <c r="C22" i="41"/>
  <c r="C373" i="41" s="1"/>
  <c r="O33" i="41"/>
  <c r="R105" i="41"/>
  <c r="N105" i="41"/>
  <c r="Q105" i="41"/>
  <c r="D24" i="41"/>
  <c r="D375" i="41" s="1"/>
  <c r="D22" i="41"/>
  <c r="D373" i="41" s="1"/>
  <c r="D11" i="41"/>
  <c r="D15" i="41" s="1"/>
  <c r="D26" i="41" s="1"/>
  <c r="AF105" i="1"/>
  <c r="AF107" i="1" s="1"/>
  <c r="AF111" i="1" s="1"/>
  <c r="AA51" i="1"/>
  <c r="N92" i="1"/>
  <c r="N90" i="1"/>
  <c r="N93" i="1" s="1"/>
  <c r="N88" i="1"/>
  <c r="N91" i="1" s="1"/>
  <c r="L25" i="1"/>
  <c r="H92" i="1"/>
  <c r="H90" i="1"/>
  <c r="M93" i="1" s="1"/>
  <c r="L89" i="1"/>
  <c r="L92" i="1" s="1"/>
  <c r="H88" i="1"/>
  <c r="M91" i="1" s="1"/>
  <c r="T89" i="1"/>
  <c r="Y92" i="1" s="1"/>
  <c r="V24" i="1"/>
  <c r="T83" i="1"/>
  <c r="T19" i="1"/>
  <c r="R85" i="1"/>
  <c r="R74" i="1"/>
  <c r="R73" i="1"/>
  <c r="R33" i="1"/>
  <c r="H54" i="1"/>
  <c r="H55" i="1" s="1"/>
  <c r="F36" i="1"/>
  <c r="F35" i="1"/>
  <c r="D90" i="1"/>
  <c r="D88" i="1"/>
  <c r="I91" i="1" s="1"/>
  <c r="V66" i="1"/>
  <c r="AF51" i="1"/>
  <c r="AF44" i="1"/>
  <c r="AE44" i="1" s="1"/>
  <c r="L44" i="1"/>
  <c r="L74" i="1" s="1"/>
  <c r="G61" i="1"/>
  <c r="F90" i="1"/>
  <c r="K93" i="1" s="1"/>
  <c r="F88" i="1"/>
  <c r="K91" i="1" s="1"/>
  <c r="AA81" i="1"/>
  <c r="U85" i="1"/>
  <c r="V82" i="1"/>
  <c r="U21" i="1"/>
  <c r="S83" i="1"/>
  <c r="Q84" i="1"/>
  <c r="K85" i="1"/>
  <c r="G80" i="1"/>
  <c r="G82" i="1"/>
  <c r="P85" i="1"/>
  <c r="I139" i="1"/>
  <c r="I54" i="1"/>
  <c r="I55" i="1" s="1"/>
  <c r="I46" i="1"/>
  <c r="I38" i="1"/>
  <c r="I39" i="1"/>
  <c r="I143" i="1" s="1"/>
  <c r="G28" i="1"/>
  <c r="V114" i="1"/>
  <c r="I92" i="1"/>
  <c r="AK60" i="1"/>
  <c r="I9" i="11" s="1"/>
  <c r="AP59" i="1"/>
  <c r="H46" i="1"/>
  <c r="P92" i="1"/>
  <c r="P90" i="1"/>
  <c r="P93" i="1" s="1"/>
  <c r="P88" i="1"/>
  <c r="P91" i="1" s="1"/>
  <c r="J92" i="1"/>
  <c r="J90" i="1"/>
  <c r="J93" i="1" s="1"/>
  <c r="J88" i="1"/>
  <c r="T85" i="1"/>
  <c r="T21" i="1"/>
  <c r="R83" i="1"/>
  <c r="J83" i="1"/>
  <c r="Q21" i="1"/>
  <c r="G21" i="1"/>
  <c r="T74" i="1"/>
  <c r="T33" i="1"/>
  <c r="T73" i="1"/>
  <c r="D36" i="1"/>
  <c r="D35" i="1"/>
  <c r="O92" i="1"/>
  <c r="Q51" i="1"/>
  <c r="Q52" i="1" s="1"/>
  <c r="Q61" i="1"/>
  <c r="L61" i="1"/>
  <c r="G52" i="1"/>
  <c r="R92" i="1"/>
  <c r="R90" i="1"/>
  <c r="R88" i="1"/>
  <c r="K92" i="1"/>
  <c r="V84" i="1"/>
  <c r="V80" i="1"/>
  <c r="U19" i="1"/>
  <c r="U83" i="1"/>
  <c r="S85" i="1"/>
  <c r="O85" i="1"/>
  <c r="Q80" i="1"/>
  <c r="Q82" i="1"/>
  <c r="K83" i="1"/>
  <c r="I85" i="1"/>
  <c r="O139" i="1"/>
  <c r="M139" i="1"/>
  <c r="M46" i="1"/>
  <c r="P83" i="1"/>
  <c r="W35" i="1"/>
  <c r="P39" i="1"/>
  <c r="P143" i="1" s="1"/>
  <c r="E139" i="1"/>
  <c r="E54" i="1"/>
  <c r="E55" i="1" s="1"/>
  <c r="E46" i="1"/>
  <c r="E38" i="1"/>
  <c r="E39" i="1"/>
  <c r="E143" i="1" s="1"/>
  <c r="C139" i="1"/>
  <c r="C54" i="1"/>
  <c r="C55" i="1" s="1"/>
  <c r="C46" i="1"/>
  <c r="C38" i="1"/>
  <c r="C39" i="1"/>
  <c r="C143" i="1" s="1"/>
  <c r="V28" i="1"/>
  <c r="G76" i="2" l="1"/>
  <c r="G72" i="2"/>
  <c r="G78" i="2"/>
  <c r="H48" i="11"/>
  <c r="H54" i="11" s="1"/>
  <c r="V310" i="41"/>
  <c r="V309" i="41"/>
  <c r="AA129" i="41"/>
  <c r="AA128" i="41"/>
  <c r="S36" i="1"/>
  <c r="S38" i="1" s="1"/>
  <c r="K41" i="41"/>
  <c r="K44" i="41" s="1"/>
  <c r="N44" i="41"/>
  <c r="M41" i="41"/>
  <c r="M44" i="41" s="1"/>
  <c r="P54" i="1"/>
  <c r="P55" i="1" s="1"/>
  <c r="P38" i="1"/>
  <c r="P139" i="1"/>
  <c r="M39" i="1"/>
  <c r="M143" i="1" s="1"/>
  <c r="O39" i="1"/>
  <c r="O143" i="1" s="1"/>
  <c r="K38" i="1"/>
  <c r="M38" i="1"/>
  <c r="O38" i="1"/>
  <c r="Q74" i="1"/>
  <c r="O46" i="1"/>
  <c r="L33" i="1"/>
  <c r="L35" i="1" s="1"/>
  <c r="S103" i="41"/>
  <c r="Z127" i="41" s="1"/>
  <c r="P105" i="41"/>
  <c r="S119" i="41" s="1"/>
  <c r="V334" i="41"/>
  <c r="V336" i="41" s="1"/>
  <c r="D376" i="41"/>
  <c r="D377" i="41"/>
  <c r="L41" i="41"/>
  <c r="L44" i="41" s="1"/>
  <c r="N113" i="41"/>
  <c r="R41" i="41"/>
  <c r="R113" i="41" s="1"/>
  <c r="R114" i="41" s="1"/>
  <c r="S113" i="41"/>
  <c r="Y334" i="41"/>
  <c r="Y336" i="41" s="1"/>
  <c r="V102" i="41"/>
  <c r="W102" i="41" s="1"/>
  <c r="X102" i="41" s="1"/>
  <c r="Y102" i="41" s="1"/>
  <c r="Z102" i="41" s="1"/>
  <c r="AA102" i="41" s="1"/>
  <c r="AB102" i="41" s="1"/>
  <c r="AB126" i="41"/>
  <c r="X151" i="41"/>
  <c r="X153" i="41" s="1"/>
  <c r="V129" i="41"/>
  <c r="Y151" i="41"/>
  <c r="Y153" i="41" s="1"/>
  <c r="W129" i="41"/>
  <c r="W135" i="41"/>
  <c r="X159" i="41"/>
  <c r="V30" i="41"/>
  <c r="Z54" i="41" s="1"/>
  <c r="AB78" i="41" s="1"/>
  <c r="Y54" i="41"/>
  <c r="AA78" i="41" s="1"/>
  <c r="W63" i="41"/>
  <c r="Y87" i="41" s="1"/>
  <c r="S44" i="41"/>
  <c r="O41" i="41"/>
  <c r="O113" i="41" s="1"/>
  <c r="T41" i="41"/>
  <c r="D203" i="41"/>
  <c r="P41" i="41"/>
  <c r="P113" i="41" s="1"/>
  <c r="Q114" i="41" s="1"/>
  <c r="J44" i="41"/>
  <c r="C200" i="41"/>
  <c r="C406" i="41" s="1"/>
  <c r="C203" i="41"/>
  <c r="K139" i="1"/>
  <c r="K39" i="1"/>
  <c r="K143" i="1" s="1"/>
  <c r="N48" i="1"/>
  <c r="N49" i="1"/>
  <c r="N141" i="1" s="1"/>
  <c r="L82" i="1"/>
  <c r="L85" i="1" s="1"/>
  <c r="G90" i="1"/>
  <c r="AD32" i="1"/>
  <c r="AC32" i="1"/>
  <c r="AB32" i="1"/>
  <c r="U35" i="1"/>
  <c r="G88" i="1"/>
  <c r="K54" i="1"/>
  <c r="K55" i="1" s="1"/>
  <c r="Q73" i="1"/>
  <c r="W93" i="1"/>
  <c r="D200" i="41"/>
  <c r="D303" i="41" s="1"/>
  <c r="H85" i="1"/>
  <c r="W91" i="1"/>
  <c r="S93" i="1"/>
  <c r="M83" i="1"/>
  <c r="L80" i="1"/>
  <c r="Q83" i="1" s="1"/>
  <c r="G59" i="2"/>
  <c r="G62" i="2" s="1"/>
  <c r="I93" i="1"/>
  <c r="C26" i="41"/>
  <c r="Q111" i="41"/>
  <c r="V111" i="41" s="1"/>
  <c r="AA111" i="41" s="1"/>
  <c r="P111" i="41"/>
  <c r="U111" i="41" s="1"/>
  <c r="Z111" i="41" s="1"/>
  <c r="X111" i="41"/>
  <c r="O111" i="41"/>
  <c r="T111" i="41" s="1"/>
  <c r="Y111" i="41" s="1"/>
  <c r="R111" i="41"/>
  <c r="W111" i="41" s="1"/>
  <c r="AB111" i="41" s="1"/>
  <c r="T39" i="41"/>
  <c r="U39" i="41" s="1"/>
  <c r="V39" i="41" s="1"/>
  <c r="W39" i="41" s="1"/>
  <c r="X39" i="41" s="1"/>
  <c r="Y39" i="41" s="1"/>
  <c r="Z39" i="41" s="1"/>
  <c r="AA39" i="41" s="1"/>
  <c r="AB39" i="41" s="1"/>
  <c r="Q39" i="41"/>
  <c r="Q44" i="41" s="1"/>
  <c r="P39" i="41"/>
  <c r="R39" i="41"/>
  <c r="O39" i="41"/>
  <c r="C16" i="41"/>
  <c r="C20" i="41" s="1"/>
  <c r="D227" i="41"/>
  <c r="W30" i="41"/>
  <c r="AA54" i="41" s="1"/>
  <c r="J48" i="1"/>
  <c r="J137" i="1"/>
  <c r="J49" i="1"/>
  <c r="J141" i="1" s="1"/>
  <c r="U93" i="1"/>
  <c r="J139" i="1"/>
  <c r="J38" i="1"/>
  <c r="J54" i="1"/>
  <c r="J55" i="1" s="1"/>
  <c r="J39" i="1"/>
  <c r="J143" i="1" s="1"/>
  <c r="D72" i="2"/>
  <c r="D78" i="2"/>
  <c r="D76" i="2"/>
  <c r="E78" i="2"/>
  <c r="E72" i="2"/>
  <c r="E76" i="2"/>
  <c r="F72" i="2"/>
  <c r="F78" i="2"/>
  <c r="F76" i="2"/>
  <c r="I289" i="41"/>
  <c r="D42" i="11"/>
  <c r="D40" i="11"/>
  <c r="E36" i="11"/>
  <c r="E38" i="11" s="1"/>
  <c r="I55" i="11"/>
  <c r="I53" i="11"/>
  <c r="F78" i="11"/>
  <c r="L56" i="11"/>
  <c r="M47" i="11"/>
  <c r="G71" i="11"/>
  <c r="G59" i="11"/>
  <c r="G58" i="11"/>
  <c r="H90" i="2"/>
  <c r="G103" i="2"/>
  <c r="I34" i="2"/>
  <c r="C196" i="41"/>
  <c r="C197" i="41"/>
  <c r="C195" i="41"/>
  <c r="D16" i="41"/>
  <c r="V47" i="41"/>
  <c r="U119" i="41"/>
  <c r="U143" i="41" s="1"/>
  <c r="U167" i="41" s="1"/>
  <c r="U71" i="41"/>
  <c r="U95" i="41" s="1"/>
  <c r="E10" i="41"/>
  <c r="E14" i="41" s="1"/>
  <c r="E9" i="41"/>
  <c r="E13" i="41" s="1"/>
  <c r="N7" i="41"/>
  <c r="M5" i="41"/>
  <c r="M7" i="41" s="1"/>
  <c r="K5" i="41"/>
  <c r="K7" i="41" s="1"/>
  <c r="S5" i="41"/>
  <c r="L5" i="41"/>
  <c r="L7" i="41" s="1"/>
  <c r="J5" i="41"/>
  <c r="J7" i="41" s="1"/>
  <c r="F10" i="41"/>
  <c r="F14" i="41" s="1"/>
  <c r="F9" i="41"/>
  <c r="F13" i="41" s="1"/>
  <c r="X57" i="41"/>
  <c r="P33" i="41"/>
  <c r="U103" i="41"/>
  <c r="AB127" i="41" s="1"/>
  <c r="T105" i="41"/>
  <c r="L118" i="41"/>
  <c r="M46" i="41"/>
  <c r="N46" i="41" s="1"/>
  <c r="N116" i="41"/>
  <c r="I294" i="41"/>
  <c r="H297" i="41"/>
  <c r="H303" i="41" s="1"/>
  <c r="X248" i="41"/>
  <c r="X300" i="41"/>
  <c r="X324" i="41" s="1"/>
  <c r="Y224" i="41"/>
  <c r="S223" i="41"/>
  <c r="T223" i="41" s="1"/>
  <c r="U223" i="41" s="1"/>
  <c r="V223" i="41" s="1"/>
  <c r="D23" i="41"/>
  <c r="U372" i="41"/>
  <c r="U404" i="41" s="1"/>
  <c r="V4" i="41"/>
  <c r="G187" i="41"/>
  <c r="G191" i="41" s="1"/>
  <c r="G186" i="41"/>
  <c r="G190" i="41" s="1"/>
  <c r="I187" i="41"/>
  <c r="I191" i="41" s="1"/>
  <c r="I186" i="41"/>
  <c r="I190" i="41" s="1"/>
  <c r="H187" i="41"/>
  <c r="H191" i="41" s="1"/>
  <c r="H186" i="41"/>
  <c r="H190" i="41" s="1"/>
  <c r="X301" i="41"/>
  <c r="X249" i="41"/>
  <c r="X275" i="41" s="1"/>
  <c r="Y225" i="41"/>
  <c r="G10" i="41"/>
  <c r="G14" i="41" s="1"/>
  <c r="G9" i="41"/>
  <c r="G13" i="41" s="1"/>
  <c r="I10" i="41"/>
  <c r="I14" i="41" s="1"/>
  <c r="I9" i="41"/>
  <c r="I13" i="41" s="1"/>
  <c r="H10" i="41"/>
  <c r="H14" i="41" s="1"/>
  <c r="H9" i="41"/>
  <c r="H13" i="41" s="1"/>
  <c r="N221" i="41"/>
  <c r="S218" i="41"/>
  <c r="M218" i="41"/>
  <c r="M221" i="41" s="1"/>
  <c r="K218" i="41"/>
  <c r="K221" i="41" s="1"/>
  <c r="J218" i="41"/>
  <c r="J221" i="41" s="1"/>
  <c r="L218" i="41"/>
  <c r="L221" i="41" s="1"/>
  <c r="T216" i="41"/>
  <c r="U216" i="41" s="1"/>
  <c r="V216" i="41" s="1"/>
  <c r="W216" i="41" s="1"/>
  <c r="X216" i="41" s="1"/>
  <c r="Y216" i="41" s="1"/>
  <c r="Z216" i="41" s="1"/>
  <c r="AA216" i="41" s="1"/>
  <c r="AB216" i="41" s="1"/>
  <c r="R216" i="41"/>
  <c r="P216" i="41"/>
  <c r="O216" i="41"/>
  <c r="AB240" i="41" s="1"/>
  <c r="Q216" i="41"/>
  <c r="V316" i="41"/>
  <c r="U292" i="41"/>
  <c r="V292" i="41" s="1"/>
  <c r="W292" i="41" s="1"/>
  <c r="X292" i="41" s="1"/>
  <c r="Y292" i="41" s="1"/>
  <c r="Z292" i="41" s="1"/>
  <c r="AA292" i="41" s="1"/>
  <c r="AB292" i="41" s="1"/>
  <c r="I288" i="41"/>
  <c r="J289" i="41"/>
  <c r="N290" i="41"/>
  <c r="D50" i="41"/>
  <c r="D380" i="41" s="1"/>
  <c r="D196" i="41"/>
  <c r="D197" i="41"/>
  <c r="D195" i="41"/>
  <c r="L119" i="41"/>
  <c r="N119" i="41" s="1"/>
  <c r="N47" i="41"/>
  <c r="R120" i="41"/>
  <c r="S48" i="41"/>
  <c r="T48" i="41" s="1"/>
  <c r="T72" i="41" s="1"/>
  <c r="T96" i="41" s="1"/>
  <c r="E187" i="41"/>
  <c r="E191" i="41" s="1"/>
  <c r="E186" i="41"/>
  <c r="E190" i="41" s="1"/>
  <c r="N184" i="41"/>
  <c r="M182" i="41"/>
  <c r="M184" i="41" s="1"/>
  <c r="K182" i="41"/>
  <c r="K184" i="41" s="1"/>
  <c r="S182" i="41"/>
  <c r="L182" i="41"/>
  <c r="L184" i="41" s="1"/>
  <c r="J182" i="41"/>
  <c r="J184" i="41" s="1"/>
  <c r="F187" i="41"/>
  <c r="F191" i="41" s="1"/>
  <c r="F186" i="41"/>
  <c r="F190" i="41" s="1"/>
  <c r="W325" i="41"/>
  <c r="W351" i="41" s="1"/>
  <c r="C137" i="1"/>
  <c r="C49" i="1"/>
  <c r="C141" i="1" s="1"/>
  <c r="C48" i="1"/>
  <c r="O137" i="1"/>
  <c r="O49" i="1"/>
  <c r="O141" i="1" s="1"/>
  <c r="O48" i="1"/>
  <c r="V83" i="1"/>
  <c r="R91" i="1"/>
  <c r="AK51" i="1"/>
  <c r="AK44" i="1"/>
  <c r="U91" i="1"/>
  <c r="AA114" i="1"/>
  <c r="I137" i="1"/>
  <c r="I49" i="1"/>
  <c r="I141" i="1" s="1"/>
  <c r="I48" i="1"/>
  <c r="V21" i="1"/>
  <c r="AA82" i="1"/>
  <c r="AA21" i="1"/>
  <c r="AA20" i="1"/>
  <c r="T92" i="1"/>
  <c r="T90" i="1"/>
  <c r="Y93" i="1" s="1"/>
  <c r="T88" i="1"/>
  <c r="Y91" i="1" s="1"/>
  <c r="V89" i="1"/>
  <c r="V92" i="1" s="1"/>
  <c r="O93" i="1"/>
  <c r="AK105" i="1"/>
  <c r="AK107" i="1" s="1"/>
  <c r="AK111" i="1" s="1"/>
  <c r="V33" i="1"/>
  <c r="E6" i="42"/>
  <c r="E137" i="1"/>
  <c r="E49" i="1"/>
  <c r="E141" i="1" s="1"/>
  <c r="E48" i="1"/>
  <c r="P137" i="1"/>
  <c r="P48" i="1"/>
  <c r="P49" i="1"/>
  <c r="P141" i="1" s="1"/>
  <c r="W46" i="1"/>
  <c r="W38" i="1"/>
  <c r="W39" i="1"/>
  <c r="M137" i="1"/>
  <c r="M49" i="1"/>
  <c r="M141" i="1" s="1"/>
  <c r="M48" i="1"/>
  <c r="S46" i="1"/>
  <c r="U54" i="1"/>
  <c r="U55" i="1" s="1"/>
  <c r="U46" i="1"/>
  <c r="U38" i="1"/>
  <c r="U39" i="1"/>
  <c r="V19" i="1"/>
  <c r="AA80" i="1"/>
  <c r="AA19" i="1"/>
  <c r="R93" i="1"/>
  <c r="D139" i="1"/>
  <c r="D54" i="1"/>
  <c r="D55" i="1" s="1"/>
  <c r="D39" i="1"/>
  <c r="D143" i="1" s="1"/>
  <c r="D46" i="1"/>
  <c r="D38" i="1"/>
  <c r="T36" i="1"/>
  <c r="T35" i="1"/>
  <c r="J91" i="1"/>
  <c r="O91" i="1"/>
  <c r="H137" i="1"/>
  <c r="H48" i="1"/>
  <c r="H49" i="1"/>
  <c r="H141" i="1" s="1"/>
  <c r="AP60" i="1"/>
  <c r="J9" i="11" s="1"/>
  <c r="AU59" i="1"/>
  <c r="Q90" i="1"/>
  <c r="Q88" i="1"/>
  <c r="S91" i="1"/>
  <c r="G74" i="1"/>
  <c r="G73" i="1"/>
  <c r="G33" i="1"/>
  <c r="K137" i="1"/>
  <c r="K49" i="1"/>
  <c r="K141" i="1" s="1"/>
  <c r="K48" i="1"/>
  <c r="V85" i="1"/>
  <c r="AA84" i="1"/>
  <c r="AF81" i="1"/>
  <c r="F139" i="1"/>
  <c r="F39" i="1"/>
  <c r="F143" i="1" s="1"/>
  <c r="F38" i="1"/>
  <c r="F54" i="1"/>
  <c r="F55" i="1" s="1"/>
  <c r="F46" i="1"/>
  <c r="R36" i="1"/>
  <c r="R35" i="1"/>
  <c r="H91" i="1"/>
  <c r="L88" i="1"/>
  <c r="H93" i="1"/>
  <c r="L90" i="1"/>
  <c r="Q92" i="1"/>
  <c r="Q116" i="1"/>
  <c r="Q35" i="1"/>
  <c r="Q36" i="1"/>
  <c r="F52" i="2" s="1"/>
  <c r="L36" i="1" l="1"/>
  <c r="E52" i="2" s="1"/>
  <c r="L116" i="1"/>
  <c r="H49" i="11"/>
  <c r="H52" i="11"/>
  <c r="H60" i="11"/>
  <c r="O114" i="41"/>
  <c r="AB151" i="41"/>
  <c r="AB153" i="41" s="1"/>
  <c r="Z128" i="41"/>
  <c r="Z129" i="41"/>
  <c r="AB129" i="41"/>
  <c r="AB128" i="41"/>
  <c r="S105" i="41"/>
  <c r="S54" i="1"/>
  <c r="S55" i="1" s="1"/>
  <c r="Q85" i="1"/>
  <c r="S39" i="1"/>
  <c r="S143" i="1" s="1"/>
  <c r="S139" i="1"/>
  <c r="X63" i="41"/>
  <c r="Z87" i="41" s="1"/>
  <c r="R44" i="41"/>
  <c r="S114" i="41"/>
  <c r="C408" i="41"/>
  <c r="C409" i="41"/>
  <c r="D408" i="41"/>
  <c r="D409" i="41"/>
  <c r="C376" i="41"/>
  <c r="C377" i="41"/>
  <c r="P114" i="41"/>
  <c r="L113" i="41"/>
  <c r="L116" i="41" s="1"/>
  <c r="M113" i="41"/>
  <c r="M116" i="41" s="1"/>
  <c r="K113" i="41"/>
  <c r="K116" i="41" s="1"/>
  <c r="J113" i="41"/>
  <c r="J116" i="41" s="1"/>
  <c r="D406" i="41"/>
  <c r="O44" i="41"/>
  <c r="T65" i="41"/>
  <c r="T89" i="41" s="1"/>
  <c r="T92" i="41" s="1"/>
  <c r="T113" i="41"/>
  <c r="T114" i="41" s="1"/>
  <c r="U41" i="41"/>
  <c r="U113" i="41" s="1"/>
  <c r="X135" i="41"/>
  <c r="Y159" i="41"/>
  <c r="P44" i="41"/>
  <c r="W316" i="41"/>
  <c r="X316" i="41" s="1"/>
  <c r="Y316" i="41" s="1"/>
  <c r="Z316" i="41" s="1"/>
  <c r="AA316" i="41" s="1"/>
  <c r="AB316" i="41" s="1"/>
  <c r="V342" i="41"/>
  <c r="W342" i="41" s="1"/>
  <c r="X342" i="41" s="1"/>
  <c r="Y342" i="41" s="1"/>
  <c r="Z342" i="41" s="1"/>
  <c r="AA342" i="41" s="1"/>
  <c r="AB342" i="41" s="1"/>
  <c r="T68" i="41"/>
  <c r="I201" i="41"/>
  <c r="I407" i="41" s="1"/>
  <c r="I202" i="41"/>
  <c r="I24" i="41"/>
  <c r="I25" i="41"/>
  <c r="L93" i="1"/>
  <c r="AE32" i="1"/>
  <c r="T44" i="41"/>
  <c r="L91" i="1"/>
  <c r="C18" i="41"/>
  <c r="C19" i="41"/>
  <c r="L83" i="1"/>
  <c r="D358" i="41"/>
  <c r="X30" i="41"/>
  <c r="AB54" i="41" s="1"/>
  <c r="N47" i="11"/>
  <c r="V132" i="1"/>
  <c r="F33" i="11"/>
  <c r="F35" i="11" s="1"/>
  <c r="H71" i="11"/>
  <c r="H58" i="11"/>
  <c r="H59" i="11"/>
  <c r="E40" i="11"/>
  <c r="F36" i="11"/>
  <c r="E42" i="11"/>
  <c r="G78" i="11"/>
  <c r="M56" i="11"/>
  <c r="G39" i="2"/>
  <c r="G41" i="2" s="1"/>
  <c r="J53" i="11"/>
  <c r="J55" i="11"/>
  <c r="J34" i="2"/>
  <c r="I90" i="2"/>
  <c r="J187" i="41"/>
  <c r="J191" i="41" s="1"/>
  <c r="J186" i="41"/>
  <c r="J190" i="41" s="1"/>
  <c r="R182" i="41"/>
  <c r="R184" i="41" s="1"/>
  <c r="P182" i="41"/>
  <c r="P184" i="41" s="1"/>
  <c r="S184" i="41"/>
  <c r="Q182" i="41"/>
  <c r="Q184" i="41" s="1"/>
  <c r="O182" i="41"/>
  <c r="O184" i="41" s="1"/>
  <c r="T182" i="41"/>
  <c r="M187" i="41"/>
  <c r="M191" i="41" s="1"/>
  <c r="M186" i="41"/>
  <c r="M190" i="41" s="1"/>
  <c r="E201" i="41"/>
  <c r="E199" i="41"/>
  <c r="E188" i="41"/>
  <c r="E192" i="41" s="1"/>
  <c r="E193" i="41" s="1"/>
  <c r="J288" i="41"/>
  <c r="K289" i="41" s="1"/>
  <c r="T218" i="41"/>
  <c r="R218" i="41"/>
  <c r="R221" i="41" s="1"/>
  <c r="P218" i="41"/>
  <c r="P221" i="41" s="1"/>
  <c r="S221" i="41"/>
  <c r="Q218" i="41"/>
  <c r="Q221" i="41" s="1"/>
  <c r="O218" i="41"/>
  <c r="O221" i="41" s="1"/>
  <c r="H24" i="41"/>
  <c r="H22" i="41"/>
  <c r="H37" i="41" s="1"/>
  <c r="H11" i="41"/>
  <c r="H15" i="41" s="1"/>
  <c r="H16" i="41" s="1"/>
  <c r="G24" i="41"/>
  <c r="G22" i="41"/>
  <c r="G11" i="41"/>
  <c r="G15" i="41" s="1"/>
  <c r="G16" i="41" s="1"/>
  <c r="Y301" i="41"/>
  <c r="Y249" i="41"/>
  <c r="Y275" i="41" s="1"/>
  <c r="Z225" i="41"/>
  <c r="H201" i="41"/>
  <c r="H199" i="41"/>
  <c r="H214" i="41" s="1"/>
  <c r="H188" i="41"/>
  <c r="H192" i="41" s="1"/>
  <c r="H193" i="41" s="1"/>
  <c r="G201" i="41"/>
  <c r="G199" i="41"/>
  <c r="G188" i="41"/>
  <c r="G192" i="41" s="1"/>
  <c r="G200" i="41" s="1"/>
  <c r="D374" i="41"/>
  <c r="D122" i="41"/>
  <c r="Y300" i="41"/>
  <c r="Y324" i="41" s="1"/>
  <c r="Z224" i="41"/>
  <c r="Y248" i="41"/>
  <c r="N294" i="41"/>
  <c r="I297" i="41"/>
  <c r="I303" i="41" s="1"/>
  <c r="M118" i="41"/>
  <c r="N118" i="41" s="1"/>
  <c r="O46" i="41"/>
  <c r="V103" i="41"/>
  <c r="U105" i="41"/>
  <c r="Q33" i="41"/>
  <c r="F24" i="41"/>
  <c r="F22" i="41"/>
  <c r="F11" i="41"/>
  <c r="F15" i="41" s="1"/>
  <c r="F16" i="41" s="1"/>
  <c r="L10" i="41"/>
  <c r="L14" i="41" s="1"/>
  <c r="L9" i="41"/>
  <c r="L13" i="41" s="1"/>
  <c r="K10" i="41"/>
  <c r="K14" i="41" s="1"/>
  <c r="K9" i="41"/>
  <c r="K13" i="41" s="1"/>
  <c r="N10" i="41"/>
  <c r="N14" i="41" s="1"/>
  <c r="N9" i="41"/>
  <c r="N13" i="41" s="1"/>
  <c r="V119" i="41"/>
  <c r="V143" i="41" s="1"/>
  <c r="V167" i="41" s="1"/>
  <c r="V71" i="41"/>
  <c r="V95" i="41" s="1"/>
  <c r="W47" i="41"/>
  <c r="D19" i="41"/>
  <c r="D20" i="41"/>
  <c r="D18" i="41"/>
  <c r="F201" i="41"/>
  <c r="F199" i="41"/>
  <c r="F188" i="41"/>
  <c r="F192" i="41" s="1"/>
  <c r="F203" i="41" s="1"/>
  <c r="L187" i="41"/>
  <c r="L191" i="41" s="1"/>
  <c r="L186" i="41"/>
  <c r="L190" i="41" s="1"/>
  <c r="K187" i="41"/>
  <c r="K191" i="41" s="1"/>
  <c r="K186" i="41"/>
  <c r="K190" i="41" s="1"/>
  <c r="N187" i="41"/>
  <c r="N191" i="41" s="1"/>
  <c r="N186" i="41"/>
  <c r="N190" i="41" s="1"/>
  <c r="T120" i="41"/>
  <c r="T144" i="41" s="1"/>
  <c r="U48" i="41"/>
  <c r="I375" i="41"/>
  <c r="I22" i="41"/>
  <c r="I373" i="41" s="1"/>
  <c r="I11" i="41"/>
  <c r="I15" i="41" s="1"/>
  <c r="I23" i="41" s="1"/>
  <c r="I374" i="41" s="1"/>
  <c r="X325" i="41"/>
  <c r="X351" i="41" s="1"/>
  <c r="I199" i="41"/>
  <c r="I405" i="41" s="1"/>
  <c r="I188" i="41"/>
  <c r="I192" i="41" s="1"/>
  <c r="I200" i="41" s="1"/>
  <c r="V372" i="41"/>
  <c r="V404" i="41" s="1"/>
  <c r="W4" i="41"/>
  <c r="S116" i="41"/>
  <c r="R116" i="41"/>
  <c r="P116" i="41"/>
  <c r="Q116" i="41"/>
  <c r="O116" i="41"/>
  <c r="Y63" i="41"/>
  <c r="AA87" i="41" s="1"/>
  <c r="J10" i="41"/>
  <c r="J14" i="41" s="1"/>
  <c r="J9" i="41"/>
  <c r="J13" i="41" s="1"/>
  <c r="R5" i="41"/>
  <c r="R7" i="41" s="1"/>
  <c r="P5" i="41"/>
  <c r="P7" i="41" s="1"/>
  <c r="S7" i="41"/>
  <c r="Q5" i="41"/>
  <c r="Q7" i="41" s="1"/>
  <c r="O5" i="41"/>
  <c r="O7" i="41" s="1"/>
  <c r="T5" i="41"/>
  <c r="M10" i="41"/>
  <c r="M14" i="41" s="1"/>
  <c r="M9" i="41"/>
  <c r="M13" i="41" s="1"/>
  <c r="E24" i="41"/>
  <c r="E22" i="41"/>
  <c r="E11" i="41"/>
  <c r="E15" i="41" s="1"/>
  <c r="E23" i="41" s="1"/>
  <c r="U44" i="41"/>
  <c r="R139" i="1"/>
  <c r="R39" i="1"/>
  <c r="R143" i="1" s="1"/>
  <c r="R54" i="1"/>
  <c r="R55" i="1" s="1"/>
  <c r="R38" i="1"/>
  <c r="R46" i="1"/>
  <c r="AK81" i="1"/>
  <c r="AF20" i="1"/>
  <c r="AF22" i="1" s="1"/>
  <c r="Q93" i="1"/>
  <c r="AP51" i="1"/>
  <c r="AP44" i="1"/>
  <c r="AA83" i="1"/>
  <c r="AF80" i="1"/>
  <c r="U49" i="1"/>
  <c r="U48" i="1"/>
  <c r="S137" i="1"/>
  <c r="S49" i="1"/>
  <c r="S141" i="1" s="1"/>
  <c r="S48" i="1"/>
  <c r="W49" i="1"/>
  <c r="W48" i="1"/>
  <c r="V116" i="1"/>
  <c r="V36" i="1"/>
  <c r="V35" i="1"/>
  <c r="L54" i="1"/>
  <c r="L55" i="1" s="1"/>
  <c r="AP105" i="1"/>
  <c r="AP107" i="1" s="1"/>
  <c r="AP111" i="1" s="1"/>
  <c r="T91" i="1"/>
  <c r="V88" i="1"/>
  <c r="V91" i="1" s="1"/>
  <c r="AA85" i="1"/>
  <c r="AF82" i="1"/>
  <c r="Q139" i="1"/>
  <c r="Q54" i="1"/>
  <c r="Q55" i="1" s="1"/>
  <c r="Q46" i="1"/>
  <c r="Q38" i="1"/>
  <c r="Q39" i="1"/>
  <c r="Q143" i="1" s="1"/>
  <c r="F137" i="1"/>
  <c r="F48" i="1"/>
  <c r="F49" i="1"/>
  <c r="F141" i="1" s="1"/>
  <c r="G116" i="1"/>
  <c r="G117" i="1" s="1"/>
  <c r="G35" i="1"/>
  <c r="G36" i="1"/>
  <c r="D52" i="2" s="1"/>
  <c r="Q91" i="1"/>
  <c r="AU60" i="1"/>
  <c r="K9" i="11" s="1"/>
  <c r="AZ59" i="1"/>
  <c r="T54" i="1"/>
  <c r="T55" i="1" s="1"/>
  <c r="T39" i="1"/>
  <c r="T46" i="1"/>
  <c r="T38" i="1"/>
  <c r="D137" i="1"/>
  <c r="D48" i="1"/>
  <c r="D49" i="1"/>
  <c r="D141" i="1" s="1"/>
  <c r="F7" i="42"/>
  <c r="T93" i="1"/>
  <c r="V90" i="1"/>
  <c r="V93" i="1" s="1"/>
  <c r="AA89" i="1"/>
  <c r="AF114" i="1"/>
  <c r="L38" i="1" l="1"/>
  <c r="L139" i="1"/>
  <c r="L46" i="1"/>
  <c r="L39" i="1"/>
  <c r="L143" i="1" s="1"/>
  <c r="I48" i="11"/>
  <c r="I60" i="11" s="1"/>
  <c r="H200" i="41"/>
  <c r="V41" i="41"/>
  <c r="V113" i="41" s="1"/>
  <c r="V114" i="41" s="1"/>
  <c r="U65" i="41"/>
  <c r="U68" i="41" s="1"/>
  <c r="U114" i="41"/>
  <c r="T137" i="41"/>
  <c r="N114" i="41"/>
  <c r="Z159" i="41"/>
  <c r="Y135" i="41"/>
  <c r="I27" i="41"/>
  <c r="I204" i="41"/>
  <c r="I203" i="41"/>
  <c r="I409" i="41" s="1"/>
  <c r="M24" i="41"/>
  <c r="M25" i="41"/>
  <c r="J25" i="41"/>
  <c r="J24" i="41"/>
  <c r="K24" i="41"/>
  <c r="K25" i="41"/>
  <c r="M201" i="41"/>
  <c r="M202" i="41"/>
  <c r="J201" i="41"/>
  <c r="J202" i="41"/>
  <c r="I26" i="41"/>
  <c r="I377" i="41" s="1"/>
  <c r="K201" i="41"/>
  <c r="K202" i="41"/>
  <c r="L24" i="41"/>
  <c r="L25" i="41"/>
  <c r="N25" i="41"/>
  <c r="N377" i="41" s="1"/>
  <c r="N24" i="41"/>
  <c r="N375" i="41" s="1"/>
  <c r="T140" i="41"/>
  <c r="T161" i="41"/>
  <c r="N201" i="41"/>
  <c r="N407" i="41" s="1"/>
  <c r="N202" i="41"/>
  <c r="N409" i="41" s="1"/>
  <c r="L201" i="41"/>
  <c r="L202" i="41"/>
  <c r="T168" i="41"/>
  <c r="G203" i="41"/>
  <c r="H26" i="41"/>
  <c r="H23" i="41"/>
  <c r="H109" i="41" s="1"/>
  <c r="I109" i="41" s="1"/>
  <c r="I105" i="41" s="1"/>
  <c r="G26" i="41"/>
  <c r="AD22" i="1"/>
  <c r="AC22" i="1"/>
  <c r="F23" i="41"/>
  <c r="G23" i="41"/>
  <c r="E200" i="41"/>
  <c r="E203" i="41"/>
  <c r="F26" i="41"/>
  <c r="H203" i="41"/>
  <c r="F193" i="41"/>
  <c r="F196" i="41" s="1"/>
  <c r="G193" i="41"/>
  <c r="G195" i="41" s="1"/>
  <c r="I16" i="41"/>
  <c r="I20" i="41" s="1"/>
  <c r="Y30" i="41"/>
  <c r="Z30" i="41" s="1"/>
  <c r="AA30" i="41" s="1"/>
  <c r="AB30" i="41" s="1"/>
  <c r="K55" i="11"/>
  <c r="K53" i="11"/>
  <c r="H78" i="11"/>
  <c r="I36" i="2" s="1"/>
  <c r="H31" i="11"/>
  <c r="N56" i="11"/>
  <c r="AA132" i="1"/>
  <c r="G33" i="11"/>
  <c r="F38" i="11"/>
  <c r="O47" i="11"/>
  <c r="J90" i="2"/>
  <c r="K34" i="2"/>
  <c r="I406" i="41"/>
  <c r="I286" i="41"/>
  <c r="K288" i="41"/>
  <c r="L289" i="41" s="1"/>
  <c r="F19" i="41"/>
  <c r="F20" i="41"/>
  <c r="F18" i="41"/>
  <c r="E196" i="41"/>
  <c r="E197" i="41"/>
  <c r="E195" i="41"/>
  <c r="M22" i="41"/>
  <c r="M37" i="41" s="1"/>
  <c r="M11" i="41"/>
  <c r="M15" i="41" s="1"/>
  <c r="M16" i="41" s="1"/>
  <c r="O10" i="41"/>
  <c r="O14" i="41" s="1"/>
  <c r="O9" i="41"/>
  <c r="O13" i="41" s="1"/>
  <c r="S10" i="41"/>
  <c r="S14" i="41" s="1"/>
  <c r="S9" i="41"/>
  <c r="S13" i="41" s="1"/>
  <c r="R10" i="41"/>
  <c r="R14" i="41" s="1"/>
  <c r="R9" i="41"/>
  <c r="R13" i="41" s="1"/>
  <c r="Z63" i="41"/>
  <c r="AB87" i="41" s="1"/>
  <c r="W372" i="41"/>
  <c r="W404" i="41" s="1"/>
  <c r="X4" i="41"/>
  <c r="U120" i="41"/>
  <c r="U144" i="41" s="1"/>
  <c r="U72" i="41"/>
  <c r="U96" i="41" s="1"/>
  <c r="V48" i="41"/>
  <c r="N199" i="41"/>
  <c r="N405" i="41" s="1"/>
  <c r="N188" i="41"/>
  <c r="N192" i="41" s="1"/>
  <c r="N193" i="41" s="1"/>
  <c r="L199" i="41"/>
  <c r="L214" i="41" s="1"/>
  <c r="L188" i="41"/>
  <c r="L192" i="41" s="1"/>
  <c r="L193" i="41" s="1"/>
  <c r="X47" i="41"/>
  <c r="W119" i="41"/>
  <c r="W143" i="41" s="1"/>
  <c r="W167" i="41" s="1"/>
  <c r="W71" i="41"/>
  <c r="W95" i="41" s="1"/>
  <c r="E26" i="41"/>
  <c r="K22" i="41"/>
  <c r="K37" i="41" s="1"/>
  <c r="K11" i="41"/>
  <c r="K15" i="41" s="1"/>
  <c r="K16" i="41" s="1"/>
  <c r="W103" i="41"/>
  <c r="V105" i="41"/>
  <c r="P46" i="41"/>
  <c r="O118" i="41"/>
  <c r="I415" i="41"/>
  <c r="H196" i="41"/>
  <c r="H197" i="41"/>
  <c r="H195" i="41"/>
  <c r="Z301" i="41"/>
  <c r="Z249" i="41"/>
  <c r="Z275" i="41" s="1"/>
  <c r="AA225" i="41"/>
  <c r="Y325" i="41"/>
  <c r="Y351" i="41" s="1"/>
  <c r="G19" i="41"/>
  <c r="G20" i="41"/>
  <c r="G18" i="41"/>
  <c r="I376" i="41"/>
  <c r="H19" i="41"/>
  <c r="H20" i="41"/>
  <c r="H18" i="41"/>
  <c r="M199" i="41"/>
  <c r="M214" i="41" s="1"/>
  <c r="M188" i="41"/>
  <c r="M192" i="41" s="1"/>
  <c r="M193" i="41" s="1"/>
  <c r="O187" i="41"/>
  <c r="O191" i="41" s="1"/>
  <c r="O186" i="41"/>
  <c r="O190" i="41" s="1"/>
  <c r="S187" i="41"/>
  <c r="S191" i="41" s="1"/>
  <c r="S186" i="41"/>
  <c r="S190" i="41" s="1"/>
  <c r="R187" i="41"/>
  <c r="R191" i="41" s="1"/>
  <c r="R186" i="41"/>
  <c r="R190" i="41" s="1"/>
  <c r="F200" i="41"/>
  <c r="V65" i="41"/>
  <c r="V89" i="41" s="1"/>
  <c r="V92" i="41" s="1"/>
  <c r="E16" i="41"/>
  <c r="T7" i="41"/>
  <c r="U5" i="41"/>
  <c r="Q10" i="41"/>
  <c r="Q14" i="41" s="1"/>
  <c r="Q9" i="41"/>
  <c r="Q13" i="41" s="1"/>
  <c r="P10" i="41"/>
  <c r="P14" i="41" s="1"/>
  <c r="P9" i="41"/>
  <c r="P13" i="41" s="1"/>
  <c r="J22" i="41"/>
  <c r="J37" i="41" s="1"/>
  <c r="J11" i="41"/>
  <c r="J15" i="41" s="1"/>
  <c r="J23" i="41" s="1"/>
  <c r="J109" i="41" s="1"/>
  <c r="T116" i="41"/>
  <c r="U137" i="41"/>
  <c r="U161" i="41" s="1"/>
  <c r="I193" i="41"/>
  <c r="K199" i="41"/>
  <c r="K214" i="41" s="1"/>
  <c r="K188" i="41"/>
  <c r="K192" i="41" s="1"/>
  <c r="K200" i="41" s="1"/>
  <c r="N22" i="41"/>
  <c r="N373" i="41" s="1"/>
  <c r="N11" i="41"/>
  <c r="N15" i="41" s="1"/>
  <c r="N26" i="41" s="1"/>
  <c r="N376" i="41" s="1"/>
  <c r="L22" i="41"/>
  <c r="L37" i="41" s="1"/>
  <c r="L11" i="41"/>
  <c r="L15" i="41" s="1"/>
  <c r="L26" i="41" s="1"/>
  <c r="S31" i="41"/>
  <c r="R33" i="41"/>
  <c r="S33" i="41" s="1"/>
  <c r="N297" i="41"/>
  <c r="L294" i="41"/>
  <c r="L297" i="41" s="1"/>
  <c r="J294" i="41"/>
  <c r="J297" i="41" s="1"/>
  <c r="J303" i="41" s="1"/>
  <c r="J415" i="41" s="1"/>
  <c r="S294" i="41"/>
  <c r="M294" i="41"/>
  <c r="M297" i="41" s="1"/>
  <c r="K294" i="41"/>
  <c r="K297" i="41" s="1"/>
  <c r="Z300" i="41"/>
  <c r="Z324" i="41" s="1"/>
  <c r="Z248" i="41"/>
  <c r="AA224" i="41"/>
  <c r="D383" i="41"/>
  <c r="D173" i="41"/>
  <c r="D369" i="41" s="1"/>
  <c r="I214" i="41"/>
  <c r="I210" i="41" s="1"/>
  <c r="H212" i="41"/>
  <c r="H213" i="41" s="1"/>
  <c r="I213" i="41" s="1"/>
  <c r="I37" i="41"/>
  <c r="I33" i="41" s="1"/>
  <c r="H35" i="41"/>
  <c r="H36" i="41" s="1"/>
  <c r="I36" i="41" s="1"/>
  <c r="T221" i="41"/>
  <c r="U218" i="41"/>
  <c r="T184" i="41"/>
  <c r="U182" i="41"/>
  <c r="Q187" i="41"/>
  <c r="Q191" i="41" s="1"/>
  <c r="Q186" i="41"/>
  <c r="Q190" i="41" s="1"/>
  <c r="P187" i="41"/>
  <c r="P191" i="41" s="1"/>
  <c r="P186" i="41"/>
  <c r="P190" i="41" s="1"/>
  <c r="J199" i="41"/>
  <c r="J214" i="41" s="1"/>
  <c r="J188" i="41"/>
  <c r="J192" i="41" s="1"/>
  <c r="J204" i="41" s="1"/>
  <c r="AK114" i="1"/>
  <c r="AA24" i="1"/>
  <c r="AA25" i="1"/>
  <c r="AA90" i="1"/>
  <c r="T48" i="1"/>
  <c r="T49" i="1"/>
  <c r="AU51" i="1"/>
  <c r="AU44" i="1"/>
  <c r="V39" i="1"/>
  <c r="V38" i="1"/>
  <c r="V54" i="1"/>
  <c r="V55" i="1" s="1"/>
  <c r="V46" i="1"/>
  <c r="AP81" i="1"/>
  <c r="AK20" i="1"/>
  <c r="AK22" i="1" s="1"/>
  <c r="AF89" i="1"/>
  <c r="AA92" i="1"/>
  <c r="AZ60" i="1"/>
  <c r="L9" i="11" s="1"/>
  <c r="BE59" i="1"/>
  <c r="G139" i="1"/>
  <c r="G54" i="1"/>
  <c r="G55" i="1" s="1"/>
  <c r="G46" i="1"/>
  <c r="G38" i="1"/>
  <c r="G39" i="1"/>
  <c r="G143" i="1" s="1"/>
  <c r="G120" i="1"/>
  <c r="G119" i="1"/>
  <c r="G121" i="1" s="1"/>
  <c r="L115" i="1"/>
  <c r="L117" i="1" s="1"/>
  <c r="Q137" i="1"/>
  <c r="Q49" i="1"/>
  <c r="Q141" i="1" s="1"/>
  <c r="Q48" i="1"/>
  <c r="AF21" i="1"/>
  <c r="AK82" i="1"/>
  <c r="AA23" i="1"/>
  <c r="AA88" i="1"/>
  <c r="AU105" i="1"/>
  <c r="AU107" i="1" s="1"/>
  <c r="AU111" i="1" s="1"/>
  <c r="L137" i="1"/>
  <c r="L48" i="1"/>
  <c r="L49" i="1"/>
  <c r="L141" i="1" s="1"/>
  <c r="AK80" i="1"/>
  <c r="AF19" i="1"/>
  <c r="R137" i="1"/>
  <c r="R48" i="1"/>
  <c r="R49" i="1"/>
  <c r="R141" i="1" s="1"/>
  <c r="I49" i="11" l="1"/>
  <c r="I54" i="11"/>
  <c r="I71" i="11" s="1"/>
  <c r="I52" i="11"/>
  <c r="U89" i="41"/>
  <c r="U92" i="41" s="1"/>
  <c r="W41" i="41"/>
  <c r="W113" i="41" s="1"/>
  <c r="W114" i="41" s="1"/>
  <c r="V44" i="41"/>
  <c r="I408" i="41"/>
  <c r="AA159" i="41"/>
  <c r="Z135" i="41"/>
  <c r="J26" i="41"/>
  <c r="U162" i="41"/>
  <c r="L27" i="41"/>
  <c r="M204" i="41"/>
  <c r="M27" i="41"/>
  <c r="J203" i="41"/>
  <c r="J27" i="41"/>
  <c r="N204" i="41"/>
  <c r="N410" i="41" s="1"/>
  <c r="M26" i="41"/>
  <c r="R201" i="41"/>
  <c r="R407" i="41" s="1"/>
  <c r="R202" i="41"/>
  <c r="R409" i="41" s="1"/>
  <c r="O201" i="41"/>
  <c r="O407" i="41" s="1"/>
  <c r="O202" i="41"/>
  <c r="O409" i="41" s="1"/>
  <c r="K26" i="41"/>
  <c r="N203" i="41"/>
  <c r="N408" i="41" s="1"/>
  <c r="P24" i="41"/>
  <c r="P375" i="41" s="1"/>
  <c r="P25" i="41"/>
  <c r="P377" i="41" s="1"/>
  <c r="R25" i="41"/>
  <c r="R377" i="41" s="1"/>
  <c r="R24" i="41"/>
  <c r="R375" i="41" s="1"/>
  <c r="K204" i="41"/>
  <c r="M203" i="41"/>
  <c r="L204" i="41"/>
  <c r="P201" i="41"/>
  <c r="P407" i="41" s="1"/>
  <c r="P202" i="41"/>
  <c r="P409" i="41" s="1"/>
  <c r="O24" i="41"/>
  <c r="O375" i="41" s="1"/>
  <c r="O25" i="41"/>
  <c r="O377" i="41" s="1"/>
  <c r="N27" i="41"/>
  <c r="N378" i="41" s="1"/>
  <c r="S202" i="41"/>
  <c r="S409" i="41" s="1"/>
  <c r="S201" i="41"/>
  <c r="S407" i="41" s="1"/>
  <c r="Q201" i="41"/>
  <c r="Q407" i="41" s="1"/>
  <c r="Q202" i="41"/>
  <c r="Q409" i="41" s="1"/>
  <c r="M200" i="41"/>
  <c r="H107" i="41"/>
  <c r="H108" i="41" s="1"/>
  <c r="I108" i="41" s="1"/>
  <c r="Q24" i="41"/>
  <c r="Q375" i="41" s="1"/>
  <c r="Q25" i="41"/>
  <c r="Q377" i="41" s="1"/>
  <c r="S24" i="41"/>
  <c r="S375" i="41" s="1"/>
  <c r="S25" i="41"/>
  <c r="S377" i="41" s="1"/>
  <c r="K203" i="41"/>
  <c r="K27" i="41"/>
  <c r="L203" i="41"/>
  <c r="U168" i="41"/>
  <c r="U138" i="41"/>
  <c r="U140" i="41"/>
  <c r="F197" i="41"/>
  <c r="AE22" i="1"/>
  <c r="N200" i="41"/>
  <c r="N406" i="41" s="1"/>
  <c r="F195" i="41"/>
  <c r="G197" i="41"/>
  <c r="M23" i="41"/>
  <c r="M109" i="41" s="1"/>
  <c r="G196" i="41"/>
  <c r="I18" i="41"/>
  <c r="K23" i="41"/>
  <c r="K109" i="41" s="1"/>
  <c r="I19" i="41"/>
  <c r="L200" i="41"/>
  <c r="K303" i="41"/>
  <c r="K415" i="41" s="1"/>
  <c r="N16" i="41"/>
  <c r="N18" i="41" s="1"/>
  <c r="L16" i="41"/>
  <c r="L19" i="41" s="1"/>
  <c r="K193" i="41"/>
  <c r="K195" i="41" s="1"/>
  <c r="W57" i="41"/>
  <c r="F40" i="11"/>
  <c r="G36" i="11"/>
  <c r="O56" i="11"/>
  <c r="AF132" i="1"/>
  <c r="H33" i="11"/>
  <c r="L53" i="11"/>
  <c r="L55" i="11"/>
  <c r="L34" i="2"/>
  <c r="K90" i="2"/>
  <c r="M196" i="41"/>
  <c r="M197" i="41"/>
  <c r="M195" i="41"/>
  <c r="N196" i="41"/>
  <c r="N197" i="41"/>
  <c r="N195" i="41"/>
  <c r="L196" i="41"/>
  <c r="L197" i="41"/>
  <c r="L195" i="41"/>
  <c r="J193" i="41"/>
  <c r="Q199" i="41"/>
  <c r="Q214" i="41" s="1"/>
  <c r="Q188" i="41"/>
  <c r="Q192" i="41" s="1"/>
  <c r="Q193" i="41" s="1"/>
  <c r="T187" i="41"/>
  <c r="T191" i="41" s="1"/>
  <c r="T186" i="41"/>
  <c r="T190" i="41" s="1"/>
  <c r="AA300" i="41"/>
  <c r="AA324" i="41" s="1"/>
  <c r="AB224" i="41"/>
  <c r="AA248" i="41"/>
  <c r="I196" i="41"/>
  <c r="I197" i="41"/>
  <c r="I195" i="41"/>
  <c r="J16" i="41"/>
  <c r="Q22" i="41"/>
  <c r="Q37" i="41" s="1"/>
  <c r="Q11" i="41"/>
  <c r="Q15" i="41" s="1"/>
  <c r="Q16" i="41" s="1"/>
  <c r="T10" i="41"/>
  <c r="T14" i="41" s="1"/>
  <c r="T9" i="41"/>
  <c r="T13" i="41" s="1"/>
  <c r="W65" i="41"/>
  <c r="W89" i="41" s="1"/>
  <c r="W44" i="41"/>
  <c r="X41" i="41"/>
  <c r="X113" i="41" s="1"/>
  <c r="X114" i="41" s="1"/>
  <c r="V66" i="41"/>
  <c r="V68" i="41"/>
  <c r="J200" i="41"/>
  <c r="R199" i="41"/>
  <c r="R214" i="41" s="1"/>
  <c r="R188" i="41"/>
  <c r="R192" i="41" s="1"/>
  <c r="R193" i="41" s="1"/>
  <c r="O199" i="41"/>
  <c r="O214" i="41" s="1"/>
  <c r="O188" i="41"/>
  <c r="O192" i="41" s="1"/>
  <c r="O193" i="41" s="1"/>
  <c r="L23" i="41"/>
  <c r="L109" i="41" s="1"/>
  <c r="N23" i="41"/>
  <c r="N374" i="41" s="1"/>
  <c r="S22" i="41"/>
  <c r="S373" i="41" s="1"/>
  <c r="S11" i="41"/>
  <c r="S15" i="41" s="1"/>
  <c r="S16" i="41" s="1"/>
  <c r="N37" i="41"/>
  <c r="P199" i="41"/>
  <c r="P214" i="41" s="1"/>
  <c r="P188" i="41"/>
  <c r="P192" i="41" s="1"/>
  <c r="P200" i="41" s="1"/>
  <c r="P290" i="41" s="1"/>
  <c r="U184" i="41"/>
  <c r="V182" i="41"/>
  <c r="V218" i="41"/>
  <c r="V242" i="41" s="1"/>
  <c r="U221" i="41"/>
  <c r="I35" i="41"/>
  <c r="J36" i="41"/>
  <c r="J35" i="41" s="1"/>
  <c r="J50" i="41" s="1"/>
  <c r="J380" i="41" s="1"/>
  <c r="H50" i="41"/>
  <c r="I212" i="41"/>
  <c r="I227" i="41" s="1"/>
  <c r="J213" i="41"/>
  <c r="J212" i="41" s="1"/>
  <c r="J227" i="41" s="1"/>
  <c r="J412" i="41" s="1"/>
  <c r="J434" i="41" s="1"/>
  <c r="H227" i="41"/>
  <c r="T294" i="41"/>
  <c r="R294" i="41"/>
  <c r="R297" i="41" s="1"/>
  <c r="P294" i="41"/>
  <c r="P297" i="41" s="1"/>
  <c r="S297" i="41"/>
  <c r="Q294" i="41"/>
  <c r="Q297" i="41" s="1"/>
  <c r="O294" i="41"/>
  <c r="O297" i="41" s="1"/>
  <c r="U31" i="41"/>
  <c r="Y57" i="41" s="1"/>
  <c r="T33" i="41"/>
  <c r="U116" i="41"/>
  <c r="P22" i="41"/>
  <c r="P37" i="41" s="1"/>
  <c r="P11" i="41"/>
  <c r="P15" i="41" s="1"/>
  <c r="P23" i="41" s="1"/>
  <c r="P109" i="41" s="1"/>
  <c r="U7" i="41"/>
  <c r="V5" i="41"/>
  <c r="E19" i="41"/>
  <c r="E20" i="41"/>
  <c r="E18" i="41"/>
  <c r="S199" i="41"/>
  <c r="S405" i="41" s="1"/>
  <c r="S188" i="41"/>
  <c r="S192" i="41" s="1"/>
  <c r="S204" i="41" s="1"/>
  <c r="S410" i="41" s="1"/>
  <c r="N214" i="41"/>
  <c r="AA301" i="41"/>
  <c r="AA249" i="41"/>
  <c r="AA275" i="41" s="1"/>
  <c r="AB225" i="41"/>
  <c r="Z325" i="41"/>
  <c r="Z351" i="41" s="1"/>
  <c r="P118" i="41"/>
  <c r="Q46" i="41"/>
  <c r="X103" i="41"/>
  <c r="W105" i="41"/>
  <c r="K19" i="41"/>
  <c r="K20" i="41"/>
  <c r="K18" i="41"/>
  <c r="X119" i="41"/>
  <c r="X143" i="41" s="1"/>
  <c r="X167" i="41" s="1"/>
  <c r="X71" i="41"/>
  <c r="X95" i="41" s="1"/>
  <c r="Y47" i="41"/>
  <c r="V120" i="41"/>
  <c r="V72" i="41"/>
  <c r="V96" i="41" s="1"/>
  <c r="W48" i="41"/>
  <c r="X372" i="41"/>
  <c r="X404" i="41" s="1"/>
  <c r="Y4" i="41"/>
  <c r="AA63" i="41"/>
  <c r="R22" i="41"/>
  <c r="R37" i="41" s="1"/>
  <c r="R11" i="41"/>
  <c r="R15" i="41" s="1"/>
  <c r="R23" i="41" s="1"/>
  <c r="R109" i="41" s="1"/>
  <c r="O22" i="41"/>
  <c r="O37" i="41" s="1"/>
  <c r="O11" i="41"/>
  <c r="O15" i="41" s="1"/>
  <c r="O23" i="41" s="1"/>
  <c r="O109" i="41" s="1"/>
  <c r="M19" i="41"/>
  <c r="M20" i="41"/>
  <c r="M18" i="41"/>
  <c r="L288" i="41"/>
  <c r="L303" i="41" s="1"/>
  <c r="L415" i="41" s="1"/>
  <c r="S47" i="41"/>
  <c r="AP80" i="1"/>
  <c r="AK19" i="1"/>
  <c r="AZ105" i="1"/>
  <c r="AZ107" i="1" s="1"/>
  <c r="AZ111" i="1" s="1"/>
  <c r="AA91" i="1"/>
  <c r="AF88" i="1"/>
  <c r="L119" i="1"/>
  <c r="L121" i="1" s="1"/>
  <c r="L120" i="1"/>
  <c r="Q115" i="1"/>
  <c r="Q117" i="1" s="1"/>
  <c r="BE60" i="1"/>
  <c r="M9" i="11" s="1"/>
  <c r="BJ59" i="1"/>
  <c r="V48" i="1"/>
  <c r="V49" i="1"/>
  <c r="AA93" i="1"/>
  <c r="AF90" i="1"/>
  <c r="AP114" i="1"/>
  <c r="AP82" i="1"/>
  <c r="AK21" i="1"/>
  <c r="G137" i="1"/>
  <c r="G49" i="1"/>
  <c r="G141" i="1" s="1"/>
  <c r="G48" i="1"/>
  <c r="AZ51" i="1"/>
  <c r="AZ44" i="1"/>
  <c r="AK89" i="1"/>
  <c r="AF24" i="1"/>
  <c r="AF26" i="1" s="1"/>
  <c r="AU81" i="1"/>
  <c r="AP20" i="1"/>
  <c r="AP22" i="1" s="1"/>
  <c r="J48" i="11" l="1"/>
  <c r="I78" i="11"/>
  <c r="J36" i="2" s="1"/>
  <c r="I31" i="11"/>
  <c r="I33" i="11" s="1"/>
  <c r="J52" i="11"/>
  <c r="J54" i="11"/>
  <c r="J58" i="11" s="1"/>
  <c r="J49" i="11"/>
  <c r="J60" i="11"/>
  <c r="I58" i="11"/>
  <c r="I59" i="11"/>
  <c r="V90" i="41"/>
  <c r="AC26" i="1"/>
  <c r="AD26" i="1"/>
  <c r="AB26" i="1"/>
  <c r="H122" i="41"/>
  <c r="H383" i="41" s="1"/>
  <c r="I107" i="41"/>
  <c r="L18" i="41"/>
  <c r="V245" i="41"/>
  <c r="V268" i="41"/>
  <c r="V271" i="41" s="1"/>
  <c r="J108" i="41"/>
  <c r="J107" i="41" s="1"/>
  <c r="J122" i="41" s="1"/>
  <c r="J173" i="41" s="1"/>
  <c r="AB159" i="41"/>
  <c r="AA135" i="41"/>
  <c r="AB135" i="41" s="1"/>
  <c r="N19" i="41"/>
  <c r="S26" i="41"/>
  <c r="S376" i="41" s="1"/>
  <c r="T24" i="41"/>
  <c r="T375" i="41" s="1"/>
  <c r="T25" i="41"/>
  <c r="T377" i="41" s="1"/>
  <c r="T201" i="41"/>
  <c r="T407" i="41" s="1"/>
  <c r="T202" i="41"/>
  <c r="T409" i="41" s="1"/>
  <c r="R27" i="41"/>
  <c r="R378" i="41" s="1"/>
  <c r="Q27" i="41"/>
  <c r="Q378" i="41" s="1"/>
  <c r="S203" i="41"/>
  <c r="S408" i="41" s="1"/>
  <c r="O26" i="41"/>
  <c r="O376" i="41" s="1"/>
  <c r="P27" i="41"/>
  <c r="P378" i="41" s="1"/>
  <c r="P204" i="41"/>
  <c r="P410" i="41" s="1"/>
  <c r="O203" i="41"/>
  <c r="O408" i="41" s="1"/>
  <c r="S27" i="41"/>
  <c r="S378" i="41" s="1"/>
  <c r="Q26" i="41"/>
  <c r="Q376" i="41" s="1"/>
  <c r="O27" i="41"/>
  <c r="O378" i="41" s="1"/>
  <c r="P26" i="41"/>
  <c r="P376" i="41" s="1"/>
  <c r="R203" i="41"/>
  <c r="R408" i="41" s="1"/>
  <c r="P203" i="41"/>
  <c r="P408" i="41" s="1"/>
  <c r="O204" i="41"/>
  <c r="O410" i="41" s="1"/>
  <c r="Q204" i="41"/>
  <c r="Q410" i="41" s="1"/>
  <c r="W90" i="41"/>
  <c r="W92" i="41"/>
  <c r="R204" i="41"/>
  <c r="R410" i="41" s="1"/>
  <c r="R26" i="41"/>
  <c r="R376" i="41" s="1"/>
  <c r="Q203" i="41"/>
  <c r="Q408" i="41" s="1"/>
  <c r="S23" i="41"/>
  <c r="S374" i="41" s="1"/>
  <c r="Q23" i="41"/>
  <c r="Q109" i="41" s="1"/>
  <c r="S109" i="41" s="1"/>
  <c r="K197" i="41"/>
  <c r="R200" i="41"/>
  <c r="R290" i="41" s="1"/>
  <c r="Q200" i="41"/>
  <c r="Q290" i="41" s="1"/>
  <c r="K196" i="41"/>
  <c r="O200" i="41"/>
  <c r="O290" i="41" s="1"/>
  <c r="N20" i="41"/>
  <c r="J437" i="41"/>
  <c r="L20" i="41"/>
  <c r="N109" i="41"/>
  <c r="P16" i="41"/>
  <c r="P20" i="41" s="1"/>
  <c r="P193" i="41"/>
  <c r="P196" i="41" s="1"/>
  <c r="M289" i="41"/>
  <c r="M55" i="11"/>
  <c r="M53" i="11"/>
  <c r="AK132" i="1"/>
  <c r="L90" i="2"/>
  <c r="M34" i="2"/>
  <c r="Q19" i="41"/>
  <c r="Q20" i="41"/>
  <c r="Q18" i="41"/>
  <c r="S19" i="41"/>
  <c r="S20" i="41"/>
  <c r="S18" i="41"/>
  <c r="Q196" i="41"/>
  <c r="Q197" i="41"/>
  <c r="Q195" i="41"/>
  <c r="S37" i="41"/>
  <c r="Y372" i="41"/>
  <c r="Y404" i="41" s="1"/>
  <c r="Z4" i="41"/>
  <c r="W120" i="41"/>
  <c r="W72" i="41"/>
  <c r="W96" i="41" s="1"/>
  <c r="X48" i="41"/>
  <c r="O16" i="41"/>
  <c r="R16" i="41"/>
  <c r="Y103" i="41"/>
  <c r="X105" i="41"/>
  <c r="R46" i="41"/>
  <c r="S46" i="41" s="1"/>
  <c r="Q118" i="41"/>
  <c r="AB301" i="41"/>
  <c r="AB249" i="41"/>
  <c r="AB275" i="41" s="1"/>
  <c r="AA325" i="41"/>
  <c r="AA351" i="41" s="1"/>
  <c r="S193" i="41"/>
  <c r="V7" i="41"/>
  <c r="W5" i="41"/>
  <c r="V31" i="41"/>
  <c r="Z55" i="41" s="1"/>
  <c r="Z56" i="41" s="1"/>
  <c r="U33" i="41"/>
  <c r="T297" i="41"/>
  <c r="U294" i="41"/>
  <c r="I412" i="41"/>
  <c r="I358" i="41"/>
  <c r="K36" i="41"/>
  <c r="V184" i="41"/>
  <c r="W182" i="41"/>
  <c r="S200" i="41"/>
  <c r="S406" i="41" s="1"/>
  <c r="S214" i="41"/>
  <c r="T213" i="41" s="1"/>
  <c r="T22" i="41"/>
  <c r="T11" i="41"/>
  <c r="T15" i="41" s="1"/>
  <c r="T16" i="41" s="1"/>
  <c r="T199" i="41"/>
  <c r="T188" i="41"/>
  <c r="T192" i="41" s="1"/>
  <c r="T193" i="41" s="1"/>
  <c r="AB63" i="41"/>
  <c r="V144" i="41"/>
  <c r="Z47" i="41"/>
  <c r="Y119" i="41"/>
  <c r="Y143" i="41" s="1"/>
  <c r="Y167" i="41" s="1"/>
  <c r="Y71" i="41"/>
  <c r="Y95" i="41" s="1"/>
  <c r="U10" i="41"/>
  <c r="U14" i="41" s="1"/>
  <c r="U9" i="41"/>
  <c r="U13" i="41" s="1"/>
  <c r="V137" i="41"/>
  <c r="V161" i="41" s="1"/>
  <c r="V162" i="41" s="1"/>
  <c r="V116" i="41"/>
  <c r="K213" i="41"/>
  <c r="H380" i="41"/>
  <c r="I50" i="41"/>
  <c r="I380" i="41" s="1"/>
  <c r="V221" i="41"/>
  <c r="W218" i="41"/>
  <c r="W242" i="41" s="1"/>
  <c r="U187" i="41"/>
  <c r="U191" i="41" s="1"/>
  <c r="U186" i="41"/>
  <c r="U190" i="41" s="1"/>
  <c r="O196" i="41"/>
  <c r="O197" i="41"/>
  <c r="O195" i="41"/>
  <c r="R196" i="41"/>
  <c r="R197" i="41"/>
  <c r="R195" i="41"/>
  <c r="X65" i="41"/>
  <c r="X89" i="41" s="1"/>
  <c r="X44" i="41"/>
  <c r="Y41" i="41"/>
  <c r="Y113" i="41" s="1"/>
  <c r="Y114" i="41" s="1"/>
  <c r="W66" i="41"/>
  <c r="W68" i="41"/>
  <c r="J19" i="41"/>
  <c r="J20" i="41"/>
  <c r="J18" i="41"/>
  <c r="AB248" i="41"/>
  <c r="AB300" i="41"/>
  <c r="AB324" i="41" s="1"/>
  <c r="J196" i="41"/>
  <c r="J197" i="41"/>
  <c r="J195" i="41"/>
  <c r="AU20" i="1"/>
  <c r="AU22" i="1" s="1"/>
  <c r="AZ81" i="1"/>
  <c r="AP89" i="1"/>
  <c r="AK24" i="1"/>
  <c r="AK26" i="1" s="1"/>
  <c r="AU114" i="1"/>
  <c r="AK90" i="1"/>
  <c r="AF25" i="1"/>
  <c r="BE51" i="1"/>
  <c r="BE44" i="1"/>
  <c r="AK88" i="1"/>
  <c r="AF23" i="1"/>
  <c r="AU82" i="1"/>
  <c r="AP21" i="1"/>
  <c r="BJ60" i="1"/>
  <c r="N9" i="11" s="1"/>
  <c r="BO59" i="1"/>
  <c r="BO60" i="1" s="1"/>
  <c r="O9" i="11" s="1"/>
  <c r="Q120" i="1"/>
  <c r="V115" i="1"/>
  <c r="V117" i="1" s="1"/>
  <c r="Q119" i="1"/>
  <c r="Q121" i="1" s="1"/>
  <c r="BE105" i="1"/>
  <c r="BE107" i="1" s="1"/>
  <c r="BE111" i="1" s="1"/>
  <c r="AU80" i="1"/>
  <c r="AP19" i="1"/>
  <c r="K48" i="11" l="1"/>
  <c r="K60" i="11" s="1"/>
  <c r="K54" i="11"/>
  <c r="K71" i="11" s="1"/>
  <c r="K31" i="11" s="1"/>
  <c r="J71" i="11"/>
  <c r="J59" i="11"/>
  <c r="K49" i="11"/>
  <c r="H173" i="41"/>
  <c r="H369" i="41" s="1"/>
  <c r="I122" i="41"/>
  <c r="I173" i="41" s="1"/>
  <c r="I178" i="41" s="1"/>
  <c r="I369" i="41" s="1"/>
  <c r="W268" i="41"/>
  <c r="W271" i="41" s="1"/>
  <c r="W245" i="41"/>
  <c r="AB79" i="41"/>
  <c r="AB81" i="41" s="1"/>
  <c r="T85" i="41"/>
  <c r="T98" i="41" s="1"/>
  <c r="T392" i="41" s="1"/>
  <c r="T200" i="41"/>
  <c r="T406" i="41" s="1"/>
  <c r="T26" i="41"/>
  <c r="T376" i="41" s="1"/>
  <c r="T204" i="41"/>
  <c r="T410" i="41" s="1"/>
  <c r="T203" i="41"/>
  <c r="T408" i="41" s="1"/>
  <c r="U201" i="41"/>
  <c r="U407" i="41" s="1"/>
  <c r="U202" i="41"/>
  <c r="U409" i="41" s="1"/>
  <c r="X90" i="41"/>
  <c r="X92" i="41"/>
  <c r="U24" i="41"/>
  <c r="U375" i="41" s="1"/>
  <c r="U25" i="41"/>
  <c r="U377" i="41" s="1"/>
  <c r="T27" i="41"/>
  <c r="V168" i="41"/>
  <c r="V140" i="41"/>
  <c r="V138" i="41"/>
  <c r="T61" i="41"/>
  <c r="T74" i="41" s="1"/>
  <c r="S290" i="41"/>
  <c r="T289" i="41" s="1"/>
  <c r="AE26" i="1"/>
  <c r="P19" i="41"/>
  <c r="T23" i="41"/>
  <c r="T109" i="41" s="1"/>
  <c r="T122" i="41" s="1"/>
  <c r="P195" i="41"/>
  <c r="P197" i="41"/>
  <c r="P18" i="41"/>
  <c r="Z57" i="41"/>
  <c r="W31" i="41"/>
  <c r="AA55" i="41" s="1"/>
  <c r="AA56" i="41" s="1"/>
  <c r="M288" i="41"/>
  <c r="N288" i="41" s="1"/>
  <c r="N289" i="41"/>
  <c r="I434" i="41"/>
  <c r="N53" i="11"/>
  <c r="N55" i="11"/>
  <c r="M90" i="2"/>
  <c r="N34" i="2"/>
  <c r="T196" i="41"/>
  <c r="T197" i="41"/>
  <c r="T195" i="41"/>
  <c r="U199" i="41"/>
  <c r="U188" i="41"/>
  <c r="U192" i="41" s="1"/>
  <c r="U193" i="41" s="1"/>
  <c r="H398" i="41"/>
  <c r="H446" i="41" s="1"/>
  <c r="K108" i="41"/>
  <c r="W137" i="41"/>
  <c r="W161" i="41" s="1"/>
  <c r="W162" i="41" s="1"/>
  <c r="W116" i="41"/>
  <c r="U22" i="41"/>
  <c r="U11" i="41"/>
  <c r="U15" i="41" s="1"/>
  <c r="Z119" i="41"/>
  <c r="Z143" i="41" s="1"/>
  <c r="Z167" i="41" s="1"/>
  <c r="Z71" i="41"/>
  <c r="Z95" i="41" s="1"/>
  <c r="AA47" i="41"/>
  <c r="T373" i="41"/>
  <c r="T37" i="41"/>
  <c r="T50" i="41" s="1"/>
  <c r="V187" i="41"/>
  <c r="V191" i="41" s="1"/>
  <c r="V186" i="41"/>
  <c r="V190" i="41" s="1"/>
  <c r="K35" i="41"/>
  <c r="K50" i="41" s="1"/>
  <c r="K380" i="41" s="1"/>
  <c r="V33" i="41"/>
  <c r="W7" i="41"/>
  <c r="X5" i="41"/>
  <c r="S196" i="41"/>
  <c r="S197" i="41"/>
  <c r="S195" i="41"/>
  <c r="R118" i="41"/>
  <c r="Z103" i="41"/>
  <c r="Y105" i="41"/>
  <c r="R19" i="41"/>
  <c r="R20" i="41"/>
  <c r="R18" i="41"/>
  <c r="X120" i="41"/>
  <c r="X72" i="41"/>
  <c r="X96" i="41" s="1"/>
  <c r="Y48" i="41"/>
  <c r="Z372" i="41"/>
  <c r="Z404" i="41" s="1"/>
  <c r="AA4" i="41"/>
  <c r="J383" i="41"/>
  <c r="T374" i="41"/>
  <c r="Y65" i="41"/>
  <c r="Y89" i="41" s="1"/>
  <c r="Y44" i="41"/>
  <c r="Z41" i="41"/>
  <c r="Z113" i="41" s="1"/>
  <c r="Z114" i="41" s="1"/>
  <c r="X66" i="41"/>
  <c r="X68" i="41"/>
  <c r="X218" i="41"/>
  <c r="W221" i="41"/>
  <c r="K212" i="41"/>
  <c r="K227" i="41" s="1"/>
  <c r="K412" i="41" s="1"/>
  <c r="K434" i="41" s="1"/>
  <c r="T405" i="41"/>
  <c r="T214" i="41"/>
  <c r="T19" i="41"/>
  <c r="T20" i="41"/>
  <c r="T18" i="41"/>
  <c r="W184" i="41"/>
  <c r="X182" i="41"/>
  <c r="V294" i="41"/>
  <c r="U297" i="41"/>
  <c r="V10" i="41"/>
  <c r="V14" i="41" s="1"/>
  <c r="V9" i="41"/>
  <c r="V13" i="41" s="1"/>
  <c r="AB325" i="41"/>
  <c r="O19" i="41"/>
  <c r="O20" i="41"/>
  <c r="O18" i="41"/>
  <c r="W144" i="41"/>
  <c r="AZ80" i="1"/>
  <c r="AU19" i="1"/>
  <c r="V119" i="1"/>
  <c r="V121" i="1" s="1"/>
  <c r="AA115" i="1"/>
  <c r="V120" i="1"/>
  <c r="BO51" i="1"/>
  <c r="BO44" i="1"/>
  <c r="AP90" i="1"/>
  <c r="AK25" i="1"/>
  <c r="AZ114" i="1"/>
  <c r="BE81" i="1"/>
  <c r="AZ20" i="1"/>
  <c r="AZ22" i="1" s="1"/>
  <c r="BJ105" i="1"/>
  <c r="BJ51" i="1"/>
  <c r="BJ44" i="1"/>
  <c r="AZ82" i="1"/>
  <c r="AU21" i="1"/>
  <c r="AP88" i="1"/>
  <c r="AK23" i="1"/>
  <c r="AU89" i="1"/>
  <c r="AP24" i="1"/>
  <c r="AP26" i="1" s="1"/>
  <c r="K52" i="11" l="1"/>
  <c r="L48" i="11" s="1"/>
  <c r="L49" i="11" s="1"/>
  <c r="K78" i="11"/>
  <c r="K58" i="11"/>
  <c r="K59" i="11"/>
  <c r="J78" i="11"/>
  <c r="K36" i="2" s="1"/>
  <c r="J31" i="11"/>
  <c r="T157" i="41"/>
  <c r="T378" i="41"/>
  <c r="I383" i="41"/>
  <c r="T133" i="41"/>
  <c r="T146" i="41" s="1"/>
  <c r="AB351" i="41"/>
  <c r="U85" i="41"/>
  <c r="U98" i="41" s="1"/>
  <c r="U392" i="41" s="1"/>
  <c r="U203" i="41"/>
  <c r="U408" i="41" s="1"/>
  <c r="U204" i="41"/>
  <c r="U410" i="41" s="1"/>
  <c r="V25" i="41"/>
  <c r="V377" i="41" s="1"/>
  <c r="V24" i="41"/>
  <c r="V375" i="41" s="1"/>
  <c r="V201" i="41"/>
  <c r="V407" i="41" s="1"/>
  <c r="V202" i="41"/>
  <c r="T290" i="41"/>
  <c r="T288" i="41" s="1"/>
  <c r="T303" i="41" s="1"/>
  <c r="U27" i="41"/>
  <c r="Y90" i="41"/>
  <c r="Y92" i="41"/>
  <c r="U26" i="41"/>
  <c r="U376" i="41" s="1"/>
  <c r="W168" i="41"/>
  <c r="T164" i="41"/>
  <c r="J398" i="41"/>
  <c r="J443" i="41" s="1"/>
  <c r="T386" i="41"/>
  <c r="BJ106" i="1"/>
  <c r="N30" i="11" s="1"/>
  <c r="O29" i="2" s="1"/>
  <c r="P29" i="2" s="1"/>
  <c r="U200" i="41"/>
  <c r="U406" i="41" s="1"/>
  <c r="K437" i="41"/>
  <c r="U16" i="41"/>
  <c r="U20" i="41" s="1"/>
  <c r="U23" i="41"/>
  <c r="U109" i="41" s="1"/>
  <c r="U122" i="41" s="1"/>
  <c r="AA57" i="41"/>
  <c r="X31" i="41"/>
  <c r="AB55" i="41" s="1"/>
  <c r="AB56" i="41" s="1"/>
  <c r="J178" i="41"/>
  <c r="J369" i="41" s="1"/>
  <c r="O289" i="41"/>
  <c r="M303" i="41"/>
  <c r="M415" i="41" s="1"/>
  <c r="O55" i="11"/>
  <c r="O53" i="11"/>
  <c r="AU132" i="1"/>
  <c r="K33" i="11"/>
  <c r="O34" i="2"/>
  <c r="N90" i="2"/>
  <c r="W187" i="41"/>
  <c r="W191" i="41" s="1"/>
  <c r="W186" i="41"/>
  <c r="W190" i="41" s="1"/>
  <c r="U213" i="41"/>
  <c r="T212" i="41"/>
  <c r="T227" i="41" s="1"/>
  <c r="L213" i="41"/>
  <c r="Z65" i="41"/>
  <c r="Z89" i="41" s="1"/>
  <c r="Z92" i="41" s="1"/>
  <c r="Z44" i="41"/>
  <c r="AA41" i="41"/>
  <c r="AA113" i="41" s="1"/>
  <c r="AA114" i="41" s="1"/>
  <c r="Y66" i="41"/>
  <c r="Y68" i="41"/>
  <c r="AA372" i="41"/>
  <c r="AA404" i="41" s="1"/>
  <c r="AB4" i="41"/>
  <c r="AB372" i="41" s="1"/>
  <c r="AB404" i="41" s="1"/>
  <c r="AA103" i="41"/>
  <c r="Z105" i="41"/>
  <c r="S118" i="41"/>
  <c r="W10" i="41"/>
  <c r="W14" i="41" s="1"/>
  <c r="W9" i="41"/>
  <c r="W13" i="41" s="1"/>
  <c r="W33" i="41"/>
  <c r="L36" i="41"/>
  <c r="T380" i="41"/>
  <c r="U373" i="41"/>
  <c r="U37" i="41"/>
  <c r="U50" i="41" s="1"/>
  <c r="X137" i="41"/>
  <c r="X161" i="41" s="1"/>
  <c r="X162" i="41" s="1"/>
  <c r="X116" i="41"/>
  <c r="W138" i="41"/>
  <c r="W140" i="41"/>
  <c r="U405" i="41"/>
  <c r="U214" i="41"/>
  <c r="V22" i="41"/>
  <c r="V11" i="41"/>
  <c r="V15" i="41" s="1"/>
  <c r="V26" i="41" s="1"/>
  <c r="V318" i="41"/>
  <c r="V297" i="41"/>
  <c r="W294" i="41"/>
  <c r="X184" i="41"/>
  <c r="Y182" i="41"/>
  <c r="X242" i="41"/>
  <c r="X221" i="41"/>
  <c r="Y218" i="41"/>
  <c r="T383" i="41"/>
  <c r="Y120" i="41"/>
  <c r="Y72" i="41"/>
  <c r="Y96" i="41" s="1"/>
  <c r="Z48" i="41"/>
  <c r="X144" i="41"/>
  <c r="X7" i="41"/>
  <c r="Y5" i="41"/>
  <c r="V199" i="41"/>
  <c r="V188" i="41"/>
  <c r="V192" i="41" s="1"/>
  <c r="V204" i="41" s="1"/>
  <c r="AB47" i="41"/>
  <c r="AA119" i="41"/>
  <c r="AA143" i="41" s="1"/>
  <c r="AA167" i="41" s="1"/>
  <c r="AA71" i="41"/>
  <c r="AA95" i="41" s="1"/>
  <c r="U61" i="41"/>
  <c r="U74" i="41" s="1"/>
  <c r="K107" i="41"/>
  <c r="L108" i="41" s="1"/>
  <c r="U196" i="41"/>
  <c r="U197" i="41"/>
  <c r="U195" i="41"/>
  <c r="AZ89" i="1"/>
  <c r="AU24" i="1"/>
  <c r="AU26" i="1" s="1"/>
  <c r="BJ81" i="1"/>
  <c r="BE20" i="1"/>
  <c r="BE22" i="1" s="1"/>
  <c r="AU90" i="1"/>
  <c r="AP25" i="1"/>
  <c r="AU88" i="1"/>
  <c r="AP23" i="1"/>
  <c r="BE82" i="1"/>
  <c r="AZ21" i="1"/>
  <c r="BE80" i="1"/>
  <c r="AZ19" i="1"/>
  <c r="BJ107" i="1" l="1"/>
  <c r="BJ111" i="1" s="1"/>
  <c r="L36" i="2"/>
  <c r="L52" i="11"/>
  <c r="L54" i="11"/>
  <c r="L59" i="11" s="1"/>
  <c r="L60" i="11"/>
  <c r="AP132" i="1"/>
  <c r="J33" i="11"/>
  <c r="L71" i="11"/>
  <c r="T170" i="41"/>
  <c r="T395" i="41" s="1"/>
  <c r="V264" i="41"/>
  <c r="V277" i="41" s="1"/>
  <c r="V426" i="41" s="1"/>
  <c r="V409" i="41"/>
  <c r="V340" i="41"/>
  <c r="V410" i="41"/>
  <c r="I398" i="41"/>
  <c r="I446" i="41" s="1"/>
  <c r="U157" i="41"/>
  <c r="U378" i="41"/>
  <c r="V133" i="41"/>
  <c r="V146" i="41" s="1"/>
  <c r="V376" i="41"/>
  <c r="V238" i="41"/>
  <c r="V251" i="41" s="1"/>
  <c r="X245" i="41"/>
  <c r="X268" i="41"/>
  <c r="U133" i="41"/>
  <c r="U146" i="41" s="1"/>
  <c r="U389" i="41" s="1"/>
  <c r="V85" i="41"/>
  <c r="V98" i="41" s="1"/>
  <c r="V392" i="41" s="1"/>
  <c r="T358" i="41"/>
  <c r="U289" i="41"/>
  <c r="V344" i="41"/>
  <c r="V347" i="41" s="1"/>
  <c r="V353" i="41" s="1"/>
  <c r="V430" i="41" s="1"/>
  <c r="V321" i="41"/>
  <c r="W24" i="41"/>
  <c r="W375" i="41" s="1"/>
  <c r="W25" i="41"/>
  <c r="W377" i="41" s="1"/>
  <c r="V27" i="41"/>
  <c r="V203" i="41"/>
  <c r="W201" i="41"/>
  <c r="W202" i="41"/>
  <c r="Z90" i="41"/>
  <c r="X168" i="41"/>
  <c r="U164" i="41"/>
  <c r="J401" i="41"/>
  <c r="J446" i="41" s="1"/>
  <c r="T389" i="41"/>
  <c r="U290" i="41"/>
  <c r="U374" i="41"/>
  <c r="U18" i="41"/>
  <c r="U19" i="41"/>
  <c r="V193" i="41"/>
  <c r="V197" i="41" s="1"/>
  <c r="Y31" i="41"/>
  <c r="Z31" i="41" s="1"/>
  <c r="AA31" i="41" s="1"/>
  <c r="AB31" i="41" s="1"/>
  <c r="AB57" i="41"/>
  <c r="N303" i="41"/>
  <c r="N415" i="41" s="1"/>
  <c r="O288" i="41"/>
  <c r="O303" i="41" s="1"/>
  <c r="O415" i="41" s="1"/>
  <c r="U212" i="41"/>
  <c r="U227" i="41" s="1"/>
  <c r="U412" i="41" s="1"/>
  <c r="K122" i="41"/>
  <c r="K173" i="41" s="1"/>
  <c r="O90" i="2"/>
  <c r="P34" i="2"/>
  <c r="U386" i="41"/>
  <c r="V405" i="41"/>
  <c r="V214" i="41"/>
  <c r="V227" i="41" s="1"/>
  <c r="X10" i="41"/>
  <c r="X14" i="41" s="1"/>
  <c r="X9" i="41"/>
  <c r="X13" i="41" s="1"/>
  <c r="Z218" i="41"/>
  <c r="Y242" i="41"/>
  <c r="Y268" i="41" s="1"/>
  <c r="Y221" i="41"/>
  <c r="U383" i="41"/>
  <c r="U123" i="41"/>
  <c r="Y184" i="41"/>
  <c r="Z182" i="41"/>
  <c r="W318" i="41"/>
  <c r="X294" i="41"/>
  <c r="W297" i="41"/>
  <c r="V327" i="41"/>
  <c r="V16" i="41"/>
  <c r="V61" i="41"/>
  <c r="V74" i="41" s="1"/>
  <c r="U380" i="41"/>
  <c r="U51" i="41"/>
  <c r="V200" i="41"/>
  <c r="L35" i="41"/>
  <c r="L50" i="41" s="1"/>
  <c r="X33" i="41"/>
  <c r="T412" i="41"/>
  <c r="W199" i="41"/>
  <c r="W188" i="41"/>
  <c r="W192" i="41" s="1"/>
  <c r="W193" i="41" s="1"/>
  <c r="V23" i="41"/>
  <c r="L107" i="41"/>
  <c r="AB119" i="41"/>
  <c r="AB143" i="41" s="1"/>
  <c r="AB167" i="41" s="1"/>
  <c r="AB71" i="41"/>
  <c r="AB95" i="41" s="1"/>
  <c r="Y7" i="41"/>
  <c r="Z5" i="41"/>
  <c r="Z120" i="41"/>
  <c r="Z72" i="41"/>
  <c r="Z96" i="41" s="1"/>
  <c r="AA48" i="41"/>
  <c r="Y144" i="41"/>
  <c r="X187" i="41"/>
  <c r="X191" i="41" s="1"/>
  <c r="X186" i="41"/>
  <c r="X190" i="41" s="1"/>
  <c r="V373" i="41"/>
  <c r="V37" i="41"/>
  <c r="V50" i="41" s="1"/>
  <c r="T415" i="41"/>
  <c r="Y137" i="41"/>
  <c r="Y161" i="41" s="1"/>
  <c r="Y162" i="41" s="1"/>
  <c r="Y116" i="41"/>
  <c r="X138" i="41"/>
  <c r="X140" i="41"/>
  <c r="W22" i="41"/>
  <c r="W11" i="41"/>
  <c r="W15" i="41" s="1"/>
  <c r="W23" i="41" s="1"/>
  <c r="AB103" i="41"/>
  <c r="AB105" i="41" s="1"/>
  <c r="AA105" i="41"/>
  <c r="AA65" i="41"/>
  <c r="AA89" i="41" s="1"/>
  <c r="AA44" i="41"/>
  <c r="AB41" i="41"/>
  <c r="AB113" i="41" s="1"/>
  <c r="AB114" i="41" s="1"/>
  <c r="Z66" i="41"/>
  <c r="Z68" i="41"/>
  <c r="L212" i="41"/>
  <c r="L227" i="41" s="1"/>
  <c r="L412" i="41" s="1"/>
  <c r="L434" i="41" s="1"/>
  <c r="AZ90" i="1"/>
  <c r="AU25" i="1"/>
  <c r="BO81" i="1"/>
  <c r="BO20" i="1" s="1"/>
  <c r="BO22" i="1" s="1"/>
  <c r="BJ20" i="1"/>
  <c r="BJ22" i="1" s="1"/>
  <c r="BJ80" i="1"/>
  <c r="BE19" i="1"/>
  <c r="BJ82" i="1"/>
  <c r="BE21" i="1"/>
  <c r="AZ88" i="1"/>
  <c r="AU23" i="1"/>
  <c r="BE89" i="1"/>
  <c r="AZ24" i="1"/>
  <c r="AZ26" i="1" s="1"/>
  <c r="E9" i="42"/>
  <c r="E11" i="42" s="1"/>
  <c r="V280" i="41" l="1"/>
  <c r="V427" i="41" s="1"/>
  <c r="BO105" i="1"/>
  <c r="BO107" i="1" s="1"/>
  <c r="BO111" i="1" s="1"/>
  <c r="M48" i="11"/>
  <c r="M49" i="11" s="1"/>
  <c r="L58" i="11"/>
  <c r="L31" i="11"/>
  <c r="L78" i="11"/>
  <c r="M36" i="2" s="1"/>
  <c r="T173" i="41"/>
  <c r="T178" i="41" s="1"/>
  <c r="T176" i="41" s="1"/>
  <c r="U170" i="41"/>
  <c r="U395" i="41" s="1"/>
  <c r="W238" i="41"/>
  <c r="W251" i="41" s="1"/>
  <c r="W418" i="41" s="1"/>
  <c r="W407" i="41"/>
  <c r="W264" i="41"/>
  <c r="W277" i="41" s="1"/>
  <c r="W280" i="41" s="1"/>
  <c r="W427" i="41" s="1"/>
  <c r="W409" i="41"/>
  <c r="V314" i="41"/>
  <c r="V408" i="41"/>
  <c r="T437" i="41"/>
  <c r="T434" i="41"/>
  <c r="I443" i="41"/>
  <c r="V157" i="41"/>
  <c r="V378" i="41"/>
  <c r="U398" i="41"/>
  <c r="T398" i="41"/>
  <c r="T401" i="41" s="1"/>
  <c r="V254" i="41"/>
  <c r="V419" i="41" s="1"/>
  <c r="V418" i="41"/>
  <c r="X271" i="41"/>
  <c r="W85" i="41"/>
  <c r="W98" i="41" s="1"/>
  <c r="U288" i="41"/>
  <c r="U303" i="41" s="1"/>
  <c r="U304" i="41" s="1"/>
  <c r="W203" i="41"/>
  <c r="W26" i="41"/>
  <c r="X201" i="41"/>
  <c r="X407" i="41" s="1"/>
  <c r="X202" i="41"/>
  <c r="V196" i="41"/>
  <c r="W344" i="41"/>
  <c r="W321" i="41"/>
  <c r="X24" i="41"/>
  <c r="X375" i="41" s="1"/>
  <c r="X25" i="41"/>
  <c r="X377" i="41" s="1"/>
  <c r="AA90" i="41"/>
  <c r="AA92" i="41"/>
  <c r="W27" i="41"/>
  <c r="W204" i="41"/>
  <c r="V330" i="41"/>
  <c r="V356" i="41"/>
  <c r="V431" i="41" s="1"/>
  <c r="Y168" i="41"/>
  <c r="V164" i="41"/>
  <c r="U384" i="41"/>
  <c r="K383" i="41"/>
  <c r="T363" i="41"/>
  <c r="W200" i="41"/>
  <c r="W406" i="41" s="1"/>
  <c r="V195" i="41"/>
  <c r="L437" i="41"/>
  <c r="L380" i="41"/>
  <c r="P289" i="41"/>
  <c r="X11" i="1"/>
  <c r="U228" i="41"/>
  <c r="M108" i="41"/>
  <c r="N108" i="41" s="1"/>
  <c r="M213" i="41"/>
  <c r="M212" i="41" s="1"/>
  <c r="P90" i="2"/>
  <c r="W374" i="41"/>
  <c r="W109" i="41"/>
  <c r="W122" i="41" s="1"/>
  <c r="AB65" i="41"/>
  <c r="AB89" i="41" s="1"/>
  <c r="AB44" i="41"/>
  <c r="AA66" i="41"/>
  <c r="AA68" i="41"/>
  <c r="W16" i="41"/>
  <c r="W61" i="41"/>
  <c r="W74" i="41" s="1"/>
  <c r="X199" i="41"/>
  <c r="X188" i="41"/>
  <c r="X192" i="41" s="1"/>
  <c r="X193" i="41" s="1"/>
  <c r="Z7" i="41"/>
  <c r="AA5" i="41"/>
  <c r="W405" i="41"/>
  <c r="W214" i="41"/>
  <c r="W227" i="41" s="1"/>
  <c r="Y33" i="41"/>
  <c r="M36" i="41"/>
  <c r="V386" i="41"/>
  <c r="V387" i="41" s="1"/>
  <c r="V75" i="41"/>
  <c r="V19" i="41"/>
  <c r="V20" i="41"/>
  <c r="V18" i="41"/>
  <c r="W319" i="41"/>
  <c r="Y187" i="41"/>
  <c r="Y191" i="41" s="1"/>
  <c r="Y186" i="41"/>
  <c r="Y190" i="41" s="1"/>
  <c r="Y245" i="41"/>
  <c r="Y243" i="41"/>
  <c r="X22" i="41"/>
  <c r="X11" i="41"/>
  <c r="X15" i="41" s="1"/>
  <c r="X23" i="41" s="1"/>
  <c r="W373" i="41"/>
  <c r="W37" i="41"/>
  <c r="W50" i="41" s="1"/>
  <c r="Z137" i="41"/>
  <c r="Z161" i="41" s="1"/>
  <c r="Z162" i="41" s="1"/>
  <c r="Z116" i="41"/>
  <c r="Y138" i="41"/>
  <c r="Y140" i="41"/>
  <c r="U413" i="41"/>
  <c r="V380" i="41"/>
  <c r="V51" i="41"/>
  <c r="AA120" i="41"/>
  <c r="AA72" i="41"/>
  <c r="AA96" i="41" s="1"/>
  <c r="AB48" i="41"/>
  <c r="Z144" i="41"/>
  <c r="Y10" i="41"/>
  <c r="Y14" i="41" s="1"/>
  <c r="Y9" i="41"/>
  <c r="Y13" i="41" s="1"/>
  <c r="L122" i="41"/>
  <c r="L173" i="41" s="1"/>
  <c r="V374" i="41"/>
  <c r="V109" i="41"/>
  <c r="V122" i="41" s="1"/>
  <c r="W196" i="41"/>
  <c r="W197" i="41"/>
  <c r="W195" i="41"/>
  <c r="V406" i="41"/>
  <c r="V290" i="41"/>
  <c r="V303" i="41" s="1"/>
  <c r="U381" i="41"/>
  <c r="V422" i="41"/>
  <c r="X318" i="41"/>
  <c r="X297" i="41"/>
  <c r="Y294" i="41"/>
  <c r="Z184" i="41"/>
  <c r="AA182" i="41"/>
  <c r="Z242" i="41"/>
  <c r="Z268" i="41" s="1"/>
  <c r="Z221" i="41"/>
  <c r="AA218" i="41"/>
  <c r="V412" i="41"/>
  <c r="V228" i="41"/>
  <c r="V389" i="41"/>
  <c r="BJ89" i="1"/>
  <c r="BE24" i="1"/>
  <c r="BE26" i="1" s="1"/>
  <c r="BE88" i="1"/>
  <c r="AZ23" i="1"/>
  <c r="BO82" i="1"/>
  <c r="BO21" i="1" s="1"/>
  <c r="BJ21" i="1"/>
  <c r="BO80" i="1"/>
  <c r="BO19" i="1" s="1"/>
  <c r="BJ19" i="1"/>
  <c r="BE90" i="1"/>
  <c r="AZ25" i="1"/>
  <c r="M52" i="11" l="1"/>
  <c r="M54" i="11"/>
  <c r="M59" i="11" s="1"/>
  <c r="M60" i="11"/>
  <c r="AZ132" i="1"/>
  <c r="L33" i="11"/>
  <c r="W254" i="41"/>
  <c r="W419" i="41" s="1"/>
  <c r="V170" i="41"/>
  <c r="V395" i="41" s="1"/>
  <c r="U173" i="41"/>
  <c r="U174" i="41" s="1"/>
  <c r="W426" i="41"/>
  <c r="W340" i="41"/>
  <c r="W410" i="41"/>
  <c r="W314" i="41"/>
  <c r="W408" i="41"/>
  <c r="X264" i="41"/>
  <c r="X409" i="41"/>
  <c r="T442" i="41"/>
  <c r="T441" i="41"/>
  <c r="T440" i="41"/>
  <c r="W157" i="41"/>
  <c r="W378" i="41"/>
  <c r="W133" i="41"/>
  <c r="W146" i="41" s="1"/>
  <c r="W376" i="41"/>
  <c r="W99" i="41"/>
  <c r="W392" i="41"/>
  <c r="U415" i="41"/>
  <c r="U358" i="41"/>
  <c r="U363" i="41" s="1"/>
  <c r="U361" i="41" s="1"/>
  <c r="X85" i="41"/>
  <c r="X98" i="41" s="1"/>
  <c r="AB90" i="41"/>
  <c r="AB92" i="41"/>
  <c r="X203" i="41"/>
  <c r="X27" i="41"/>
  <c r="Y24" i="41"/>
  <c r="Y375" i="41" s="1"/>
  <c r="Y25" i="41"/>
  <c r="Y377" i="41" s="1"/>
  <c r="Y269" i="41"/>
  <c r="Y271" i="41"/>
  <c r="X26" i="41"/>
  <c r="W347" i="41"/>
  <c r="W353" i="41" s="1"/>
  <c r="W430" i="41" s="1"/>
  <c r="W345" i="41"/>
  <c r="X344" i="41"/>
  <c r="X321" i="41"/>
  <c r="Y201" i="41"/>
  <c r="Y407" i="41" s="1"/>
  <c r="Y202" i="41"/>
  <c r="X204" i="41"/>
  <c r="V358" i="41"/>
  <c r="Z168" i="41"/>
  <c r="T369" i="41"/>
  <c r="W164" i="41"/>
  <c r="K398" i="41"/>
  <c r="K443" i="41" s="1"/>
  <c r="W290" i="41"/>
  <c r="W303" i="41" s="1"/>
  <c r="W415" i="41" s="1"/>
  <c r="T361" i="41"/>
  <c r="T367" i="41" s="1"/>
  <c r="W327" i="41"/>
  <c r="X17" i="1"/>
  <c r="X28" i="1"/>
  <c r="X200" i="41"/>
  <c r="X406" i="41" s="1"/>
  <c r="X16" i="41"/>
  <c r="X20" i="41" s="1"/>
  <c r="P288" i="41"/>
  <c r="P303" i="41" s="1"/>
  <c r="P415" i="41" s="1"/>
  <c r="K178" i="41"/>
  <c r="K369" i="41" s="1"/>
  <c r="N213" i="41"/>
  <c r="M107" i="41"/>
  <c r="O108" i="41" s="1"/>
  <c r="O107" i="41" s="1"/>
  <c r="O122" i="41" s="1"/>
  <c r="V413" i="41"/>
  <c r="Z187" i="41"/>
  <c r="Z191" i="41" s="1"/>
  <c r="Z186" i="41"/>
  <c r="Z190" i="41" s="1"/>
  <c r="Y11" i="41"/>
  <c r="Y15" i="41" s="1"/>
  <c r="Y16" i="41" s="1"/>
  <c r="AA144" i="41"/>
  <c r="X374" i="41"/>
  <c r="X109" i="41"/>
  <c r="X122" i="41" s="1"/>
  <c r="AB218" i="41"/>
  <c r="AA242" i="41"/>
  <c r="AA268" i="41" s="1"/>
  <c r="AA221" i="41"/>
  <c r="Z243" i="41"/>
  <c r="Z245" i="41"/>
  <c r="AA184" i="41"/>
  <c r="AB182" i="41"/>
  <c r="AB184" i="41" s="1"/>
  <c r="Y318" i="41"/>
  <c r="Z294" i="41"/>
  <c r="Y297" i="41"/>
  <c r="X319" i="41"/>
  <c r="V415" i="41"/>
  <c r="V304" i="41"/>
  <c r="L383" i="41"/>
  <c r="AB120" i="41"/>
  <c r="AB72" i="41"/>
  <c r="AB96" i="41" s="1"/>
  <c r="V381" i="41"/>
  <c r="AA137" i="41"/>
  <c r="AA161" i="41" s="1"/>
  <c r="AA162" i="41" s="1"/>
  <c r="AA116" i="41"/>
  <c r="Z138" i="41"/>
  <c r="Z140" i="41"/>
  <c r="W380" i="41"/>
  <c r="W51" i="41"/>
  <c r="O213" i="41"/>
  <c r="N212" i="41"/>
  <c r="M227" i="41"/>
  <c r="X373" i="41"/>
  <c r="X37" i="41"/>
  <c r="X50" i="41" s="1"/>
  <c r="W412" i="41"/>
  <c r="W228" i="41"/>
  <c r="AA7" i="41"/>
  <c r="AB5" i="41"/>
  <c r="AB7" i="41" s="1"/>
  <c r="X405" i="41"/>
  <c r="X214" i="41"/>
  <c r="X227" i="41" s="1"/>
  <c r="W383" i="41"/>
  <c r="W123" i="41"/>
  <c r="V423" i="41"/>
  <c r="V383" i="41"/>
  <c r="V123" i="41"/>
  <c r="Y22" i="41"/>
  <c r="X61" i="41"/>
  <c r="X74" i="41" s="1"/>
  <c r="Y199" i="41"/>
  <c r="Y188" i="41"/>
  <c r="Y192" i="41" s="1"/>
  <c r="Y200" i="41" s="1"/>
  <c r="N36" i="41"/>
  <c r="M35" i="41"/>
  <c r="Z33" i="41"/>
  <c r="Z10" i="41"/>
  <c r="Z14" i="41" s="1"/>
  <c r="Z9" i="41"/>
  <c r="Z13" i="41" s="1"/>
  <c r="X196" i="41"/>
  <c r="X197" i="41"/>
  <c r="X195" i="41"/>
  <c r="X238" i="41"/>
  <c r="X251" i="41" s="1"/>
  <c r="W386" i="41"/>
  <c r="W387" i="41" s="1"/>
  <c r="W75" i="41"/>
  <c r="W19" i="41"/>
  <c r="W20" i="41"/>
  <c r="W18" i="41"/>
  <c r="AB66" i="41"/>
  <c r="AB68" i="41"/>
  <c r="E13" i="42"/>
  <c r="BJ90" i="1"/>
  <c r="BE25" i="1"/>
  <c r="BJ88" i="1"/>
  <c r="BE23" i="1"/>
  <c r="BO89" i="1"/>
  <c r="BO24" i="1" s="1"/>
  <c r="BO26" i="1" s="1"/>
  <c r="BJ24" i="1"/>
  <c r="BJ26" i="1" s="1"/>
  <c r="V398" i="41" l="1"/>
  <c r="V173" i="41"/>
  <c r="V174" i="41" s="1"/>
  <c r="N48" i="11"/>
  <c r="N54" i="11" s="1"/>
  <c r="M58" i="11"/>
  <c r="M71" i="11"/>
  <c r="M78" i="11" s="1"/>
  <c r="N36" i="2" s="1"/>
  <c r="U178" i="41"/>
  <c r="U176" i="41" s="1"/>
  <c r="U367" i="41" s="1"/>
  <c r="T443" i="41"/>
  <c r="AK7" i="1" s="1"/>
  <c r="X340" i="41"/>
  <c r="X410" i="41"/>
  <c r="Y264" i="41"/>
  <c r="Y409" i="41"/>
  <c r="X314" i="41"/>
  <c r="X408" i="41"/>
  <c r="U437" i="41"/>
  <c r="U434" i="41"/>
  <c r="U435" i="41" s="1"/>
  <c r="V437" i="41"/>
  <c r="V434" i="41"/>
  <c r="X133" i="41"/>
  <c r="X146" i="41" s="1"/>
  <c r="X147" i="41" s="1"/>
  <c r="X376" i="41"/>
  <c r="X157" i="41"/>
  <c r="X378" i="41"/>
  <c r="X99" i="41"/>
  <c r="X392" i="41"/>
  <c r="X393" i="41" s="1"/>
  <c r="W393" i="41"/>
  <c r="X19" i="41"/>
  <c r="Y85" i="41"/>
  <c r="Y98" i="41" s="1"/>
  <c r="W304" i="41"/>
  <c r="Y204" i="41"/>
  <c r="Z25" i="41"/>
  <c r="Z377" i="41" s="1"/>
  <c r="Z24" i="41"/>
  <c r="Z375" i="41" s="1"/>
  <c r="Y321" i="41"/>
  <c r="Y344" i="41"/>
  <c r="Z201" i="41"/>
  <c r="Z407" i="41" s="1"/>
  <c r="Z202" i="41"/>
  <c r="Y203" i="41"/>
  <c r="Y27" i="41"/>
  <c r="Z269" i="41"/>
  <c r="Z271" i="41"/>
  <c r="X347" i="41"/>
  <c r="X353" i="41" s="1"/>
  <c r="X430" i="41" s="1"/>
  <c r="X345" i="41"/>
  <c r="Y26" i="41"/>
  <c r="Y376" i="41" s="1"/>
  <c r="W330" i="41"/>
  <c r="W423" i="41" s="1"/>
  <c r="W356" i="41"/>
  <c r="W431" i="41" s="1"/>
  <c r="X254" i="41"/>
  <c r="X419" i="41" s="1"/>
  <c r="X277" i="41"/>
  <c r="AA168" i="41"/>
  <c r="W170" i="41"/>
  <c r="X164" i="41"/>
  <c r="L398" i="41"/>
  <c r="L443" i="41" s="1"/>
  <c r="K401" i="41"/>
  <c r="K446" i="41" s="1"/>
  <c r="V384" i="41"/>
  <c r="X18" i="41"/>
  <c r="V363" i="41"/>
  <c r="V361" i="41" s="1"/>
  <c r="W422" i="41"/>
  <c r="W434" i="41" s="1"/>
  <c r="Y23" i="41"/>
  <c r="Y374" i="41" s="1"/>
  <c r="X74" i="1"/>
  <c r="X73" i="1"/>
  <c r="T446" i="41"/>
  <c r="X290" i="41"/>
  <c r="X303" i="41" s="1"/>
  <c r="X415" i="41" s="1"/>
  <c r="X416" i="41" s="1"/>
  <c r="X327" i="41"/>
  <c r="Q289" i="41"/>
  <c r="Q288" i="41" s="1"/>
  <c r="Q303" i="41" s="1"/>
  <c r="Q415" i="41" s="1"/>
  <c r="Y193" i="41"/>
  <c r="Y195" i="41" s="1"/>
  <c r="L178" i="41"/>
  <c r="L369" i="41" s="1"/>
  <c r="U399" i="41"/>
  <c r="U401" i="41"/>
  <c r="N107" i="41"/>
  <c r="M122" i="41"/>
  <c r="G54" i="2"/>
  <c r="Y406" i="41"/>
  <c r="Y290" i="41"/>
  <c r="Y303" i="41" s="1"/>
  <c r="X418" i="41"/>
  <c r="O36" i="41"/>
  <c r="N35" i="41"/>
  <c r="M50" i="41"/>
  <c r="Y405" i="41"/>
  <c r="Y214" i="41"/>
  <c r="Y227" i="41" s="1"/>
  <c r="X386" i="41"/>
  <c r="X387" i="41" s="1"/>
  <c r="X75" i="41"/>
  <c r="Y19" i="41"/>
  <c r="Y20" i="41"/>
  <c r="Y18" i="41"/>
  <c r="Y61" i="41"/>
  <c r="Y74" i="41" s="1"/>
  <c r="W384" i="41"/>
  <c r="AA10" i="41"/>
  <c r="AA14" i="41" s="1"/>
  <c r="AA9" i="41"/>
  <c r="AA13" i="41" s="1"/>
  <c r="W413" i="41"/>
  <c r="X380" i="41"/>
  <c r="X51" i="41"/>
  <c r="M412" i="41"/>
  <c r="M434" i="41" s="1"/>
  <c r="N227" i="41"/>
  <c r="O212" i="41"/>
  <c r="O227" i="41" s="1"/>
  <c r="O412" i="41" s="1"/>
  <c r="W381" i="41"/>
  <c r="AB144" i="41"/>
  <c r="V416" i="41"/>
  <c r="Y319" i="41"/>
  <c r="AA187" i="41"/>
  <c r="AA191" i="41" s="1"/>
  <c r="AA186" i="41"/>
  <c r="AA190" i="41" s="1"/>
  <c r="AA245" i="41"/>
  <c r="AA243" i="41"/>
  <c r="Z199" i="41"/>
  <c r="Z188" i="41"/>
  <c r="Z192" i="41" s="1"/>
  <c r="Z200" i="41" s="1"/>
  <c r="P108" i="41"/>
  <c r="W416" i="41"/>
  <c r="Z22" i="41"/>
  <c r="Z11" i="41"/>
  <c r="Z15" i="41" s="1"/>
  <c r="Z23" i="41" s="1"/>
  <c r="AB33" i="41"/>
  <c r="AA33" i="41"/>
  <c r="Y238" i="41"/>
  <c r="Y251" i="41" s="1"/>
  <c r="Y373" i="41"/>
  <c r="Y37" i="41"/>
  <c r="Y50" i="41" s="1"/>
  <c r="X412" i="41"/>
  <c r="X228" i="41"/>
  <c r="AB10" i="41"/>
  <c r="AB14" i="41" s="1"/>
  <c r="AB9" i="41"/>
  <c r="AB13" i="41" s="1"/>
  <c r="W389" i="41"/>
  <c r="W147" i="41"/>
  <c r="AB137" i="41"/>
  <c r="AB161" i="41" s="1"/>
  <c r="AB162" i="41" s="1"/>
  <c r="AB116" i="41"/>
  <c r="AA138" i="41"/>
  <c r="AA140" i="41"/>
  <c r="Z318" i="41"/>
  <c r="Z297" i="41"/>
  <c r="AA294" i="41"/>
  <c r="AB187" i="41"/>
  <c r="AB191" i="41" s="1"/>
  <c r="AB186" i="41"/>
  <c r="AB190" i="41" s="1"/>
  <c r="AB242" i="41"/>
  <c r="AB268" i="41" s="1"/>
  <c r="AB221" i="41"/>
  <c r="X383" i="41"/>
  <c r="X123" i="41"/>
  <c r="O383" i="41"/>
  <c r="O123" i="41"/>
  <c r="BO88" i="1"/>
  <c r="BO23" i="1" s="1"/>
  <c r="BJ23" i="1"/>
  <c r="BO90" i="1"/>
  <c r="BO25" i="1" s="1"/>
  <c r="BJ25" i="1"/>
  <c r="E14" i="42"/>
  <c r="V178" i="41" l="1"/>
  <c r="V176" i="41" s="1"/>
  <c r="V441" i="41"/>
  <c r="M31" i="11"/>
  <c r="BE132" i="1" s="1"/>
  <c r="N60" i="11"/>
  <c r="N52" i="11"/>
  <c r="O48" i="11" s="1"/>
  <c r="N49" i="11"/>
  <c r="N59" i="11"/>
  <c r="N58" i="11"/>
  <c r="N71" i="11"/>
  <c r="U369" i="41"/>
  <c r="AK8" i="1"/>
  <c r="AK9" i="1" s="1"/>
  <c r="AK11" i="1"/>
  <c r="Y314" i="41"/>
  <c r="Y408" i="41"/>
  <c r="Z264" i="41"/>
  <c r="Z409" i="41"/>
  <c r="Y340" i="41"/>
  <c r="Y410" i="41"/>
  <c r="U442" i="41"/>
  <c r="U441" i="41"/>
  <c r="U440" i="41"/>
  <c r="V440" i="41" s="1"/>
  <c r="W440" i="41" s="1"/>
  <c r="X440" i="41" s="1"/>
  <c r="Y440" i="41" s="1"/>
  <c r="Z440" i="41" s="1"/>
  <c r="AA440" i="41" s="1"/>
  <c r="AB440" i="41" s="1"/>
  <c r="V442" i="41"/>
  <c r="O434" i="41"/>
  <c r="O437" i="41"/>
  <c r="W437" i="41"/>
  <c r="X280" i="41"/>
  <c r="X427" i="41" s="1"/>
  <c r="X426" i="41"/>
  <c r="Y157" i="41"/>
  <c r="Y378" i="41"/>
  <c r="W171" i="41"/>
  <c r="W395" i="41"/>
  <c r="W396" i="41" s="1"/>
  <c r="Y99" i="41"/>
  <c r="Y392" i="41"/>
  <c r="Y393" i="41" s="1"/>
  <c r="U446" i="41"/>
  <c r="U447" i="41" s="1"/>
  <c r="X389" i="41"/>
  <c r="X390" i="41" s="1"/>
  <c r="Y133" i="41"/>
  <c r="Y146" i="41" s="1"/>
  <c r="Z85" i="41"/>
  <c r="Z98" i="41" s="1"/>
  <c r="AA201" i="41"/>
  <c r="AA407" i="41" s="1"/>
  <c r="AA202" i="41"/>
  <c r="AB201" i="41"/>
  <c r="AB407" i="41" s="1"/>
  <c r="AB202" i="41"/>
  <c r="Z344" i="41"/>
  <c r="Z321" i="41"/>
  <c r="Z203" i="41"/>
  <c r="Y109" i="41"/>
  <c r="Y122" i="41" s="1"/>
  <c r="Y123" i="41" s="1"/>
  <c r="AB24" i="41"/>
  <c r="AB25" i="41"/>
  <c r="Z204" i="41"/>
  <c r="AA269" i="41"/>
  <c r="AA271" i="41"/>
  <c r="Z26" i="41"/>
  <c r="Z27" i="41"/>
  <c r="Y347" i="41"/>
  <c r="Y353" i="41" s="1"/>
  <c r="Y430" i="41" s="1"/>
  <c r="Y345" i="41"/>
  <c r="AA24" i="41"/>
  <c r="AA375" i="41" s="1"/>
  <c r="AA25" i="41"/>
  <c r="AA377" i="41" s="1"/>
  <c r="X330" i="41"/>
  <c r="X423" i="41" s="1"/>
  <c r="X356" i="41"/>
  <c r="X431" i="41" s="1"/>
  <c r="W358" i="41"/>
  <c r="W363" i="41" s="1"/>
  <c r="W361" i="41" s="1"/>
  <c r="Y254" i="41"/>
  <c r="Y419" i="41" s="1"/>
  <c r="Y277" i="41"/>
  <c r="Y426" i="41" s="1"/>
  <c r="AB168" i="41"/>
  <c r="W173" i="41"/>
  <c r="X170" i="41"/>
  <c r="Y164" i="41"/>
  <c r="L401" i="41"/>
  <c r="L446" i="41" s="1"/>
  <c r="Y11" i="1" s="1"/>
  <c r="X384" i="41"/>
  <c r="M173" i="41"/>
  <c r="Y327" i="41"/>
  <c r="M383" i="41"/>
  <c r="Y197" i="41"/>
  <c r="Y196" i="41"/>
  <c r="V367" i="41"/>
  <c r="V369" i="41"/>
  <c r="L176" i="41"/>
  <c r="L367" i="41" s="1"/>
  <c r="X304" i="41"/>
  <c r="W390" i="41"/>
  <c r="M437" i="41"/>
  <c r="X422" i="41"/>
  <c r="Z193" i="41"/>
  <c r="Z196" i="41" s="1"/>
  <c r="Z16" i="41"/>
  <c r="Z20" i="41" s="1"/>
  <c r="V399" i="41"/>
  <c r="V401" i="41"/>
  <c r="N122" i="41"/>
  <c r="P213" i="41"/>
  <c r="P212" i="41" s="1"/>
  <c r="P227" i="41" s="1"/>
  <c r="P412" i="41" s="1"/>
  <c r="R289" i="41"/>
  <c r="R288" i="41" s="1"/>
  <c r="Z374" i="41"/>
  <c r="Z109" i="41"/>
  <c r="Z122" i="41" s="1"/>
  <c r="Z406" i="41"/>
  <c r="Z290" i="41"/>
  <c r="Z303" i="41" s="1"/>
  <c r="AB243" i="41"/>
  <c r="AB245" i="41"/>
  <c r="AA318" i="41"/>
  <c r="AB294" i="41"/>
  <c r="AA297" i="41"/>
  <c r="Z319" i="41"/>
  <c r="AB138" i="41"/>
  <c r="AB140" i="41"/>
  <c r="AB22" i="41"/>
  <c r="AB11" i="41"/>
  <c r="AB15" i="41" s="1"/>
  <c r="AB16" i="41" s="1"/>
  <c r="X413" i="41"/>
  <c r="Z373" i="41"/>
  <c r="Z37" i="41"/>
  <c r="Z50" i="41" s="1"/>
  <c r="W435" i="41"/>
  <c r="P107" i="41"/>
  <c r="P122" i="41" s="1"/>
  <c r="Z405" i="41"/>
  <c r="Z214" i="41"/>
  <c r="Z227" i="41" s="1"/>
  <c r="AA199" i="41"/>
  <c r="AA188" i="41"/>
  <c r="AA192" i="41" s="1"/>
  <c r="AA200" i="41" s="1"/>
  <c r="V435" i="41"/>
  <c r="X381" i="41"/>
  <c r="AA22" i="41"/>
  <c r="AA11" i="41"/>
  <c r="AA15" i="41" s="1"/>
  <c r="AA16" i="41" s="1"/>
  <c r="Y386" i="41"/>
  <c r="Y387" i="41" s="1"/>
  <c r="Y75" i="41"/>
  <c r="Y412" i="41"/>
  <c r="Y228" i="41"/>
  <c r="M380" i="41"/>
  <c r="N50" i="41"/>
  <c r="O35" i="41"/>
  <c r="O50" i="41" s="1"/>
  <c r="O173" i="41" s="1"/>
  <c r="AB199" i="41"/>
  <c r="AB188" i="41"/>
  <c r="AB192" i="41" s="1"/>
  <c r="AB204" i="41" s="1"/>
  <c r="Y380" i="41"/>
  <c r="Y51" i="41"/>
  <c r="Y418" i="41"/>
  <c r="Y420" i="41" s="1"/>
  <c r="Y252" i="41"/>
  <c r="Z61" i="41"/>
  <c r="Z74" i="41" s="1"/>
  <c r="Z238" i="41"/>
  <c r="Z251" i="41" s="1"/>
  <c r="Y415" i="41"/>
  <c r="Y416" i="41" s="1"/>
  <c r="Y304" i="41"/>
  <c r="N412" i="41"/>
  <c r="N358" i="41"/>
  <c r="M33" i="11" l="1"/>
  <c r="O60" i="11"/>
  <c r="O54" i="11"/>
  <c r="O52" i="11"/>
  <c r="O49" i="11"/>
  <c r="N31" i="11"/>
  <c r="N78" i="11"/>
  <c r="O36" i="2" s="1"/>
  <c r="X434" i="41"/>
  <c r="X435" i="41" s="1"/>
  <c r="V443" i="41"/>
  <c r="AU8" i="1" s="1"/>
  <c r="U443" i="41"/>
  <c r="AP7" i="1" s="1"/>
  <c r="AB264" i="41"/>
  <c r="AB409" i="41"/>
  <c r="Z340" i="41"/>
  <c r="Z410" i="41"/>
  <c r="Z314" i="41"/>
  <c r="Z408" i="41"/>
  <c r="AA264" i="41"/>
  <c r="AA409" i="41"/>
  <c r="AB340" i="41"/>
  <c r="AB410" i="41"/>
  <c r="P437" i="41"/>
  <c r="P434" i="41"/>
  <c r="N434" i="41"/>
  <c r="N437" i="41"/>
  <c r="Y428" i="41"/>
  <c r="X437" i="41"/>
  <c r="Z133" i="41"/>
  <c r="Z146" i="41" s="1"/>
  <c r="Z376" i="41"/>
  <c r="AB85" i="41"/>
  <c r="AB98" i="41" s="1"/>
  <c r="AB392" i="41" s="1"/>
  <c r="AB377" i="41"/>
  <c r="AB61" i="41"/>
  <c r="AB74" i="41" s="1"/>
  <c r="AB375" i="41"/>
  <c r="Z157" i="41"/>
  <c r="Z378" i="41"/>
  <c r="Z99" i="41"/>
  <c r="Z392" i="41"/>
  <c r="Z393" i="41" s="1"/>
  <c r="X171" i="41"/>
  <c r="X395" i="41"/>
  <c r="W398" i="41"/>
  <c r="W441" i="41" s="1"/>
  <c r="Y383" i="41"/>
  <c r="Y384" i="41" s="1"/>
  <c r="AA85" i="41"/>
  <c r="AA98" i="41" s="1"/>
  <c r="AA392" i="41" s="1"/>
  <c r="X358" i="41"/>
  <c r="X363" i="41" s="1"/>
  <c r="X361" i="41" s="1"/>
  <c r="AB26" i="41"/>
  <c r="Z195" i="41"/>
  <c r="AA344" i="41"/>
  <c r="AA321" i="41"/>
  <c r="AB269" i="41"/>
  <c r="AB271" i="41"/>
  <c r="AA204" i="41"/>
  <c r="AB27" i="41"/>
  <c r="AB203" i="41"/>
  <c r="AB408" i="41" s="1"/>
  <c r="AA26" i="41"/>
  <c r="AA376" i="41" s="1"/>
  <c r="AA203" i="41"/>
  <c r="AA408" i="41" s="1"/>
  <c r="AA27" i="41"/>
  <c r="Z347" i="41"/>
  <c r="Z353" i="41" s="1"/>
  <c r="Z430" i="41" s="1"/>
  <c r="Z345" i="41"/>
  <c r="Y330" i="41"/>
  <c r="Y423" i="41" s="1"/>
  <c r="Y356" i="41"/>
  <c r="Y431" i="41" s="1"/>
  <c r="Z254" i="41"/>
  <c r="Z419" i="41" s="1"/>
  <c r="Z277" i="41"/>
  <c r="Z426" i="41" s="1"/>
  <c r="Z428" i="41" s="1"/>
  <c r="Y280" i="41"/>
  <c r="Y427" i="41" s="1"/>
  <c r="Y278" i="41"/>
  <c r="X173" i="41"/>
  <c r="X178" i="41" s="1"/>
  <c r="X176" i="41" s="1"/>
  <c r="Y170" i="41"/>
  <c r="Z164" i="41"/>
  <c r="M398" i="41"/>
  <c r="M443" i="41" s="1"/>
  <c r="Y422" i="41"/>
  <c r="Y434" i="41" s="1"/>
  <c r="N173" i="41"/>
  <c r="N174" i="41" s="1"/>
  <c r="Z19" i="41"/>
  <c r="Y389" i="41"/>
  <c r="Y390" i="41" s="1"/>
  <c r="Y147" i="41"/>
  <c r="N383" i="41"/>
  <c r="J48" i="2"/>
  <c r="J63" i="2" s="1"/>
  <c r="J7" i="2" s="1"/>
  <c r="AK16" i="1"/>
  <c r="AA23" i="41"/>
  <c r="AA109" i="41" s="1"/>
  <c r="AA122" i="41" s="1"/>
  <c r="AB23" i="41"/>
  <c r="AB374" i="41" s="1"/>
  <c r="Y28" i="1"/>
  <c r="Y17" i="1"/>
  <c r="V446" i="41"/>
  <c r="Z327" i="41"/>
  <c r="Z197" i="41"/>
  <c r="Z18" i="41"/>
  <c r="AA193" i="41"/>
  <c r="AA197" i="41" s="1"/>
  <c r="M178" i="41"/>
  <c r="M176" i="41" s="1"/>
  <c r="W178" i="41"/>
  <c r="W369" i="41" s="1"/>
  <c r="S289" i="41"/>
  <c r="Q213" i="41"/>
  <c r="Q212" i="41" s="1"/>
  <c r="Q227" i="41" s="1"/>
  <c r="Q412" i="41" s="1"/>
  <c r="P36" i="41"/>
  <c r="P35" i="41" s="1"/>
  <c r="P50" i="41" s="1"/>
  <c r="P173" i="41" s="1"/>
  <c r="AA19" i="41"/>
  <c r="AA20" i="41"/>
  <c r="AA18" i="41"/>
  <c r="AB19" i="41"/>
  <c r="AB20" i="41"/>
  <c r="AB18" i="41"/>
  <c r="S288" i="41"/>
  <c r="R303" i="41"/>
  <c r="Z418" i="41"/>
  <c r="Z420" i="41" s="1"/>
  <c r="Z252" i="41"/>
  <c r="Y381" i="41"/>
  <c r="AB405" i="41"/>
  <c r="AB214" i="41"/>
  <c r="AB227" i="41" s="1"/>
  <c r="O380" i="41"/>
  <c r="O398" i="41" s="1"/>
  <c r="O51" i="41"/>
  <c r="N380" i="41"/>
  <c r="N51" i="41"/>
  <c r="AA61" i="41"/>
  <c r="AA74" i="41" s="1"/>
  <c r="AA238" i="41"/>
  <c r="AA251" i="41" s="1"/>
  <c r="Z412" i="41"/>
  <c r="Z228" i="41"/>
  <c r="P383" i="41"/>
  <c r="P123" i="41"/>
  <c r="Z380" i="41"/>
  <c r="Z51" i="41"/>
  <c r="AB318" i="41"/>
  <c r="AB297" i="41"/>
  <c r="AB200" i="41"/>
  <c r="Z383" i="41"/>
  <c r="Z123" i="41"/>
  <c r="AA406" i="41"/>
  <c r="AA290" i="41"/>
  <c r="AA303" i="41" s="1"/>
  <c r="Z386" i="41"/>
  <c r="Z387" i="41" s="1"/>
  <c r="Z75" i="41"/>
  <c r="Z415" i="41"/>
  <c r="Z416" i="41" s="1"/>
  <c r="Z304" i="41"/>
  <c r="AB193" i="41"/>
  <c r="AB238" i="41"/>
  <c r="AB251" i="41" s="1"/>
  <c r="Y413" i="41"/>
  <c r="AA373" i="41"/>
  <c r="AA37" i="41"/>
  <c r="AA50" i="41" s="1"/>
  <c r="AA405" i="41"/>
  <c r="AA214" i="41"/>
  <c r="AA227" i="41" s="1"/>
  <c r="Q108" i="41"/>
  <c r="AB373" i="41"/>
  <c r="AB37" i="41"/>
  <c r="AB50" i="41" s="1"/>
  <c r="W174" i="41"/>
  <c r="AA319" i="41"/>
  <c r="V72" i="1"/>
  <c r="E12" i="42"/>
  <c r="E15" i="42" s="1"/>
  <c r="E17" i="42" s="1"/>
  <c r="G53" i="2"/>
  <c r="O59" i="11" l="1"/>
  <c r="O71" i="11"/>
  <c r="O58" i="11"/>
  <c r="N33" i="11"/>
  <c r="BJ132" i="1"/>
  <c r="V444" i="41"/>
  <c r="AU7" i="1"/>
  <c r="AU9" i="1" s="1"/>
  <c r="AP8" i="1"/>
  <c r="AP9" i="1" s="1"/>
  <c r="U444" i="41"/>
  <c r="X441" i="41"/>
  <c r="AP11" i="1"/>
  <c r="K48" i="2" s="1"/>
  <c r="K82" i="2" s="1"/>
  <c r="J20" i="11" s="1"/>
  <c r="J25" i="11" s="1"/>
  <c r="AA340" i="41"/>
  <c r="AA410" i="41"/>
  <c r="W442" i="41"/>
  <c r="W443" i="41" s="1"/>
  <c r="Y437" i="41"/>
  <c r="Q437" i="41"/>
  <c r="Q434" i="41"/>
  <c r="N398" i="41"/>
  <c r="N399" i="41" s="1"/>
  <c r="AA157" i="41"/>
  <c r="AA378" i="41"/>
  <c r="AB133" i="41"/>
  <c r="AB146" i="41" s="1"/>
  <c r="AB376" i="41"/>
  <c r="AB157" i="41"/>
  <c r="AB378" i="41"/>
  <c r="Y173" i="41"/>
  <c r="Y174" i="41" s="1"/>
  <c r="Y395" i="41"/>
  <c r="Y398" i="41" s="1"/>
  <c r="X396" i="41"/>
  <c r="X398" i="41"/>
  <c r="AA393" i="41"/>
  <c r="AB393" i="41"/>
  <c r="AB314" i="41"/>
  <c r="AA133" i="41"/>
  <c r="AA146" i="41" s="1"/>
  <c r="AA389" i="41" s="1"/>
  <c r="AB99" i="41"/>
  <c r="AA99" i="41"/>
  <c r="X174" i="41"/>
  <c r="AA196" i="41"/>
  <c r="AB344" i="41"/>
  <c r="AB347" i="41" s="1"/>
  <c r="AB353" i="41" s="1"/>
  <c r="AB430" i="41" s="1"/>
  <c r="AB321" i="41"/>
  <c r="AB327" i="41" s="1"/>
  <c r="AA347" i="41"/>
  <c r="AA353" i="41" s="1"/>
  <c r="AA430" i="41" s="1"/>
  <c r="AA345" i="41"/>
  <c r="Y358" i="41"/>
  <c r="Y363" i="41" s="1"/>
  <c r="Y361" i="41" s="1"/>
  <c r="Z330" i="41"/>
  <c r="Z423" i="41" s="1"/>
  <c r="Z356" i="41"/>
  <c r="Z431" i="41" s="1"/>
  <c r="AA254" i="41"/>
  <c r="AA419" i="41" s="1"/>
  <c r="AA277" i="41"/>
  <c r="AA426" i="41" s="1"/>
  <c r="AA428" i="41" s="1"/>
  <c r="Z280" i="41"/>
  <c r="Z427" i="41" s="1"/>
  <c r="Z278" i="41"/>
  <c r="AB254" i="41"/>
  <c r="AB419" i="41" s="1"/>
  <c r="AB277" i="41"/>
  <c r="AB426" i="41" s="1"/>
  <c r="Y171" i="41"/>
  <c r="Z170" i="41"/>
  <c r="AA164" i="41"/>
  <c r="AB164" i="41"/>
  <c r="Z384" i="41"/>
  <c r="AB109" i="41"/>
  <c r="AB122" i="41" s="1"/>
  <c r="AB383" i="41" s="1"/>
  <c r="AA314" i="41"/>
  <c r="O443" i="41"/>
  <c r="AA374" i="41"/>
  <c r="J65" i="2"/>
  <c r="J9" i="2" s="1"/>
  <c r="J82" i="2"/>
  <c r="I20" i="11" s="1"/>
  <c r="I25" i="11" s="1"/>
  <c r="J69" i="2"/>
  <c r="J17" i="2" s="1"/>
  <c r="J73" i="2"/>
  <c r="J28" i="2" s="1"/>
  <c r="X367" i="41"/>
  <c r="X369" i="41"/>
  <c r="N176" i="41"/>
  <c r="M367" i="41"/>
  <c r="N367" i="41" s="1"/>
  <c r="W176" i="41"/>
  <c r="W367" i="41" s="1"/>
  <c r="AA195" i="41"/>
  <c r="AA327" i="41"/>
  <c r="Y73" i="1"/>
  <c r="Y74" i="1"/>
  <c r="Z422" i="41"/>
  <c r="Z434" i="41" s="1"/>
  <c r="V447" i="41"/>
  <c r="W401" i="41"/>
  <c r="M401" i="41"/>
  <c r="N178" i="41"/>
  <c r="M369" i="41"/>
  <c r="N369" i="41" s="1"/>
  <c r="O178" i="41"/>
  <c r="O369" i="41" s="1"/>
  <c r="P178" i="41"/>
  <c r="P369" i="41" s="1"/>
  <c r="O401" i="41"/>
  <c r="O446" i="41" s="1"/>
  <c r="J57" i="2"/>
  <c r="J60" i="2" s="1"/>
  <c r="J50" i="2"/>
  <c r="J49" i="2"/>
  <c r="AK28" i="1"/>
  <c r="H6" i="42" s="1"/>
  <c r="G11" i="2"/>
  <c r="G18" i="2" s="1"/>
  <c r="G43" i="2" s="1"/>
  <c r="F42" i="11"/>
  <c r="Y435" i="41"/>
  <c r="AB380" i="41"/>
  <c r="AB51" i="41"/>
  <c r="AA412" i="41"/>
  <c r="AA228" i="41"/>
  <c r="AA380" i="41"/>
  <c r="AA51" i="41"/>
  <c r="Q36" i="41"/>
  <c r="AB196" i="41"/>
  <c r="AB197" i="41"/>
  <c r="AB195" i="41"/>
  <c r="AK52" i="1"/>
  <c r="AK61" i="1"/>
  <c r="AK66" i="1"/>
  <c r="AB406" i="41"/>
  <c r="AB290" i="41"/>
  <c r="AB303" i="41" s="1"/>
  <c r="AB319" i="41"/>
  <c r="Z381" i="41"/>
  <c r="AA418" i="41"/>
  <c r="AA420" i="41" s="1"/>
  <c r="AA252" i="41"/>
  <c r="R213" i="41"/>
  <c r="N381" i="41"/>
  <c r="AB412" i="41"/>
  <c r="AB228" i="41"/>
  <c r="R415" i="41"/>
  <c r="S303" i="41"/>
  <c r="AA383" i="41"/>
  <c r="AA123" i="41"/>
  <c r="AA415" i="41"/>
  <c r="AA416" i="41" s="1"/>
  <c r="AA304" i="41"/>
  <c r="W399" i="41"/>
  <c r="Q107" i="41"/>
  <c r="Q122" i="41" s="1"/>
  <c r="P380" i="41"/>
  <c r="P398" i="41" s="1"/>
  <c r="P51" i="41"/>
  <c r="Z389" i="41"/>
  <c r="Z147" i="41"/>
  <c r="AB418" i="41"/>
  <c r="AB252" i="41"/>
  <c r="AB386" i="41"/>
  <c r="AB75" i="41"/>
  <c r="Z413" i="41"/>
  <c r="AA386" i="41"/>
  <c r="AA387" i="41" s="1"/>
  <c r="AA75" i="41"/>
  <c r="V73" i="1"/>
  <c r="V74" i="1"/>
  <c r="AB428" i="41" l="1"/>
  <c r="O78" i="11"/>
  <c r="P36" i="2" s="1"/>
  <c r="O31" i="11"/>
  <c r="AU11" i="1"/>
  <c r="L48" i="2" s="1"/>
  <c r="L63" i="2" s="1"/>
  <c r="L7" i="2" s="1"/>
  <c r="L57" i="2" s="1"/>
  <c r="L60" i="2" s="1"/>
  <c r="AB7" i="1"/>
  <c r="AB11" i="1" s="1"/>
  <c r="AB8" i="1"/>
  <c r="AZ8" i="1"/>
  <c r="AZ7" i="1"/>
  <c r="Y441" i="41"/>
  <c r="K65" i="2"/>
  <c r="K9" i="2" s="1"/>
  <c r="K97" i="2"/>
  <c r="K69" i="2"/>
  <c r="K17" i="2" s="1"/>
  <c r="K63" i="2"/>
  <c r="K7" i="2" s="1"/>
  <c r="J13" i="11" s="1"/>
  <c r="K73" i="2"/>
  <c r="K28" i="2" s="1"/>
  <c r="AP16" i="1"/>
  <c r="AP28" i="1" s="1"/>
  <c r="I6" i="42" s="1"/>
  <c r="I7" i="42" s="1"/>
  <c r="W444" i="41"/>
  <c r="Y442" i="41"/>
  <c r="X442" i="41"/>
  <c r="X443" i="41" s="1"/>
  <c r="Z437" i="41"/>
  <c r="AB170" i="41"/>
  <c r="AB395" i="41" s="1"/>
  <c r="X401" i="41"/>
  <c r="X446" i="41" s="1"/>
  <c r="X399" i="41"/>
  <c r="Y178" i="41"/>
  <c r="Y176" i="41" s="1"/>
  <c r="Y367" i="41" s="1"/>
  <c r="Z173" i="41"/>
  <c r="Z395" i="41"/>
  <c r="Z396" i="41" s="1"/>
  <c r="AA147" i="41"/>
  <c r="Y396" i="41"/>
  <c r="AB345" i="41"/>
  <c r="AB123" i="41"/>
  <c r="Z358" i="41"/>
  <c r="Z363" i="41" s="1"/>
  <c r="Z361" i="41" s="1"/>
  <c r="AA330" i="41"/>
  <c r="AA423" i="41" s="1"/>
  <c r="AA356" i="41"/>
  <c r="AA431" i="41" s="1"/>
  <c r="AB330" i="41"/>
  <c r="AB356" i="41"/>
  <c r="AB431" i="41" s="1"/>
  <c r="AB280" i="41"/>
  <c r="AB427" i="41" s="1"/>
  <c r="AB278" i="41"/>
  <c r="AA280" i="41"/>
  <c r="AA427" i="41" s="1"/>
  <c r="AA278" i="41"/>
  <c r="Z171" i="41"/>
  <c r="AA170" i="41"/>
  <c r="AA384" i="41"/>
  <c r="P443" i="41"/>
  <c r="J96" i="2"/>
  <c r="K96" i="2" s="1"/>
  <c r="AB389" i="41"/>
  <c r="AB390" i="41" s="1"/>
  <c r="O176" i="41"/>
  <c r="O367" i="41" s="1"/>
  <c r="AA422" i="41"/>
  <c r="AA434" i="41" s="1"/>
  <c r="P176" i="41"/>
  <c r="P367" i="41" s="1"/>
  <c r="N443" i="41"/>
  <c r="AB147" i="41"/>
  <c r="W446" i="41"/>
  <c r="W447" i="41" s="1"/>
  <c r="M446" i="41"/>
  <c r="Z390" i="41"/>
  <c r="N401" i="41"/>
  <c r="AB420" i="41"/>
  <c r="P401" i="41"/>
  <c r="P446" i="41" s="1"/>
  <c r="Y399" i="41"/>
  <c r="Y401" i="41"/>
  <c r="Y446" i="41" s="1"/>
  <c r="J58" i="2"/>
  <c r="J61" i="2" s="1"/>
  <c r="J71" i="2"/>
  <c r="J21" i="2" s="1"/>
  <c r="J77" i="2"/>
  <c r="J30" i="2" s="1"/>
  <c r="J75" i="2"/>
  <c r="J22" i="2" s="1"/>
  <c r="AB387" i="41"/>
  <c r="R108" i="41"/>
  <c r="AB413" i="41"/>
  <c r="AB384" i="41"/>
  <c r="Q35" i="41"/>
  <c r="Q50" i="41" s="1"/>
  <c r="Q173" i="41" s="1"/>
  <c r="AA381" i="41"/>
  <c r="K54" i="2"/>
  <c r="AB381" i="41"/>
  <c r="AB415" i="41"/>
  <c r="AB416" i="41" s="1"/>
  <c r="AB304" i="41"/>
  <c r="Q383" i="41"/>
  <c r="Q123" i="41"/>
  <c r="S415" i="41"/>
  <c r="T304" i="41"/>
  <c r="Z435" i="41"/>
  <c r="S213" i="41"/>
  <c r="R212" i="41"/>
  <c r="AB422" i="41"/>
  <c r="J54" i="2"/>
  <c r="AA413" i="41"/>
  <c r="AA390" i="41"/>
  <c r="O33" i="11" l="1"/>
  <c r="BO132" i="1"/>
  <c r="AU16" i="1"/>
  <c r="AU28" i="1" s="1"/>
  <c r="J6" i="42" s="1"/>
  <c r="J7" i="42" s="1"/>
  <c r="AB173" i="41"/>
  <c r="AB178" i="41" s="1"/>
  <c r="AB176" i="41" s="1"/>
  <c r="AZ9" i="1"/>
  <c r="AZ11" i="1"/>
  <c r="AC7" i="1"/>
  <c r="AC11" i="1" s="1"/>
  <c r="AC8" i="1"/>
  <c r="BE8" i="1"/>
  <c r="BE7" i="1"/>
  <c r="J14" i="11"/>
  <c r="Z441" i="41"/>
  <c r="Y443" i="41"/>
  <c r="K57" i="2"/>
  <c r="K60" i="2" s="1"/>
  <c r="AP66" i="1"/>
  <c r="AP52" i="1"/>
  <c r="AP61" i="1"/>
  <c r="K49" i="2"/>
  <c r="K58" i="2" s="1"/>
  <c r="K61" i="2" s="1"/>
  <c r="K50" i="2"/>
  <c r="K77" i="2" s="1"/>
  <c r="K30" i="2" s="1"/>
  <c r="AA437" i="41"/>
  <c r="AB434" i="41"/>
  <c r="X444" i="41"/>
  <c r="Y369" i="41"/>
  <c r="AB398" i="41"/>
  <c r="AB401" i="41" s="1"/>
  <c r="AA173" i="41"/>
  <c r="AA178" i="41" s="1"/>
  <c r="AA176" i="41" s="1"/>
  <c r="AA395" i="41"/>
  <c r="Z398" i="41"/>
  <c r="AA358" i="41"/>
  <c r="AA363" i="41" s="1"/>
  <c r="AA361" i="41" s="1"/>
  <c r="AB358" i="41"/>
  <c r="AB171" i="41"/>
  <c r="AA171" i="41"/>
  <c r="AB16" i="1"/>
  <c r="AB28" i="1" s="1"/>
  <c r="L82" i="2"/>
  <c r="L97" i="2" s="1"/>
  <c r="L73" i="2"/>
  <c r="L28" i="2" s="1"/>
  <c r="L69" i="2"/>
  <c r="L17" i="2" s="1"/>
  <c r="L65" i="2"/>
  <c r="L9" i="2" s="1"/>
  <c r="Z178" i="41"/>
  <c r="Z369" i="41" s="1"/>
  <c r="N444" i="41"/>
  <c r="N446" i="41"/>
  <c r="N447" i="41" s="1"/>
  <c r="X447" i="41"/>
  <c r="AA7" i="1"/>
  <c r="Z7" i="1" s="1"/>
  <c r="Z11" i="1" s="1"/>
  <c r="Z17" i="1" s="1"/>
  <c r="Q178" i="41"/>
  <c r="Q369" i="41" s="1"/>
  <c r="K13" i="11"/>
  <c r="R36" i="41"/>
  <c r="S36" i="41" s="1"/>
  <c r="S35" i="41" s="1"/>
  <c r="J26" i="2"/>
  <c r="J31" i="2" s="1"/>
  <c r="J59" i="2"/>
  <c r="J62" i="2" s="1"/>
  <c r="H14" i="42"/>
  <c r="AB423" i="41"/>
  <c r="AB437" i="41" s="1"/>
  <c r="S212" i="41"/>
  <c r="R227" i="41"/>
  <c r="Z174" i="41"/>
  <c r="Q380" i="41"/>
  <c r="Q398" i="41" s="1"/>
  <c r="Q51" i="41"/>
  <c r="S108" i="41"/>
  <c r="R107" i="41"/>
  <c r="Y447" i="41"/>
  <c r="AA435" i="41"/>
  <c r="I14" i="42"/>
  <c r="AU52" i="1" l="1"/>
  <c r="AU66" i="1"/>
  <c r="AU61" i="1"/>
  <c r="L49" i="2"/>
  <c r="L58" i="2" s="1"/>
  <c r="L61" i="2" s="1"/>
  <c r="L50" i="2"/>
  <c r="L71" i="2" s="1"/>
  <c r="L21" i="2" s="1"/>
  <c r="AA174" i="41"/>
  <c r="BJ8" i="1"/>
  <c r="BJ7" i="1"/>
  <c r="AA441" i="41"/>
  <c r="Y444" i="41"/>
  <c r="BE9" i="1"/>
  <c r="BE11" i="1"/>
  <c r="K71" i="2"/>
  <c r="K21" i="2" s="1"/>
  <c r="K75" i="2"/>
  <c r="K22" i="2" s="1"/>
  <c r="Z442" i="41"/>
  <c r="Z443" i="41" s="1"/>
  <c r="AB442" i="41"/>
  <c r="AB174" i="41"/>
  <c r="AA396" i="41"/>
  <c r="AB396" i="41"/>
  <c r="AA398" i="41"/>
  <c r="Q443" i="41"/>
  <c r="AC16" i="1"/>
  <c r="AC28" i="1" s="1"/>
  <c r="AA11" i="1"/>
  <c r="H48" i="2" s="1"/>
  <c r="H83" i="2" s="1"/>
  <c r="K20" i="11"/>
  <c r="K25" i="11" s="1"/>
  <c r="L98" i="2"/>
  <c r="L96" i="2"/>
  <c r="AA367" i="41"/>
  <c r="Z176" i="41"/>
  <c r="Z367" i="41" s="1"/>
  <c r="K14" i="11"/>
  <c r="AA369" i="41"/>
  <c r="M48" i="2"/>
  <c r="M82" i="2" s="1"/>
  <c r="AZ16" i="1"/>
  <c r="AZ28" i="1" s="1"/>
  <c r="K6" i="42" s="1"/>
  <c r="AB363" i="41"/>
  <c r="AB369" i="41" s="1"/>
  <c r="Q176" i="41"/>
  <c r="Q367" i="41" s="1"/>
  <c r="AB446" i="41"/>
  <c r="Z401" i="41"/>
  <c r="Q401" i="41"/>
  <c r="Q446" i="41" s="1"/>
  <c r="R35" i="41"/>
  <c r="R50" i="41" s="1"/>
  <c r="R380" i="41" s="1"/>
  <c r="Z399" i="41"/>
  <c r="R412" i="41"/>
  <c r="S227" i="41"/>
  <c r="S358" i="41" s="1"/>
  <c r="AB435" i="41"/>
  <c r="S107" i="41"/>
  <c r="R122" i="41"/>
  <c r="L77" i="2" l="1"/>
  <c r="L30" i="2" s="1"/>
  <c r="L75" i="2"/>
  <c r="L22" i="2" s="1"/>
  <c r="L59" i="2" s="1"/>
  <c r="L62" i="2" s="1"/>
  <c r="BO8" i="1"/>
  <c r="BO7" i="1"/>
  <c r="N48" i="2"/>
  <c r="BE16" i="1"/>
  <c r="AB441" i="41"/>
  <c r="AB443" i="41" s="1"/>
  <c r="AD7" i="1"/>
  <c r="AD11" i="1" s="1"/>
  <c r="AD8" i="1"/>
  <c r="BJ11" i="1"/>
  <c r="O48" i="2" s="1"/>
  <c r="O69" i="2" s="1"/>
  <c r="O17" i="2" s="1"/>
  <c r="BJ9" i="1"/>
  <c r="I13" i="42"/>
  <c r="K26" i="2"/>
  <c r="K31" i="2" s="1"/>
  <c r="K59" i="2"/>
  <c r="K62" i="2" s="1"/>
  <c r="J15" i="11"/>
  <c r="Z444" i="41"/>
  <c r="AA442" i="41"/>
  <c r="AA443" i="41" s="1"/>
  <c r="AA444" i="41" s="1"/>
  <c r="R434" i="41"/>
  <c r="R437" i="41"/>
  <c r="AB399" i="41"/>
  <c r="R173" i="41"/>
  <c r="AA401" i="41"/>
  <c r="AA446" i="41" s="1"/>
  <c r="AB447" i="41" s="1"/>
  <c r="AA399" i="41"/>
  <c r="AA66" i="1"/>
  <c r="AA61" i="1"/>
  <c r="H63" i="2"/>
  <c r="H73" i="2"/>
  <c r="H65" i="2"/>
  <c r="H69" i="2"/>
  <c r="L54" i="2"/>
  <c r="M63" i="2"/>
  <c r="M7" i="2" s="1"/>
  <c r="M57" i="2" s="1"/>
  <c r="M60" i="2" s="1"/>
  <c r="M98" i="2"/>
  <c r="M73" i="2"/>
  <c r="M28" i="2" s="1"/>
  <c r="M69" i="2"/>
  <c r="M17" i="2" s="1"/>
  <c r="M65" i="2"/>
  <c r="M9" i="2" s="1"/>
  <c r="H49" i="2"/>
  <c r="H58" i="2" s="1"/>
  <c r="H61" i="2" s="1"/>
  <c r="H50" i="2"/>
  <c r="H75" i="2" s="1"/>
  <c r="AA52" i="1"/>
  <c r="Z28" i="1"/>
  <c r="AA28" i="1"/>
  <c r="F6" i="42" s="1"/>
  <c r="AA17" i="1"/>
  <c r="AB361" i="41"/>
  <c r="AB367" i="41" s="1"/>
  <c r="Z446" i="41"/>
  <c r="R51" i="41"/>
  <c r="S50" i="41"/>
  <c r="M49" i="2"/>
  <c r="M50" i="2"/>
  <c r="M99" i="2"/>
  <c r="L20" i="11"/>
  <c r="L25" i="11" s="1"/>
  <c r="M97" i="2"/>
  <c r="M96" i="2"/>
  <c r="R383" i="41"/>
  <c r="R398" i="41" s="1"/>
  <c r="R123" i="41"/>
  <c r="S122" i="41"/>
  <c r="J14" i="42"/>
  <c r="S412" i="41"/>
  <c r="T228" i="41"/>
  <c r="S363" i="41"/>
  <c r="K7" i="42"/>
  <c r="AZ61" i="1"/>
  <c r="AZ66" i="1"/>
  <c r="AZ52" i="1"/>
  <c r="J13" i="42" l="1"/>
  <c r="L26" i="2"/>
  <c r="L31" i="2" s="1"/>
  <c r="K15" i="11"/>
  <c r="BE28" i="1"/>
  <c r="L6" i="42" s="1"/>
  <c r="L7" i="42" s="1"/>
  <c r="M7" i="42" s="1"/>
  <c r="N7" i="42" s="1"/>
  <c r="BE52" i="1"/>
  <c r="N50" i="2"/>
  <c r="BE61" i="1"/>
  <c r="N49" i="2"/>
  <c r="N58" i="2" s="1"/>
  <c r="N61" i="2" s="1"/>
  <c r="BE66" i="1"/>
  <c r="BJ16" i="1"/>
  <c r="BJ61" i="1" s="1"/>
  <c r="N82" i="2"/>
  <c r="N98" i="2" s="1"/>
  <c r="N65" i="2"/>
  <c r="N9" i="2" s="1"/>
  <c r="N69" i="2"/>
  <c r="N17" i="2" s="1"/>
  <c r="N73" i="2"/>
  <c r="N28" i="2" s="1"/>
  <c r="N63" i="2"/>
  <c r="N7" i="2" s="1"/>
  <c r="N57" i="2" s="1"/>
  <c r="N60" i="2" s="1"/>
  <c r="BO9" i="1"/>
  <c r="BO11" i="1"/>
  <c r="AB444" i="41"/>
  <c r="S434" i="41"/>
  <c r="S437" i="41"/>
  <c r="AA447" i="41"/>
  <c r="S173" i="41"/>
  <c r="Z73" i="1"/>
  <c r="Z74" i="1"/>
  <c r="L13" i="11"/>
  <c r="R443" i="41"/>
  <c r="AD16" i="1"/>
  <c r="AD28" i="1" s="1"/>
  <c r="H94" i="2"/>
  <c r="H91" i="2"/>
  <c r="H93" i="2"/>
  <c r="H92" i="2"/>
  <c r="H57" i="2"/>
  <c r="H60" i="2" s="1"/>
  <c r="O82" i="2"/>
  <c r="O73" i="2"/>
  <c r="O28" i="2" s="1"/>
  <c r="L14" i="11"/>
  <c r="O63" i="2"/>
  <c r="O7" i="2" s="1"/>
  <c r="O57" i="2" s="1"/>
  <c r="O60" i="2" s="1"/>
  <c r="O65" i="2"/>
  <c r="O9" i="2" s="1"/>
  <c r="H71" i="2"/>
  <c r="H77" i="2"/>
  <c r="Z447" i="41"/>
  <c r="S51" i="41"/>
  <c r="R178" i="41"/>
  <c r="R176" i="41" s="1"/>
  <c r="R401" i="41"/>
  <c r="S380" i="41"/>
  <c r="T51" i="41"/>
  <c r="M77" i="2"/>
  <c r="M30" i="2" s="1"/>
  <c r="M75" i="2"/>
  <c r="M22" i="2" s="1"/>
  <c r="M71" i="2"/>
  <c r="M21" i="2" s="1"/>
  <c r="M58" i="2"/>
  <c r="M61" i="2" s="1"/>
  <c r="T413" i="41"/>
  <c r="M54" i="2"/>
  <c r="S383" i="41"/>
  <c r="S123" i="41"/>
  <c r="T123" i="41"/>
  <c r="M13" i="11" l="1"/>
  <c r="BJ52" i="1"/>
  <c r="M14" i="11"/>
  <c r="BJ28" i="1"/>
  <c r="M6" i="42" s="1"/>
  <c r="O49" i="2"/>
  <c r="O58" i="2" s="1"/>
  <c r="O61" i="2" s="1"/>
  <c r="BJ66" i="1"/>
  <c r="O50" i="2"/>
  <c r="O75" i="2" s="1"/>
  <c r="O22" i="2" s="1"/>
  <c r="N14" i="11"/>
  <c r="AE7" i="1"/>
  <c r="AE11" i="1" s="1"/>
  <c r="AE8" i="1"/>
  <c r="N100" i="2"/>
  <c r="O100" i="2" s="1"/>
  <c r="M20" i="11"/>
  <c r="N99" i="2"/>
  <c r="O99" i="2" s="1"/>
  <c r="N97" i="2"/>
  <c r="O97" i="2" s="1"/>
  <c r="N71" i="2"/>
  <c r="N21" i="2" s="1"/>
  <c r="N77" i="2"/>
  <c r="N30" i="2" s="1"/>
  <c r="N75" i="2"/>
  <c r="N22" i="2" s="1"/>
  <c r="N96" i="2"/>
  <c r="O96" i="2" s="1"/>
  <c r="S398" i="41"/>
  <c r="S443" i="41" s="1"/>
  <c r="AF8" i="1" s="1"/>
  <c r="T384" i="41"/>
  <c r="H26" i="2"/>
  <c r="H31" i="2" s="1"/>
  <c r="F13" i="42"/>
  <c r="H103" i="2"/>
  <c r="G25" i="11"/>
  <c r="H54" i="2"/>
  <c r="F14" i="42"/>
  <c r="O101" i="2"/>
  <c r="N13" i="11"/>
  <c r="N20" i="11"/>
  <c r="N25" i="11" s="1"/>
  <c r="O98" i="2"/>
  <c r="H59" i="2"/>
  <c r="H62" i="2" s="1"/>
  <c r="P48" i="2"/>
  <c r="P65" i="2" s="1"/>
  <c r="P9" i="2" s="1"/>
  <c r="BO16" i="1"/>
  <c r="S176" i="41"/>
  <c r="R367" i="41"/>
  <c r="S367" i="41" s="1"/>
  <c r="S381" i="41"/>
  <c r="S401" i="41"/>
  <c r="R446" i="41"/>
  <c r="T381" i="41"/>
  <c r="S178" i="41"/>
  <c r="R369" i="41"/>
  <c r="S369" i="41" s="1"/>
  <c r="M59" i="2"/>
  <c r="M62" i="2" s="1"/>
  <c r="M26" i="2"/>
  <c r="M31" i="2" s="1"/>
  <c r="L15" i="11"/>
  <c r="S174" i="41"/>
  <c r="T174" i="41"/>
  <c r="K13" i="42"/>
  <c r="K14" i="42"/>
  <c r="T435" i="41"/>
  <c r="O77" i="2" l="1"/>
  <c r="O30" i="2" s="1"/>
  <c r="O71" i="2"/>
  <c r="O21" i="2" s="1"/>
  <c r="O59" i="2" s="1"/>
  <c r="O62" i="2" s="1"/>
  <c r="M15" i="11"/>
  <c r="L13" i="42"/>
  <c r="N26" i="2"/>
  <c r="N31" i="2" s="1"/>
  <c r="M25" i="11"/>
  <c r="N54" i="2"/>
  <c r="L14" i="42"/>
  <c r="N59" i="2"/>
  <c r="N62" i="2" s="1"/>
  <c r="AE16" i="1"/>
  <c r="AE28" i="1" s="1"/>
  <c r="I81" i="2"/>
  <c r="F12" i="42"/>
  <c r="AA72" i="1"/>
  <c r="O54" i="2"/>
  <c r="P69" i="2"/>
  <c r="P17" i="2" s="1"/>
  <c r="O14" i="11" s="1"/>
  <c r="P63" i="2"/>
  <c r="P7" i="2" s="1"/>
  <c r="O13" i="11" s="1"/>
  <c r="P82" i="2"/>
  <c r="P98" i="2" s="1"/>
  <c r="P73" i="2"/>
  <c r="P28" i="2" s="1"/>
  <c r="AF7" i="1"/>
  <c r="S446" i="41"/>
  <c r="S447" i="41" s="1"/>
  <c r="P50" i="2"/>
  <c r="P49" i="2"/>
  <c r="BO28" i="1"/>
  <c r="N6" i="42" s="1"/>
  <c r="O6" i="42" s="1"/>
  <c r="P6" i="42" s="1"/>
  <c r="BO66" i="1"/>
  <c r="BO52" i="1"/>
  <c r="BO61" i="1"/>
  <c r="M14" i="42"/>
  <c r="S399" i="41"/>
  <c r="T399" i="41"/>
  <c r="O26" i="2" l="1"/>
  <c r="O31" i="2" s="1"/>
  <c r="M13" i="42"/>
  <c r="N15" i="11"/>
  <c r="AA73" i="1"/>
  <c r="AA74" i="1"/>
  <c r="P97" i="2"/>
  <c r="P102" i="2"/>
  <c r="P99" i="2"/>
  <c r="P57" i="2"/>
  <c r="P60" i="2" s="1"/>
  <c r="P100" i="2"/>
  <c r="O20" i="11"/>
  <c r="O25" i="11" s="1"/>
  <c r="P96" i="2"/>
  <c r="P101" i="2"/>
  <c r="T444" i="41"/>
  <c r="S444" i="41"/>
  <c r="T447" i="41"/>
  <c r="O9" i="42"/>
  <c r="O11" i="42" s="1"/>
  <c r="P58" i="2"/>
  <c r="P61" i="2" s="1"/>
  <c r="P71" i="2"/>
  <c r="P21" i="2" s="1"/>
  <c r="P75" i="2"/>
  <c r="P22" i="2" s="1"/>
  <c r="P77" i="2"/>
  <c r="P30" i="2" s="1"/>
  <c r="AF11" i="1"/>
  <c r="Q6" i="42"/>
  <c r="P9" i="42"/>
  <c r="P11" i="42" s="1"/>
  <c r="P54" i="2" l="1"/>
  <c r="I48" i="2"/>
  <c r="I73" i="2" s="1"/>
  <c r="I28" i="2" s="1"/>
  <c r="AF16" i="1"/>
  <c r="O15" i="11"/>
  <c r="P26" i="2"/>
  <c r="P31" i="2" s="1"/>
  <c r="P59" i="2"/>
  <c r="P62" i="2" s="1"/>
  <c r="N13" i="42"/>
  <c r="O13" i="42" s="1"/>
  <c r="P13" i="42" s="1"/>
  <c r="Q13" i="42" s="1"/>
  <c r="R13" i="42" s="1"/>
  <c r="N14" i="42"/>
  <c r="O14" i="42" s="1"/>
  <c r="P14" i="42" s="1"/>
  <c r="Q14" i="42" s="1"/>
  <c r="R14" i="42" s="1"/>
  <c r="R6" i="42"/>
  <c r="R9" i="42" s="1"/>
  <c r="R11" i="42" s="1"/>
  <c r="Q9" i="42"/>
  <c r="Q11" i="42" s="1"/>
  <c r="AA96" i="1"/>
  <c r="AA98" i="1" s="1"/>
  <c r="I63" i="2" l="1"/>
  <c r="I7" i="2" s="1"/>
  <c r="I13" i="11" s="1"/>
  <c r="I65" i="2"/>
  <c r="I9" i="2" s="1"/>
  <c r="I82" i="2"/>
  <c r="I95" i="2" s="1"/>
  <c r="I69" i="2"/>
  <c r="I17" i="2" s="1"/>
  <c r="I49" i="2"/>
  <c r="I50" i="2"/>
  <c r="AF61" i="1"/>
  <c r="AF52" i="1"/>
  <c r="AF66" i="1"/>
  <c r="AF28" i="1"/>
  <c r="AA33" i="1"/>
  <c r="I57" i="2" l="1"/>
  <c r="I60" i="2" s="1"/>
  <c r="H13" i="11"/>
  <c r="I14" i="11"/>
  <c r="H14" i="11"/>
  <c r="H20" i="11"/>
  <c r="I94" i="2"/>
  <c r="J94" i="2" s="1"/>
  <c r="K94" i="2" s="1"/>
  <c r="I92" i="2"/>
  <c r="J92" i="2" s="1"/>
  <c r="I93" i="2"/>
  <c r="J93" i="2" s="1"/>
  <c r="K93" i="2" s="1"/>
  <c r="L93" i="2" s="1"/>
  <c r="I91" i="2"/>
  <c r="J91" i="2" s="1"/>
  <c r="K91" i="2" s="1"/>
  <c r="Y33" i="1"/>
  <c r="Y35" i="1" s="1"/>
  <c r="J95" i="2"/>
  <c r="K95" i="2" s="1"/>
  <c r="I71" i="2"/>
  <c r="I21" i="2" s="1"/>
  <c r="I75" i="2"/>
  <c r="I22" i="2" s="1"/>
  <c r="I77" i="2"/>
  <c r="I30" i="2" s="1"/>
  <c r="I58" i="2"/>
  <c r="I61" i="2" s="1"/>
  <c r="X33" i="1"/>
  <c r="X35" i="1" s="1"/>
  <c r="G6" i="42"/>
  <c r="H7" i="42" s="1"/>
  <c r="Z33" i="1"/>
  <c r="AA116" i="1"/>
  <c r="AA117" i="1" s="1"/>
  <c r="H25" i="11" l="1"/>
  <c r="G14" i="42"/>
  <c r="G13" i="42"/>
  <c r="I103" i="2"/>
  <c r="H8" i="11" s="1"/>
  <c r="Y36" i="1"/>
  <c r="I59" i="2"/>
  <c r="I62" i="2" s="1"/>
  <c r="L91" i="2"/>
  <c r="M91" i="2" s="1"/>
  <c r="M93" i="2"/>
  <c r="N93" i="2" s="1"/>
  <c r="X36" i="1"/>
  <c r="L94" i="2"/>
  <c r="M94" i="2" s="1"/>
  <c r="K92" i="2"/>
  <c r="L92" i="2" s="1"/>
  <c r="M92" i="2" s="1"/>
  <c r="N92" i="2" s="1"/>
  <c r="I26" i="2"/>
  <c r="I31" i="2" s="1"/>
  <c r="H15" i="11"/>
  <c r="I15" i="11"/>
  <c r="L95" i="2"/>
  <c r="M95" i="2" s="1"/>
  <c r="J103" i="2"/>
  <c r="I8" i="11" s="1"/>
  <c r="G7" i="42"/>
  <c r="I54" i="2"/>
  <c r="H13" i="42"/>
  <c r="Z36" i="1"/>
  <c r="Z54" i="1" s="1"/>
  <c r="Z55" i="1" s="1"/>
  <c r="Z35" i="1"/>
  <c r="AA120" i="1"/>
  <c r="AA119" i="1"/>
  <c r="AA121" i="1" s="1"/>
  <c r="AA34" i="1" s="1"/>
  <c r="AA35" i="1" s="1"/>
  <c r="AF115" i="1"/>
  <c r="I84" i="2" l="1"/>
  <c r="I86" i="2" s="1"/>
  <c r="J81" i="2" s="1"/>
  <c r="G12" i="42"/>
  <c r="X38" i="1"/>
  <c r="X54" i="1"/>
  <c r="X55" i="1" s="1"/>
  <c r="Y38" i="1"/>
  <c r="Y54" i="1"/>
  <c r="Y55" i="1" s="1"/>
  <c r="Y39" i="1"/>
  <c r="Y46" i="1"/>
  <c r="Y48" i="1" s="1"/>
  <c r="N91" i="2"/>
  <c r="O91" i="2" s="1"/>
  <c r="P91" i="2" s="1"/>
  <c r="X46" i="1"/>
  <c r="X48" i="1" s="1"/>
  <c r="X39" i="1"/>
  <c r="K103" i="2"/>
  <c r="J8" i="11" s="1"/>
  <c r="O93" i="2"/>
  <c r="P93" i="2" s="1"/>
  <c r="N94" i="2"/>
  <c r="O94" i="2" s="1"/>
  <c r="L103" i="2"/>
  <c r="K8" i="11" s="1"/>
  <c r="M103" i="2"/>
  <c r="L8" i="11" s="1"/>
  <c r="O92" i="2"/>
  <c r="P92" i="2" s="1"/>
  <c r="N95" i="2"/>
  <c r="AA36" i="1"/>
  <c r="AA54" i="1" s="1"/>
  <c r="AA55" i="1" s="1"/>
  <c r="H51" i="2"/>
  <c r="F9" i="42" s="1"/>
  <c r="I16" i="2"/>
  <c r="AF72" i="1"/>
  <c r="J84" i="2"/>
  <c r="Z39" i="1"/>
  <c r="Z38" i="1"/>
  <c r="Z46" i="1"/>
  <c r="J86" i="2" l="1"/>
  <c r="K81" i="2" s="1"/>
  <c r="Y49" i="1"/>
  <c r="X49" i="1"/>
  <c r="AA46" i="1"/>
  <c r="N103" i="2"/>
  <c r="M8" i="11" s="1"/>
  <c r="O95" i="2"/>
  <c r="P95" i="2" s="1"/>
  <c r="P94" i="2"/>
  <c r="AA38" i="1"/>
  <c r="AA39" i="1"/>
  <c r="J16" i="2"/>
  <c r="K16" i="2" s="1"/>
  <c r="L16" i="2" s="1"/>
  <c r="M16" i="2" s="1"/>
  <c r="K84" i="2"/>
  <c r="L84" i="2"/>
  <c r="M84" i="2"/>
  <c r="AF74" i="1"/>
  <c r="AF73" i="1"/>
  <c r="AK72" i="1"/>
  <c r="H12" i="42"/>
  <c r="Z48" i="1"/>
  <c r="Z49" i="1"/>
  <c r="K86" i="2" l="1"/>
  <c r="L81" i="2" s="1"/>
  <c r="L86" i="2" s="1"/>
  <c r="M81" i="2" s="1"/>
  <c r="M86" i="2" s="1"/>
  <c r="N81" i="2" s="1"/>
  <c r="G16" i="11"/>
  <c r="G35" i="11" s="1"/>
  <c r="G38" i="11" s="1"/>
  <c r="G40" i="11" s="1"/>
  <c r="AA48" i="1"/>
  <c r="AA49" i="1"/>
  <c r="P103" i="2"/>
  <c r="O8" i="11" s="1"/>
  <c r="P84" i="2" s="1"/>
  <c r="O103" i="2"/>
  <c r="N8" i="11" s="1"/>
  <c r="O84" i="2" s="1"/>
  <c r="AK73" i="1"/>
  <c r="AK74" i="1"/>
  <c r="J12" i="42"/>
  <c r="AU72" i="1"/>
  <c r="N84" i="2"/>
  <c r="AZ72" i="1"/>
  <c r="K12" i="42"/>
  <c r="AP72" i="1"/>
  <c r="I12" i="42"/>
  <c r="H36" i="11" l="1"/>
  <c r="N86" i="2"/>
  <c r="O81" i="2" s="1"/>
  <c r="O86" i="2" s="1"/>
  <c r="P81" i="2" s="1"/>
  <c r="P86" i="2" s="1"/>
  <c r="N16" i="2"/>
  <c r="O16" i="2" s="1"/>
  <c r="P16" i="2" s="1"/>
  <c r="L12" i="42"/>
  <c r="BE72" i="1"/>
  <c r="AU74" i="1"/>
  <c r="AU73" i="1"/>
  <c r="AP73" i="1"/>
  <c r="AP74" i="1"/>
  <c r="AZ74" i="1"/>
  <c r="AZ73" i="1"/>
  <c r="M12" i="42"/>
  <c r="BJ72" i="1"/>
  <c r="N12" i="42"/>
  <c r="O12" i="42" s="1"/>
  <c r="BO72" i="1"/>
  <c r="P12" i="42" l="1"/>
  <c r="O15" i="42"/>
  <c r="BO73" i="1"/>
  <c r="BO74" i="1"/>
  <c r="BJ73" i="1"/>
  <c r="BJ74" i="1"/>
  <c r="BE73" i="1"/>
  <c r="BE74" i="1"/>
  <c r="P15" i="42" l="1"/>
  <c r="Q12" i="42"/>
  <c r="P16" i="42" l="1"/>
  <c r="Q15" i="42"/>
  <c r="R12" i="42"/>
  <c r="R15" i="42" s="1"/>
  <c r="Q16" i="42" l="1"/>
  <c r="R16" i="42"/>
  <c r="S15" i="42"/>
  <c r="S16" i="42" l="1"/>
  <c r="F11" i="42" l="1"/>
  <c r="F15" i="42" s="1"/>
  <c r="H39" i="2" l="1"/>
  <c r="H52" i="2"/>
  <c r="F16" i="42"/>
  <c r="F17" i="42"/>
  <c r="H53" i="2" l="1"/>
  <c r="H41" i="2"/>
  <c r="H11" i="2" l="1"/>
  <c r="H18" i="2" s="1"/>
  <c r="H43" i="2" s="1"/>
  <c r="G42" i="11"/>
  <c r="AF96" i="1" l="1"/>
  <c r="AF98" i="1" s="1"/>
  <c r="AF31" i="1" s="1"/>
  <c r="AF33" i="1" l="1"/>
  <c r="AF116" i="1" s="1"/>
  <c r="AF117" i="1" s="1"/>
  <c r="AD31" i="1"/>
  <c r="AD33" i="1" s="1"/>
  <c r="AC31" i="1"/>
  <c r="AC33" i="1" s="1"/>
  <c r="AB31" i="1"/>
  <c r="AB33" i="1" s="1"/>
  <c r="AC36" i="1" l="1"/>
  <c r="AC46" i="1" s="1"/>
  <c r="AC35" i="1"/>
  <c r="AB36" i="1"/>
  <c r="AB46" i="1" s="1"/>
  <c r="AB35" i="1"/>
  <c r="AD36" i="1"/>
  <c r="AD46" i="1" s="1"/>
  <c r="AD35" i="1"/>
  <c r="AE31" i="1"/>
  <c r="AE33" i="1" s="1"/>
  <c r="AF119" i="1"/>
  <c r="AF121" i="1" s="1"/>
  <c r="AF34" i="1" s="1"/>
  <c r="AF35" i="1" s="1"/>
  <c r="AF120" i="1"/>
  <c r="AK115" i="1"/>
  <c r="AC49" i="1" l="1"/>
  <c r="AC48" i="1"/>
  <c r="AB49" i="1"/>
  <c r="AB48" i="1"/>
  <c r="AD49" i="1"/>
  <c r="AD48" i="1"/>
  <c r="AD38" i="1"/>
  <c r="AD39" i="1"/>
  <c r="AE36" i="1"/>
  <c r="AE46" i="1" s="1"/>
  <c r="AE35" i="1"/>
  <c r="AB38" i="1"/>
  <c r="AB39" i="1"/>
  <c r="AC39" i="1"/>
  <c r="AC38" i="1"/>
  <c r="AF36" i="1"/>
  <c r="AF39" i="1" s="1"/>
  <c r="I51" i="2"/>
  <c r="AE49" i="1" l="1"/>
  <c r="AE48" i="1"/>
  <c r="AE39" i="1"/>
  <c r="AE38" i="1"/>
  <c r="AF54" i="1"/>
  <c r="AF55" i="1" s="1"/>
  <c r="AF46" i="1"/>
  <c r="H6" i="11" s="1"/>
  <c r="AF38" i="1"/>
  <c r="G9" i="42"/>
  <c r="H16" i="11" l="1"/>
  <c r="H35" i="11" s="1"/>
  <c r="H38" i="11" s="1"/>
  <c r="I36" i="11" s="1"/>
  <c r="AF48" i="1"/>
  <c r="AF49" i="1"/>
  <c r="I52" i="2"/>
  <c r="I38" i="2"/>
  <c r="G10" i="42"/>
  <c r="G11" i="42"/>
  <c r="G15" i="42" s="1"/>
  <c r="H40" i="11" l="1"/>
  <c r="I53" i="2"/>
  <c r="I39" i="2"/>
  <c r="I41" i="2" s="1"/>
  <c r="G17" i="42"/>
  <c r="G16" i="42"/>
  <c r="I5" i="2" l="1"/>
  <c r="C20" i="42" s="1"/>
  <c r="I11" i="2" l="1"/>
  <c r="I18" i="2" s="1"/>
  <c r="I43" i="2" s="1"/>
  <c r="H42" i="11"/>
  <c r="AK96" i="1"/>
  <c r="AK98" i="1" s="1"/>
  <c r="AK31" i="1" s="1"/>
  <c r="AK33" i="1" s="1"/>
  <c r="AK116" i="1" l="1"/>
  <c r="AK117" i="1" s="1"/>
  <c r="AK120" i="1" l="1"/>
  <c r="AP115" i="1"/>
  <c r="AK119" i="1"/>
  <c r="AK121" i="1" s="1"/>
  <c r="AK34" i="1" s="1"/>
  <c r="J51" i="2" s="1"/>
  <c r="AK36" i="1" l="1"/>
  <c r="AK35" i="1"/>
  <c r="H9" i="42"/>
  <c r="H10" i="42" l="1"/>
  <c r="H11" i="42"/>
  <c r="H15" i="42" s="1"/>
  <c r="AK54" i="1"/>
  <c r="AK55" i="1" s="1"/>
  <c r="AK46" i="1"/>
  <c r="I6" i="11" s="1"/>
  <c r="AK39" i="1"/>
  <c r="AK38" i="1"/>
  <c r="H17" i="42" l="1"/>
  <c r="H16" i="42"/>
  <c r="I16" i="11"/>
  <c r="I35" i="11" s="1"/>
  <c r="I38" i="11" s="1"/>
  <c r="AK49" i="1"/>
  <c r="AK48" i="1"/>
  <c r="I40" i="11" l="1"/>
  <c r="J36" i="11"/>
  <c r="J52" i="2"/>
  <c r="J38" i="2"/>
  <c r="J39" i="2" l="1"/>
  <c r="J41" i="2" s="1"/>
  <c r="J53" i="2"/>
  <c r="J5" i="2" l="1"/>
  <c r="J11" i="2" l="1"/>
  <c r="J18" i="2" s="1"/>
  <c r="J43" i="2" s="1"/>
  <c r="I42" i="11"/>
  <c r="AP96" i="1"/>
  <c r="AP98" i="1" s="1"/>
  <c r="AP31" i="1" s="1"/>
  <c r="AP33" i="1" s="1"/>
  <c r="AP116" i="1" l="1"/>
  <c r="AP117" i="1" s="1"/>
  <c r="AP120" i="1" l="1"/>
  <c r="AP119" i="1"/>
  <c r="AP121" i="1" s="1"/>
  <c r="AP34" i="1" s="1"/>
  <c r="K51" i="2" s="1"/>
  <c r="AU115" i="1"/>
  <c r="AP35" i="1" l="1"/>
  <c r="AP36" i="1"/>
  <c r="AP54" i="1" l="1"/>
  <c r="AP55" i="1" s="1"/>
  <c r="AP39" i="1"/>
  <c r="AP46" i="1"/>
  <c r="J6" i="11" s="1"/>
  <c r="AP38" i="1"/>
  <c r="I9" i="42"/>
  <c r="J16" i="11" l="1"/>
  <c r="J35" i="11" s="1"/>
  <c r="J38" i="11" s="1"/>
  <c r="I10" i="42"/>
  <c r="I11" i="42"/>
  <c r="I15" i="42" s="1"/>
  <c r="I16" i="42" s="1"/>
  <c r="AP48" i="1"/>
  <c r="AP49" i="1"/>
  <c r="J40" i="11" l="1"/>
  <c r="K36" i="11"/>
  <c r="K52" i="2" l="1"/>
  <c r="K38" i="2"/>
  <c r="K39" i="2" l="1"/>
  <c r="K41" i="2" s="1"/>
  <c r="K53" i="2"/>
  <c r="K5" i="2" l="1"/>
  <c r="K11" i="2" l="1"/>
  <c r="K18" i="2" s="1"/>
  <c r="K43" i="2" s="1"/>
  <c r="J42" i="11"/>
  <c r="AU96" i="1" l="1"/>
  <c r="AU98" i="1" s="1"/>
  <c r="AU31" i="1" s="1"/>
  <c r="AU33" i="1" s="1"/>
  <c r="AU116" i="1" l="1"/>
  <c r="AU117" i="1" s="1"/>
  <c r="AU119" i="1" l="1"/>
  <c r="AU121" i="1" s="1"/>
  <c r="AU34" i="1" s="1"/>
  <c r="AU120" i="1"/>
  <c r="AZ115" i="1"/>
  <c r="L51" i="2" l="1"/>
  <c r="J9" i="42" s="1"/>
  <c r="M51" i="2"/>
  <c r="K9" i="42" s="1"/>
  <c r="AU35" i="1"/>
  <c r="AU36" i="1"/>
  <c r="J10" i="42" l="1"/>
  <c r="J11" i="42"/>
  <c r="J15" i="42" s="1"/>
  <c r="AU54" i="1"/>
  <c r="AU55" i="1" s="1"/>
  <c r="AU46" i="1"/>
  <c r="K6" i="11" s="1"/>
  <c r="AU39" i="1"/>
  <c r="AU38" i="1"/>
  <c r="K10" i="42"/>
  <c r="K11" i="42"/>
  <c r="K15" i="42" s="1"/>
  <c r="K16" i="11" l="1"/>
  <c r="K35" i="11" s="1"/>
  <c r="K38" i="11" s="1"/>
  <c r="K16" i="42"/>
  <c r="AU48" i="1"/>
  <c r="AU49" i="1"/>
  <c r="J16" i="42"/>
  <c r="L36" i="11" l="1"/>
  <c r="K40" i="11"/>
  <c r="L52" i="2"/>
  <c r="L38" i="2"/>
  <c r="L53" i="2" l="1"/>
  <c r="L39" i="2"/>
  <c r="L41" i="2" s="1"/>
  <c r="L5" i="2" l="1"/>
  <c r="K42" i="11" s="1"/>
  <c r="L11" i="2" l="1"/>
  <c r="L18" i="2" s="1"/>
  <c r="L43" i="2" s="1"/>
  <c r="AZ96" i="1"/>
  <c r="AZ98" i="1" s="1"/>
  <c r="AZ31" i="1" s="1"/>
  <c r="AZ33" i="1" s="1"/>
  <c r="AZ116" i="1" s="1"/>
  <c r="AZ117" i="1" s="1"/>
  <c r="AZ119" i="1" s="1"/>
  <c r="AZ121" i="1" s="1"/>
  <c r="AZ34" i="1" s="1"/>
  <c r="AZ120" i="1" l="1"/>
  <c r="BE115" i="1"/>
  <c r="AZ36" i="1"/>
  <c r="AZ35" i="1"/>
  <c r="AZ54" i="1" l="1"/>
  <c r="AZ55" i="1" s="1"/>
  <c r="AZ39" i="1"/>
  <c r="AZ46" i="1"/>
  <c r="L6" i="11" s="1"/>
  <c r="AZ38" i="1"/>
  <c r="L16" i="11" l="1"/>
  <c r="L35" i="11" s="1"/>
  <c r="L38" i="11" s="1"/>
  <c r="AZ48" i="1"/>
  <c r="AZ49" i="1"/>
  <c r="L40" i="11" l="1"/>
  <c r="M36" i="11"/>
  <c r="M52" i="2"/>
  <c r="M38" i="2"/>
  <c r="M53" i="2" l="1"/>
  <c r="M39" i="2"/>
  <c r="M41" i="2" s="1"/>
  <c r="M5" i="2" l="1"/>
  <c r="M11" i="2" l="1"/>
  <c r="M18" i="2" s="1"/>
  <c r="M43" i="2" s="1"/>
  <c r="L42" i="11"/>
  <c r="BE96" i="1"/>
  <c r="BE98" i="1" s="1"/>
  <c r="BE31" i="1" s="1"/>
  <c r="BE33" i="1" s="1"/>
  <c r="BE116" i="1" l="1"/>
  <c r="BE117" i="1" s="1"/>
  <c r="BE119" i="1" l="1"/>
  <c r="BE121" i="1" s="1"/>
  <c r="BE34" i="1" s="1"/>
  <c r="N51" i="2" s="1"/>
  <c r="BE120" i="1"/>
  <c r="BJ115" i="1"/>
  <c r="BE35" i="1" l="1"/>
  <c r="BE36" i="1"/>
  <c r="L9" i="42"/>
  <c r="L10" i="42" l="1"/>
  <c r="L11" i="42"/>
  <c r="L15" i="42" s="1"/>
  <c r="BE54" i="1"/>
  <c r="BE55" i="1" s="1"/>
  <c r="BE46" i="1"/>
  <c r="M6" i="11" s="1"/>
  <c r="BE39" i="1"/>
  <c r="BE38" i="1"/>
  <c r="M16" i="11" l="1"/>
  <c r="M35" i="11" s="1"/>
  <c r="M38" i="11" s="1"/>
  <c r="N52" i="2"/>
  <c r="N38" i="2"/>
  <c r="BE48" i="1"/>
  <c r="BE49" i="1"/>
  <c r="L16" i="42"/>
  <c r="N36" i="11" l="1"/>
  <c r="M40" i="11"/>
  <c r="N39" i="2"/>
  <c r="N41" i="2" s="1"/>
  <c r="N53" i="2"/>
  <c r="N5" i="2" l="1"/>
  <c r="N11" i="2" l="1"/>
  <c r="N18" i="2" s="1"/>
  <c r="N43" i="2" s="1"/>
  <c r="M42" i="11"/>
  <c r="BJ96" i="1"/>
  <c r="BJ98" i="1" s="1"/>
  <c r="BJ31" i="1" s="1"/>
  <c r="BJ33" i="1" s="1"/>
  <c r="BJ116" i="1" l="1"/>
  <c r="BJ117" i="1" s="1"/>
  <c r="BJ120" i="1" l="1"/>
  <c r="BJ119" i="1"/>
  <c r="BJ121" i="1" s="1"/>
  <c r="BJ34" i="1" s="1"/>
  <c r="O51" i="2" s="1"/>
  <c r="BO115" i="1"/>
  <c r="BJ36" i="1" l="1"/>
  <c r="BJ35" i="1"/>
  <c r="M9" i="42"/>
  <c r="M11" i="42" s="1"/>
  <c r="M15" i="42" s="1"/>
  <c r="M16" i="42" l="1"/>
  <c r="BJ54" i="1"/>
  <c r="BJ55" i="1" s="1"/>
  <c r="BJ39" i="1"/>
  <c r="BJ46" i="1"/>
  <c r="N6" i="11" s="1"/>
  <c r="BJ38" i="1"/>
  <c r="N16" i="11" l="1"/>
  <c r="N35" i="11" s="1"/>
  <c r="N38" i="11" s="1"/>
  <c r="BJ48" i="1"/>
  <c r="BJ49" i="1"/>
  <c r="N40" i="11" l="1"/>
  <c r="O36" i="11"/>
  <c r="O52" i="2"/>
  <c r="O38" i="2"/>
  <c r="O53" i="2" l="1"/>
  <c r="O39" i="2"/>
  <c r="O41" i="2" s="1"/>
  <c r="O5" i="2" l="1"/>
  <c r="O11" i="2" l="1"/>
  <c r="O18" i="2" s="1"/>
  <c r="O43" i="2" s="1"/>
  <c r="N42" i="11"/>
  <c r="BO96" i="1"/>
  <c r="BO98" i="1" s="1"/>
  <c r="BO31" i="1" s="1"/>
  <c r="BO33" i="1" s="1"/>
  <c r="BO116" i="1" l="1"/>
  <c r="BO117" i="1" s="1"/>
  <c r="BO119" i="1" l="1"/>
  <c r="BO121" i="1" s="1"/>
  <c r="BO34" i="1" s="1"/>
  <c r="P51" i="2" s="1"/>
  <c r="N9" i="42" s="1"/>
  <c r="N11" i="42" s="1"/>
  <c r="N15" i="42" s="1"/>
  <c r="BO120" i="1"/>
  <c r="N16" i="42" l="1"/>
  <c r="O16" i="42"/>
  <c r="BO35" i="1"/>
  <c r="BO36" i="1"/>
  <c r="BO54" i="1" l="1"/>
  <c r="BO55" i="1" s="1"/>
  <c r="BO46" i="1"/>
  <c r="O6" i="11" s="1"/>
  <c r="O16" i="11" s="1"/>
  <c r="O35" i="11" s="1"/>
  <c r="O38" i="11" s="1"/>
  <c r="BO39" i="1"/>
  <c r="BO38" i="1"/>
  <c r="O40" i="11" l="1"/>
  <c r="P52" i="2"/>
  <c r="P38" i="2"/>
  <c r="P39" i="2" s="1"/>
  <c r="P41" i="2" s="1"/>
  <c r="BO48" i="1"/>
  <c r="BO49" i="1"/>
  <c r="P53" i="2" l="1"/>
  <c r="P5" i="2" l="1"/>
  <c r="P11" i="2" l="1"/>
  <c r="P18" i="2" s="1"/>
  <c r="P43" i="2" s="1"/>
  <c r="O42" i="11"/>
  <c r="J5" i="42" l="1"/>
  <c r="J17" i="42" s="1"/>
  <c r="K5" i="42"/>
  <c r="K17" i="42" s="1"/>
  <c r="I17" i="42"/>
  <c r="L5" i="42" l="1"/>
  <c r="M5" i="42" l="1"/>
  <c r="L17" i="42"/>
  <c r="N5" i="42" l="1"/>
  <c r="M17" i="42"/>
  <c r="N17" i="42" l="1"/>
  <c r="O5" i="42"/>
  <c r="P5" i="42" l="1"/>
  <c r="O17" i="42"/>
  <c r="P17" i="42" l="1"/>
  <c r="Q5" i="42"/>
  <c r="Q17" i="42" l="1"/>
  <c r="R5" i="42"/>
  <c r="S5" i="42" l="1"/>
  <c r="S17" i="42" s="1"/>
  <c r="R17" i="42"/>
  <c r="C19" i="42" l="1"/>
  <c r="C21" i="42" s="1"/>
  <c r="C22" i="42" s="1"/>
  <c r="K2" i="41" l="1"/>
  <c r="K2" i="58"/>
</calcChain>
</file>

<file path=xl/comments1.xml><?xml version="1.0" encoding="utf-8"?>
<comments xmlns="http://schemas.openxmlformats.org/spreadsheetml/2006/main">
  <authors>
    <author>Tammannavar, Sunil (Research)</author>
    <author>Purohit, Vikram (Research)</author>
    <author>Lebowitz, David (Research)</author>
  </authors>
  <commentList>
    <comment ref="S22" authorId="0">
      <text>
        <r>
          <rPr>
            <sz val="9"/>
            <color indexed="81"/>
            <rFont val="Tahoma"/>
            <family val="2"/>
          </rPr>
          <t>Adjusted for Stock based compensation and Restructuring charges</t>
        </r>
      </text>
    </comment>
    <comment ref="T22" authorId="0">
      <text>
        <r>
          <rPr>
            <sz val="9"/>
            <color indexed="81"/>
            <rFont val="Tahoma"/>
            <family val="2"/>
          </rPr>
          <t>Adjusted for Stock based compensation and Restructuring charges</t>
        </r>
      </text>
    </comment>
    <comment ref="U22" authorId="1">
      <text>
        <r>
          <rPr>
            <sz val="9"/>
            <color indexed="81"/>
            <rFont val="Tahoma"/>
            <family val="2"/>
          </rPr>
          <t>Adjusted for Stock based compensation and Restructuring charges</t>
        </r>
      </text>
    </comment>
    <comment ref="S26" authorId="0">
      <text>
        <r>
          <rPr>
            <sz val="9"/>
            <color indexed="81"/>
            <rFont val="Tahoma"/>
            <family val="2"/>
          </rPr>
          <t>Adjusted for Stock based compensation and Restructuring charges</t>
        </r>
      </text>
    </comment>
    <comment ref="T26" authorId="0">
      <text>
        <r>
          <rPr>
            <sz val="9"/>
            <color indexed="81"/>
            <rFont val="Tahoma"/>
            <family val="2"/>
          </rPr>
          <t>Adjusted for Stock based compensation and Restructuring charges</t>
        </r>
      </text>
    </comment>
    <comment ref="U26" authorId="1">
      <text>
        <r>
          <rPr>
            <sz val="9"/>
            <color indexed="81"/>
            <rFont val="Tahoma"/>
            <family val="2"/>
          </rPr>
          <t>Adjusted for Stock based compensation and Restructuring charges</t>
        </r>
      </text>
    </comment>
    <comment ref="Y26" authorId="2">
      <text>
        <r>
          <rPr>
            <b/>
            <sz val="9"/>
            <color indexed="81"/>
            <rFont val="Tahoma"/>
            <family val="2"/>
          </rPr>
          <t xml:space="preserve">
$35M payment to BMRN excluded in non-GAAP</t>
        </r>
      </text>
    </comment>
    <comment ref="Z26" authorId="2">
      <text>
        <r>
          <rPr>
            <b/>
            <sz val="9"/>
            <color indexed="81"/>
            <rFont val="Tahoma"/>
            <family val="2"/>
          </rPr>
          <t xml:space="preserve">
$35M payment to BMRN excluded in non-GAAP</t>
        </r>
      </text>
    </comment>
    <comment ref="AA26" authorId="2">
      <text>
        <r>
          <rPr>
            <b/>
            <sz val="9"/>
            <color indexed="81"/>
            <rFont val="Tahoma"/>
            <family val="2"/>
          </rPr>
          <t xml:space="preserve">
$35M payment to BMRN excluded in non-GAAP</t>
        </r>
      </text>
    </comment>
    <comment ref="S32" authorId="0">
      <text>
        <r>
          <rPr>
            <sz val="9"/>
            <color indexed="81"/>
            <rFont val="Tahoma"/>
            <family val="2"/>
          </rPr>
          <t>Adjusted for (Gain) loss on change in warrant valuation</t>
        </r>
      </text>
    </comment>
    <comment ref="Z41" authorId="2">
      <text>
        <r>
          <rPr>
            <b/>
            <sz val="9"/>
            <color indexed="81"/>
            <rFont val="Tahoma"/>
            <family val="2"/>
          </rPr>
          <t>From 2Q17 10Q, posted after financing</t>
        </r>
      </text>
    </comment>
    <comment ref="AF110" authorId="1">
      <text>
        <r>
          <rPr>
            <b/>
            <sz val="9"/>
            <color indexed="81"/>
            <rFont val="Tahoma"/>
            <family val="2"/>
          </rPr>
          <t>Purohit, Vikram (Research):</t>
        </r>
        <r>
          <rPr>
            <sz val="9"/>
            <color indexed="81"/>
            <rFont val="Tahoma"/>
            <family val="2"/>
          </rPr>
          <t xml:space="preserve">
Interest payments begin in 2018</t>
        </r>
      </text>
    </comment>
  </commentList>
</comments>
</file>

<file path=xl/comments2.xml><?xml version="1.0" encoding="utf-8"?>
<comments xmlns="http://schemas.openxmlformats.org/spreadsheetml/2006/main">
  <authors>
    <author>Pommer, Matthew S (Research)</author>
    <author>Lebowitz, David (Research)</author>
  </authors>
  <commentList>
    <comment ref="B7" authorId="0">
      <text>
        <r>
          <rPr>
            <sz val="9"/>
            <color indexed="81"/>
            <rFont val="Tahoma"/>
            <family val="2"/>
          </rPr>
          <t xml:space="preserve">Gender split (B/G) 50/50
51/49 at birth
49/51 at death
</t>
        </r>
      </text>
    </comment>
    <comment ref="B9" authorId="1">
      <text>
        <r>
          <rPr>
            <b/>
            <sz val="9"/>
            <color indexed="81"/>
            <rFont val="Tahoma"/>
            <family val="2"/>
          </rPr>
          <t>6.4+6.6+6.6=19.6%</t>
        </r>
      </text>
    </comment>
    <comment ref="B10" authorId="1">
      <text>
        <r>
          <rPr>
            <b/>
            <sz val="9"/>
            <color indexed="81"/>
            <rFont val="Tahoma"/>
            <family val="2"/>
          </rPr>
          <t>6.8+7.1=13.8</t>
        </r>
      </text>
    </comment>
    <comment ref="B11" authorId="1">
      <text>
        <r>
          <rPr>
            <b/>
            <sz val="9"/>
            <color indexed="81"/>
            <rFont val="Tahoma"/>
            <family val="2"/>
          </rPr>
          <t>6.8+7.1=13.8</t>
        </r>
      </text>
    </comment>
    <comment ref="B13" authorId="1">
      <text>
        <r>
          <rPr>
            <b/>
            <sz val="9"/>
            <color indexed="81"/>
            <rFont val="Tahoma"/>
            <family val="2"/>
          </rPr>
          <t xml:space="preserve">1.18-1.6 per 10K
</t>
        </r>
        <r>
          <rPr>
            <sz val="9"/>
            <color indexed="81"/>
            <rFont val="Tahoma"/>
            <family val="2"/>
          </rPr>
          <t>Prevalence of Duchenne and Becker
Muscular Dystrophies in the United
States
Paul A. Romitti, PhDa</t>
        </r>
      </text>
    </comment>
    <comment ref="B14" authorId="1">
      <text>
        <r>
          <rPr>
            <b/>
            <sz val="9"/>
            <color indexed="81"/>
            <rFont val="Tahoma"/>
            <family val="2"/>
          </rPr>
          <t xml:space="preserve">1.18-1.6 per 10K
</t>
        </r>
        <r>
          <rPr>
            <sz val="9"/>
            <color indexed="81"/>
            <rFont val="Tahoma"/>
            <family val="2"/>
          </rPr>
          <t>Prevalence of Duchenne and Becker
Muscular Dystrophies in the United
States
Paul A. Romitti, PhDa</t>
        </r>
      </text>
    </comment>
    <comment ref="B15" authorId="1">
      <text>
        <r>
          <rPr>
            <b/>
            <sz val="9"/>
            <color indexed="81"/>
            <rFont val="Tahoma"/>
            <family val="2"/>
          </rPr>
          <t xml:space="preserve">1.18-1.6 per 10K
</t>
        </r>
        <r>
          <rPr>
            <sz val="9"/>
            <color indexed="81"/>
            <rFont val="Tahoma"/>
            <family val="2"/>
          </rPr>
          <t>Prevalence of Duchenne and Becker
Muscular Dystrophies in the United
States
Paul A. Romitti, PhDa</t>
        </r>
      </text>
    </comment>
    <comment ref="B16" authorId="1">
      <text>
        <r>
          <rPr>
            <b/>
            <sz val="9"/>
            <color indexed="81"/>
            <rFont val="Tahoma"/>
            <family val="2"/>
          </rPr>
          <t xml:space="preserve">1.18-1.6 per 10K
</t>
        </r>
        <r>
          <rPr>
            <sz val="9"/>
            <color indexed="81"/>
            <rFont val="Tahoma"/>
            <family val="2"/>
          </rPr>
          <t>Prevalence of Duchenne and Becker
Muscular Dystrophies in the United
States
Paul A. Romitti, PhDa</t>
        </r>
      </text>
    </comment>
    <comment ref="B18" authorId="0">
      <text>
        <r>
          <rPr>
            <sz val="9"/>
            <color indexed="81"/>
            <rFont val="Tahoma"/>
            <family val="2"/>
          </rPr>
          <t xml:space="preserve"> ~13% of total DMD population
</t>
        </r>
      </text>
    </comment>
    <comment ref="B19" authorId="0">
      <text>
        <r>
          <rPr>
            <sz val="9"/>
            <color indexed="81"/>
            <rFont val="Tahoma"/>
            <family val="2"/>
          </rPr>
          <t xml:space="preserve">~8% of DMD population
</t>
        </r>
      </text>
    </comment>
    <comment ref="B20" authorId="0">
      <text>
        <r>
          <rPr>
            <sz val="9"/>
            <color indexed="81"/>
            <rFont val="Tahoma"/>
            <family val="2"/>
          </rPr>
          <t xml:space="preserve">~8% of DMD population
</t>
        </r>
      </text>
    </comment>
    <comment ref="B41" authorId="1">
      <text>
        <r>
          <rPr>
            <b/>
            <sz val="9"/>
            <color indexed="81"/>
            <rFont val="Tahoma"/>
            <family val="2"/>
          </rPr>
          <t>$300K/yr for 25kg patient, per mgt after launch</t>
        </r>
      </text>
    </comment>
    <comment ref="K173" authorId="1">
      <text>
        <r>
          <rPr>
            <b/>
            <sz val="9"/>
            <color indexed="81"/>
            <rFont val="Tahoma"/>
            <family val="2"/>
          </rPr>
          <t>Recorded sales of $35M included $2m that were pulled forward from 3Q</t>
        </r>
      </text>
    </comment>
    <comment ref="L173" authorId="1">
      <text>
        <r>
          <rPr>
            <b/>
            <sz val="9"/>
            <color indexed="81"/>
            <rFont val="Tahoma"/>
            <family val="2"/>
          </rPr>
          <t>Recorded sales of $46M excluded $2M that were booked in 2Q17</t>
        </r>
      </text>
    </comment>
    <comment ref="B184" authorId="0">
      <text>
        <r>
          <rPr>
            <sz val="9"/>
            <color indexed="81"/>
            <rFont val="Tahoma"/>
            <family val="2"/>
          </rPr>
          <t xml:space="preserve">Gender split (B/G) 50/50
51/49 at birth
49/51 at death
</t>
        </r>
      </text>
    </comment>
    <comment ref="B186" authorId="1">
      <text>
        <r>
          <rPr>
            <b/>
            <sz val="9"/>
            <color indexed="81"/>
            <rFont val="Tahoma"/>
            <family val="2"/>
          </rPr>
          <t>6.4+6.6+6.6=19.6%</t>
        </r>
      </text>
    </comment>
    <comment ref="B187" authorId="1">
      <text>
        <r>
          <rPr>
            <b/>
            <sz val="9"/>
            <color indexed="81"/>
            <rFont val="Tahoma"/>
            <family val="2"/>
          </rPr>
          <t>6.8+7.1=13.8</t>
        </r>
      </text>
    </comment>
    <comment ref="B188" authorId="1">
      <text>
        <r>
          <rPr>
            <b/>
            <sz val="9"/>
            <color indexed="81"/>
            <rFont val="Tahoma"/>
            <family val="2"/>
          </rPr>
          <t>6.8+7.1=13.8</t>
        </r>
      </text>
    </comment>
    <comment ref="B190" authorId="1">
      <text>
        <r>
          <rPr>
            <b/>
            <sz val="9"/>
            <color indexed="81"/>
            <rFont val="Tahoma"/>
            <family val="2"/>
          </rPr>
          <t xml:space="preserve">1.18-1.6 per 10K
</t>
        </r>
        <r>
          <rPr>
            <sz val="9"/>
            <color indexed="81"/>
            <rFont val="Tahoma"/>
            <family val="2"/>
          </rPr>
          <t>Prevalence of Duchenne and Becker
Muscular Dystrophies in the United
States
Paul A. Romitti, PhDa</t>
        </r>
      </text>
    </comment>
    <comment ref="B191" authorId="1">
      <text>
        <r>
          <rPr>
            <b/>
            <sz val="9"/>
            <color indexed="81"/>
            <rFont val="Tahoma"/>
            <family val="2"/>
          </rPr>
          <t xml:space="preserve">1.18-1.6 per 10K
</t>
        </r>
        <r>
          <rPr>
            <sz val="9"/>
            <color indexed="81"/>
            <rFont val="Tahoma"/>
            <family val="2"/>
          </rPr>
          <t>Prevalence of Duchenne and Becker
Muscular Dystrophies in the United
States
Paul A. Romitti, PhDa</t>
        </r>
      </text>
    </comment>
    <comment ref="B192" authorId="1">
      <text>
        <r>
          <rPr>
            <b/>
            <sz val="9"/>
            <color indexed="81"/>
            <rFont val="Tahoma"/>
            <family val="2"/>
          </rPr>
          <t xml:space="preserve">1.18-1.6 per 10K
</t>
        </r>
        <r>
          <rPr>
            <sz val="9"/>
            <color indexed="81"/>
            <rFont val="Tahoma"/>
            <family val="2"/>
          </rPr>
          <t>Prevalence of Duchenne and Becker
Muscular Dystrophies in the United
States
Paul A. Romitti, PhDa</t>
        </r>
      </text>
    </comment>
    <comment ref="B193" authorId="1">
      <text>
        <r>
          <rPr>
            <b/>
            <sz val="9"/>
            <color indexed="81"/>
            <rFont val="Tahoma"/>
            <family val="2"/>
          </rPr>
          <t xml:space="preserve">1.18-1.6 per 10K
</t>
        </r>
        <r>
          <rPr>
            <sz val="9"/>
            <color indexed="81"/>
            <rFont val="Tahoma"/>
            <family val="2"/>
          </rPr>
          <t>Prevalence of Duchenne and Becker
Muscular Dystrophies in the United
States
Paul A. Romitti, PhDa</t>
        </r>
      </text>
    </comment>
    <comment ref="B195" authorId="0">
      <text>
        <r>
          <rPr>
            <sz val="9"/>
            <color indexed="81"/>
            <rFont val="Tahoma"/>
            <family val="2"/>
          </rPr>
          <t xml:space="preserve"> ~13% of total DMD population
</t>
        </r>
      </text>
    </comment>
    <comment ref="B196" authorId="0">
      <text>
        <r>
          <rPr>
            <sz val="9"/>
            <color indexed="81"/>
            <rFont val="Tahoma"/>
            <family val="2"/>
          </rPr>
          <t xml:space="preserve">~8% of DMD population
</t>
        </r>
      </text>
    </comment>
    <comment ref="B197" authorId="0">
      <text>
        <r>
          <rPr>
            <sz val="9"/>
            <color indexed="81"/>
            <rFont val="Tahoma"/>
            <family val="2"/>
          </rPr>
          <t xml:space="preserve">~8% of DMD population
</t>
        </r>
      </text>
    </comment>
    <comment ref="B218" authorId="1">
      <text>
        <r>
          <rPr>
            <b/>
            <sz val="9"/>
            <color indexed="81"/>
            <rFont val="Tahoma"/>
            <family val="2"/>
          </rPr>
          <t>$300K/yr for 25kg patient, per mgt after launch</t>
        </r>
      </text>
    </comment>
    <comment ref="K398" authorId="1">
      <text>
        <r>
          <rPr>
            <b/>
            <sz val="9"/>
            <color indexed="81"/>
            <rFont val="Tahoma"/>
            <family val="2"/>
          </rPr>
          <t>Recorded sales of $35M included $2m that were pulled forward from 3Q</t>
        </r>
      </text>
    </comment>
    <comment ref="L398" authorId="1">
      <text>
        <r>
          <rPr>
            <b/>
            <sz val="9"/>
            <color indexed="81"/>
            <rFont val="Tahoma"/>
            <family val="2"/>
          </rPr>
          <t>Recorded sales of $46M excluded $2M that were booked in 2Q17</t>
        </r>
      </text>
    </comment>
    <comment ref="K443" authorId="1">
      <text>
        <r>
          <rPr>
            <b/>
            <sz val="9"/>
            <color indexed="81"/>
            <rFont val="Tahoma"/>
            <family val="2"/>
          </rPr>
          <t>Recorded sales of $35M included $2m that were pulled forward from 3Q</t>
        </r>
      </text>
    </comment>
    <comment ref="L443" authorId="1">
      <text>
        <r>
          <rPr>
            <b/>
            <sz val="9"/>
            <color indexed="81"/>
            <rFont val="Tahoma"/>
            <family val="2"/>
          </rPr>
          <t>Recorded sales of $46M excluded $2M that were booked in 2Q17</t>
        </r>
      </text>
    </comment>
  </commentList>
</comments>
</file>

<file path=xl/comments3.xml><?xml version="1.0" encoding="utf-8"?>
<comments xmlns="http://schemas.openxmlformats.org/spreadsheetml/2006/main">
  <authors>
    <author>Pommer, Matthew S (Research)</author>
    <author>Lebowitz, David (Research)</author>
  </authors>
  <commentList>
    <comment ref="B7" authorId="0">
      <text>
        <r>
          <rPr>
            <sz val="9"/>
            <color indexed="81"/>
            <rFont val="Tahoma"/>
            <family val="2"/>
          </rPr>
          <t xml:space="preserve">Gender split (B/G) 50/50
51/49 at birth
49/51 at death
</t>
        </r>
      </text>
    </comment>
    <comment ref="B9" authorId="1">
      <text>
        <r>
          <rPr>
            <b/>
            <sz val="9"/>
            <color indexed="81"/>
            <rFont val="Tahoma"/>
            <family val="2"/>
          </rPr>
          <t>6.4+6.6+6.6=19.6%</t>
        </r>
      </text>
    </comment>
    <comment ref="B10" authorId="1">
      <text>
        <r>
          <rPr>
            <b/>
            <sz val="9"/>
            <color indexed="81"/>
            <rFont val="Tahoma"/>
            <family val="2"/>
          </rPr>
          <t>6.8+7.1=13.8</t>
        </r>
      </text>
    </comment>
    <comment ref="B11" authorId="1">
      <text>
        <r>
          <rPr>
            <b/>
            <sz val="9"/>
            <color indexed="81"/>
            <rFont val="Tahoma"/>
            <family val="2"/>
          </rPr>
          <t>6.8+7.1=13.8</t>
        </r>
      </text>
    </comment>
    <comment ref="B13" authorId="1">
      <text>
        <r>
          <rPr>
            <b/>
            <sz val="9"/>
            <color indexed="81"/>
            <rFont val="Tahoma"/>
            <family val="2"/>
          </rPr>
          <t xml:space="preserve">1.18-1.6 per 10K
</t>
        </r>
        <r>
          <rPr>
            <sz val="9"/>
            <color indexed="81"/>
            <rFont val="Tahoma"/>
            <family val="2"/>
          </rPr>
          <t>Prevalence of Duchenne and Becker
Muscular Dystrophies in the United
States
Paul A. Romitti, PhDa</t>
        </r>
      </text>
    </comment>
    <comment ref="B14" authorId="1">
      <text>
        <r>
          <rPr>
            <b/>
            <sz val="9"/>
            <color indexed="81"/>
            <rFont val="Tahoma"/>
            <family val="2"/>
          </rPr>
          <t xml:space="preserve">1.18-1.6 per 10K
</t>
        </r>
        <r>
          <rPr>
            <sz val="9"/>
            <color indexed="81"/>
            <rFont val="Tahoma"/>
            <family val="2"/>
          </rPr>
          <t>Prevalence of Duchenne and Becker
Muscular Dystrophies in the United
States
Paul A. Romitti, PhDa</t>
        </r>
      </text>
    </comment>
    <comment ref="B15" authorId="1">
      <text>
        <r>
          <rPr>
            <b/>
            <sz val="9"/>
            <color indexed="81"/>
            <rFont val="Tahoma"/>
            <family val="2"/>
          </rPr>
          <t xml:space="preserve">1.18-1.6 per 10K
</t>
        </r>
        <r>
          <rPr>
            <sz val="9"/>
            <color indexed="81"/>
            <rFont val="Tahoma"/>
            <family val="2"/>
          </rPr>
          <t>Prevalence of Duchenne and Becker
Muscular Dystrophies in the United
States
Paul A. Romitti, PhDa</t>
        </r>
      </text>
    </comment>
    <comment ref="B16" authorId="1">
      <text>
        <r>
          <rPr>
            <b/>
            <sz val="9"/>
            <color indexed="81"/>
            <rFont val="Tahoma"/>
            <family val="2"/>
          </rPr>
          <t xml:space="preserve">1.18-1.6 per 10K
</t>
        </r>
        <r>
          <rPr>
            <sz val="9"/>
            <color indexed="81"/>
            <rFont val="Tahoma"/>
            <family val="2"/>
          </rPr>
          <t>Prevalence of Duchenne and Becker
Muscular Dystrophies in the United
States
Paul A. Romitti, PhDa</t>
        </r>
      </text>
    </comment>
    <comment ref="B28" authorId="1">
      <text>
        <r>
          <rPr>
            <b/>
            <sz val="9"/>
            <color indexed="81"/>
            <rFont val="Tahoma"/>
            <family val="2"/>
          </rPr>
          <t>$300K/yr for 25kg patient, per mgt after launch</t>
        </r>
      </text>
    </comment>
    <comment ref="B43" authorId="1">
      <text>
        <r>
          <rPr>
            <b/>
            <sz val="9"/>
            <color indexed="81"/>
            <rFont val="Tahoma"/>
            <family val="2"/>
          </rPr>
          <t>$300K/yr for 25kg patient, per mgt after launch</t>
        </r>
      </text>
    </comment>
    <comment ref="B53" authorId="0">
      <text>
        <r>
          <rPr>
            <sz val="9"/>
            <color indexed="81"/>
            <rFont val="Tahoma"/>
            <family val="2"/>
          </rPr>
          <t xml:space="preserve">Gender split (B/G) 50/50
51/49 at birth
49/51 at death
</t>
        </r>
      </text>
    </comment>
    <comment ref="B55" authorId="1">
      <text>
        <r>
          <rPr>
            <b/>
            <sz val="9"/>
            <color indexed="81"/>
            <rFont val="Tahoma"/>
            <family val="2"/>
          </rPr>
          <t>6.4+6.6+6.6=19.6%</t>
        </r>
      </text>
    </comment>
    <comment ref="B56" authorId="1">
      <text>
        <r>
          <rPr>
            <b/>
            <sz val="9"/>
            <color indexed="81"/>
            <rFont val="Tahoma"/>
            <family val="2"/>
          </rPr>
          <t>6.8+7.1=13.8</t>
        </r>
      </text>
    </comment>
    <comment ref="B57" authorId="1">
      <text>
        <r>
          <rPr>
            <b/>
            <sz val="9"/>
            <color indexed="81"/>
            <rFont val="Tahoma"/>
            <family val="2"/>
          </rPr>
          <t>6.8+7.1=13.8</t>
        </r>
      </text>
    </comment>
    <comment ref="B59" authorId="1">
      <text>
        <r>
          <rPr>
            <b/>
            <sz val="9"/>
            <color indexed="81"/>
            <rFont val="Tahoma"/>
            <family val="2"/>
          </rPr>
          <t xml:space="preserve">1.18-1.6 per 10K
</t>
        </r>
        <r>
          <rPr>
            <sz val="9"/>
            <color indexed="81"/>
            <rFont val="Tahoma"/>
            <family val="2"/>
          </rPr>
          <t>Prevalence of Duchenne and Becker
Muscular Dystrophies in the United
States
Paul A. Romitti, PhDa</t>
        </r>
      </text>
    </comment>
    <comment ref="B60" authorId="1">
      <text>
        <r>
          <rPr>
            <b/>
            <sz val="9"/>
            <color indexed="81"/>
            <rFont val="Tahoma"/>
            <family val="2"/>
          </rPr>
          <t xml:space="preserve">1.18-1.6 per 10K
</t>
        </r>
        <r>
          <rPr>
            <sz val="9"/>
            <color indexed="81"/>
            <rFont val="Tahoma"/>
            <family val="2"/>
          </rPr>
          <t>Prevalence of Duchenne and Becker
Muscular Dystrophies in the United
States
Paul A. Romitti, PhDa</t>
        </r>
      </text>
    </comment>
    <comment ref="B61" authorId="1">
      <text>
        <r>
          <rPr>
            <b/>
            <sz val="9"/>
            <color indexed="81"/>
            <rFont val="Tahoma"/>
            <family val="2"/>
          </rPr>
          <t xml:space="preserve">1.18-1.6 per 10K
</t>
        </r>
        <r>
          <rPr>
            <sz val="9"/>
            <color indexed="81"/>
            <rFont val="Tahoma"/>
            <family val="2"/>
          </rPr>
          <t>Prevalence of Duchenne and Becker
Muscular Dystrophies in the United
States
Paul A. Romitti, PhDa</t>
        </r>
      </text>
    </comment>
    <comment ref="B62" authorId="1">
      <text>
        <r>
          <rPr>
            <b/>
            <sz val="9"/>
            <color indexed="81"/>
            <rFont val="Tahoma"/>
            <family val="2"/>
          </rPr>
          <t xml:space="preserve">1.18-1.6 per 10K
</t>
        </r>
        <r>
          <rPr>
            <sz val="9"/>
            <color indexed="81"/>
            <rFont val="Tahoma"/>
            <family val="2"/>
          </rPr>
          <t>Prevalence of Duchenne and Becker
Muscular Dystrophies in the United
States
Paul A. Romitti, PhDa</t>
        </r>
      </text>
    </comment>
    <comment ref="B74" authorId="1">
      <text>
        <r>
          <rPr>
            <b/>
            <sz val="9"/>
            <color indexed="81"/>
            <rFont val="Tahoma"/>
            <family val="2"/>
          </rPr>
          <t>$300K/yr for 25kg patient, per mgt after launch</t>
        </r>
      </text>
    </comment>
    <comment ref="B89" authorId="1">
      <text>
        <r>
          <rPr>
            <b/>
            <sz val="9"/>
            <color indexed="81"/>
            <rFont val="Tahoma"/>
            <family val="2"/>
          </rPr>
          <t>$300K/yr for 25kg patient, per mgt after launch</t>
        </r>
      </text>
    </comment>
  </commentList>
</comments>
</file>

<file path=xl/comments4.xml><?xml version="1.0" encoding="utf-8"?>
<comments xmlns="http://schemas.openxmlformats.org/spreadsheetml/2006/main">
  <authors>
    <author>Shukla, Sindhuja (Research)</author>
  </authors>
  <commentList>
    <comment ref="D25" authorId="0">
      <text>
        <r>
          <rPr>
            <sz val="9"/>
            <color indexed="81"/>
            <rFont val="Tahoma"/>
            <family val="2"/>
          </rPr>
          <t>Warrant liability: $9.006 m</t>
        </r>
      </text>
    </comment>
  </commentList>
</comments>
</file>

<file path=xl/comments5.xml><?xml version="1.0" encoding="utf-8"?>
<comments xmlns="http://schemas.openxmlformats.org/spreadsheetml/2006/main">
  <authors>
    <author>Tammannavar, Sunil (Research)</author>
  </authors>
  <commentList>
    <comment ref="E29" authorId="0">
      <text>
        <r>
          <rPr>
            <sz val="9"/>
            <color indexed="81"/>
            <rFont val="Tahoma"/>
            <family val="2"/>
          </rPr>
          <t xml:space="preserve">Proceeds from exercise of options and warrants and the sale of common stock, net of offering costs
</t>
        </r>
      </text>
    </comment>
  </commentList>
</comments>
</file>

<file path=xl/sharedStrings.xml><?xml version="1.0" encoding="utf-8"?>
<sst xmlns="http://schemas.openxmlformats.org/spreadsheetml/2006/main" count="1317" uniqueCount="818">
  <si>
    <t>2013-FY</t>
  </si>
  <si>
    <t>2014-FY</t>
  </si>
  <si>
    <t>2015-FY</t>
  </si>
  <si>
    <t>2016-FY</t>
  </si>
  <si>
    <t>2018E</t>
  </si>
  <si>
    <t>2019E</t>
  </si>
  <si>
    <t>2020E</t>
  </si>
  <si>
    <t>Revenues:</t>
  </si>
  <si>
    <t>Total Revenues</t>
  </si>
  <si>
    <t>COGS</t>
  </si>
  <si>
    <t>R&amp;D</t>
  </si>
  <si>
    <t>YoY Growth</t>
  </si>
  <si>
    <t>SG&amp;A</t>
  </si>
  <si>
    <t>Operating Income (Loss)</t>
  </si>
  <si>
    <t>Pretax Income (Loss)</t>
  </si>
  <si>
    <t>Effective Tax Rate</t>
  </si>
  <si>
    <t>Stock Compensation Expense</t>
  </si>
  <si>
    <t>% of Operating Expenses</t>
  </si>
  <si>
    <t>Shares Outstanding - Basic</t>
  </si>
  <si>
    <t>Shares Outstanding - Diluted</t>
  </si>
  <si>
    <t>GAAP Net Income</t>
  </si>
  <si>
    <t>Taxable Income</t>
  </si>
  <si>
    <t>Income taxes owed</t>
  </si>
  <si>
    <t>Income taxes paid</t>
  </si>
  <si>
    <t>Interest Income</t>
  </si>
  <si>
    <t>($ in millions)</t>
  </si>
  <si>
    <t>Assets</t>
  </si>
  <si>
    <t>Total current assets</t>
  </si>
  <si>
    <t>Property and Equipment, Net</t>
  </si>
  <si>
    <t>Total assets</t>
  </si>
  <si>
    <t>Liabilities</t>
  </si>
  <si>
    <t>Total current liabilities</t>
  </si>
  <si>
    <t>Shareholder's Equity</t>
  </si>
  <si>
    <t>Source: Company data and Morgan Stanley Research</t>
  </si>
  <si>
    <t>Existing PP&amp;E</t>
  </si>
  <si>
    <t xml:space="preserve">Stock Price (average) </t>
  </si>
  <si>
    <t>Option Balance (Beginning Year)</t>
  </si>
  <si>
    <t xml:space="preserve">   % Exercisable</t>
  </si>
  <si>
    <t>Options Cancelled</t>
  </si>
  <si>
    <t xml:space="preserve">   % Cancelled </t>
  </si>
  <si>
    <t>Options Exercised</t>
  </si>
  <si>
    <t>Weighted Average Exercise Price</t>
  </si>
  <si>
    <t>Proceeds from option</t>
  </si>
  <si>
    <t>Tax Benefit from Options</t>
  </si>
  <si>
    <t>Options Granted</t>
  </si>
  <si>
    <t xml:space="preserve">     % of Outstanding Options</t>
  </si>
  <si>
    <t>Shares Issued</t>
  </si>
  <si>
    <t>Proceeds from share issuance</t>
  </si>
  <si>
    <t>Shares Repurchased (mm)</t>
  </si>
  <si>
    <t>Share Repurchase Cost</t>
  </si>
  <si>
    <t>Total Change in APIC</t>
  </si>
  <si>
    <t>Beginning Period Shares</t>
  </si>
  <si>
    <t>End of Period Shares</t>
  </si>
  <si>
    <t xml:space="preserve">Average Shares Outstanding-basic </t>
  </si>
  <si>
    <t>Average Shares Outstanding-diluted</t>
  </si>
  <si>
    <t>Net cash provided by (used in) operating activities</t>
  </si>
  <si>
    <t>Net cash used in investing activities</t>
  </si>
  <si>
    <t>Net cash provided by financing activities</t>
  </si>
  <si>
    <t>2021E</t>
  </si>
  <si>
    <t>Discount Rate</t>
  </si>
  <si>
    <t>Terminal Growth Rate</t>
  </si>
  <si>
    <t>Net Cash</t>
  </si>
  <si>
    <t>Equity Value</t>
  </si>
  <si>
    <t>Alnylam Annual Income Statement</t>
  </si>
  <si>
    <t>Bull</t>
  </si>
  <si>
    <t>Base</t>
  </si>
  <si>
    <t>Bear</t>
  </si>
  <si>
    <t>USD</t>
  </si>
  <si>
    <t>Inventories</t>
  </si>
  <si>
    <t>2021-FY</t>
  </si>
  <si>
    <t xml:space="preserve"> </t>
  </si>
  <si>
    <t>ALNY.O,mscalc:closePriceCurrencyCalc</t>
  </si>
  <si>
    <t>ALNY.O,mscalc:sedolCodeCalc</t>
  </si>
  <si>
    <t>ALNY.O,mscalc:targetPrice,,,,USD</t>
  </si>
  <si>
    <t>2Q13</t>
  </si>
  <si>
    <t>3Q13</t>
  </si>
  <si>
    <t>4Q13</t>
  </si>
  <si>
    <t>1Q13</t>
  </si>
  <si>
    <t>1Q14</t>
  </si>
  <si>
    <t>Terminal</t>
  </si>
  <si>
    <t>Growth</t>
  </si>
  <si>
    <t>Taxes</t>
  </si>
  <si>
    <t>Tax rate</t>
  </si>
  <si>
    <t>Non-GAAP EBIT, after tax</t>
  </si>
  <si>
    <t>Plus: D&amp;A</t>
  </si>
  <si>
    <t>Plus/Less: Change in non-Cash WC</t>
  </si>
  <si>
    <t>Less: Capital expenditures</t>
  </si>
  <si>
    <t>Free Cash Flow to Firm (FCFF)</t>
  </si>
  <si>
    <t>Present Value of FCFF</t>
  </si>
  <si>
    <t>Sum of Discounted CF</t>
  </si>
  <si>
    <t>Equity Value Per Share</t>
  </si>
  <si>
    <t>Time of Valuation</t>
  </si>
  <si>
    <t>Shares Outstanding</t>
  </si>
  <si>
    <t>Scenarios</t>
  </si>
  <si>
    <t>Selector ---&gt;</t>
  </si>
  <si>
    <t>1 = Bull</t>
  </si>
  <si>
    <t>2 = Base</t>
  </si>
  <si>
    <t>3 = Bear</t>
  </si>
  <si>
    <t>2Q14</t>
  </si>
  <si>
    <t>3Q14</t>
  </si>
  <si>
    <t>4Q14</t>
  </si>
  <si>
    <t>1Q15</t>
  </si>
  <si>
    <t>2Q15</t>
  </si>
  <si>
    <t>2Q18E</t>
  </si>
  <si>
    <t>3Q18E</t>
  </si>
  <si>
    <t>4Q18E</t>
  </si>
  <si>
    <t>1Q19E</t>
  </si>
  <si>
    <t>2Q19E</t>
  </si>
  <si>
    <t>3Q19E</t>
  </si>
  <si>
    <t>4Q19E</t>
  </si>
  <si>
    <t>1Q20E</t>
  </si>
  <si>
    <t>2Q20E</t>
  </si>
  <si>
    <t>3Q20E</t>
  </si>
  <si>
    <t>4Q20E</t>
  </si>
  <si>
    <t>Costs and expenses</t>
  </si>
  <si>
    <t>Cost of product revenues/royalties</t>
  </si>
  <si>
    <t>Operating income (loss)</t>
  </si>
  <si>
    <t>G&amp;A</t>
  </si>
  <si>
    <t>Other</t>
  </si>
  <si>
    <t>GAAP EPS (basic)</t>
  </si>
  <si>
    <t>GAAP EPS (diluted)</t>
  </si>
  <si>
    <t>One-time expense</t>
  </si>
  <si>
    <t>Check</t>
  </si>
  <si>
    <t>Provision (Benefit) For Income Taxes</t>
  </si>
  <si>
    <t>Accrued expenses</t>
  </si>
  <si>
    <t>1Q21E</t>
  </si>
  <si>
    <t>2Q21E</t>
  </si>
  <si>
    <t>3Q21E</t>
  </si>
  <si>
    <t>4Q21E</t>
  </si>
  <si>
    <t>Others</t>
  </si>
  <si>
    <t>Non-GAAP R&amp;D (bull)</t>
  </si>
  <si>
    <t>Non-GAAP R&amp;D (base)</t>
  </si>
  <si>
    <t>Non-GAAP R&amp;D (bear)</t>
  </si>
  <si>
    <t xml:space="preserve">    YoY Growth (bull case)</t>
  </si>
  <si>
    <t xml:space="preserve">    YoY Growth (base case)</t>
  </si>
  <si>
    <t xml:space="preserve">    YoY Growth (bear case)</t>
  </si>
  <si>
    <t>Scenario</t>
  </si>
  <si>
    <t>Non-GAAP SG&amp;A (bull)</t>
  </si>
  <si>
    <t>Non-GAAP SG&amp;A (base)</t>
  </si>
  <si>
    <t>Non-GAAP (bear)</t>
  </si>
  <si>
    <t>Average cash &amp; investments</t>
  </si>
  <si>
    <t xml:space="preserve">  Interest rate</t>
  </si>
  <si>
    <t>Income Taxes</t>
  </si>
  <si>
    <t>Statutory tax rate</t>
  </si>
  <si>
    <t>NOL carryforwards</t>
  </si>
  <si>
    <t>Pretax Income</t>
  </si>
  <si>
    <t>Ending NOL</t>
  </si>
  <si>
    <t>Depreciation &amp; Amortization</t>
  </si>
  <si>
    <t>EBITDA (GAAP)</t>
  </si>
  <si>
    <t>EBITDA (Non-GAAP)</t>
  </si>
  <si>
    <t>Revenues</t>
  </si>
  <si>
    <t>Operating expenses</t>
  </si>
  <si>
    <t>NI</t>
  </si>
  <si>
    <t>Operating CF</t>
  </si>
  <si>
    <t>Capex</t>
  </si>
  <si>
    <t>Operating Activity</t>
  </si>
  <si>
    <t>AR Turnover (Total Sales / AR)</t>
  </si>
  <si>
    <t>Inventory Turnover (COGS / Inv)</t>
  </si>
  <si>
    <t>AP &amp; Accrued Liabilities Turnover (COGS / AP &amp; Accrued Liabilities)</t>
  </si>
  <si>
    <t>Days Sales Outstanding</t>
  </si>
  <si>
    <t>Days inventory outstanding</t>
  </si>
  <si>
    <t>Days payable outstanding</t>
  </si>
  <si>
    <t>Accounts receivable</t>
  </si>
  <si>
    <t xml:space="preserve">      % of revenue</t>
  </si>
  <si>
    <t xml:space="preserve">     % of revenue</t>
  </si>
  <si>
    <t>Other non-current assets</t>
  </si>
  <si>
    <t>Accounts payable</t>
  </si>
  <si>
    <t xml:space="preserve">    % operating expenses</t>
  </si>
  <si>
    <t>Deferred revenue</t>
  </si>
  <si>
    <t>Other liabilities</t>
  </si>
  <si>
    <t xml:space="preserve">  Capital expenditures, net</t>
  </si>
  <si>
    <t xml:space="preserve">  Depreciation</t>
  </si>
  <si>
    <t xml:space="preserve">  Others</t>
  </si>
  <si>
    <t>Ending Balance</t>
  </si>
  <si>
    <t xml:space="preserve">  2014 capital expenditures</t>
  </si>
  <si>
    <t xml:space="preserve">  2015 capital expenditures</t>
  </si>
  <si>
    <t xml:space="preserve">  2016 capital expenditures</t>
  </si>
  <si>
    <t xml:space="preserve">  2017 capital expenditures</t>
  </si>
  <si>
    <t xml:space="preserve">  2018 capital expenditures</t>
  </si>
  <si>
    <t xml:space="preserve">  2019 capital expenditures</t>
  </si>
  <si>
    <t xml:space="preserve">  2020 capital expenditures</t>
  </si>
  <si>
    <t xml:space="preserve"> Total depreciation</t>
  </si>
  <si>
    <t xml:space="preserve">  2021 capital expenditures</t>
  </si>
  <si>
    <t>Stock-based compensation expense</t>
  </si>
  <si>
    <t>Other non-cash items, net</t>
  </si>
  <si>
    <t>Net loss</t>
  </si>
  <si>
    <t>Adjustments to reconcile net loss to net cash used in operating activities:</t>
  </si>
  <si>
    <t>Changes in operating assets and liabilities:</t>
  </si>
  <si>
    <t>Cash Flows From Investing Activities</t>
  </si>
  <si>
    <t>Cash Flows From Financing Activities</t>
  </si>
  <si>
    <t>Purchases of property, plant and equipment</t>
  </si>
  <si>
    <t>Purchases of marketable securities</t>
  </si>
  <si>
    <t>Sale and maturities of marketable securities</t>
  </si>
  <si>
    <t>Proceeds from issuance of common stock</t>
  </si>
  <si>
    <t>Change in cash and cash equivalents</t>
  </si>
  <si>
    <t>Cash and cash equivalents at beginning of Year</t>
  </si>
  <si>
    <t>Cash and cash equivalents at end of year</t>
  </si>
  <si>
    <t>Marketable securities</t>
  </si>
  <si>
    <t>Cash and marketable securities at end of year</t>
  </si>
  <si>
    <t>Stock Options and Share Count</t>
  </si>
  <si>
    <t>Average Options Exercisable</t>
  </si>
  <si>
    <t>Weighted Average Exercise Price of exercisable</t>
  </si>
  <si>
    <t xml:space="preserve">   Statutory Tax rate</t>
  </si>
  <si>
    <t>Closing Balance</t>
  </si>
  <si>
    <t>Keyed</t>
  </si>
  <si>
    <t>Stock option exercises</t>
  </si>
  <si>
    <t>Warrant exercise</t>
  </si>
  <si>
    <t>Stock options expense</t>
  </si>
  <si>
    <t>Tax benefit from equity compensation</t>
  </si>
  <si>
    <t>Options Expense</t>
  </si>
  <si>
    <t xml:space="preserve">  % of operating expense</t>
  </si>
  <si>
    <t>Tax impact</t>
  </si>
  <si>
    <t>Net Income (non-GAAP, incl option exp)</t>
  </si>
  <si>
    <t>EPS, diluted (non-GAAP, incl option exp)</t>
  </si>
  <si>
    <t>Total liabilities</t>
  </si>
  <si>
    <t>Key Numbers</t>
  </si>
  <si>
    <t>% of revenue</t>
  </si>
  <si>
    <t>Beginning balance</t>
  </si>
  <si>
    <t>1Q22E</t>
  </si>
  <si>
    <t>2Q22E</t>
  </si>
  <si>
    <t>3Q22E</t>
  </si>
  <si>
    <t>4Q22E</t>
  </si>
  <si>
    <t>2022E</t>
  </si>
  <si>
    <t>2023E</t>
  </si>
  <si>
    <t xml:space="preserve">  2022 capital expenditures</t>
  </si>
  <si>
    <t xml:space="preserve">  2023 capital expenditures</t>
  </si>
  <si>
    <t>Stock Price</t>
  </si>
  <si>
    <t>Product sales</t>
  </si>
  <si>
    <t>1Q24E</t>
  </si>
  <si>
    <t>2Q24E</t>
  </si>
  <si>
    <t>3Q24E</t>
  </si>
  <si>
    <t>4Q24E</t>
  </si>
  <si>
    <t>2024E</t>
  </si>
  <si>
    <t>2025E</t>
  </si>
  <si>
    <t>1Q25E</t>
  </si>
  <si>
    <t>2Q25E</t>
  </si>
  <si>
    <t>3Q25E</t>
  </si>
  <si>
    <t>4Q25E</t>
  </si>
  <si>
    <t>3Q15</t>
  </si>
  <si>
    <t>4Q15</t>
  </si>
  <si>
    <t>Increase (reduction) in restricted cash</t>
  </si>
  <si>
    <t>1Q16</t>
  </si>
  <si>
    <t>2022-FY</t>
  </si>
  <si>
    <t>2023-FY</t>
  </si>
  <si>
    <t>2024-FY</t>
  </si>
  <si>
    <t>2025-FY</t>
  </si>
  <si>
    <t>MW Tags</t>
  </si>
  <si>
    <t>EOP shares</t>
  </si>
  <si>
    <t>Unrecorded goodwill from poolings, write-offs, and cumulative amortization</t>
  </si>
  <si>
    <t>ND</t>
  </si>
  <si>
    <t>Currency</t>
  </si>
  <si>
    <t>Current Stock Price</t>
  </si>
  <si>
    <t>Count</t>
  </si>
  <si>
    <t>Net Income</t>
  </si>
  <si>
    <t>EPS (basic)</t>
  </si>
  <si>
    <t>EPS (diluted)</t>
  </si>
  <si>
    <t>2Q16</t>
  </si>
  <si>
    <t>Debt</t>
  </si>
  <si>
    <t>Available principal</t>
  </si>
  <si>
    <t>Beginning of year debt</t>
  </si>
  <si>
    <t>End of year debt</t>
  </si>
  <si>
    <t>Interest rate</t>
  </si>
  <si>
    <t>Interest payments</t>
  </si>
  <si>
    <t>Other (expense) Income</t>
  </si>
  <si>
    <t>Interest income (expense)</t>
  </si>
  <si>
    <t>B00FWN1</t>
  </si>
  <si>
    <t>93</t>
  </si>
  <si>
    <t>(in $ millions or per share basis when indicated)</t>
  </si>
  <si>
    <t>SAREPTA THERAPEUTICS, INC. (NSDQ: SRPT)</t>
  </si>
  <si>
    <t>Revenues from grants and research contracts</t>
  </si>
  <si>
    <t>Short-term investments</t>
  </si>
  <si>
    <t>Restricted cash and investments</t>
  </si>
  <si>
    <t>Deferred tax assets</t>
  </si>
  <si>
    <t>Property and equipment, net</t>
  </si>
  <si>
    <t>Other assets</t>
  </si>
  <si>
    <t xml:space="preserve">Cash and cash equivalents </t>
  </si>
  <si>
    <t>Other current assets</t>
  </si>
  <si>
    <t>Short-term debt</t>
  </si>
  <si>
    <t>Other current liabilities</t>
  </si>
  <si>
    <t>Long-term debt</t>
  </si>
  <si>
    <t>Deferred revenue, net of current portion</t>
  </si>
  <si>
    <t>Other long-term liabilities</t>
  </si>
  <si>
    <t>Preferred stock</t>
  </si>
  <si>
    <t xml:space="preserve">Common stock </t>
  </si>
  <si>
    <t>Additional paid-In capital</t>
  </si>
  <si>
    <t>Accumulated other comprehensive income (loss)</t>
  </si>
  <si>
    <t>Total shareholder's equity</t>
  </si>
  <si>
    <t>Total liabilities and shareholder's equity</t>
  </si>
  <si>
    <t>Cash flows from operating activities</t>
  </si>
  <si>
    <t>Depreciation and amortization</t>
  </si>
  <si>
    <t>Accounts payable, accrued expenses, deferred revenue and other liabilties</t>
  </si>
  <si>
    <t xml:space="preserve">Other </t>
  </si>
  <si>
    <t>Proceeds from the issuance of debt</t>
  </si>
  <si>
    <t>EPS (Reported)</t>
  </si>
  <si>
    <t>GAAP Net Income (reported)</t>
  </si>
  <si>
    <t>Non-GAAP Net Income (Reported)</t>
  </si>
  <si>
    <t>Non-GAAP EPS (Reported)</t>
  </si>
  <si>
    <t>Restricted investment</t>
  </si>
  <si>
    <t>(Gain) loss on change in warrant valuation non-GAAP adjustment</t>
  </si>
  <si>
    <t>Retained earnings (accumulated deficit)</t>
  </si>
  <si>
    <t>Long Term Debt</t>
  </si>
  <si>
    <t>SRPT.O</t>
  </si>
  <si>
    <t>Sarepta Therapeutics Inc</t>
  </si>
  <si>
    <t>SRPT.O,mscalc:sedolCodeCalc</t>
  </si>
  <si>
    <t>SRPT.O,mscalc:targetPrice,,,,USD</t>
  </si>
  <si>
    <t>SRPT.O,mscalc:closePriceCurrencyCalc</t>
  </si>
  <si>
    <t>$L$2</t>
  </si>
  <si>
    <t>Bull / Base / Bear Scenarios</t>
  </si>
  <si>
    <t>US population (000s)</t>
  </si>
  <si>
    <t>Growth Y/Y (%)</t>
  </si>
  <si>
    <t>Male population (000s)</t>
  </si>
  <si>
    <t>DMD prevalence (000s)</t>
  </si>
  <si>
    <t>Price increase Y/Y</t>
  </si>
  <si>
    <t>X</t>
  </si>
  <si>
    <t>Gross-to-net discount (%)</t>
  </si>
  <si>
    <t>Compliance (%)</t>
  </si>
  <si>
    <t>Growth Y/Y</t>
  </si>
  <si>
    <t>Exon 51 amenable (000s)</t>
  </si>
  <si>
    <t>Market penetration (under 15) (%)</t>
  </si>
  <si>
    <t>D</t>
  </si>
  <si>
    <t>Exondys 51 price ($000s)</t>
  </si>
  <si>
    <t>Patient weight</t>
  </si>
  <si>
    <t>Cost per kg</t>
  </si>
  <si>
    <t>Prepaid expenses</t>
  </si>
  <si>
    <t>Proceeds from exercise of stock options + other equity</t>
  </si>
  <si>
    <t xml:space="preserve">  2024 capital expenditures</t>
  </si>
  <si>
    <t xml:space="preserve">  2025 capital expenditures</t>
  </si>
  <si>
    <t>EBIT</t>
  </si>
  <si>
    <t>2Q17</t>
  </si>
  <si>
    <t>Exon 45 amenable (000s)</t>
  </si>
  <si>
    <t>Exon 55 amenable (000s)</t>
  </si>
  <si>
    <t>Exon 51, Under 15</t>
  </si>
  <si>
    <t>Exon 51, Age 15 &amp; older</t>
  </si>
  <si>
    <t>Revenue (exon 51, under 15) ($M)</t>
  </si>
  <si>
    <t xml:space="preserve">Patient weight (exon 51, under 15) </t>
  </si>
  <si>
    <t>Exon 51 (under 15)</t>
  </si>
  <si>
    <t>Exon 51 (age 15 &amp; over)</t>
  </si>
  <si>
    <t>`</t>
  </si>
  <si>
    <t>Revenue (exon 51, age 15 &amp; over) ($M)</t>
  </si>
  <si>
    <t>DMD patients (exon 51, under 15)</t>
  </si>
  <si>
    <t>DMD patients (exon 51, age 15 &amp; older)</t>
  </si>
  <si>
    <t>Total U.S. DMD Revenue</t>
  </si>
  <si>
    <t>U.S. DMD Revenue</t>
  </si>
  <si>
    <t>Europe DMD Revenue</t>
  </si>
  <si>
    <t>EU population (000s)</t>
  </si>
  <si>
    <t>Total Europe DMD Revenue</t>
  </si>
  <si>
    <t>Total U.S. DMD revenue</t>
  </si>
  <si>
    <t>E.U. DMD Revenue</t>
  </si>
  <si>
    <t>Total E.U. DMD revenue</t>
  </si>
  <si>
    <t>Net change in equity</t>
  </si>
  <si>
    <t>3Q16</t>
  </si>
  <si>
    <t>B8DPDT7</t>
  </si>
  <si>
    <t>Male population, Under 15</t>
  </si>
  <si>
    <t>Male population, Age 15-24</t>
  </si>
  <si>
    <t>Male population, Age 24 &amp; older</t>
  </si>
  <si>
    <t>DMD prevalence, Under 15 (000s)</t>
  </si>
  <si>
    <t>DMD prevalence, Age 15-24 (000s)</t>
  </si>
  <si>
    <t>DMD prevalence, Age 24 &amp; older (000s)</t>
  </si>
  <si>
    <t>1Q17</t>
  </si>
  <si>
    <t>3Q17</t>
  </si>
  <si>
    <t>4Q17</t>
  </si>
  <si>
    <t>4Q16</t>
  </si>
  <si>
    <t>Exon 51, Under 15 (000s)</t>
  </si>
  <si>
    <t>Exon 51, Age 15 &amp; older (000s)</t>
  </si>
  <si>
    <t>Prior patients</t>
  </si>
  <si>
    <t>New patients</t>
  </si>
  <si>
    <t>Total patients</t>
  </si>
  <si>
    <t>New patient price effect</t>
  </si>
  <si>
    <t>1Q18</t>
  </si>
  <si>
    <t>2Q18</t>
  </si>
  <si>
    <t>3Q18</t>
  </si>
  <si>
    <t>4Q18</t>
  </si>
  <si>
    <t>WAC Cost per kg / week</t>
  </si>
  <si>
    <t>Market penetration (over 15) (%)</t>
  </si>
  <si>
    <t>Pipeline</t>
  </si>
  <si>
    <t>Consensus Revenue</t>
  </si>
  <si>
    <t>% BioMarin Royalty</t>
  </si>
  <si>
    <t>Total U.S. DMD Sales(net BioMarin royalty)</t>
  </si>
  <si>
    <t>% Royalty</t>
  </si>
  <si>
    <t>Total Global DMD Revenue (net BioMarin royalty)</t>
  </si>
  <si>
    <t>Total E.U. DMD Sales (net BioMarin royalty)</t>
  </si>
  <si>
    <t>Total DMD revenue (net BioMarin royalty)</t>
  </si>
  <si>
    <t>Inventory</t>
  </si>
  <si>
    <t>Restructuring/Other Expenses</t>
  </si>
  <si>
    <t>Total Europe DMD Sales (net BioMarin royalty)</t>
  </si>
  <si>
    <t>NA</t>
  </si>
  <si>
    <t>Total DMD revenue</t>
  </si>
  <si>
    <t>Biomarin royalty</t>
  </si>
  <si>
    <t>2017-CY</t>
  </si>
  <si>
    <t>2018-CY</t>
  </si>
  <si>
    <t>2019-CY</t>
  </si>
  <si>
    <t>2020-CY</t>
  </si>
  <si>
    <t>Repyaments/Issuance</t>
  </si>
  <si>
    <t>Interest rate (November 2017 $475M notes)</t>
  </si>
  <si>
    <t>Co. Guidance</t>
  </si>
  <si>
    <t>$295-$305M</t>
  </si>
  <si>
    <t>Exon 53 amenable (000s)</t>
  </si>
  <si>
    <t>Exon 45, Under 15 (000s)</t>
  </si>
  <si>
    <t>Exon 45, Age 15 &amp; older (000s)</t>
  </si>
  <si>
    <t>Exon 53, Under 15 (000s)</t>
  </si>
  <si>
    <t>Exon 45 (under 15)</t>
  </si>
  <si>
    <t>Golodirsen price ($000s)</t>
  </si>
  <si>
    <t>Exondys 51 Revenue (exon 51, under 15) ($M)</t>
  </si>
  <si>
    <t>Casimersen price ($000s)</t>
  </si>
  <si>
    <t>Exondys 51 Revenue (exon 51, age 15 &amp; over) ($M)</t>
  </si>
  <si>
    <t>Exon 53, Age 15 &amp; older (000s)</t>
  </si>
  <si>
    <t>Exon 53, Under 15</t>
  </si>
  <si>
    <t>Exon 45, Age 15 &amp; older</t>
  </si>
  <si>
    <t>Exon 53, Age 15 &amp; older</t>
  </si>
  <si>
    <t>Exon 45, Under 15</t>
  </si>
  <si>
    <t>Exon 45 (age 15 &amp; over)</t>
  </si>
  <si>
    <t>Exon 53 (age 15 &amp; over)</t>
  </si>
  <si>
    <t>Exon 53 (under 15)</t>
  </si>
  <si>
    <t>Golodirsen Revenue (exon 53, under 15) ($M)</t>
  </si>
  <si>
    <t>Casimersen Revenue (exon 45, age 15 &amp; over) ($M)</t>
  </si>
  <si>
    <t>Golodirsen Revenue (exon 53, age 15 &amp; over) ($M)</t>
  </si>
  <si>
    <t>Casimersen Revenue (exon 45,  under 15) ($M)</t>
  </si>
  <si>
    <t>Revenue (exon 53, under 15) ($M) (80% risk discount)</t>
  </si>
  <si>
    <t>Golodirsen Revenue (exon 53, under 15) ($M) (80% risk discount)</t>
  </si>
  <si>
    <t>Revenue (exon 53, age 15 &amp; over) ($M)</t>
  </si>
  <si>
    <t>Casimersen Revenue (exon 45, under 15) ($M) (80% risk discount)</t>
  </si>
  <si>
    <t>Casimersen Revenue (exon 45, under 15) ($M)</t>
  </si>
  <si>
    <t>DMD patients (exon 53, under 15)</t>
  </si>
  <si>
    <t>DMD patients (exon 53, age 15 &amp; older)</t>
  </si>
  <si>
    <t>DMD patients (exon 45, under 15)</t>
  </si>
  <si>
    <t>DMD patients (exon 45, age 15 &amp; older)</t>
  </si>
  <si>
    <t>Revenue (exon 53, under 15) ($M)</t>
  </si>
  <si>
    <t>Revenue (exon 45, under 15) ($M)</t>
  </si>
  <si>
    <t>Revenue (exon 45, age 15 &amp; over) ($M)</t>
  </si>
  <si>
    <t>Revenue (exon 53, under 15) ($M) (80% risk disc.)</t>
  </si>
  <si>
    <t>Revenue (exon 53, age 15 &amp; over) ($M) (80% risk disc.)</t>
  </si>
  <si>
    <t>Revenue (exon 45, under 15) ($M) (80% risk disc.)</t>
  </si>
  <si>
    <t>Revenue (exon 45, age 15 &amp; over) ($M) (80% risk disc.)</t>
  </si>
  <si>
    <t>DMD Gene Therapy, US</t>
  </si>
  <si>
    <t>DMD Gene Therapy, Europe</t>
  </si>
  <si>
    <t>DMD Gene Therapy Patients (under 15)</t>
  </si>
  <si>
    <t>Gross Price Per Initial Administration ($)</t>
  </si>
  <si>
    <t>Price Change %</t>
  </si>
  <si>
    <t>Net Realized Price Per Dose ($)</t>
  </si>
  <si>
    <t>Gross to Net Discount</t>
  </si>
  <si>
    <t>DMD Gene Therapy Revenue, US (under 15) ($M)</t>
  </si>
  <si>
    <t>Market penetration (age 15 &amp; older) (%)</t>
  </si>
  <si>
    <t>DMD Gene Therapy Revenue, US (age 15 &amp; older) ($M)</t>
  </si>
  <si>
    <t>DMD Gene Therapy Revenue, Europe (age 15 &amp; older) ($M)</t>
  </si>
  <si>
    <t>DMD Gene Therapy Revenue, Europe (under 15) ($M)</t>
  </si>
  <si>
    <t>Total DMD Gene Therapy Revenue ($M)</t>
  </si>
  <si>
    <t>Gene Therapy (1-yes, 2-no)?</t>
  </si>
  <si>
    <t>bull</t>
  </si>
  <si>
    <t>base</t>
  </si>
  <si>
    <t>bear</t>
  </si>
  <si>
    <t>bull - genetherapy</t>
  </si>
  <si>
    <t>base - genetherapy</t>
  </si>
  <si>
    <t>bear - genetherapy</t>
  </si>
  <si>
    <t>Exon Skipping Drugs</t>
  </si>
  <si>
    <t>Risk-adjustment</t>
  </si>
  <si>
    <t>87</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</si>
  <si>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</si>
  <si>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</si>
  <si>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</si>
  <si>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</si>
  <si>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</si>
  <si>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</si>
  <si>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</si>
  <si>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</si>
  <si>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Matthew Harrison, David Lebowitz</t>
  </si>
  <si>
    <t>Date: 13 Apr 2018</t>
  </si>
  <si>
    <t>Ticker: SRPT.O</t>
  </si>
  <si>
    <t>Stock Rating: Equal-Weight</t>
  </si>
  <si>
    <t>Industry: Biotechnology</t>
  </si>
  <si>
    <t>Industry View: In-Line</t>
  </si>
  <si>
    <t>Price as of 13 Apr 2018: 82.70</t>
  </si>
  <si>
    <t>Target Price: 87</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</si>
  <si>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</si>
  <si>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</si>
  <si>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</si>
  <si>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</si>
  <si>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Sarepta Therapeutics Inc.</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</si>
  <si>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</si>
  <si>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</si>
  <si>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</si>
  <si>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</si>
  <si>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</si>
  <si>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</si>
  <si>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</si>
  <si>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</si>
  <si>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</si>
  <si>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</si>
  <si>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</si>
  <si>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</si>
  <si>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</si>
  <si>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</si>
  <si>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</si>
  <si>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Total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</si>
  <si>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</si>
  <si>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</si>
  <si>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</si>
  <si>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</si>
  <si>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</si>
  <si>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</si>
  <si>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</si>
  <si>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</si>
  <si>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</si>
  <si>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</si>
  <si>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</si>
  <si>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</si>
  <si>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</si>
  <si>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</si>
  <si>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</si>
  <si>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</si>
  <si>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</si>
  <si>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</si>
  <si>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</si>
  <si>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</si>
  <si>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</si>
  <si>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</si>
  <si>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</si>
  <si>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</si>
  <si>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</si>
  <si>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</si>
  <si>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</si>
  <si>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</si>
  <si>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</si>
  <si>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</si>
  <si>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</si>
  <si>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</si>
  <si>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</si>
  <si>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</si>
  <si>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</si>
  <si>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</si>
  <si>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</si>
  <si>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</si>
  <si>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</si>
  <si>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</si>
  <si>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</si>
  <si>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</si>
  <si>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</si>
  <si>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</si>
  <si>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</si>
  <si>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</si>
  <si>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</si>
  <si>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</si>
  <si>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</si>
  <si>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</si>
  <si>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</si>
  <si>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</si>
  <si>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</si>
  <si>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</si>
  <si>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</si>
  <si>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</si>
  <si>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</si>
  <si>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</si>
  <si>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</si>
  <si>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</si>
  <si>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</si>
  <si>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</si>
  <si>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</si>
  <si>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</si>
  <si>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</si>
  <si>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</si>
  <si>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</si>
  <si>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</si>
  <si>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</si>
  <si>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</si>
  <si>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</si>
  <si>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</si>
  <si>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</si>
  <si>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</si>
  <si>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</si>
  <si>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</si>
  <si>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</si>
  <si>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</si>
  <si>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</si>
  <si>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</si>
  <si>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</si>
  <si>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</si>
  <si>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</si>
  <si>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</si>
  <si>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</si>
  <si>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</si>
  <si>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</si>
  <si>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</si>
  <si>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</si>
  <si>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</si>
  <si>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</si>
  <si>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</si>
  <si>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</si>
  <si>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</si>
  <si>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</si>
  <si>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</si>
  <si>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</si>
  <si>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</si>
  <si>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</si>
  <si>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</si>
  <si>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</si>
  <si>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</si>
  <si>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</si>
  <si>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</si>
  <si>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</si>
  <si>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</si>
  <si>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</si>
  <si>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</si>
  <si>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</si>
  <si>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</si>
  <si>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</si>
  <si>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</si>
  <si>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</si>
  <si>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</si>
  <si>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</si>
  <si>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</si>
  <si>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</si>
  <si>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</si>
  <si>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</si>
  <si>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</si>
  <si>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</si>
  <si>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</si>
  <si>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</si>
  <si>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</si>
  <si>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</si>
  <si>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</si>
  <si>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</si>
  <si>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</si>
  <si>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</si>
  <si>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</si>
  <si>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</si>
  <si>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</si>
  <si>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</si>
  <si>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</si>
  <si>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</si>
  <si>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</si>
  <si>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</si>
  <si>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</si>
  <si>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</si>
  <si>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</si>
  <si>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</si>
  <si>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</si>
  <si>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</si>
  <si>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</si>
  <si>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</si>
  <si>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</si>
  <si>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</si>
  <si>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</si>
  <si>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</si>
  <si>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</si>
  <si>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</si>
  <si>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</si>
  <si>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</si>
  <si>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</si>
  <si>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</si>
  <si>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</si>
  <si>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</si>
  <si>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</si>
  <si>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</si>
  <si>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</si>
  <si>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</si>
  <si>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</si>
  <si>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</si>
  <si>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</si>
  <si>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</si>
  <si>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</si>
  <si>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</si>
  <si>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</si>
  <si>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</si>
  <si>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</si>
  <si>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</si>
  <si>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</si>
  <si>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</si>
  <si>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</si>
  <si>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</si>
  <si>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</si>
  <si>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</si>
  <si>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</si>
  <si>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</si>
  <si>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</si>
  <si>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</si>
  <si>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</si>
  <si>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</si>
  <si>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</si>
  <si>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</si>
  <si>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</si>
  <si>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</si>
  <si>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</si>
  <si>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</si>
  <si>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</si>
  <si>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</si>
  <si>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</si>
  <si>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</si>
  <si>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</si>
  <si>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</si>
  <si>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</si>
  <si>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</si>
  <si>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</si>
  <si>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</si>
  <si>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</si>
  <si>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</si>
  <si>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</si>
  <si>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</si>
  <si>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</si>
  <si>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</si>
  <si>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</si>
  <si>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</si>
  <si>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</si>
  <si>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</si>
  <si>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</si>
  <si>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</si>
  <si>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</si>
  <si>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</si>
  <si>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</si>
  <si>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</si>
  <si>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</si>
  <si>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</si>
  <si>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</si>
  <si>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</si>
  <si>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</si>
  <si>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</si>
  <si>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</si>
  <si>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</si>
  <si>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</si>
  <si>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</si>
  <si>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</si>
  <si>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provided or is providing investment banking services to,</t>
  </si>
  <si>
    <t>or has an investment banking client relationship with, the following company: Sarepta Therapeutics Inc.</t>
  </si>
  <si>
    <t>In the next 3 months, Morgan Stanley expects to receive or intends to seek compensation for investment</t>
  </si>
  <si>
    <t>banking services from Sarepta Therapeutics Inc.</t>
  </si>
  <si>
    <t>As of March 29, 2018, Morgan Stanley beneficially owned 1% or more of a class of common equity</t>
  </si>
  <si>
    <t>securities of the following companies covered in Morgan Stanley Research: Sarepta Therapeutics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</si>
  <si>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</si>
  <si>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</si>
  <si>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</si>
  <si>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</si>
  <si>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</si>
  <si>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Matthew Harrison.</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</si>
  <si>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</si>
  <si>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</si>
  <si>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</si>
  <si>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</si>
  <si>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</si>
  <si>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</si>
  <si>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</si>
  <si>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</si>
  <si>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</si>
  <si>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</si>
  <si>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</si>
  <si>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</si>
  <si>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</si>
  <si>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</si>
  <si>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</si>
  <si>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</si>
  <si>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</si>
  <si>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</si>
  <si>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</si>
  <si>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</si>
  <si>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</si>
  <si>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</si>
  <si>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</si>
  <si>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</si>
  <si>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</si>
  <si>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</si>
  <si>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</si>
  <si>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</si>
  <si>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</si>
  <si>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</si>
  <si>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</si>
  <si>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</si>
  <si>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</si>
  <si>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</si>
  <si>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</si>
  <si>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</si>
  <si>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</si>
  <si>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</si>
  <si>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</si>
  <si>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</si>
  <si>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</si>
  <si>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</si>
  <si>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</si>
  <si>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</si>
  <si>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</si>
  <si>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</si>
  <si>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</si>
  <si>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</si>
  <si>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</si>
  <si>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</si>
  <si>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</si>
  <si>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</si>
  <si>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</si>
  <si>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</si>
  <si>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</si>
  <si>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</si>
  <si>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</si>
  <si>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</si>
  <si>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</si>
  <si>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</si>
  <si>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</si>
  <si>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</si>
  <si>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</si>
  <si>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</si>
  <si>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</si>
  <si>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</si>
  <si>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</si>
  <si>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</si>
  <si>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Equal-Weight / In-Line</t>
  </si>
  <si>
    <t>Regular Update</t>
  </si>
  <si>
    <t>NorthAmerica</t>
  </si>
  <si>
    <t>asante</t>
  </si>
  <si>
    <t>MSA72HLP, MSA23MLF</t>
  </si>
  <si>
    <t>L:\HEALTH\Biotech\Harrison\Models\SRPT_MH.xlsm</t>
  </si>
  <si>
    <t>[BRO MSA]</t>
  </si>
  <si>
    <t>[PRODUCT MODEL]</t>
  </si>
  <si>
    <t>[EMAIL_ALERT YES]</t>
  </si>
  <si>
    <t>[DISCIPLINE Company]</t>
  </si>
  <si>
    <t>[SUPPRESSED NO]</t>
  </si>
  <si>
    <t>[DOCDAT 2018-04-13]</t>
  </si>
  <si>
    <t>[DOCTIME 11:14]</t>
  </si>
  <si>
    <t>[PSYM SRPT.O(S&amp;P) (None)]</t>
  </si>
  <si>
    <t>[COU 1]</t>
  </si>
  <si>
    <t>[ANA MSA23MLF]</t>
  </si>
  <si>
    <t>[HL SRPT.O Model]</t>
  </si>
  <si>
    <t>[IND BIOTEC]</t>
  </si>
  <si>
    <t>[PANA MSA72HLP]</t>
  </si>
</sst>
</file>

<file path=xl/styles.xml><?xml version="1.0" encoding="utf-8"?>
<styleSheet xmlns="http://schemas.openxmlformats.org/spreadsheetml/2006/main" xmlns:mc="http://schemas.openxmlformats.org/markup-compatibility/2006" xmlns:x14ac="http://schemas.microsoft.com/office/spreadsheetml/2009/9/ac" mc:Ignorable="x14ac">
  <numFmts count="24">
    <numFmt numFmtId="5" formatCode="&quot;$&quot;#,##0_);\(&quot;$&quot;#,##0\)"/>
    <numFmt numFmtId="7" formatCode="&quot;$&quot;#,##0.00_);\(&quot;$&quot;#,##0.00\)"/>
    <numFmt numFmtId="44" formatCode="_(&quot;$&quot;* #,##0.00_);_(&quot;$&quot;* \(#,##0.00\);_(&quot;$&quot;* &quot;-&quot;??_);_(@_)"/>
    <numFmt numFmtId="43" formatCode="_(* #,##0.00_);_(* \(#,##0.00\);_(* &quot;-&quot;??_);_(@_)"/>
    <numFmt numFmtId="164" formatCode="0.0%_);\(0.0%\)"/>
    <numFmt numFmtId="165" formatCode="0%_);\(0%\)"/>
    <numFmt numFmtId="166" formatCode="0_);[Red]\(0\)"/>
    <numFmt numFmtId="167" formatCode="#,##0.0_);\(#,##0.0\)"/>
    <numFmt numFmtId="168" formatCode="_(* #,##0_);_(* \(#,##0\);_(* &quot;-&quot;??_);_(@_)"/>
    <numFmt numFmtId="169" formatCode="0.0%"/>
    <numFmt numFmtId="170" formatCode="#,##0.000_);\(#,##0.000\)"/>
    <numFmt numFmtId="171" formatCode="&quot;$&quot;#,##0.0_);\(&quot;$&quot;#,##0.0\)"/>
    <numFmt numFmtId="172" formatCode="0.0"/>
    <numFmt numFmtId="173" formatCode="0_);\(0\)"/>
    <numFmt numFmtId="174" formatCode="_(* #,##0.0_);_(* \(#,##0.0\);_(* &quot;-&quot;??_);_(@_)"/>
    <numFmt numFmtId="175" formatCode="&quot;$&quot;#,##0"/>
    <numFmt numFmtId="176" formatCode="#,##0.0"/>
    <numFmt numFmtId="177" formatCode="_(* #,##0.000_);_(* \(#,##0.000\);_(* &quot;-&quot;??_);_(@_)"/>
    <numFmt numFmtId="178" formatCode="#,##0.0_);[Red]\(#,##0.0\)"/>
    <numFmt numFmtId="179" formatCode="0.0_);[Red]\(0.0\)"/>
    <numFmt numFmtId="186" formatCode="&quot;$&quot;#,##0.0"/>
    <numFmt numFmtId="187" formatCode="_-&quot;£&quot;* #,##0.00_-;\-&quot;£&quot;* #,##0.00_-;_-&quot;£&quot;* &quot;-&quot;??_-;_-@_-"/>
    <numFmt numFmtId="188" formatCode="0_)"/>
    <numFmt numFmtId="194" formatCode="mm/dd/yy\ hh:mm"/>
  </numFmts>
  <fonts count="80">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sz val="10"/>
      <name val="Arial"/>
      <family val="2"/>
    </font>
    <font>
      <b/>
      <sz val="10"/>
      <name val="Arial"/>
      <family val="2"/>
    </font>
    <font>
      <sz val="10"/>
      <name val="MS Sans Serif"/>
      <family val="2"/>
    </font>
    <font>
      <sz val="11"/>
      <color indexed="8"/>
      <name val="Calibri"/>
      <family val="2"/>
    </font>
    <font>
      <sz val="11"/>
      <color indexed="9"/>
      <name val="Calibri"/>
      <family val="2"/>
    </font>
    <font>
      <sz val="11"/>
      <color indexed="20"/>
      <name val="Calibri"/>
      <family val="2"/>
    </font>
    <font>
      <b/>
      <sz val="10"/>
      <color indexed="8"/>
      <name val="Times New Roman"/>
      <family val="1"/>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sz val="9"/>
      <name val="Times New Roman"/>
      <family val="1"/>
    </font>
    <font>
      <sz val="10"/>
      <color indexed="8"/>
      <name val="Times New Roman"/>
      <family val="1"/>
    </font>
    <font>
      <i/>
      <sz val="8"/>
      <name val="Times New Roman"/>
      <family val="1"/>
    </font>
    <font>
      <b/>
      <sz val="18"/>
      <color indexed="62"/>
      <name val="Cambria"/>
      <family val="2"/>
    </font>
    <font>
      <b/>
      <sz val="11"/>
      <color indexed="8"/>
      <name val="Calibri"/>
      <family val="2"/>
    </font>
    <font>
      <sz val="11"/>
      <color indexed="10"/>
      <name val="Calibri"/>
      <family val="2"/>
    </font>
    <font>
      <sz val="11"/>
      <name val="Arial"/>
      <family val="2"/>
    </font>
    <font>
      <sz val="10"/>
      <color indexed="9"/>
      <name val="Arial"/>
      <family val="2"/>
    </font>
    <font>
      <sz val="10"/>
      <color indexed="8"/>
      <name val="Arial"/>
      <family val="2"/>
    </font>
    <font>
      <i/>
      <sz val="10"/>
      <name val="Arial"/>
      <family val="2"/>
    </font>
    <font>
      <sz val="11"/>
      <color theme="1"/>
      <name val="Arial"/>
      <family val="2"/>
    </font>
    <font>
      <sz val="10"/>
      <color indexed="23"/>
      <name val="Arial"/>
      <family val="2"/>
    </font>
    <font>
      <b/>
      <sz val="10"/>
      <color theme="0"/>
      <name val="Arial"/>
      <family val="2"/>
    </font>
    <font>
      <i/>
      <sz val="10"/>
      <color indexed="8"/>
      <name val="Arial"/>
      <family val="2"/>
    </font>
    <font>
      <b/>
      <sz val="10"/>
      <color indexed="8"/>
      <name val="Arial"/>
      <family val="2"/>
    </font>
    <font>
      <b/>
      <i/>
      <sz val="10"/>
      <name val="Arial"/>
      <family val="2"/>
    </font>
    <font>
      <sz val="9"/>
      <color indexed="81"/>
      <name val="Tahoma"/>
      <family val="2"/>
    </font>
    <font>
      <i/>
      <sz val="10"/>
      <color indexed="10"/>
      <name val="Arial"/>
      <family val="2"/>
    </font>
    <font>
      <sz val="8"/>
      <color indexed="22"/>
      <name val="Arial"/>
      <family val="2"/>
    </font>
    <font>
      <sz val="12"/>
      <color theme="1"/>
      <name val="Calibri"/>
      <family val="2"/>
      <scheme val="minor"/>
    </font>
    <font>
      <sz val="12"/>
      <name val="바탕체"/>
      <family val="3"/>
      <charset val="129"/>
    </font>
    <font>
      <sz val="12"/>
      <name val="바탕체"/>
      <family val="3"/>
    </font>
    <font>
      <sz val="10"/>
      <name val="Helv"/>
    </font>
    <font>
      <i/>
      <sz val="10"/>
      <color rgb="FF0070C0"/>
      <name val="Arial"/>
      <family val="2"/>
    </font>
    <font>
      <sz val="10"/>
      <color rgb="FF0070C0"/>
      <name val="Arial"/>
      <family val="2"/>
    </font>
    <font>
      <i/>
      <sz val="10"/>
      <color rgb="FFFF0000"/>
      <name val="Arial"/>
      <family val="2"/>
    </font>
    <font>
      <sz val="10"/>
      <color rgb="FFFF0000"/>
      <name val="Arial"/>
      <family val="2"/>
    </font>
    <font>
      <b/>
      <sz val="10"/>
      <color rgb="FFFF0000"/>
      <name val="Arial"/>
      <family val="2"/>
    </font>
    <font>
      <i/>
      <sz val="10"/>
      <color indexed="53"/>
      <name val="Arial"/>
      <family val="2"/>
    </font>
    <font>
      <sz val="10"/>
      <color theme="1"/>
      <name val="Arial"/>
      <family val="2"/>
    </font>
    <font>
      <b/>
      <sz val="8"/>
      <name val="Arial"/>
      <family val="2"/>
    </font>
    <font>
      <sz val="8"/>
      <color theme="1"/>
      <name val="Arial"/>
      <family val="2"/>
    </font>
    <font>
      <i/>
      <sz val="8"/>
      <name val="Arial"/>
      <family val="2"/>
    </font>
    <font>
      <b/>
      <i/>
      <sz val="11"/>
      <name val="Calibri"/>
      <family val="2"/>
      <scheme val="minor"/>
    </font>
    <font>
      <b/>
      <sz val="10"/>
      <color theme="1"/>
      <name val="Arial"/>
      <family val="2"/>
    </font>
    <font>
      <b/>
      <sz val="9"/>
      <color indexed="81"/>
      <name val="Tahoma"/>
      <family val="2"/>
    </font>
    <font>
      <sz val="10"/>
      <color rgb="FF0000FF"/>
      <name val="Arial"/>
      <family val="2"/>
    </font>
    <font>
      <i/>
      <sz val="10"/>
      <color theme="1"/>
      <name val="Arial"/>
      <family val="2"/>
    </font>
    <font>
      <b/>
      <i/>
      <sz val="10"/>
      <color theme="1"/>
      <name val="Arial"/>
      <family val="2"/>
    </font>
    <font>
      <b/>
      <i/>
      <sz val="10"/>
      <color rgb="FFFF0000"/>
      <name val="Arial"/>
      <family val="2"/>
    </font>
    <font>
      <sz val="10"/>
      <name val="Arial"/>
      <family val="2"/>
    </font>
    <font>
      <u/>
      <sz val="10"/>
      <color theme="10"/>
      <name val="Arial"/>
      <family val="2"/>
    </font>
    <font>
      <sz val="10"/>
      <color theme="0" tint="-0.14999847407452621"/>
      <name val="Arial"/>
      <family val="2"/>
    </font>
    <font>
      <u/>
      <sz val="10"/>
      <color indexed="12"/>
      <name val="Arial"/>
      <family val="2"/>
    </font>
    <font>
      <sz val="11"/>
      <color indexed="16"/>
      <name val="Calibri"/>
      <family val="2"/>
    </font>
    <font>
      <b/>
      <sz val="11"/>
      <color indexed="53"/>
      <name val="Calibri"/>
      <family val="2"/>
    </font>
    <font>
      <sz val="11"/>
      <color indexed="58"/>
      <name val="Calibri"/>
      <family val="2"/>
    </font>
    <font>
      <sz val="11"/>
      <color indexed="13"/>
      <name val="Calibri"/>
      <family val="2"/>
    </font>
    <font>
      <sz val="10.5"/>
      <name val="Frutiger 45 Light"/>
    </font>
    <font>
      <b/>
      <i/>
      <sz val="10"/>
      <color theme="8" tint="-0.249977111117893"/>
      <name val="Arial"/>
      <family val="2"/>
    </font>
    <font>
      <sz val="10"/>
      <name val="Courier"/>
      <family val="3"/>
    </font>
    <font>
      <sz val="10"/>
      <color rgb="FF000000"/>
      <name val="Arial"/>
      <family val="2"/>
    </font>
    <font>
      <b/>
      <sz val="12"/>
      <color rgb="FF000080"/>
      <name val="Arial"/>
      <family val="2"/>
    </font>
  </fonts>
  <fills count="44">
    <fill>
      <patternFill patternType="none"/>
    </fill>
    <fill>
      <patternFill patternType="gray125"/>
    </fill>
    <fill>
      <patternFill patternType="solid">
        <fgColor indexed="47"/>
      </patternFill>
    </fill>
    <fill>
      <patternFill patternType="solid">
        <fgColor indexed="29"/>
      </patternFill>
    </fill>
    <fill>
      <patternFill patternType="solid">
        <fgColor indexed="43"/>
      </patternFill>
    </fill>
    <fill>
      <patternFill patternType="solid">
        <fgColor indexed="27"/>
      </patternFill>
    </fill>
    <fill>
      <patternFill patternType="solid">
        <fgColor indexed="22"/>
      </patternFill>
    </fill>
    <fill>
      <patternFill patternType="solid">
        <fgColor indexed="44"/>
      </patternFill>
    </fill>
    <fill>
      <patternFill patternType="solid">
        <fgColor indexed="49"/>
      </patternFill>
    </fill>
    <fill>
      <patternFill patternType="solid">
        <fgColor indexed="26"/>
      </patternFill>
    </fill>
    <fill>
      <patternFill patternType="solid">
        <fgColor indexed="54"/>
      </patternFill>
    </fill>
    <fill>
      <patternFill patternType="solid">
        <fgColor indexed="45"/>
      </patternFill>
    </fill>
    <fill>
      <patternFill patternType="solid">
        <fgColor indexed="9"/>
      </patternFill>
    </fill>
    <fill>
      <patternFill patternType="solid">
        <fgColor indexed="55"/>
      </patternFill>
    </fill>
    <fill>
      <patternFill patternType="solid">
        <fgColor indexed="42"/>
      </patternFill>
    </fill>
    <fill>
      <patternFill patternType="solid">
        <fgColor indexed="43"/>
        <bgColor indexed="64"/>
      </patternFill>
    </fill>
    <fill>
      <patternFill patternType="solid">
        <fgColor indexed="9"/>
        <bgColor indexed="64"/>
      </patternFill>
    </fill>
    <fill>
      <patternFill patternType="solid">
        <fgColor indexed="22"/>
        <bgColor indexed="64"/>
      </patternFill>
    </fill>
    <fill>
      <patternFill patternType="solid">
        <fgColor theme="0"/>
        <bgColor indexed="64"/>
      </patternFill>
    </fill>
    <fill>
      <patternFill patternType="solid">
        <fgColor indexed="65"/>
        <bgColor indexed="64"/>
      </patternFill>
    </fill>
    <fill>
      <patternFill patternType="solid">
        <fgColor theme="0" tint="-0.14999847407452621"/>
        <bgColor indexed="64"/>
      </patternFill>
    </fill>
    <fill>
      <patternFill patternType="solid">
        <fgColor rgb="FFFFFF00"/>
        <bgColor indexed="64"/>
      </patternFill>
    </fill>
    <fill>
      <patternFill patternType="solid">
        <fgColor rgb="FFFFFF99"/>
        <bgColor indexed="64"/>
      </patternFill>
    </fill>
    <fill>
      <patternFill patternType="solid">
        <fgColor rgb="FFFFFFFF"/>
        <bgColor indexed="64"/>
      </patternFill>
    </fill>
    <fill>
      <patternFill patternType="solid">
        <fgColor rgb="FFBFEBFF"/>
        <bgColor indexed="64"/>
      </patternFill>
    </fill>
    <fill>
      <patternFill patternType="solid">
        <fgColor rgb="FF006393"/>
        <bgColor indexed="64"/>
      </patternFill>
    </fill>
    <fill>
      <patternFill patternType="solid">
        <fgColor theme="0" tint="-0.249977111117893"/>
        <bgColor indexed="64"/>
      </patternFill>
    </fill>
    <fill>
      <patternFill patternType="solid">
        <fgColor rgb="FFF2F2F2"/>
        <bgColor indexed="64"/>
      </patternFill>
    </fill>
    <fill>
      <patternFill patternType="solid">
        <fgColor theme="3" tint="0.79998168889431442"/>
        <bgColor indexed="64"/>
      </patternFill>
    </fill>
    <fill>
      <patternFill patternType="solid">
        <fgColor rgb="FFFFFFCC"/>
        <bgColor indexed="64"/>
      </patternFill>
    </fill>
    <fill>
      <patternFill patternType="solid">
        <fgColor rgb="FFFFC000"/>
        <bgColor indexed="64"/>
      </patternFill>
    </fill>
    <fill>
      <patternFill patternType="solid">
        <fgColor rgb="FF0099FF"/>
        <bgColor indexed="64"/>
      </patternFill>
    </fill>
    <fill>
      <patternFill patternType="solid">
        <fgColor theme="0" tint="-4.9989318521683403E-2"/>
        <bgColor indexed="64"/>
      </patternFill>
    </fill>
    <fill>
      <patternFill patternType="solid">
        <fgColor indexed="41"/>
      </patternFill>
    </fill>
    <fill>
      <patternFill patternType="solid">
        <fgColor indexed="60"/>
      </patternFill>
    </fill>
    <fill>
      <patternFill patternType="solid">
        <fgColor indexed="15"/>
      </patternFill>
    </fill>
    <fill>
      <patternFill patternType="solid">
        <fgColor indexed="28"/>
      </patternFill>
    </fill>
    <fill>
      <patternFill patternType="solid">
        <fgColor indexed="53"/>
      </patternFill>
    </fill>
    <fill>
      <patternFill patternType="solid">
        <fgColor indexed="35"/>
      </patternFill>
    </fill>
    <fill>
      <patternFill patternType="solid">
        <fgColor indexed="48"/>
      </patternFill>
    </fill>
    <fill>
      <patternFill patternType="solid">
        <fgColor indexed="38"/>
      </patternFill>
    </fill>
    <fill>
      <patternFill patternType="solid">
        <fgColor indexed="39"/>
      </patternFill>
    </fill>
    <fill>
      <patternFill patternType="solid">
        <fgColor indexed="23"/>
      </patternFill>
    </fill>
    <fill>
      <patternFill patternType="solid">
        <fgColor indexed="31"/>
      </patternFill>
    </fill>
  </fills>
  <borders count="6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n">
        <color indexed="8"/>
      </bottom>
      <diagonal/>
    </border>
    <border>
      <left/>
      <right/>
      <top style="thin">
        <color indexed="49"/>
      </top>
      <bottom style="double">
        <color indexed="49"/>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top/>
      <bottom style="medium">
        <color indexed="64"/>
      </bottom>
      <diagonal/>
    </border>
    <border>
      <left/>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right/>
      <top style="thin">
        <color indexed="64"/>
      </top>
      <bottom style="double">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style="medium">
        <color indexed="64"/>
      </top>
      <bottom style="thin">
        <color indexed="64"/>
      </bottom>
      <diagonal/>
    </border>
    <border>
      <left/>
      <right/>
      <top/>
      <bottom style="thin">
        <color auto="1"/>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top style="hair">
        <color indexed="64"/>
      </top>
      <bottom style="hair">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style="medium">
        <color indexed="64"/>
      </top>
      <bottom style="medium">
        <color indexed="64"/>
      </bottom>
      <diagonal/>
    </border>
    <border>
      <left/>
      <right/>
      <top style="medium">
        <color auto="1"/>
      </top>
      <bottom style="hair">
        <color indexed="64"/>
      </bottom>
      <diagonal/>
    </border>
    <border>
      <left/>
      <right/>
      <top style="hair">
        <color auto="1"/>
      </top>
      <bottom style="medium">
        <color auto="1"/>
      </bottom>
      <diagonal/>
    </border>
    <border>
      <left style="medium">
        <color indexed="64"/>
      </left>
      <right/>
      <top/>
      <bottom style="thin">
        <color auto="1"/>
      </bottom>
      <diagonal/>
    </border>
    <border>
      <left/>
      <right style="medium">
        <color indexed="64"/>
      </right>
      <top/>
      <bottom style="thin">
        <color auto="1"/>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medium">
        <color auto="1"/>
      </top>
      <bottom style="hair">
        <color indexed="64"/>
      </bottom>
      <diagonal/>
    </border>
    <border>
      <left/>
      <right style="medium">
        <color indexed="64"/>
      </right>
      <top style="medium">
        <color auto="1"/>
      </top>
      <bottom style="hair">
        <color indexed="64"/>
      </bottom>
      <diagonal/>
    </border>
    <border>
      <left style="medium">
        <color indexed="64"/>
      </left>
      <right/>
      <top style="hair">
        <color auto="1"/>
      </top>
      <bottom style="medium">
        <color auto="1"/>
      </bottom>
      <diagonal/>
    </border>
    <border>
      <left/>
      <right style="medium">
        <color indexed="64"/>
      </right>
      <top style="hair">
        <color auto="1"/>
      </top>
      <bottom style="medium">
        <color auto="1"/>
      </bottom>
      <diagonal/>
    </border>
    <border>
      <left style="medium">
        <color indexed="64"/>
      </left>
      <right/>
      <top style="hair">
        <color indexed="64"/>
      </top>
      <bottom style="hair">
        <color indexed="64"/>
      </bottom>
      <diagonal/>
    </border>
    <border>
      <left/>
      <right style="medium">
        <color indexed="64"/>
      </right>
      <top style="hair">
        <color indexed="64"/>
      </top>
      <bottom style="hair">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top/>
      <bottom style="thin">
        <color indexed="8"/>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164">
    <xf numFmtId="0" fontId="0" fillId="0" borderId="0"/>
    <xf numFmtId="0" fontId="9" fillId="0" borderId="0"/>
    <xf numFmtId="0" fontId="7"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2" borderId="0" applyNumberFormat="0" applyBorder="0" applyAlignment="0" applyProtection="0"/>
    <xf numFmtId="0" fontId="12" fillId="3" borderId="0" applyNumberFormat="0" applyBorder="0" applyAlignment="0" applyProtection="0"/>
    <xf numFmtId="0" fontId="12" fillId="4" borderId="0" applyNumberFormat="0" applyBorder="0" applyAlignment="0" applyProtection="0"/>
    <xf numFmtId="0" fontId="12" fillId="2" borderId="0" applyNumberFormat="0" applyBorder="0" applyAlignment="0" applyProtection="0"/>
    <xf numFmtId="0" fontId="12" fillId="5" borderId="0" applyNumberFormat="0" applyBorder="0" applyAlignment="0" applyProtection="0"/>
    <xf numFmtId="0" fontId="12" fillId="4" borderId="0" applyNumberFormat="0" applyBorder="0" applyAlignment="0" applyProtection="0"/>
    <xf numFmtId="0" fontId="12" fillId="6" borderId="0" applyNumberFormat="0" applyBorder="0" applyAlignment="0" applyProtection="0"/>
    <xf numFmtId="0" fontId="12" fillId="3" borderId="0" applyNumberFormat="0" applyBorder="0" applyAlignment="0" applyProtection="0"/>
    <xf numFmtId="0" fontId="12" fillId="4" borderId="0" applyNumberFormat="0" applyBorder="0" applyAlignment="0" applyProtection="0"/>
    <xf numFmtId="0" fontId="12" fillId="6" borderId="0" applyNumberFormat="0" applyBorder="0" applyAlignment="0" applyProtection="0"/>
    <xf numFmtId="0" fontId="12" fillId="7" borderId="0" applyNumberFormat="0" applyBorder="0" applyAlignment="0" applyProtection="0"/>
    <xf numFmtId="0" fontId="12" fillId="4" borderId="0" applyNumberFormat="0" applyBorder="0" applyAlignment="0" applyProtection="0"/>
    <xf numFmtId="0" fontId="13" fillId="8" borderId="0" applyNumberFormat="0" applyBorder="0" applyAlignment="0" applyProtection="0"/>
    <xf numFmtId="0" fontId="13" fillId="3" borderId="0" applyNumberFormat="0" applyBorder="0" applyAlignment="0" applyProtection="0"/>
    <xf numFmtId="0" fontId="13" fillId="9" borderId="0" applyNumberFormat="0" applyBorder="0" applyAlignment="0" applyProtection="0"/>
    <xf numFmtId="0" fontId="13" fillId="6" borderId="0" applyNumberFormat="0" applyBorder="0" applyAlignment="0" applyProtection="0"/>
    <xf numFmtId="0" fontId="13" fillId="8" borderId="0" applyNumberFormat="0" applyBorder="0" applyAlignment="0" applyProtection="0"/>
    <xf numFmtId="0" fontId="13" fillId="4" borderId="0" applyNumberFormat="0" applyBorder="0" applyAlignment="0" applyProtection="0"/>
    <xf numFmtId="0" fontId="13" fillId="8" borderId="0" applyNumberFormat="0" applyBorder="0" applyAlignment="0" applyProtection="0"/>
    <xf numFmtId="0" fontId="13" fillId="3"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8" borderId="0" applyNumberFormat="0" applyBorder="0" applyAlignment="0" applyProtection="0"/>
    <xf numFmtId="0" fontId="13" fillId="3" borderId="0" applyNumberFormat="0" applyBorder="0" applyAlignment="0" applyProtection="0"/>
    <xf numFmtId="0" fontId="14" fillId="11" borderId="0" applyNumberFormat="0" applyBorder="0" applyAlignment="0" applyProtection="0"/>
    <xf numFmtId="0" fontId="15" fillId="0" borderId="0"/>
    <xf numFmtId="0" fontId="16" fillId="12" borderId="1" applyNumberFormat="0" applyAlignment="0" applyProtection="0"/>
    <xf numFmtId="0" fontId="17" fillId="13" borderId="2" applyNumberFormat="0" applyAlignment="0" applyProtection="0"/>
    <xf numFmtId="43" fontId="7" fillId="0" borderId="0" applyFont="0" applyFill="0" applyBorder="0" applyAlignment="0" applyProtection="0"/>
    <xf numFmtId="0" fontId="18" fillId="0" borderId="0" applyNumberFormat="0" applyFill="0" applyBorder="0" applyAlignment="0" applyProtection="0"/>
    <xf numFmtId="0" fontId="19" fillId="14" borderId="0" applyNumberFormat="0" applyBorder="0" applyAlignment="0" applyProtection="0"/>
    <xf numFmtId="0" fontId="20" fillId="0" borderId="3" applyNumberFormat="0" applyFill="0" applyAlignment="0" applyProtection="0"/>
    <xf numFmtId="0" fontId="21" fillId="0" borderId="4" applyNumberFormat="0" applyFill="0" applyAlignment="0" applyProtection="0"/>
    <xf numFmtId="0" fontId="22" fillId="0" borderId="5" applyNumberFormat="0" applyFill="0" applyAlignment="0" applyProtection="0"/>
    <xf numFmtId="0" fontId="22" fillId="0" borderId="0" applyNumberFormat="0" applyFill="0" applyBorder="0" applyAlignment="0" applyProtection="0"/>
    <xf numFmtId="0" fontId="23" fillId="4" borderId="1" applyNumberFormat="0" applyAlignment="0" applyProtection="0"/>
    <xf numFmtId="0" fontId="24" fillId="0" borderId="6" applyNumberFormat="0" applyFill="0" applyAlignment="0" applyProtection="0"/>
    <xf numFmtId="0" fontId="25" fillId="4" borderId="0" applyNumberFormat="0" applyBorder="0" applyAlignment="0" applyProtection="0"/>
    <xf numFmtId="0" fontId="7" fillId="0" borderId="0"/>
    <xf numFmtId="0" fontId="7" fillId="0" borderId="0"/>
    <xf numFmtId="38" fontId="7" fillId="0" borderId="0" applyFont="0" applyFill="0" applyBorder="0" applyAlignment="0" applyProtection="0"/>
    <xf numFmtId="0" fontId="7" fillId="0" borderId="0"/>
    <xf numFmtId="0" fontId="7" fillId="4" borderId="7" applyNumberFormat="0" applyFont="0" applyAlignment="0" applyProtection="0"/>
    <xf numFmtId="0" fontId="26" fillId="12" borderId="8" applyNumberFormat="0" applyAlignment="0" applyProtection="0"/>
    <xf numFmtId="0" fontId="27" fillId="0" borderId="0">
      <alignment vertical="center"/>
    </xf>
    <xf numFmtId="9" fontId="7" fillId="0" borderId="0" applyFont="0" applyFill="0" applyBorder="0" applyAlignment="0" applyProtection="0"/>
    <xf numFmtId="165" fontId="7" fillId="0" borderId="0" applyFont="0" applyFill="0" applyBorder="0" applyAlignment="0" applyProtection="0"/>
    <xf numFmtId="0" fontId="28" fillId="0" borderId="0"/>
    <xf numFmtId="0" fontId="28" fillId="0" borderId="9">
      <alignment horizontal="centerContinuous"/>
    </xf>
    <xf numFmtId="0" fontId="29" fillId="0" borderId="9"/>
    <xf numFmtId="0" fontId="30" fillId="0" borderId="0" applyNumberFormat="0" applyFill="0" applyBorder="0" applyAlignment="0" applyProtection="0"/>
    <xf numFmtId="0" fontId="31" fillId="0" borderId="10" applyNumberFormat="0" applyFill="0" applyAlignment="0" applyProtection="0"/>
    <xf numFmtId="0" fontId="32" fillId="0" borderId="0" applyNumberFormat="0" applyFill="0" applyBorder="0" applyAlignment="0" applyProtection="0"/>
    <xf numFmtId="0" fontId="37" fillId="0" borderId="0"/>
    <xf numFmtId="9" fontId="12" fillId="0" borderId="0" applyFont="0" applyFill="0" applyBorder="0" applyAlignment="0" applyProtection="0"/>
    <xf numFmtId="0" fontId="45" fillId="0" borderId="0"/>
    <xf numFmtId="43" fontId="45" fillId="0" borderId="0" applyFont="0" applyFill="0" applyBorder="0" applyAlignment="0" applyProtection="0"/>
    <xf numFmtId="9" fontId="45" fillId="0" borderId="0" applyFont="0" applyFill="0" applyBorder="0" applyAlignment="0" applyProtection="0"/>
    <xf numFmtId="44" fontId="45" fillId="0" borderId="0" applyFont="0" applyFill="0" applyBorder="0" applyAlignment="0" applyProtection="0"/>
    <xf numFmtId="0" fontId="7" fillId="0" borderId="0"/>
    <xf numFmtId="0" fontId="46" fillId="0" borderId="0"/>
    <xf numFmtId="0" fontId="46" fillId="0" borderId="0"/>
    <xf numFmtId="0" fontId="46" fillId="0" borderId="0"/>
    <xf numFmtId="0" fontId="7" fillId="0" borderId="0"/>
    <xf numFmtId="0" fontId="7" fillId="0" borderId="0"/>
    <xf numFmtId="0" fontId="7" fillId="0" borderId="0">
      <alignment vertical="top"/>
    </xf>
    <xf numFmtId="0" fontId="7" fillId="0" borderId="0">
      <alignment vertical="top"/>
    </xf>
    <xf numFmtId="0" fontId="7" fillId="0" borderId="0" applyNumberFormat="0" applyFill="0" applyBorder="0" applyAlignment="0" applyProtection="0"/>
    <xf numFmtId="0" fontId="49" fillId="0" borderId="0"/>
    <xf numFmtId="0" fontId="11" fillId="0" borderId="0"/>
    <xf numFmtId="0" fontId="7" fillId="0" borderId="0" applyFont="0" applyFill="0" applyBorder="0" applyAlignment="0" applyProtection="0"/>
    <xf numFmtId="0" fontId="7" fillId="0" borderId="0" applyFont="0" applyFill="0" applyBorder="0" applyAlignment="0" applyProtection="0"/>
    <xf numFmtId="0" fontId="7" fillId="0" borderId="0" applyFont="0" applyFill="0" applyBorder="0" applyAlignment="0" applyProtection="0"/>
    <xf numFmtId="0" fontId="7" fillId="0" borderId="0" applyFont="0" applyFill="0" applyBorder="0" applyAlignment="0" applyProtection="0"/>
    <xf numFmtId="0" fontId="7" fillId="0" borderId="0"/>
    <xf numFmtId="0" fontId="7" fillId="0" borderId="0"/>
    <xf numFmtId="0" fontId="7" fillId="0" borderId="0" applyFont="0" applyFill="0" applyBorder="0" applyAlignment="0" applyProtection="0"/>
    <xf numFmtId="0" fontId="47" fillId="0" borderId="0" applyFont="0" applyFill="0" applyBorder="0" applyAlignment="0" applyProtection="0"/>
    <xf numFmtId="0" fontId="48" fillId="0" borderId="0"/>
    <xf numFmtId="0" fontId="7" fillId="0" borderId="0"/>
    <xf numFmtId="0" fontId="7" fillId="15" borderId="0" applyNumberFormat="0" applyFont="0" applyBorder="0" applyAlignment="0" applyProtection="0"/>
    <xf numFmtId="0" fontId="8" fillId="0" borderId="0" applyNumberFormat="0" applyFont="0" applyFill="0" applyBorder="0" applyAlignment="0" applyProtection="0"/>
    <xf numFmtId="0" fontId="7" fillId="0" borderId="0"/>
    <xf numFmtId="0" fontId="7" fillId="0" borderId="0"/>
    <xf numFmtId="0" fontId="7" fillId="0" borderId="0"/>
    <xf numFmtId="0" fontId="6" fillId="0" borderId="0"/>
    <xf numFmtId="43" fontId="6" fillId="0" borderId="0" applyFont="0" applyFill="0" applyBorder="0" applyAlignment="0" applyProtection="0"/>
    <xf numFmtId="44" fontId="6" fillId="0" borderId="0" applyFont="0" applyFill="0" applyBorder="0" applyAlignment="0" applyProtection="0"/>
    <xf numFmtId="9" fontId="6" fillId="0" borderId="0" applyFont="0" applyFill="0" applyBorder="0" applyAlignment="0" applyProtection="0"/>
    <xf numFmtId="0" fontId="7" fillId="0" borderId="0"/>
    <xf numFmtId="0" fontId="5" fillId="0" borderId="0"/>
    <xf numFmtId="44" fontId="67" fillId="0" borderId="0" applyFont="0" applyFill="0" applyBorder="0" applyAlignment="0" applyProtection="0"/>
    <xf numFmtId="44" fontId="7" fillId="0" borderId="0" applyFont="0" applyFill="0" applyBorder="0" applyAlignment="0" applyProtection="0"/>
    <xf numFmtId="0" fontId="68" fillId="0" borderId="0" applyNumberFormat="0" applyFill="0" applyBorder="0" applyAlignment="0" applyProtection="0">
      <alignment vertical="top"/>
      <protection locked="0"/>
    </xf>
    <xf numFmtId="0" fontId="4" fillId="0" borderId="0"/>
    <xf numFmtId="0" fontId="7" fillId="0" borderId="0"/>
    <xf numFmtId="0" fontId="28" fillId="0" borderId="55">
      <alignment horizontal="centerContinuous"/>
    </xf>
    <xf numFmtId="0" fontId="29" fillId="0" borderId="55"/>
    <xf numFmtId="0" fontId="3" fillId="0" borderId="0"/>
    <xf numFmtId="43" fontId="3" fillId="0" borderId="0" applyFont="0" applyFill="0" applyBorder="0" applyAlignment="0" applyProtection="0"/>
    <xf numFmtId="44" fontId="3" fillId="0" borderId="0" applyFont="0" applyFill="0" applyBorder="0" applyAlignment="0" applyProtection="0"/>
    <xf numFmtId="9" fontId="3" fillId="0" borderId="0" applyFont="0" applyFill="0" applyBorder="0" applyAlignment="0" applyProtection="0"/>
    <xf numFmtId="0" fontId="3" fillId="0" borderId="0"/>
    <xf numFmtId="44" fontId="7" fillId="0" borderId="0" applyFont="0" applyFill="0" applyBorder="0" applyAlignment="0" applyProtection="0"/>
    <xf numFmtId="0" fontId="3" fillId="0" borderId="0"/>
    <xf numFmtId="187" fontId="7" fillId="0" borderId="0" applyFont="0" applyFill="0" applyBorder="0" applyAlignment="0" applyProtection="0"/>
    <xf numFmtId="0" fontId="2" fillId="0" borderId="0"/>
    <xf numFmtId="43" fontId="45" fillId="0" borderId="0" applyFont="0" applyFill="0" applyBorder="0" applyAlignment="0" applyProtection="0"/>
    <xf numFmtId="0" fontId="7" fillId="0" borderId="0" applyNumberFormat="0" applyFill="0" applyBorder="0" applyAlignment="0" applyProtection="0"/>
    <xf numFmtId="0" fontId="12" fillId="33" borderId="0" applyNumberFormat="0" applyBorder="0" applyAlignment="0" applyProtection="0"/>
    <xf numFmtId="0" fontId="12" fillId="2" borderId="0" applyNumberFormat="0" applyBorder="0" applyAlignment="0" applyProtection="0"/>
    <xf numFmtId="0" fontId="12" fillId="14" borderId="0" applyNumberFormat="0" applyBorder="0" applyAlignment="0" applyProtection="0"/>
    <xf numFmtId="0" fontId="12" fillId="34" borderId="0" applyNumberFormat="0" applyBorder="0" applyAlignment="0" applyProtection="0"/>
    <xf numFmtId="0" fontId="12" fillId="33" borderId="0" applyNumberFormat="0" applyBorder="0" applyAlignment="0" applyProtection="0"/>
    <xf numFmtId="0" fontId="12" fillId="2" borderId="0" applyNumberFormat="0" applyBorder="0" applyAlignment="0" applyProtection="0"/>
    <xf numFmtId="0" fontId="12" fillId="7" borderId="0" applyNumberFormat="0" applyBorder="0" applyAlignment="0" applyProtection="0"/>
    <xf numFmtId="0" fontId="12" fillId="2" borderId="0" applyNumberFormat="0" applyBorder="0" applyAlignment="0" applyProtection="0"/>
    <xf numFmtId="0" fontId="12" fillId="3" borderId="0" applyNumberFormat="0" applyBorder="0" applyAlignment="0" applyProtection="0"/>
    <xf numFmtId="0" fontId="12" fillId="35" borderId="0" applyNumberFormat="0" applyBorder="0" applyAlignment="0" applyProtection="0"/>
    <xf numFmtId="0" fontId="12" fillId="2" borderId="0" applyNumberFormat="0" applyBorder="0" applyAlignment="0" applyProtection="0"/>
    <xf numFmtId="0" fontId="13" fillId="7" borderId="0" applyNumberFormat="0" applyBorder="0" applyAlignment="0" applyProtection="0"/>
    <xf numFmtId="0" fontId="13" fillId="36" borderId="0" applyNumberFormat="0" applyBorder="0" applyAlignment="0" applyProtection="0"/>
    <xf numFmtId="0" fontId="13" fillId="3" borderId="0" applyNumberFormat="0" applyBorder="0" applyAlignment="0" applyProtection="0"/>
    <xf numFmtId="0" fontId="13" fillId="38" borderId="0" applyNumberFormat="0" applyBorder="0" applyAlignment="0" applyProtection="0"/>
    <xf numFmtId="0" fontId="13" fillId="2"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13" fillId="41" borderId="0" applyNumberFormat="0" applyBorder="0" applyAlignment="0" applyProtection="0"/>
    <xf numFmtId="0" fontId="13" fillId="42" borderId="0" applyNumberFormat="0" applyBorder="0" applyAlignment="0" applyProtection="0"/>
    <xf numFmtId="0" fontId="13" fillId="39" borderId="0" applyNumberFormat="0" applyBorder="0" applyAlignment="0" applyProtection="0"/>
    <xf numFmtId="0" fontId="13" fillId="37" borderId="0" applyNumberFormat="0" applyBorder="0" applyAlignment="0" applyProtection="0"/>
    <xf numFmtId="0" fontId="71" fillId="43" borderId="0" applyNumberFormat="0" applyBorder="0" applyAlignment="0" applyProtection="0"/>
    <xf numFmtId="0" fontId="72" fillId="12" borderId="1" applyNumberFormat="0" applyAlignment="0" applyProtection="0"/>
    <xf numFmtId="43" fontId="7" fillId="0" borderId="0" applyFont="0" applyFill="0" applyBorder="0" applyAlignment="0" applyProtection="0"/>
    <xf numFmtId="0" fontId="73" fillId="3" borderId="0" applyNumberFormat="0" applyBorder="0" applyAlignment="0" applyProtection="0"/>
    <xf numFmtId="0" fontId="70" fillId="0" borderId="0" applyNumberFormat="0" applyFill="0" applyBorder="0" applyAlignment="0" applyProtection="0"/>
    <xf numFmtId="0" fontId="74" fillId="4" borderId="0" applyNumberFormat="0" applyBorder="0" applyAlignment="0" applyProtection="0"/>
    <xf numFmtId="0" fontId="1" fillId="0" borderId="0"/>
    <xf numFmtId="0" fontId="7" fillId="0" borderId="0"/>
    <xf numFmtId="0" fontId="7" fillId="0" borderId="0"/>
    <xf numFmtId="9" fontId="7" fillId="0" borderId="0" applyFont="0" applyFill="0" applyBorder="0" applyAlignment="0" applyProtection="0"/>
    <xf numFmtId="9" fontId="12" fillId="0" borderId="0" applyFont="0" applyFill="0" applyBorder="0" applyAlignment="0" applyProtection="0"/>
    <xf numFmtId="165" fontId="7" fillId="0" borderId="0" applyFont="0" applyFill="0" applyBorder="0" applyAlignment="0" applyProtection="0"/>
    <xf numFmtId="9" fontId="75" fillId="0" borderId="0" applyFont="0" applyFill="0" applyBorder="0" applyAlignment="0" applyProtection="0"/>
    <xf numFmtId="0" fontId="7" fillId="0" borderId="0"/>
    <xf numFmtId="0" fontId="1" fillId="0" borderId="0"/>
    <xf numFmtId="0" fontId="1" fillId="0" borderId="0"/>
    <xf numFmtId="0" fontId="1" fillId="0" borderId="0"/>
    <xf numFmtId="0" fontId="7" fillId="0" borderId="0"/>
    <xf numFmtId="188" fontId="11" fillId="0" borderId="0"/>
    <xf numFmtId="188" fontId="11" fillId="0" borderId="0"/>
    <xf numFmtId="0" fontId="1" fillId="0" borderId="0"/>
    <xf numFmtId="0" fontId="68" fillId="0" borderId="0" applyNumberFormat="0" applyFill="0" applyBorder="0" applyAlignment="0" applyProtection="0">
      <alignment vertical="top"/>
      <protection locked="0"/>
    </xf>
    <xf numFmtId="0" fontId="1" fillId="0" borderId="0"/>
    <xf numFmtId="0" fontId="77" fillId="0" borderId="0"/>
  </cellStyleXfs>
  <cellXfs count="660">
    <xf numFmtId="0" fontId="0" fillId="0" borderId="0" xfId="0"/>
    <xf numFmtId="0" fontId="7" fillId="0" borderId="0" xfId="88"/>
    <xf numFmtId="0" fontId="10" fillId="0" borderId="17" xfId="0" applyFont="1" applyBorder="1"/>
    <xf numFmtId="49" fontId="0" fillId="0" borderId="0" xfId="0" applyNumberFormat="1"/>
    <xf numFmtId="0" fontId="38" fillId="19" borderId="0" xfId="62" applyFont="1" applyFill="1"/>
    <xf numFmtId="0" fontId="35" fillId="19" borderId="0" xfId="62" applyFont="1" applyFill="1"/>
    <xf numFmtId="0" fontId="40" fillId="19" borderId="0" xfId="62" applyFont="1" applyFill="1"/>
    <xf numFmtId="0" fontId="41" fillId="19" borderId="0" xfId="62" applyFont="1" applyFill="1"/>
    <xf numFmtId="0" fontId="34" fillId="19" borderId="0" xfId="62" applyFont="1" applyFill="1"/>
    <xf numFmtId="0" fontId="41" fillId="16" borderId="25" xfId="62" applyFont="1" applyFill="1" applyBorder="1"/>
    <xf numFmtId="0" fontId="35" fillId="16" borderId="26" xfId="62" applyFont="1" applyFill="1" applyBorder="1"/>
    <xf numFmtId="0" fontId="35" fillId="16" borderId="0" xfId="62" applyFont="1" applyFill="1" applyBorder="1"/>
    <xf numFmtId="0" fontId="35" fillId="16" borderId="28" xfId="62" applyFont="1" applyFill="1" applyBorder="1"/>
    <xf numFmtId="0" fontId="35" fillId="16" borderId="19" xfId="62" applyFont="1" applyFill="1" applyBorder="1"/>
    <xf numFmtId="0" fontId="7" fillId="0" borderId="0" xfId="0" applyFont="1"/>
    <xf numFmtId="0" fontId="7" fillId="16" borderId="0" xfId="50" applyFont="1" applyFill="1"/>
    <xf numFmtId="0" fontId="7" fillId="16" borderId="0" xfId="50" applyFont="1" applyFill="1" applyBorder="1"/>
    <xf numFmtId="0" fontId="10" fillId="0" borderId="15" xfId="50" applyFont="1" applyFill="1" applyBorder="1"/>
    <xf numFmtId="0" fontId="7" fillId="0" borderId="15" xfId="0" applyFont="1" applyFill="1" applyBorder="1"/>
    <xf numFmtId="0" fontId="10" fillId="16" borderId="0" xfId="50" applyFont="1" applyFill="1"/>
    <xf numFmtId="0" fontId="10" fillId="16" borderId="0" xfId="50" applyFont="1" applyFill="1" applyBorder="1"/>
    <xf numFmtId="169" fontId="7" fillId="16" borderId="0" xfId="0" applyNumberFormat="1" applyFont="1" applyFill="1"/>
    <xf numFmtId="169" fontId="7" fillId="16" borderId="0" xfId="0" applyNumberFormat="1" applyFont="1" applyFill="1" applyBorder="1"/>
    <xf numFmtId="166" fontId="10" fillId="0" borderId="0" xfId="50" applyNumberFormat="1" applyFont="1" applyFill="1" applyBorder="1" applyAlignment="1">
      <alignment horizontal="left" wrapText="1"/>
    </xf>
    <xf numFmtId="168" fontId="7" fillId="16" borderId="0" xfId="50" applyNumberFormat="1" applyFont="1" applyFill="1" applyBorder="1" applyAlignment="1"/>
    <xf numFmtId="0" fontId="7" fillId="16" borderId="0" xfId="50" applyFont="1" applyFill="1" applyBorder="1" applyAlignment="1"/>
    <xf numFmtId="166" fontId="7" fillId="16" borderId="0" xfId="50" applyNumberFormat="1" applyFont="1" applyFill="1" applyBorder="1"/>
    <xf numFmtId="166" fontId="7" fillId="16" borderId="0" xfId="50" applyNumberFormat="1" applyFont="1" applyFill="1"/>
    <xf numFmtId="166" fontId="7" fillId="16" borderId="0" xfId="50" applyNumberFormat="1" applyFont="1" applyFill="1" applyBorder="1" applyAlignment="1">
      <alignment horizontal="center"/>
    </xf>
    <xf numFmtId="167" fontId="7" fillId="16" borderId="0" xfId="50" applyNumberFormat="1" applyFont="1" applyFill="1" applyBorder="1"/>
    <xf numFmtId="167" fontId="7" fillId="16" borderId="0" xfId="50" applyNumberFormat="1" applyFont="1" applyFill="1"/>
    <xf numFmtId="167" fontId="7" fillId="16" borderId="20" xfId="50" applyNumberFormat="1" applyFont="1" applyFill="1" applyBorder="1"/>
    <xf numFmtId="173" fontId="7" fillId="16" borderId="0" xfId="37" applyNumberFormat="1" applyFont="1" applyFill="1" applyBorder="1" applyAlignment="1">
      <alignment horizontal="center"/>
    </xf>
    <xf numFmtId="166" fontId="7" fillId="16" borderId="0" xfId="37" applyNumberFormat="1" applyFont="1" applyFill="1" applyBorder="1" applyAlignment="1">
      <alignment horizontal="center"/>
    </xf>
    <xf numFmtId="167" fontId="10" fillId="0" borderId="0" xfId="37" applyNumberFormat="1" applyFont="1" applyFill="1" applyBorder="1" applyAlignment="1">
      <alignment horizontal="right"/>
    </xf>
    <xf numFmtId="168" fontId="7" fillId="16" borderId="0" xfId="37" applyNumberFormat="1" applyFont="1" applyFill="1" applyAlignment="1"/>
    <xf numFmtId="0" fontId="7" fillId="0" borderId="0" xfId="50" applyFont="1" applyFill="1" applyBorder="1" applyAlignment="1"/>
    <xf numFmtId="177" fontId="7" fillId="16" borderId="0" xfId="50" applyNumberFormat="1" applyFont="1" applyFill="1" applyBorder="1" applyAlignment="1"/>
    <xf numFmtId="166" fontId="10" fillId="16" borderId="0" xfId="50" applyNumberFormat="1" applyFont="1" applyFill="1" applyBorder="1" applyAlignment="1"/>
    <xf numFmtId="0" fontId="10" fillId="0" borderId="30" xfId="50" applyFont="1" applyFill="1" applyBorder="1"/>
    <xf numFmtId="174" fontId="7" fillId="18" borderId="18" xfId="65" applyNumberFormat="1" applyFont="1" applyFill="1" applyBorder="1"/>
    <xf numFmtId="174" fontId="7" fillId="18" borderId="0" xfId="65" applyNumberFormat="1" applyFont="1" applyFill="1" applyBorder="1"/>
    <xf numFmtId="168" fontId="53" fillId="22" borderId="0" xfId="65" applyNumberFormat="1" applyFont="1" applyFill="1"/>
    <xf numFmtId="172" fontId="7" fillId="18" borderId="0" xfId="0" applyNumberFormat="1" applyFont="1" applyFill="1" applyBorder="1" applyAlignment="1">
      <alignment horizontal="right"/>
    </xf>
    <xf numFmtId="169" fontId="7" fillId="18" borderId="0" xfId="0" applyNumberFormat="1" applyFont="1" applyFill="1" applyBorder="1" applyAlignment="1">
      <alignment horizontal="right"/>
    </xf>
    <xf numFmtId="166" fontId="10" fillId="16" borderId="33" xfId="50" applyNumberFormat="1" applyFont="1" applyFill="1" applyBorder="1" applyAlignment="1"/>
    <xf numFmtId="166" fontId="10" fillId="16" borderId="31" xfId="50" applyNumberFormat="1" applyFont="1" applyFill="1" applyBorder="1" applyAlignment="1"/>
    <xf numFmtId="169" fontId="51" fillId="18" borderId="0" xfId="0" applyNumberFormat="1" applyFont="1" applyFill="1" applyBorder="1" applyAlignment="1">
      <alignment horizontal="right"/>
    </xf>
    <xf numFmtId="172" fontId="51" fillId="18" borderId="0" xfId="0" applyNumberFormat="1" applyFont="1" applyFill="1" applyBorder="1" applyAlignment="1">
      <alignment horizontal="right"/>
    </xf>
    <xf numFmtId="172" fontId="10" fillId="18" borderId="33" xfId="0" applyNumberFormat="1" applyFont="1" applyFill="1" applyBorder="1" applyAlignment="1">
      <alignment horizontal="right"/>
    </xf>
    <xf numFmtId="172" fontId="10" fillId="18" borderId="31" xfId="0" applyNumberFormat="1" applyFont="1" applyFill="1" applyBorder="1" applyAlignment="1">
      <alignment horizontal="right"/>
    </xf>
    <xf numFmtId="172" fontId="7" fillId="18" borderId="18" xfId="0" applyNumberFormat="1" applyFont="1" applyFill="1" applyBorder="1" applyAlignment="1">
      <alignment horizontal="right"/>
    </xf>
    <xf numFmtId="169" fontId="51" fillId="18" borderId="18" xfId="0" applyNumberFormat="1" applyFont="1" applyFill="1" applyBorder="1" applyAlignment="1">
      <alignment horizontal="right"/>
    </xf>
    <xf numFmtId="172" fontId="51" fillId="18" borderId="18" xfId="0" applyNumberFormat="1" applyFont="1" applyFill="1" applyBorder="1" applyAlignment="1">
      <alignment horizontal="right"/>
    </xf>
    <xf numFmtId="172" fontId="10" fillId="18" borderId="30" xfId="0" applyNumberFormat="1" applyFont="1" applyFill="1" applyBorder="1" applyAlignment="1">
      <alignment horizontal="right"/>
    </xf>
    <xf numFmtId="172" fontId="10" fillId="18" borderId="16" xfId="0" applyNumberFormat="1" applyFont="1" applyFill="1" applyBorder="1" applyAlignment="1">
      <alignment horizontal="right"/>
    </xf>
    <xf numFmtId="179" fontId="10" fillId="16" borderId="30" xfId="50" applyNumberFormat="1" applyFont="1" applyFill="1" applyBorder="1" applyAlignment="1"/>
    <xf numFmtId="179" fontId="10" fillId="16" borderId="0" xfId="50" applyNumberFormat="1" applyFont="1" applyFill="1" applyBorder="1" applyAlignment="1"/>
    <xf numFmtId="168" fontId="7" fillId="18" borderId="0" xfId="65" applyNumberFormat="1" applyFont="1" applyFill="1" applyBorder="1"/>
    <xf numFmtId="0" fontId="10" fillId="18" borderId="0" xfId="47" applyFont="1" applyFill="1" applyBorder="1" applyAlignment="1">
      <alignment horizontal="left"/>
    </xf>
    <xf numFmtId="169" fontId="7" fillId="18" borderId="0" xfId="0" applyNumberFormat="1" applyFont="1" applyFill="1" applyBorder="1" applyAlignment="1"/>
    <xf numFmtId="174" fontId="36" fillId="18" borderId="0" xfId="65" applyNumberFormat="1" applyFont="1" applyFill="1"/>
    <xf numFmtId="174" fontId="53" fillId="22" borderId="0" xfId="0" applyNumberFormat="1" applyFont="1" applyFill="1"/>
    <xf numFmtId="174" fontId="10" fillId="18" borderId="0" xfId="0" applyNumberFormat="1" applyFont="1" applyFill="1"/>
    <xf numFmtId="174" fontId="54" fillId="22" borderId="0" xfId="0" applyNumberFormat="1" applyFont="1" applyFill="1"/>
    <xf numFmtId="174" fontId="44" fillId="18" borderId="0" xfId="0" applyNumberFormat="1" applyFont="1" applyFill="1"/>
    <xf numFmtId="172" fontId="7" fillId="18" borderId="0" xfId="0" applyNumberFormat="1" applyFont="1" applyFill="1"/>
    <xf numFmtId="167" fontId="7" fillId="18" borderId="0" xfId="65" applyNumberFormat="1" applyFont="1" applyFill="1" applyBorder="1"/>
    <xf numFmtId="172" fontId="0" fillId="18" borderId="0" xfId="0" applyNumberFormat="1" applyFill="1"/>
    <xf numFmtId="167" fontId="7" fillId="18" borderId="0" xfId="47" applyNumberFormat="1" applyFont="1" applyFill="1" applyBorder="1"/>
    <xf numFmtId="37" fontId="7" fillId="0" borderId="0" xfId="37" applyNumberFormat="1" applyFont="1" applyFill="1" applyBorder="1" applyAlignment="1">
      <alignment horizontal="right"/>
    </xf>
    <xf numFmtId="169" fontId="51" fillId="18" borderId="0" xfId="54" applyNumberFormat="1" applyFont="1" applyFill="1" applyBorder="1" applyAlignment="1"/>
    <xf numFmtId="172" fontId="7" fillId="18" borderId="33" xfId="0" applyNumberFormat="1" applyFont="1" applyFill="1" applyBorder="1" applyAlignment="1">
      <alignment horizontal="right"/>
    </xf>
    <xf numFmtId="172" fontId="7" fillId="18" borderId="31" xfId="0" applyNumberFormat="1" applyFont="1" applyFill="1" applyBorder="1" applyAlignment="1">
      <alignment horizontal="right"/>
    </xf>
    <xf numFmtId="169" fontId="51" fillId="18" borderId="18" xfId="54" applyNumberFormat="1" applyFont="1" applyFill="1" applyBorder="1" applyAlignment="1"/>
    <xf numFmtId="7" fontId="7" fillId="18" borderId="0" xfId="67" applyNumberFormat="1" applyFont="1" applyFill="1" applyBorder="1"/>
    <xf numFmtId="7" fontId="7" fillId="18" borderId="18" xfId="67" applyNumberFormat="1" applyFont="1" applyFill="1" applyBorder="1"/>
    <xf numFmtId="168" fontId="7" fillId="18" borderId="0" xfId="0" applyNumberFormat="1" applyFont="1" applyFill="1" applyBorder="1"/>
    <xf numFmtId="168" fontId="51" fillId="18" borderId="0" xfId="65" applyNumberFormat="1" applyFont="1" applyFill="1" applyBorder="1"/>
    <xf numFmtId="169" fontId="7" fillId="18" borderId="18" xfId="0" applyNumberFormat="1" applyFont="1" applyFill="1" applyBorder="1" applyAlignment="1">
      <alignment horizontal="right"/>
    </xf>
    <xf numFmtId="169" fontId="51" fillId="18" borderId="30" xfId="54" applyNumberFormat="1" applyFont="1" applyFill="1" applyBorder="1" applyAlignment="1"/>
    <xf numFmtId="169" fontId="51" fillId="18" borderId="16" xfId="54" applyNumberFormat="1" applyFont="1" applyFill="1" applyBorder="1" applyAlignment="1"/>
    <xf numFmtId="43" fontId="53" fillId="22" borderId="0" xfId="65" applyNumberFormat="1" applyFont="1" applyFill="1"/>
    <xf numFmtId="167" fontId="7" fillId="16" borderId="33" xfId="50" applyNumberFormat="1" applyFont="1" applyFill="1" applyBorder="1" applyAlignment="1"/>
    <xf numFmtId="167" fontId="7" fillId="16" borderId="31" xfId="50" applyNumberFormat="1" applyFont="1" applyFill="1" applyBorder="1" applyAlignment="1"/>
    <xf numFmtId="167" fontId="7" fillId="16" borderId="0" xfId="50" applyNumberFormat="1" applyFont="1" applyFill="1" applyBorder="1" applyAlignment="1"/>
    <xf numFmtId="167" fontId="7" fillId="16" borderId="18" xfId="50" applyNumberFormat="1" applyFont="1" applyFill="1" applyBorder="1" applyAlignment="1"/>
    <xf numFmtId="167" fontId="7" fillId="16" borderId="30" xfId="50" applyNumberFormat="1" applyFont="1" applyFill="1" applyBorder="1" applyAlignment="1"/>
    <xf numFmtId="167" fontId="7" fillId="16" borderId="16" xfId="50" applyNumberFormat="1" applyFont="1" applyFill="1" applyBorder="1" applyAlignment="1"/>
    <xf numFmtId="168" fontId="51" fillId="18" borderId="18" xfId="65" applyNumberFormat="1" applyFont="1" applyFill="1" applyBorder="1"/>
    <xf numFmtId="174" fontId="51" fillId="18" borderId="0" xfId="65" applyNumberFormat="1" applyFont="1" applyFill="1" applyBorder="1"/>
    <xf numFmtId="174" fontId="56" fillId="18" borderId="0" xfId="65" applyNumberFormat="1" applyFont="1" applyFill="1" applyBorder="1"/>
    <xf numFmtId="174" fontId="56" fillId="18" borderId="18" xfId="65" applyNumberFormat="1" applyFont="1" applyFill="1" applyBorder="1"/>
    <xf numFmtId="174" fontId="51" fillId="18" borderId="18" xfId="65" applyNumberFormat="1" applyFont="1" applyFill="1" applyBorder="1"/>
    <xf numFmtId="168" fontId="10" fillId="21" borderId="30" xfId="0" applyNumberFormat="1" applyFont="1" applyFill="1" applyBorder="1"/>
    <xf numFmtId="168" fontId="10" fillId="21" borderId="16" xfId="0" applyNumberFormat="1" applyFont="1" applyFill="1" applyBorder="1"/>
    <xf numFmtId="169" fontId="51" fillId="18" borderId="30" xfId="0" applyNumberFormat="1" applyFont="1" applyFill="1" applyBorder="1" applyAlignment="1">
      <alignment horizontal="right"/>
    </xf>
    <xf numFmtId="0" fontId="0" fillId="18" borderId="0" xfId="0" applyFill="1" applyBorder="1"/>
    <xf numFmtId="7" fontId="7" fillId="18" borderId="33" xfId="67" applyNumberFormat="1" applyFont="1" applyFill="1" applyBorder="1"/>
    <xf numFmtId="38" fontId="42" fillId="16" borderId="0" xfId="49" applyFont="1" applyFill="1" applyBorder="1" applyAlignment="1">
      <alignment horizontal="left" vertical="center"/>
    </xf>
    <xf numFmtId="38" fontId="7" fillId="16" borderId="0" xfId="49" applyFont="1" applyFill="1" applyBorder="1" applyAlignment="1">
      <alignment horizontal="center" vertical="center"/>
    </xf>
    <xf numFmtId="38" fontId="7" fillId="16" borderId="0" xfId="49" applyFont="1" applyFill="1" applyBorder="1" applyAlignment="1">
      <alignment vertical="center"/>
    </xf>
    <xf numFmtId="38" fontId="36" fillId="16" borderId="0" xfId="49" quotePrefix="1" applyFont="1" applyFill="1" applyBorder="1" applyAlignment="1">
      <alignment horizontal="left" vertical="center"/>
    </xf>
    <xf numFmtId="43" fontId="7" fillId="17" borderId="0" xfId="37" applyFont="1" applyFill="1" applyBorder="1" applyAlignment="1">
      <alignment vertical="center"/>
    </xf>
    <xf numFmtId="0" fontId="10" fillId="23" borderId="29" xfId="0" applyNumberFormat="1" applyFont="1" applyFill="1" applyBorder="1" applyAlignment="1">
      <alignment horizontal="right" vertical="center"/>
    </xf>
    <xf numFmtId="0" fontId="10" fillId="23" borderId="0" xfId="0" applyNumberFormat="1" applyFont="1" applyFill="1" applyBorder="1" applyAlignment="1">
      <alignment horizontal="right" vertical="center"/>
    </xf>
    <xf numFmtId="167" fontId="7" fillId="24" borderId="0" xfId="37" applyNumberFormat="1" applyFont="1" applyFill="1" applyBorder="1" applyAlignment="1">
      <alignment horizontal="right" vertical="center"/>
    </xf>
    <xf numFmtId="167" fontId="7" fillId="18" borderId="0" xfId="37" applyNumberFormat="1" applyFont="1" applyFill="1" applyBorder="1" applyAlignment="1">
      <alignment horizontal="right" vertical="center"/>
    </xf>
    <xf numFmtId="171" fontId="10" fillId="18" borderId="12" xfId="37" applyNumberFormat="1" applyFont="1" applyFill="1" applyBorder="1" applyAlignment="1">
      <alignment horizontal="right" vertical="center"/>
    </xf>
    <xf numFmtId="171" fontId="10" fillId="18" borderId="13" xfId="37" applyNumberFormat="1" applyFont="1" applyFill="1" applyBorder="1" applyAlignment="1">
      <alignment horizontal="right" vertical="center"/>
    </xf>
    <xf numFmtId="38" fontId="10" fillId="16" borderId="0" xfId="49" applyFont="1" applyFill="1" applyBorder="1" applyAlignment="1">
      <alignment vertical="center"/>
    </xf>
    <xf numFmtId="38" fontId="7" fillId="16" borderId="0" xfId="48" applyNumberFormat="1" applyFont="1" applyFill="1" applyBorder="1" applyAlignment="1">
      <alignment horizontal="left" vertical="center" wrapText="1"/>
    </xf>
    <xf numFmtId="169" fontId="7" fillId="24" borderId="0" xfId="54" applyNumberFormat="1" applyFont="1" applyFill="1" applyBorder="1" applyAlignment="1">
      <alignment vertical="center" wrapText="1"/>
    </xf>
    <xf numFmtId="169" fontId="51" fillId="18" borderId="0" xfId="54" applyNumberFormat="1" applyFont="1" applyFill="1" applyBorder="1" applyAlignment="1">
      <alignment vertical="center" wrapText="1"/>
    </xf>
    <xf numFmtId="0" fontId="7" fillId="23" borderId="0" xfId="0" applyFont="1" applyFill="1" applyBorder="1" applyAlignment="1">
      <alignment vertical="center"/>
    </xf>
    <xf numFmtId="167" fontId="10" fillId="24" borderId="0" xfId="49" applyNumberFormat="1" applyFont="1" applyFill="1" applyBorder="1" applyAlignment="1">
      <alignment vertical="center" wrapText="1"/>
    </xf>
    <xf numFmtId="167" fontId="10" fillId="18" borderId="0" xfId="49" applyNumberFormat="1" applyFont="1" applyFill="1" applyBorder="1" applyAlignment="1">
      <alignment vertical="center" wrapText="1"/>
    </xf>
    <xf numFmtId="38" fontId="7" fillId="16" borderId="0" xfId="48" applyNumberFormat="1" applyFont="1" applyFill="1" applyBorder="1" applyAlignment="1">
      <alignment horizontal="left" vertical="center"/>
    </xf>
    <xf numFmtId="167" fontId="7" fillId="24" borderId="0" xfId="48" applyNumberFormat="1" applyFont="1" applyFill="1" applyBorder="1" applyAlignment="1">
      <alignment vertical="center"/>
    </xf>
    <xf numFmtId="167" fontId="7" fillId="18" borderId="0" xfId="48" applyNumberFormat="1" applyFont="1" applyFill="1" applyBorder="1" applyAlignment="1">
      <alignment vertical="center"/>
    </xf>
    <xf numFmtId="169" fontId="36" fillId="18" borderId="0" xfId="54" applyNumberFormat="1" applyFont="1" applyFill="1" applyBorder="1" applyAlignment="1">
      <alignment horizontal="right" vertical="center"/>
    </xf>
    <xf numFmtId="169" fontId="36" fillId="24" borderId="0" xfId="54" applyNumberFormat="1" applyFont="1" applyFill="1" applyBorder="1" applyAlignment="1">
      <alignment horizontal="right" vertical="center"/>
    </xf>
    <xf numFmtId="170" fontId="7" fillId="24" borderId="0" xfId="37" applyNumberFormat="1" applyFont="1" applyFill="1" applyBorder="1" applyAlignment="1">
      <alignment horizontal="right" vertical="center"/>
    </xf>
    <xf numFmtId="0" fontId="10" fillId="16" borderId="11" xfId="48" applyFont="1" applyFill="1" applyBorder="1" applyAlignment="1">
      <alignment horizontal="left" vertical="center" wrapText="1"/>
    </xf>
    <xf numFmtId="7" fontId="10" fillId="18" borderId="12" xfId="37" applyNumberFormat="1" applyFont="1" applyFill="1" applyBorder="1" applyAlignment="1">
      <alignment vertical="center" wrapText="1"/>
    </xf>
    <xf numFmtId="7" fontId="10" fillId="18" borderId="13" xfId="37" applyNumberFormat="1" applyFont="1" applyFill="1" applyBorder="1" applyAlignment="1">
      <alignment vertical="center" wrapText="1"/>
    </xf>
    <xf numFmtId="38" fontId="36" fillId="16" borderId="0" xfId="48" applyNumberFormat="1" applyFont="1" applyFill="1" applyBorder="1" applyAlignment="1">
      <alignment horizontal="left" vertical="center"/>
    </xf>
    <xf numFmtId="9" fontId="36" fillId="18" borderId="0" xfId="54" applyFont="1" applyFill="1" applyBorder="1" applyAlignment="1">
      <alignment vertical="center"/>
    </xf>
    <xf numFmtId="9" fontId="36" fillId="24" borderId="0" xfId="54" applyFont="1" applyFill="1" applyBorder="1" applyAlignment="1">
      <alignment vertical="center"/>
    </xf>
    <xf numFmtId="38" fontId="7" fillId="16" borderId="0" xfId="49" applyFont="1" applyFill="1" applyBorder="1" applyAlignment="1">
      <alignment horizontal="left" vertical="center" wrapText="1"/>
    </xf>
    <xf numFmtId="7" fontId="7" fillId="24" borderId="0" xfId="48" applyNumberFormat="1" applyFont="1" applyFill="1" applyBorder="1" applyAlignment="1">
      <alignment vertical="center"/>
    </xf>
    <xf numFmtId="7" fontId="7" fillId="18" borderId="0" xfId="48" applyNumberFormat="1" applyFont="1" applyFill="1" applyBorder="1" applyAlignment="1">
      <alignment vertical="center"/>
    </xf>
    <xf numFmtId="40" fontId="7" fillId="16" borderId="0" xfId="48" applyNumberFormat="1" applyFont="1" applyFill="1" applyBorder="1" applyAlignment="1">
      <alignment horizontal="left" vertical="center"/>
    </xf>
    <xf numFmtId="167" fontId="7" fillId="24" borderId="33" xfId="37" applyNumberFormat="1" applyFont="1" applyFill="1" applyBorder="1" applyAlignment="1">
      <alignment horizontal="right" vertical="center"/>
    </xf>
    <xf numFmtId="9" fontId="36" fillId="24" borderId="0" xfId="54" applyFont="1" applyFill="1" applyBorder="1" applyAlignment="1">
      <alignment horizontal="center" vertical="center"/>
    </xf>
    <xf numFmtId="9" fontId="36" fillId="24" borderId="30" xfId="54" applyFont="1" applyFill="1" applyBorder="1" applyAlignment="1">
      <alignment vertical="center"/>
    </xf>
    <xf numFmtId="9" fontId="36" fillId="24" borderId="30" xfId="54" applyFont="1" applyFill="1" applyBorder="1" applyAlignment="1">
      <alignment horizontal="center" vertical="center"/>
    </xf>
    <xf numFmtId="169" fontId="50" fillId="24" borderId="30" xfId="54" applyNumberFormat="1" applyFont="1" applyFill="1" applyBorder="1" applyAlignment="1">
      <alignment horizontal="center" vertical="center"/>
    </xf>
    <xf numFmtId="178" fontId="7" fillId="16" borderId="30" xfId="49" applyNumberFormat="1" applyFont="1" applyFill="1" applyBorder="1" applyAlignment="1">
      <alignment horizontal="center" vertical="center"/>
    </xf>
    <xf numFmtId="178" fontId="36" fillId="24" borderId="30" xfId="54" applyNumberFormat="1" applyFont="1" applyFill="1" applyBorder="1" applyAlignment="1">
      <alignment vertical="center"/>
    </xf>
    <xf numFmtId="0" fontId="7" fillId="0" borderId="32" xfId="64" applyFont="1" applyBorder="1" applyAlignment="1">
      <alignment vertical="center"/>
    </xf>
    <xf numFmtId="9" fontId="51" fillId="23" borderId="33" xfId="66" applyFont="1" applyFill="1" applyBorder="1" applyAlignment="1">
      <alignment horizontal="center" vertical="center"/>
    </xf>
    <xf numFmtId="9" fontId="50" fillId="24" borderId="33" xfId="54" applyFont="1" applyFill="1" applyBorder="1" applyAlignment="1">
      <alignment horizontal="center" vertical="center"/>
    </xf>
    <xf numFmtId="0" fontId="7" fillId="0" borderId="17" xfId="64" applyFont="1" applyBorder="1" applyAlignment="1">
      <alignment vertical="center"/>
    </xf>
    <xf numFmtId="173" fontId="7" fillId="16" borderId="0" xfId="49" applyNumberFormat="1" applyFont="1" applyFill="1" applyBorder="1" applyAlignment="1">
      <alignment horizontal="center" vertical="center"/>
    </xf>
    <xf numFmtId="5" fontId="7" fillId="18" borderId="0" xfId="64" applyNumberFormat="1" applyFont="1" applyFill="1" applyBorder="1" applyAlignment="1">
      <alignment horizontal="center" vertical="center"/>
    </xf>
    <xf numFmtId="0" fontId="7" fillId="0" borderId="14" xfId="64" applyFont="1" applyBorder="1" applyAlignment="1">
      <alignment vertical="center"/>
    </xf>
    <xf numFmtId="5" fontId="7" fillId="18" borderId="30" xfId="64" applyNumberFormat="1" applyFont="1" applyFill="1" applyBorder="1" applyAlignment="1">
      <alignment horizontal="center" vertical="center"/>
    </xf>
    <xf numFmtId="167" fontId="10" fillId="16" borderId="0" xfId="0" applyNumberFormat="1" applyFont="1" applyFill="1" applyBorder="1" applyAlignment="1">
      <alignment horizontal="left" vertical="center"/>
    </xf>
    <xf numFmtId="0" fontId="7" fillId="16" borderId="0" xfId="0" applyFont="1" applyFill="1" applyBorder="1" applyAlignment="1">
      <alignment horizontal="center" vertical="center"/>
    </xf>
    <xf numFmtId="0" fontId="10" fillId="16" borderId="0" xfId="0" applyFont="1" applyFill="1" applyBorder="1" applyAlignment="1">
      <alignment vertical="center"/>
    </xf>
    <xf numFmtId="0" fontId="7" fillId="16" borderId="0" xfId="0" applyFont="1" applyFill="1" applyBorder="1" applyAlignment="1">
      <alignment vertical="center"/>
    </xf>
    <xf numFmtId="38" fontId="36" fillId="16" borderId="0" xfId="49" applyFont="1" applyFill="1" applyBorder="1" applyAlignment="1">
      <alignment horizontal="left" vertical="center"/>
    </xf>
    <xf numFmtId="167" fontId="7" fillId="18" borderId="33" xfId="48" applyNumberFormat="1" applyFont="1" applyFill="1" applyBorder="1" applyAlignment="1">
      <alignment horizontal="center" vertical="center"/>
    </xf>
    <xf numFmtId="167" fontId="7" fillId="24" borderId="33" xfId="37" applyNumberFormat="1" applyFont="1" applyFill="1" applyBorder="1" applyAlignment="1">
      <alignment horizontal="center" vertical="center"/>
    </xf>
    <xf numFmtId="167" fontId="7" fillId="18" borderId="0" xfId="48" applyNumberFormat="1" applyFont="1" applyFill="1" applyBorder="1" applyAlignment="1">
      <alignment horizontal="center" vertical="center"/>
    </xf>
    <xf numFmtId="167" fontId="7" fillId="24" borderId="0" xfId="37" applyNumberFormat="1" applyFont="1" applyFill="1" applyBorder="1" applyAlignment="1">
      <alignment horizontal="center" vertical="center"/>
    </xf>
    <xf numFmtId="178" fontId="36" fillId="24" borderId="33" xfId="54" applyNumberFormat="1" applyFont="1" applyFill="1" applyBorder="1" applyAlignment="1">
      <alignment horizontal="center" vertical="center"/>
    </xf>
    <xf numFmtId="169" fontId="36" fillId="18" borderId="0" xfId="54" applyNumberFormat="1" applyFont="1" applyFill="1" applyBorder="1" applyAlignment="1">
      <alignment vertical="center"/>
    </xf>
    <xf numFmtId="168" fontId="58" fillId="26" borderId="0" xfId="65" applyNumberFormat="1" applyFont="1" applyFill="1" applyBorder="1" applyAlignment="1" applyProtection="1">
      <alignment vertical="center"/>
      <protection hidden="1"/>
    </xf>
    <xf numFmtId="0" fontId="7" fillId="25" borderId="0" xfId="62" applyFont="1" applyFill="1"/>
    <xf numFmtId="0" fontId="7" fillId="25" borderId="0" xfId="62" applyFont="1" applyFill="1" applyBorder="1" applyAlignment="1">
      <alignment horizontal="center"/>
    </xf>
    <xf numFmtId="0" fontId="7" fillId="25" borderId="0" xfId="62" applyFont="1" applyFill="1" applyAlignment="1">
      <alignment horizontal="center"/>
    </xf>
    <xf numFmtId="0" fontId="10" fillId="25" borderId="0" xfId="62" applyFont="1" applyFill="1" applyAlignment="1">
      <alignment horizontal="center"/>
    </xf>
    <xf numFmtId="171" fontId="10" fillId="24" borderId="29" xfId="0" applyNumberFormat="1" applyFont="1" applyFill="1" applyBorder="1" applyAlignment="1">
      <alignment horizontal="right" vertical="center"/>
    </xf>
    <xf numFmtId="171" fontId="10" fillId="24" borderId="0" xfId="0" applyNumberFormat="1" applyFont="1" applyFill="1" applyBorder="1" applyAlignment="1">
      <alignment horizontal="right" vertical="center"/>
    </xf>
    <xf numFmtId="37" fontId="7" fillId="18" borderId="0" xfId="49" applyNumberFormat="1" applyFont="1" applyFill="1" applyBorder="1" applyAlignment="1">
      <alignment horizontal="center" vertical="center"/>
    </xf>
    <xf numFmtId="167" fontId="7" fillId="24" borderId="30" xfId="37" applyNumberFormat="1" applyFont="1" applyFill="1" applyBorder="1" applyAlignment="1">
      <alignment horizontal="right" vertical="center"/>
    </xf>
    <xf numFmtId="166" fontId="7" fillId="17" borderId="0" xfId="50" applyNumberFormat="1" applyFont="1" applyFill="1" applyBorder="1" applyAlignment="1">
      <alignment horizontal="left" vertical="center" wrapText="1"/>
    </xf>
    <xf numFmtId="0" fontId="10" fillId="23" borderId="11" xfId="0" applyFont="1" applyFill="1" applyBorder="1" applyAlignment="1">
      <alignment vertical="center"/>
    </xf>
    <xf numFmtId="174" fontId="7" fillId="18" borderId="0" xfId="65" applyNumberFormat="1" applyFont="1" applyFill="1" applyBorder="1" applyAlignment="1">
      <alignment vertical="center"/>
    </xf>
    <xf numFmtId="169" fontId="7" fillId="18" borderId="0" xfId="0" applyNumberFormat="1" applyFont="1" applyFill="1" applyBorder="1" applyAlignment="1">
      <alignment horizontal="left" vertical="center"/>
    </xf>
    <xf numFmtId="171" fontId="10" fillId="18" borderId="0" xfId="64" applyNumberFormat="1" applyFont="1" applyFill="1" applyBorder="1" applyAlignment="1">
      <alignment vertical="center"/>
    </xf>
    <xf numFmtId="0" fontId="10" fillId="18" borderId="0" xfId="64" applyFont="1" applyFill="1" applyBorder="1" applyAlignment="1">
      <alignment vertical="center"/>
    </xf>
    <xf numFmtId="0" fontId="7" fillId="22" borderId="36" xfId="64" applyFont="1" applyFill="1" applyBorder="1" applyAlignment="1">
      <alignment horizontal="center" vertical="center"/>
    </xf>
    <xf numFmtId="0" fontId="10" fillId="0" borderId="0" xfId="64" applyFont="1" applyBorder="1" applyAlignment="1">
      <alignment vertical="center"/>
    </xf>
    <xf numFmtId="0" fontId="57" fillId="26" borderId="0" xfId="90" applyFont="1" applyFill="1" applyBorder="1"/>
    <xf numFmtId="0" fontId="10" fillId="16" borderId="0" xfId="50" applyFont="1" applyFill="1" applyBorder="1" applyAlignment="1">
      <alignment horizontal="left" wrapText="1"/>
    </xf>
    <xf numFmtId="0" fontId="7" fillId="0" borderId="0" xfId="50" applyFont="1" applyFill="1" applyBorder="1" applyAlignment="1">
      <alignment horizontal="left" wrapText="1" indent="1"/>
    </xf>
    <xf numFmtId="0" fontId="7" fillId="0" borderId="15" xfId="50" applyFont="1" applyFill="1" applyBorder="1" applyAlignment="1">
      <alignment horizontal="left" wrapText="1" indent="1"/>
    </xf>
    <xf numFmtId="0" fontId="10" fillId="23" borderId="0" xfId="0" applyFont="1" applyFill="1" applyBorder="1"/>
    <xf numFmtId="0" fontId="10" fillId="0" borderId="0" xfId="50" applyFont="1" applyFill="1" applyBorder="1" applyAlignment="1">
      <alignment wrapText="1"/>
    </xf>
    <xf numFmtId="0" fontId="10" fillId="0" borderId="0" xfId="50" applyFont="1" applyFill="1" applyBorder="1" applyAlignment="1">
      <alignment horizontal="left" wrapText="1"/>
    </xf>
    <xf numFmtId="0" fontId="10" fillId="16" borderId="0" xfId="50" applyFont="1" applyFill="1" applyBorder="1" applyAlignment="1">
      <alignment wrapText="1"/>
    </xf>
    <xf numFmtId="0" fontId="7" fillId="16" borderId="0" xfId="50" applyFont="1" applyFill="1" applyBorder="1" applyAlignment="1">
      <alignment wrapText="1"/>
    </xf>
    <xf numFmtId="0" fontId="52" fillId="22" borderId="0" xfId="0" applyFont="1" applyFill="1" applyBorder="1"/>
    <xf numFmtId="0" fontId="36" fillId="16" borderId="0" xfId="50" applyFont="1" applyFill="1" applyBorder="1"/>
    <xf numFmtId="0" fontId="10" fillId="18" borderId="0" xfId="0" applyNumberFormat="1" applyFont="1" applyFill="1" applyBorder="1"/>
    <xf numFmtId="171" fontId="7" fillId="18" borderId="32" xfId="0" applyNumberFormat="1" applyFont="1" applyFill="1" applyBorder="1"/>
    <xf numFmtId="171" fontId="7" fillId="18" borderId="17" xfId="0" applyNumberFormat="1" applyFont="1" applyFill="1" applyBorder="1"/>
    <xf numFmtId="167" fontId="7" fillId="18" borderId="17" xfId="0" applyNumberFormat="1" applyFont="1" applyFill="1" applyBorder="1"/>
    <xf numFmtId="167" fontId="7" fillId="18" borderId="14" xfId="0" applyNumberFormat="1" applyFont="1" applyFill="1" applyBorder="1"/>
    <xf numFmtId="0" fontId="10" fillId="18" borderId="0" xfId="0" applyFont="1" applyFill="1" applyBorder="1"/>
    <xf numFmtId="167" fontId="7" fillId="18" borderId="32" xfId="0" applyNumberFormat="1" applyFont="1" applyFill="1" applyBorder="1"/>
    <xf numFmtId="37" fontId="7" fillId="18" borderId="17" xfId="0" applyNumberFormat="1" applyFont="1" applyFill="1" applyBorder="1" applyAlignment="1"/>
    <xf numFmtId="0" fontId="7" fillId="18" borderId="17" xfId="0" applyFont="1" applyFill="1" applyBorder="1" applyAlignment="1">
      <alignment horizontal="left"/>
    </xf>
    <xf numFmtId="169" fontId="7" fillId="18" borderId="17" xfId="0" applyNumberFormat="1" applyFont="1" applyFill="1" applyBorder="1"/>
    <xf numFmtId="169" fontId="7" fillId="18" borderId="14" xfId="0" applyNumberFormat="1" applyFont="1" applyFill="1" applyBorder="1"/>
    <xf numFmtId="171" fontId="10" fillId="18" borderId="32" xfId="0" applyNumberFormat="1" applyFont="1" applyFill="1" applyBorder="1"/>
    <xf numFmtId="171" fontId="10" fillId="18" borderId="14" xfId="0" applyNumberFormat="1" applyFont="1" applyFill="1" applyBorder="1"/>
    <xf numFmtId="0" fontId="10" fillId="18" borderId="32" xfId="0" applyFont="1" applyFill="1" applyBorder="1"/>
    <xf numFmtId="167" fontId="10" fillId="18" borderId="14" xfId="0" applyNumberFormat="1" applyFont="1" applyFill="1" applyBorder="1"/>
    <xf numFmtId="174" fontId="56" fillId="0" borderId="0" xfId="37" applyNumberFormat="1" applyFont="1" applyFill="1" applyBorder="1" applyAlignment="1"/>
    <xf numFmtId="174" fontId="61" fillId="0" borderId="0" xfId="37" applyNumberFormat="1" applyFont="1" applyFill="1" applyBorder="1" applyAlignment="1"/>
    <xf numFmtId="174" fontId="56" fillId="0" borderId="0" xfId="0" applyNumberFormat="1" applyFont="1" applyFill="1" applyBorder="1" applyAlignment="1"/>
    <xf numFmtId="166" fontId="10" fillId="16" borderId="0" xfId="50" applyNumberFormat="1" applyFont="1" applyFill="1" applyBorder="1" applyAlignment="1">
      <alignment wrapText="1"/>
    </xf>
    <xf numFmtId="166" fontId="7" fillId="16" borderId="0" xfId="50" applyNumberFormat="1" applyFont="1" applyFill="1" applyBorder="1" applyAlignment="1">
      <alignment wrapText="1"/>
    </xf>
    <xf numFmtId="166" fontId="36" fillId="16" borderId="0" xfId="50" applyNumberFormat="1" applyFont="1" applyFill="1" applyBorder="1"/>
    <xf numFmtId="167" fontId="7" fillId="18" borderId="32" xfId="65" applyNumberFormat="1" applyFont="1" applyFill="1" applyBorder="1"/>
    <xf numFmtId="167" fontId="7" fillId="18" borderId="17" xfId="65" applyNumberFormat="1" applyFont="1" applyFill="1" applyBorder="1"/>
    <xf numFmtId="169" fontId="7" fillId="18" borderId="17" xfId="47" applyNumberFormat="1" applyFont="1" applyFill="1" applyBorder="1"/>
    <xf numFmtId="7" fontId="7" fillId="18" borderId="17" xfId="47" applyNumberFormat="1" applyFont="1" applyFill="1" applyBorder="1"/>
    <xf numFmtId="167" fontId="7" fillId="18" borderId="17" xfId="47" applyNumberFormat="1" applyFont="1" applyFill="1" applyBorder="1"/>
    <xf numFmtId="169" fontId="7" fillId="18" borderId="14" xfId="47" applyNumberFormat="1" applyFont="1" applyFill="1" applyBorder="1"/>
    <xf numFmtId="169" fontId="7" fillId="18" borderId="0" xfId="47" applyNumberFormat="1" applyFont="1" applyFill="1" applyBorder="1"/>
    <xf numFmtId="167" fontId="36" fillId="18" borderId="0" xfId="47" applyNumberFormat="1" applyFont="1" applyFill="1" applyBorder="1"/>
    <xf numFmtId="171" fontId="10" fillId="18" borderId="14" xfId="47" applyNumberFormat="1" applyFont="1" applyFill="1" applyBorder="1"/>
    <xf numFmtId="171" fontId="10" fillId="18" borderId="0" xfId="47" applyNumberFormat="1" applyFont="1" applyFill="1" applyBorder="1"/>
    <xf numFmtId="0" fontId="55" fillId="18" borderId="0" xfId="0" applyFont="1" applyFill="1" applyBorder="1"/>
    <xf numFmtId="0" fontId="61" fillId="18" borderId="0" xfId="0" applyNumberFormat="1" applyFont="1" applyFill="1" applyBorder="1"/>
    <xf numFmtId="166" fontId="56" fillId="16" borderId="0" xfId="50" applyNumberFormat="1" applyFont="1" applyFill="1" applyAlignment="1">
      <alignment horizontal="right"/>
    </xf>
    <xf numFmtId="0" fontId="61" fillId="18" borderId="0" xfId="0" applyFont="1" applyFill="1" applyBorder="1"/>
    <xf numFmtId="167" fontId="56" fillId="0" borderId="0" xfId="37" applyNumberFormat="1" applyFont="1" applyFill="1" applyAlignment="1">
      <alignment horizontal="right"/>
    </xf>
    <xf numFmtId="167" fontId="56" fillId="16" borderId="0" xfId="50" applyNumberFormat="1" applyFont="1" applyFill="1"/>
    <xf numFmtId="0" fontId="56" fillId="18" borderId="0" xfId="0" applyFont="1" applyFill="1" applyBorder="1" applyAlignment="1">
      <alignment horizontal="left" indent="1"/>
    </xf>
    <xf numFmtId="167" fontId="56" fillId="16" borderId="0" xfId="50" applyNumberFormat="1" applyFont="1" applyFill="1" applyBorder="1" applyAlignment="1">
      <alignment horizontal="left" wrapText="1" indent="2"/>
    </xf>
    <xf numFmtId="167" fontId="61" fillId="16" borderId="0" xfId="50" applyNumberFormat="1" applyFont="1" applyFill="1" applyBorder="1" applyAlignment="1">
      <alignment wrapText="1"/>
    </xf>
    <xf numFmtId="167" fontId="56" fillId="16" borderId="0" xfId="50" applyNumberFormat="1" applyFont="1" applyFill="1" applyBorder="1" applyAlignment="1">
      <alignment horizontal="left" wrapText="1" indent="1"/>
    </xf>
    <xf numFmtId="167" fontId="56" fillId="0" borderId="0" xfId="37" applyNumberFormat="1" applyFont="1" applyFill="1" applyBorder="1" applyAlignment="1">
      <alignment horizontal="right"/>
    </xf>
    <xf numFmtId="167" fontId="61" fillId="0" borderId="0" xfId="37" applyNumberFormat="1" applyFont="1" applyFill="1" applyBorder="1" applyAlignment="1">
      <alignment horizontal="right"/>
    </xf>
    <xf numFmtId="167" fontId="56" fillId="16" borderId="0" xfId="50" applyNumberFormat="1" applyFont="1" applyFill="1" applyBorder="1" applyAlignment="1">
      <alignment wrapText="1"/>
    </xf>
    <xf numFmtId="167" fontId="61" fillId="16" borderId="32" xfId="50" applyNumberFormat="1" applyFont="1" applyFill="1" applyBorder="1" applyAlignment="1">
      <alignment horizontal="left" wrapText="1"/>
    </xf>
    <xf numFmtId="167" fontId="61" fillId="0" borderId="33" xfId="37" applyNumberFormat="1" applyFont="1" applyFill="1" applyBorder="1" applyAlignment="1">
      <alignment horizontal="right"/>
    </xf>
    <xf numFmtId="167" fontId="61" fillId="0" borderId="31" xfId="37" applyNumberFormat="1" applyFont="1" applyFill="1" applyBorder="1" applyAlignment="1">
      <alignment horizontal="right"/>
    </xf>
    <xf numFmtId="166" fontId="61" fillId="16" borderId="17" xfId="50" applyNumberFormat="1" applyFont="1" applyFill="1" applyBorder="1" applyAlignment="1">
      <alignment horizontal="left" wrapText="1"/>
    </xf>
    <xf numFmtId="167" fontId="61" fillId="0" borderId="18" xfId="37" applyNumberFormat="1" applyFont="1" applyFill="1" applyBorder="1" applyAlignment="1">
      <alignment horizontal="right"/>
    </xf>
    <xf numFmtId="166" fontId="61" fillId="16" borderId="14" xfId="50" applyNumberFormat="1" applyFont="1" applyFill="1" applyBorder="1" applyAlignment="1">
      <alignment wrapText="1"/>
    </xf>
    <xf numFmtId="167" fontId="61" fillId="0" borderId="15" xfId="37" applyNumberFormat="1" applyFont="1" applyFill="1" applyBorder="1" applyAlignment="1">
      <alignment horizontal="right"/>
    </xf>
    <xf numFmtId="167" fontId="61" fillId="0" borderId="16" xfId="37" applyNumberFormat="1" applyFont="1" applyFill="1" applyBorder="1" applyAlignment="1">
      <alignment horizontal="right"/>
    </xf>
    <xf numFmtId="0" fontId="7" fillId="0" borderId="32" xfId="0" applyFont="1" applyBorder="1"/>
    <xf numFmtId="0" fontId="7" fillId="0" borderId="17" xfId="0" applyFont="1" applyBorder="1"/>
    <xf numFmtId="0" fontId="7" fillId="0" borderId="14" xfId="0" applyFont="1" applyBorder="1"/>
    <xf numFmtId="38" fontId="7" fillId="16" borderId="33" xfId="49" applyFont="1" applyFill="1" applyBorder="1" applyAlignment="1">
      <alignment horizontal="center" vertical="center"/>
    </xf>
    <xf numFmtId="38" fontId="7" fillId="16" borderId="30" xfId="49" applyFont="1" applyFill="1" applyBorder="1" applyAlignment="1">
      <alignment horizontal="center" vertical="center"/>
    </xf>
    <xf numFmtId="167" fontId="7" fillId="24" borderId="30" xfId="37" applyNumberFormat="1" applyFont="1" applyFill="1" applyBorder="1" applyAlignment="1">
      <alignment horizontal="center" vertical="center"/>
    </xf>
    <xf numFmtId="171" fontId="61" fillId="0" borderId="24" xfId="37" applyNumberFormat="1" applyFont="1" applyFill="1" applyBorder="1" applyAlignment="1"/>
    <xf numFmtId="0" fontId="10" fillId="16" borderId="37" xfId="50" applyFont="1" applyFill="1" applyBorder="1" applyAlignment="1">
      <alignment horizontal="left" vertical="center" wrapText="1"/>
    </xf>
    <xf numFmtId="171" fontId="61" fillId="0" borderId="13" xfId="37" applyNumberFormat="1" applyFont="1" applyFill="1" applyBorder="1" applyAlignment="1"/>
    <xf numFmtId="171" fontId="61" fillId="0" borderId="0" xfId="37" applyNumberFormat="1" applyFont="1" applyFill="1" applyBorder="1" applyAlignment="1"/>
    <xf numFmtId="167" fontId="61" fillId="16" borderId="11" xfId="50" applyNumberFormat="1" applyFont="1" applyFill="1" applyBorder="1" applyAlignment="1">
      <alignment wrapText="1"/>
    </xf>
    <xf numFmtId="167" fontId="7" fillId="18" borderId="30" xfId="37" applyNumberFormat="1" applyFont="1" applyFill="1" applyBorder="1" applyAlignment="1">
      <alignment horizontal="right" vertical="center"/>
    </xf>
    <xf numFmtId="0" fontId="10" fillId="23" borderId="0" xfId="0" applyFont="1" applyFill="1" applyBorder="1" applyAlignment="1">
      <alignment vertical="center"/>
    </xf>
    <xf numFmtId="0" fontId="10" fillId="24" borderId="0" xfId="0" applyFont="1" applyFill="1" applyBorder="1" applyAlignment="1">
      <alignment horizontal="left" vertical="center"/>
    </xf>
    <xf numFmtId="0" fontId="7" fillId="0" borderId="0" xfId="0" applyFont="1" applyFill="1" applyBorder="1"/>
    <xf numFmtId="38" fontId="10" fillId="16" borderId="0" xfId="49" applyFont="1" applyFill="1" applyBorder="1" applyAlignment="1">
      <alignment horizontal="left" vertical="center" wrapText="1"/>
    </xf>
    <xf numFmtId="0" fontId="10" fillId="0" borderId="0" xfId="0" applyFont="1" applyBorder="1"/>
    <xf numFmtId="0" fontId="10" fillId="0" borderId="30" xfId="64" applyFont="1" applyBorder="1" applyAlignment="1">
      <alignment vertical="center"/>
    </xf>
    <xf numFmtId="164" fontId="36" fillId="0" borderId="0" xfId="55" applyNumberFormat="1" applyFont="1" applyFill="1" applyBorder="1" applyAlignment="1">
      <alignment horizontal="left" vertical="center"/>
    </xf>
    <xf numFmtId="0" fontId="7" fillId="23" borderId="0" xfId="0" applyFont="1" applyFill="1" applyBorder="1" applyAlignment="1">
      <alignment horizontal="left" vertical="center"/>
    </xf>
    <xf numFmtId="0" fontId="10" fillId="18" borderId="0" xfId="0" applyFont="1" applyFill="1" applyBorder="1" applyAlignment="1">
      <alignment horizontal="right"/>
    </xf>
    <xf numFmtId="0" fontId="10" fillId="0" borderId="0" xfId="50" applyFont="1" applyFill="1" applyBorder="1"/>
    <xf numFmtId="171" fontId="61" fillId="0" borderId="12" xfId="37" applyNumberFormat="1" applyFont="1" applyFill="1" applyBorder="1" applyAlignment="1"/>
    <xf numFmtId="0" fontId="10" fillId="23" borderId="29" xfId="0" applyFont="1" applyFill="1" applyBorder="1" applyAlignment="1">
      <alignment horizontal="left" vertical="center"/>
    </xf>
    <xf numFmtId="0" fontId="10" fillId="16" borderId="0" xfId="0" applyFont="1" applyFill="1" applyBorder="1" applyAlignment="1">
      <alignment horizontal="left" vertical="center"/>
    </xf>
    <xf numFmtId="171" fontId="61" fillId="0" borderId="38" xfId="37" applyNumberFormat="1" applyFont="1" applyFill="1" applyBorder="1" applyAlignment="1"/>
    <xf numFmtId="171" fontId="61" fillId="0" borderId="13" xfId="37" applyNumberFormat="1" applyFont="1" applyFill="1" applyBorder="1" applyAlignment="1">
      <alignment horizontal="right"/>
    </xf>
    <xf numFmtId="171" fontId="61" fillId="0" borderId="12" xfId="37" applyNumberFormat="1" applyFont="1" applyFill="1" applyBorder="1" applyAlignment="1">
      <alignment horizontal="right"/>
    </xf>
    <xf numFmtId="0" fontId="10" fillId="0" borderId="11" xfId="50" applyFont="1" applyFill="1" applyBorder="1" applyAlignment="1">
      <alignment horizontal="left" vertical="center" wrapText="1"/>
    </xf>
    <xf numFmtId="0" fontId="61" fillId="18" borderId="0" xfId="0" applyFont="1" applyFill="1" applyBorder="1" applyAlignment="1">
      <alignment horizontal="right"/>
    </xf>
    <xf numFmtId="0" fontId="59" fillId="23" borderId="0" xfId="92" applyFont="1" applyFill="1" applyBorder="1" applyAlignment="1">
      <alignment horizontal="left" vertical="center"/>
    </xf>
    <xf numFmtId="0" fontId="59" fillId="23" borderId="0" xfId="92" applyFont="1" applyFill="1" applyBorder="1" applyAlignment="1">
      <alignment horizontal="left" vertical="center"/>
    </xf>
    <xf numFmtId="0" fontId="10" fillId="18" borderId="29" xfId="0" applyFont="1" applyFill="1" applyBorder="1" applyAlignment="1">
      <alignment horizontal="right"/>
    </xf>
    <xf numFmtId="0" fontId="61" fillId="18" borderId="29" xfId="0" applyFont="1" applyFill="1" applyBorder="1" applyAlignment="1">
      <alignment horizontal="right"/>
    </xf>
    <xf numFmtId="0" fontId="7" fillId="0" borderId="30" xfId="50" applyFont="1" applyFill="1" applyBorder="1" applyAlignment="1">
      <alignment horizontal="left" wrapText="1" indent="1"/>
    </xf>
    <xf numFmtId="43" fontId="7" fillId="16" borderId="0" xfId="37" applyFont="1" applyFill="1" applyBorder="1" applyAlignment="1">
      <alignment horizontal="center" vertical="center"/>
    </xf>
    <xf numFmtId="43" fontId="7" fillId="24" borderId="0" xfId="37" applyFont="1" applyFill="1" applyBorder="1" applyAlignment="1">
      <alignment vertical="center"/>
    </xf>
    <xf numFmtId="43" fontId="7" fillId="18" borderId="0" xfId="37" applyFont="1" applyFill="1" applyBorder="1" applyAlignment="1">
      <alignment horizontal="right" vertical="center"/>
    </xf>
    <xf numFmtId="43" fontId="7" fillId="24" borderId="0" xfId="37" applyFont="1" applyFill="1" applyBorder="1" applyAlignment="1">
      <alignment horizontal="right" vertical="center"/>
    </xf>
    <xf numFmtId="38" fontId="7" fillId="0" borderId="0" xfId="49" applyFont="1" applyFill="1" applyBorder="1" applyAlignment="1">
      <alignment horizontal="center" vertical="center"/>
    </xf>
    <xf numFmtId="43" fontId="7" fillId="0" borderId="0" xfId="37" applyFont="1" applyFill="1" applyBorder="1" applyAlignment="1">
      <alignment horizontal="center" vertical="center"/>
    </xf>
    <xf numFmtId="9" fontId="0" fillId="18" borderId="0" xfId="0" applyNumberFormat="1" applyFill="1" applyBorder="1"/>
    <xf numFmtId="9" fontId="51" fillId="18" borderId="0" xfId="54" applyNumberFormat="1" applyFont="1" applyFill="1" applyBorder="1" applyAlignment="1"/>
    <xf numFmtId="43" fontId="53" fillId="22" borderId="0" xfId="37" applyNumberFormat="1" applyFont="1" applyFill="1"/>
    <xf numFmtId="167" fontId="56" fillId="0" borderId="0" xfId="50" applyNumberFormat="1" applyFont="1" applyFill="1"/>
    <xf numFmtId="169" fontId="7" fillId="23" borderId="0" xfId="66" applyNumberFormat="1" applyFont="1" applyFill="1" applyBorder="1" applyAlignment="1">
      <alignment horizontal="center" vertical="center"/>
    </xf>
    <xf numFmtId="174" fontId="7" fillId="16" borderId="0" xfId="50" applyNumberFormat="1" applyFont="1" applyFill="1" applyBorder="1"/>
    <xf numFmtId="38" fontId="36" fillId="16" borderId="0" xfId="48" applyNumberFormat="1" applyFont="1" applyFill="1" applyBorder="1" applyAlignment="1">
      <alignment horizontal="left" vertical="center" wrapText="1" indent="1"/>
    </xf>
    <xf numFmtId="169" fontId="36" fillId="24" borderId="0" xfId="54" applyNumberFormat="1" applyFont="1" applyFill="1" applyBorder="1" applyAlignment="1">
      <alignment horizontal="center" vertical="center" wrapText="1"/>
    </xf>
    <xf numFmtId="169" fontId="50" fillId="18" borderId="0" xfId="54" applyNumberFormat="1" applyFont="1" applyFill="1" applyBorder="1" applyAlignment="1">
      <alignment horizontal="right" vertical="center" wrapText="1"/>
    </xf>
    <xf numFmtId="169" fontId="36" fillId="24" borderId="0" xfId="54" applyNumberFormat="1" applyFont="1" applyFill="1" applyBorder="1" applyAlignment="1">
      <alignment horizontal="right" vertical="center" wrapText="1"/>
    </xf>
    <xf numFmtId="169" fontId="36" fillId="18" borderId="0" xfId="54" applyNumberFormat="1" applyFont="1" applyFill="1" applyBorder="1" applyAlignment="1">
      <alignment horizontal="right" vertical="center" wrapText="1"/>
    </xf>
    <xf numFmtId="38" fontId="36" fillId="16" borderId="0" xfId="49" applyFont="1" applyFill="1" applyBorder="1" applyAlignment="1">
      <alignment horizontal="right" vertical="center"/>
    </xf>
    <xf numFmtId="38" fontId="36" fillId="16" borderId="0" xfId="49" applyFont="1" applyFill="1" applyBorder="1" applyAlignment="1">
      <alignment vertical="center"/>
    </xf>
    <xf numFmtId="38" fontId="7" fillId="18" borderId="0" xfId="49" applyFont="1" applyFill="1" applyBorder="1" applyAlignment="1">
      <alignment vertical="center"/>
    </xf>
    <xf numFmtId="38" fontId="7" fillId="18" borderId="0" xfId="49" applyFont="1" applyFill="1" applyBorder="1" applyAlignment="1">
      <alignment horizontal="center" vertical="center"/>
    </xf>
    <xf numFmtId="43" fontId="7" fillId="18" borderId="0" xfId="37" applyFont="1" applyFill="1" applyBorder="1" applyAlignment="1">
      <alignment vertical="center"/>
    </xf>
    <xf numFmtId="0" fontId="10" fillId="18" borderId="29" xfId="0" applyNumberFormat="1" applyFont="1" applyFill="1" applyBorder="1" applyAlignment="1">
      <alignment horizontal="right" vertical="center"/>
    </xf>
    <xf numFmtId="0" fontId="10" fillId="18" borderId="0" xfId="0" applyNumberFormat="1" applyFont="1" applyFill="1" applyBorder="1" applyAlignment="1">
      <alignment horizontal="right" vertical="center"/>
    </xf>
    <xf numFmtId="178" fontId="7" fillId="18" borderId="30" xfId="49" applyNumberFormat="1" applyFont="1" applyFill="1" applyBorder="1" applyAlignment="1">
      <alignment horizontal="center" vertical="center"/>
    </xf>
    <xf numFmtId="38" fontId="7" fillId="18" borderId="33" xfId="49" applyFont="1" applyFill="1" applyBorder="1" applyAlignment="1">
      <alignment horizontal="center" vertical="center"/>
    </xf>
    <xf numFmtId="38" fontId="7" fillId="18" borderId="30" xfId="49" applyFont="1" applyFill="1" applyBorder="1" applyAlignment="1">
      <alignment horizontal="center" vertical="center"/>
    </xf>
    <xf numFmtId="9" fontId="51" fillId="18" borderId="33" xfId="66" applyFont="1" applyFill="1" applyBorder="1" applyAlignment="1">
      <alignment horizontal="center" vertical="center"/>
    </xf>
    <xf numFmtId="173" fontId="7" fillId="18" borderId="0" xfId="49" applyNumberFormat="1" applyFont="1" applyFill="1" applyBorder="1" applyAlignment="1">
      <alignment horizontal="center" vertical="center"/>
    </xf>
    <xf numFmtId="0" fontId="7" fillId="18" borderId="0" xfId="0" applyFont="1" applyFill="1" applyBorder="1" applyAlignment="1">
      <alignment horizontal="center" vertical="center"/>
    </xf>
    <xf numFmtId="38" fontId="7" fillId="18" borderId="0" xfId="49" applyFont="1" applyFill="1" applyBorder="1" applyAlignment="1">
      <alignment horizontal="left" vertical="center" wrapText="1"/>
    </xf>
    <xf numFmtId="43" fontId="7" fillId="18" borderId="0" xfId="37" applyFont="1" applyFill="1" applyBorder="1" applyAlignment="1">
      <alignment horizontal="center" vertical="center"/>
    </xf>
    <xf numFmtId="174" fontId="7" fillId="18" borderId="0" xfId="37" applyNumberFormat="1" applyFont="1" applyFill="1" applyBorder="1" applyAlignment="1">
      <alignment horizontal="right" vertical="center"/>
    </xf>
    <xf numFmtId="174" fontId="7" fillId="24" borderId="0" xfId="37" applyNumberFormat="1" applyFont="1" applyFill="1" applyBorder="1" applyAlignment="1">
      <alignment vertical="center"/>
    </xf>
    <xf numFmtId="174" fontId="7" fillId="24" borderId="0" xfId="37" applyNumberFormat="1" applyFont="1" applyFill="1" applyBorder="1" applyAlignment="1">
      <alignment horizontal="right" vertical="center"/>
    </xf>
    <xf numFmtId="9" fontId="36" fillId="24" borderId="0" xfId="54" applyFont="1" applyFill="1" applyBorder="1" applyAlignment="1">
      <alignment horizontal="right" vertical="center"/>
    </xf>
    <xf numFmtId="169" fontId="36" fillId="18" borderId="30" xfId="54" applyNumberFormat="1" applyFont="1" applyFill="1" applyBorder="1" applyAlignment="1">
      <alignment horizontal="right" vertical="center"/>
    </xf>
    <xf numFmtId="9" fontId="36" fillId="24" borderId="30" xfId="54" applyFont="1" applyFill="1" applyBorder="1" applyAlignment="1">
      <alignment horizontal="right" vertical="center"/>
    </xf>
    <xf numFmtId="167" fontId="7" fillId="18" borderId="33" xfId="48" applyNumberFormat="1" applyFont="1" applyFill="1" applyBorder="1" applyAlignment="1">
      <alignment horizontal="right" vertical="center"/>
    </xf>
    <xf numFmtId="167" fontId="7" fillId="18" borderId="0" xfId="48" applyNumberFormat="1" applyFont="1" applyFill="1" applyBorder="1" applyAlignment="1">
      <alignment horizontal="right" vertical="center"/>
    </xf>
    <xf numFmtId="169" fontId="50" fillId="24" borderId="0" xfId="54" applyNumberFormat="1" applyFont="1" applyFill="1" applyBorder="1" applyAlignment="1">
      <alignment horizontal="right" vertical="center"/>
    </xf>
    <xf numFmtId="169" fontId="36" fillId="24" borderId="30" xfId="54" applyNumberFormat="1" applyFont="1" applyFill="1" applyBorder="1" applyAlignment="1">
      <alignment horizontal="right" vertical="center"/>
    </xf>
    <xf numFmtId="169" fontId="36" fillId="24" borderId="30" xfId="54" applyNumberFormat="1" applyFont="1" applyFill="1" applyBorder="1" applyAlignment="1">
      <alignment horizontal="center" vertical="center"/>
    </xf>
    <xf numFmtId="178" fontId="36" fillId="24" borderId="33" xfId="54" applyNumberFormat="1" applyFont="1" applyFill="1" applyBorder="1" applyAlignment="1">
      <alignment horizontal="right" vertical="center"/>
    </xf>
    <xf numFmtId="169" fontId="7" fillId="18" borderId="0" xfId="66" applyNumberFormat="1" applyFont="1" applyFill="1" applyBorder="1" applyAlignment="1">
      <alignment horizontal="right" vertical="center"/>
    </xf>
    <xf numFmtId="178" fontId="7" fillId="18" borderId="30" xfId="49" applyNumberFormat="1" applyFont="1" applyFill="1" applyBorder="1" applyAlignment="1">
      <alignment horizontal="right" vertical="center"/>
    </xf>
    <xf numFmtId="178" fontId="36" fillId="24" borderId="30" xfId="54" applyNumberFormat="1" applyFont="1" applyFill="1" applyBorder="1" applyAlignment="1">
      <alignment horizontal="right" vertical="center"/>
    </xf>
    <xf numFmtId="169" fontId="51" fillId="18" borderId="0" xfId="66" applyNumberFormat="1" applyFont="1" applyFill="1" applyBorder="1" applyAlignment="1">
      <alignment horizontal="right" vertical="center"/>
    </xf>
    <xf numFmtId="167" fontId="7" fillId="18" borderId="31" xfId="48" applyNumberFormat="1" applyFont="1" applyFill="1" applyBorder="1" applyAlignment="1">
      <alignment horizontal="right" vertical="center"/>
    </xf>
    <xf numFmtId="169" fontId="51" fillId="18" borderId="18" xfId="66" applyNumberFormat="1" applyFont="1" applyFill="1" applyBorder="1" applyAlignment="1">
      <alignment horizontal="right" vertical="center"/>
    </xf>
    <xf numFmtId="178" fontId="7" fillId="18" borderId="16" xfId="49" applyNumberFormat="1" applyFont="1" applyFill="1" applyBorder="1" applyAlignment="1">
      <alignment horizontal="right" vertical="center"/>
    </xf>
    <xf numFmtId="38" fontId="51" fillId="18" borderId="0" xfId="49" applyFont="1" applyFill="1" applyBorder="1" applyAlignment="1">
      <alignment horizontal="center" vertical="center"/>
    </xf>
    <xf numFmtId="9" fontId="51" fillId="18" borderId="0" xfId="54" applyFont="1" applyFill="1" applyBorder="1" applyAlignment="1">
      <alignment horizontal="center" vertical="center"/>
    </xf>
    <xf numFmtId="38" fontId="7" fillId="18" borderId="31" xfId="49" applyFont="1" applyFill="1" applyBorder="1" applyAlignment="1">
      <alignment horizontal="center" vertical="center"/>
    </xf>
    <xf numFmtId="38" fontId="7" fillId="18" borderId="18" xfId="49" applyFont="1" applyFill="1" applyBorder="1" applyAlignment="1">
      <alignment horizontal="center" vertical="center"/>
    </xf>
    <xf numFmtId="167" fontId="7" fillId="18" borderId="18" xfId="48" applyNumberFormat="1" applyFont="1" applyFill="1" applyBorder="1" applyAlignment="1">
      <alignment horizontal="center" vertical="center"/>
    </xf>
    <xf numFmtId="38" fontId="51" fillId="18" borderId="18" xfId="49" applyFont="1" applyFill="1" applyBorder="1" applyAlignment="1">
      <alignment horizontal="center" vertical="center"/>
    </xf>
    <xf numFmtId="9" fontId="51" fillId="18" borderId="18" xfId="54" applyFont="1" applyFill="1" applyBorder="1" applyAlignment="1">
      <alignment horizontal="center" vertical="center"/>
    </xf>
    <xf numFmtId="178" fontId="7" fillId="18" borderId="16" xfId="49" applyNumberFormat="1" applyFont="1" applyFill="1" applyBorder="1" applyAlignment="1">
      <alignment horizontal="center" vertical="center"/>
    </xf>
    <xf numFmtId="9" fontId="51" fillId="18" borderId="31" xfId="66" applyFont="1" applyFill="1" applyBorder="1" applyAlignment="1">
      <alignment horizontal="center" vertical="center"/>
    </xf>
    <xf numFmtId="173" fontId="7" fillId="18" borderId="18" xfId="49" applyNumberFormat="1" applyFont="1" applyFill="1" applyBorder="1" applyAlignment="1">
      <alignment horizontal="center" vertical="center"/>
    </xf>
    <xf numFmtId="5" fontId="7" fillId="18" borderId="18" xfId="64" applyNumberFormat="1" applyFont="1" applyFill="1" applyBorder="1" applyAlignment="1">
      <alignment horizontal="center" vertical="center"/>
    </xf>
    <xf numFmtId="167" fontId="7" fillId="18" borderId="18" xfId="48" applyNumberFormat="1" applyFont="1" applyFill="1" applyBorder="1" applyAlignment="1">
      <alignment horizontal="right" vertical="center"/>
    </xf>
    <xf numFmtId="167" fontId="56" fillId="0" borderId="0" xfId="37" applyNumberFormat="1" applyFont="1" applyFill="1" applyBorder="1" applyAlignment="1"/>
    <xf numFmtId="167" fontId="56" fillId="0" borderId="30" xfId="37" applyNumberFormat="1" applyFont="1" applyFill="1" applyBorder="1" applyAlignment="1"/>
    <xf numFmtId="0" fontId="10" fillId="18" borderId="30" xfId="0" applyFont="1" applyFill="1" applyBorder="1" applyAlignment="1">
      <alignment horizontal="right"/>
    </xf>
    <xf numFmtId="169" fontId="56" fillId="18" borderId="0" xfId="0" applyNumberFormat="1" applyFont="1" applyFill="1" applyBorder="1" applyAlignment="1">
      <alignment horizontal="right"/>
    </xf>
    <xf numFmtId="172" fontId="56" fillId="18" borderId="0" xfId="0" applyNumberFormat="1" applyFont="1" applyFill="1" applyBorder="1" applyAlignment="1">
      <alignment horizontal="right"/>
    </xf>
    <xf numFmtId="167" fontId="10" fillId="16" borderId="0" xfId="50" applyNumberFormat="1" applyFont="1" applyFill="1" applyBorder="1" applyAlignment="1"/>
    <xf numFmtId="167" fontId="10" fillId="16" borderId="18" xfId="50" applyNumberFormat="1" applyFont="1" applyFill="1" applyBorder="1" applyAlignment="1"/>
    <xf numFmtId="167" fontId="7" fillId="18" borderId="0" xfId="0" applyNumberFormat="1" applyFont="1" applyFill="1" applyBorder="1" applyAlignment="1">
      <alignment horizontal="right"/>
    </xf>
    <xf numFmtId="167" fontId="7" fillId="18" borderId="18" xfId="0" applyNumberFormat="1" applyFont="1" applyFill="1" applyBorder="1" applyAlignment="1">
      <alignment horizontal="right"/>
    </xf>
    <xf numFmtId="167" fontId="10" fillId="16" borderId="30" xfId="50" applyNumberFormat="1" applyFont="1" applyFill="1" applyBorder="1" applyAlignment="1"/>
    <xf numFmtId="167" fontId="10" fillId="16" borderId="16" xfId="50" applyNumberFormat="1" applyFont="1" applyFill="1" applyBorder="1" applyAlignment="1"/>
    <xf numFmtId="168" fontId="51" fillId="18" borderId="0" xfId="65" applyNumberFormat="1" applyFont="1" applyFill="1" applyBorder="1" applyAlignment="1">
      <alignment horizontal="center"/>
    </xf>
    <xf numFmtId="174" fontId="56" fillId="18" borderId="0" xfId="65" applyNumberFormat="1" applyFont="1" applyFill="1" applyBorder="1" applyAlignment="1">
      <alignment horizontal="center"/>
    </xf>
    <xf numFmtId="174" fontId="51" fillId="18" borderId="0" xfId="65" applyNumberFormat="1" applyFont="1" applyFill="1" applyBorder="1" applyAlignment="1">
      <alignment horizontal="center"/>
    </xf>
    <xf numFmtId="174" fontId="7" fillId="18" borderId="0" xfId="65" applyNumberFormat="1" applyFont="1" applyFill="1" applyBorder="1" applyAlignment="1">
      <alignment horizontal="center"/>
    </xf>
    <xf numFmtId="168" fontId="10" fillId="0" borderId="30" xfId="0" applyNumberFormat="1" applyFont="1" applyFill="1" applyBorder="1" applyAlignment="1">
      <alignment horizontal="center"/>
    </xf>
    <xf numFmtId="7" fontId="51" fillId="0" borderId="33" xfId="65" applyNumberFormat="1" applyFont="1" applyFill="1" applyBorder="1" applyAlignment="1">
      <alignment horizontal="right"/>
    </xf>
    <xf numFmtId="7" fontId="56" fillId="18" borderId="33" xfId="65" applyNumberFormat="1" applyFont="1" applyFill="1" applyBorder="1" applyAlignment="1">
      <alignment horizontal="right"/>
    </xf>
    <xf numFmtId="7" fontId="56" fillId="18" borderId="31" xfId="65" applyNumberFormat="1" applyFont="1" applyFill="1" applyBorder="1" applyAlignment="1">
      <alignment horizontal="right"/>
    </xf>
    <xf numFmtId="169" fontId="56" fillId="18" borderId="0" xfId="54" applyNumberFormat="1" applyFont="1" applyFill="1" applyBorder="1" applyAlignment="1"/>
    <xf numFmtId="169" fontId="56" fillId="18" borderId="30" xfId="54" applyNumberFormat="1" applyFont="1" applyFill="1" applyBorder="1" applyAlignment="1"/>
    <xf numFmtId="174" fontId="7" fillId="21" borderId="0" xfId="65" applyNumberFormat="1" applyFont="1" applyFill="1" applyBorder="1" applyAlignment="1">
      <alignment horizontal="center"/>
    </xf>
    <xf numFmtId="174" fontId="7" fillId="21" borderId="0" xfId="65" applyNumberFormat="1" applyFont="1" applyFill="1" applyBorder="1"/>
    <xf numFmtId="174" fontId="7" fillId="21" borderId="18" xfId="65" applyNumberFormat="1" applyFont="1" applyFill="1" applyBorder="1"/>
    <xf numFmtId="7" fontId="56" fillId="0" borderId="33" xfId="65" applyNumberFormat="1" applyFont="1" applyFill="1" applyBorder="1" applyAlignment="1">
      <alignment horizontal="right"/>
    </xf>
    <xf numFmtId="167" fontId="51" fillId="18" borderId="0" xfId="37" applyNumberFormat="1" applyFont="1" applyFill="1" applyBorder="1" applyAlignment="1">
      <alignment horizontal="right" vertical="center"/>
    </xf>
    <xf numFmtId="0" fontId="7" fillId="19" borderId="0" xfId="93" applyFill="1"/>
    <xf numFmtId="0" fontId="7" fillId="25" borderId="30" xfId="62" applyFont="1" applyFill="1" applyBorder="1"/>
    <xf numFmtId="0" fontId="10" fillId="25" borderId="30" xfId="62" applyFont="1" applyFill="1" applyBorder="1" applyAlignment="1">
      <alignment horizontal="center"/>
    </xf>
    <xf numFmtId="0" fontId="35" fillId="19" borderId="0" xfId="62" applyFont="1" applyFill="1" applyAlignment="1">
      <alignment horizontal="left"/>
    </xf>
    <xf numFmtId="3" fontId="7" fillId="19" borderId="0" xfId="93" applyNumberFormat="1" applyFill="1"/>
    <xf numFmtId="0" fontId="40" fillId="19" borderId="0" xfId="62" applyFont="1" applyFill="1" applyAlignment="1">
      <alignment horizontal="left" indent="1"/>
    </xf>
    <xf numFmtId="0" fontId="36" fillId="19" borderId="0" xfId="93" applyFont="1" applyFill="1"/>
    <xf numFmtId="0" fontId="35" fillId="19" borderId="24" xfId="62" applyFont="1" applyFill="1" applyBorder="1"/>
    <xf numFmtId="0" fontId="7" fillId="19" borderId="24" xfId="93" applyFill="1" applyBorder="1"/>
    <xf numFmtId="175" fontId="35" fillId="19" borderId="24" xfId="62" applyNumberFormat="1" applyFont="1" applyFill="1" applyBorder="1"/>
    <xf numFmtId="175" fontId="41" fillId="19" borderId="0" xfId="62" applyNumberFormat="1" applyFont="1" applyFill="1"/>
    <xf numFmtId="172" fontId="7" fillId="19" borderId="0" xfId="93" applyNumberFormat="1" applyFill="1"/>
    <xf numFmtId="171" fontId="7" fillId="19" borderId="0" xfId="93" applyNumberFormat="1" applyFill="1"/>
    <xf numFmtId="0" fontId="41" fillId="19" borderId="12" xfId="62" applyFont="1" applyFill="1" applyBorder="1"/>
    <xf numFmtId="175" fontId="41" fillId="19" borderId="12" xfId="62" applyNumberFormat="1" applyFont="1" applyFill="1" applyBorder="1"/>
    <xf numFmtId="9" fontId="7" fillId="19" borderId="0" xfId="93" applyNumberFormat="1" applyFill="1"/>
    <xf numFmtId="9" fontId="63" fillId="19" borderId="0" xfId="93" applyNumberFormat="1" applyFont="1" applyFill="1"/>
    <xf numFmtId="176" fontId="7" fillId="19" borderId="0" xfId="93" applyNumberFormat="1" applyFill="1"/>
    <xf numFmtId="169" fontId="50" fillId="18" borderId="0" xfId="54" applyNumberFormat="1" applyFont="1" applyFill="1" applyBorder="1" applyAlignment="1">
      <alignment horizontal="right" vertical="center"/>
    </xf>
    <xf numFmtId="169" fontId="50" fillId="18" borderId="30" xfId="54" applyNumberFormat="1" applyFont="1" applyFill="1" applyBorder="1" applyAlignment="1">
      <alignment horizontal="right" vertical="center"/>
    </xf>
    <xf numFmtId="169" fontId="50" fillId="18" borderId="18" xfId="54" applyNumberFormat="1" applyFont="1" applyFill="1" applyBorder="1" applyAlignment="1">
      <alignment horizontal="right" vertical="center"/>
    </xf>
    <xf numFmtId="169" fontId="50" fillId="18" borderId="16" xfId="54" applyNumberFormat="1" applyFont="1" applyFill="1" applyBorder="1" applyAlignment="1">
      <alignment horizontal="right" vertical="center"/>
    </xf>
    <xf numFmtId="0" fontId="7" fillId="0" borderId="52" xfId="64" applyFont="1" applyBorder="1" applyAlignment="1">
      <alignment vertical="center"/>
    </xf>
    <xf numFmtId="5" fontId="7" fillId="18" borderId="53" xfId="64" applyNumberFormat="1" applyFont="1" applyFill="1" applyBorder="1" applyAlignment="1">
      <alignment horizontal="center" vertical="center"/>
    </xf>
    <xf numFmtId="169" fontId="51" fillId="18" borderId="16" xfId="0" applyNumberFormat="1" applyFont="1" applyFill="1" applyBorder="1" applyAlignment="1">
      <alignment horizontal="right"/>
    </xf>
    <xf numFmtId="167" fontId="56" fillId="18" borderId="0" xfId="37" applyNumberFormat="1" applyFont="1" applyFill="1" applyAlignment="1">
      <alignment horizontal="right"/>
    </xf>
    <xf numFmtId="38" fontId="7" fillId="18" borderId="0" xfId="49" applyFont="1" applyFill="1" applyBorder="1" applyAlignment="1">
      <alignment horizontal="center" vertical="center" wrapText="1"/>
    </xf>
    <xf numFmtId="38" fontId="7" fillId="16" borderId="0" xfId="49" applyFont="1" applyFill="1" applyBorder="1" applyAlignment="1">
      <alignment horizontal="center" vertical="center" wrapText="1"/>
    </xf>
    <xf numFmtId="0" fontId="10" fillId="29" borderId="54" xfId="91" applyFont="1" applyFill="1" applyBorder="1" applyAlignment="1">
      <alignment horizontal="center"/>
    </xf>
    <xf numFmtId="171" fontId="10" fillId="24" borderId="12" xfId="37" applyNumberFormat="1" applyFont="1" applyFill="1" applyBorder="1" applyAlignment="1">
      <alignment horizontal="right" vertical="center"/>
    </xf>
    <xf numFmtId="7" fontId="10" fillId="24" borderId="12" xfId="48" applyNumberFormat="1" applyFont="1" applyFill="1" applyBorder="1" applyAlignment="1">
      <alignment horizontal="right" vertical="center" wrapText="1"/>
    </xf>
    <xf numFmtId="170" fontId="36" fillId="24" borderId="0" xfId="54" applyNumberFormat="1" applyFont="1" applyFill="1" applyBorder="1" applyAlignment="1">
      <alignment vertical="center"/>
    </xf>
    <xf numFmtId="0" fontId="56" fillId="19" borderId="0" xfId="94" applyFont="1" applyFill="1" applyAlignment="1">
      <alignment horizontal="right"/>
    </xf>
    <xf numFmtId="0" fontId="56" fillId="19" borderId="0" xfId="94" applyFont="1" applyFill="1" applyAlignment="1">
      <alignment horizontal="center"/>
    </xf>
    <xf numFmtId="0" fontId="56" fillId="19" borderId="0" xfId="94" applyFont="1" applyFill="1"/>
    <xf numFmtId="0" fontId="61" fillId="27" borderId="36" xfId="94" applyFont="1" applyFill="1" applyBorder="1" applyAlignment="1">
      <alignment horizontal="right"/>
    </xf>
    <xf numFmtId="0" fontId="10" fillId="29" borderId="54" xfId="94" applyFont="1" applyFill="1" applyBorder="1" applyAlignment="1">
      <alignment horizontal="center"/>
    </xf>
    <xf numFmtId="0" fontId="63" fillId="19" borderId="0" xfId="94" applyFont="1" applyFill="1" applyAlignment="1">
      <alignment horizontal="center"/>
    </xf>
    <xf numFmtId="0" fontId="61" fillId="20" borderId="12" xfId="94" applyFont="1" applyFill="1" applyBorder="1" applyAlignment="1">
      <alignment horizontal="left"/>
    </xf>
    <xf numFmtId="0" fontId="61" fillId="20" borderId="12" xfId="94" applyFont="1" applyFill="1" applyBorder="1" applyAlignment="1">
      <alignment horizontal="right"/>
    </xf>
    <xf numFmtId="0" fontId="10" fillId="20" borderId="12" xfId="94" applyFont="1" applyFill="1" applyBorder="1" applyAlignment="1">
      <alignment horizontal="right"/>
    </xf>
    <xf numFmtId="0" fontId="61" fillId="19" borderId="0" xfId="94" applyFont="1" applyFill="1"/>
    <xf numFmtId="0" fontId="56" fillId="19" borderId="0" xfId="94" applyFont="1" applyFill="1" applyAlignment="1">
      <alignment horizontal="left"/>
    </xf>
    <xf numFmtId="168" fontId="51" fillId="19" borderId="0" xfId="95" applyNumberFormat="1" applyFont="1" applyFill="1" applyAlignment="1">
      <alignment horizontal="right"/>
    </xf>
    <xf numFmtId="168" fontId="7" fillId="19" borderId="0" xfId="95" applyNumberFormat="1" applyFont="1" applyFill="1" applyAlignment="1">
      <alignment horizontal="right"/>
    </xf>
    <xf numFmtId="168" fontId="7" fillId="24" borderId="0" xfId="95" applyNumberFormat="1" applyFont="1" applyFill="1" applyAlignment="1">
      <alignment horizontal="right"/>
    </xf>
    <xf numFmtId="0" fontId="64" fillId="19" borderId="0" xfId="94" applyFont="1" applyFill="1" applyAlignment="1">
      <alignment horizontal="left"/>
    </xf>
    <xf numFmtId="0" fontId="64" fillId="19" borderId="0" xfId="94" applyFont="1" applyFill="1" applyAlignment="1">
      <alignment horizontal="right"/>
    </xf>
    <xf numFmtId="169" fontId="50" fillId="19" borderId="0" xfId="94" applyNumberFormat="1" applyFont="1" applyFill="1" applyAlignment="1">
      <alignment horizontal="right"/>
    </xf>
    <xf numFmtId="169" fontId="50" fillId="24" borderId="0" xfId="94" applyNumberFormat="1" applyFont="1" applyFill="1" applyAlignment="1">
      <alignment horizontal="right"/>
    </xf>
    <xf numFmtId="169" fontId="36" fillId="19" borderId="0" xfId="94" applyNumberFormat="1" applyFont="1" applyFill="1" applyAlignment="1">
      <alignment horizontal="right"/>
    </xf>
    <xf numFmtId="0" fontId="64" fillId="19" borderId="0" xfId="94" applyFont="1" applyFill="1"/>
    <xf numFmtId="174" fontId="7" fillId="19" borderId="0" xfId="95" applyNumberFormat="1" applyFont="1" applyFill="1" applyAlignment="1">
      <alignment horizontal="right"/>
    </xf>
    <xf numFmtId="174" fontId="7" fillId="24" borderId="0" xfId="95" applyNumberFormat="1" applyFont="1" applyFill="1" applyAlignment="1">
      <alignment horizontal="right"/>
    </xf>
    <xf numFmtId="0" fontId="7" fillId="24" borderId="0" xfId="94" applyFont="1" applyFill="1" applyAlignment="1">
      <alignment horizontal="right"/>
    </xf>
    <xf numFmtId="0" fontId="7" fillId="19" borderId="0" xfId="94" applyFont="1" applyFill="1" applyAlignment="1">
      <alignment horizontal="right"/>
    </xf>
    <xf numFmtId="174" fontId="56" fillId="19" borderId="0" xfId="94" applyNumberFormat="1" applyFont="1" applyFill="1" applyAlignment="1">
      <alignment horizontal="right"/>
    </xf>
    <xf numFmtId="174" fontId="56" fillId="24" borderId="0" xfId="94" applyNumberFormat="1" applyFont="1" applyFill="1" applyAlignment="1">
      <alignment horizontal="right"/>
    </xf>
    <xf numFmtId="174" fontId="7" fillId="24" borderId="0" xfId="94" applyNumberFormat="1" applyFont="1" applyFill="1" applyAlignment="1">
      <alignment horizontal="right"/>
    </xf>
    <xf numFmtId="174" fontId="7" fillId="19" borderId="0" xfId="94" applyNumberFormat="1" applyFont="1" applyFill="1" applyAlignment="1">
      <alignment horizontal="right"/>
    </xf>
    <xf numFmtId="0" fontId="61" fillId="19" borderId="12" xfId="94" applyFont="1" applyFill="1" applyBorder="1" applyAlignment="1">
      <alignment horizontal="left"/>
    </xf>
    <xf numFmtId="0" fontId="56" fillId="19" borderId="12" xfId="94" applyFont="1" applyFill="1" applyBorder="1" applyAlignment="1">
      <alignment horizontal="right"/>
    </xf>
    <xf numFmtId="0" fontId="56" fillId="24" borderId="12" xfId="94" applyFont="1" applyFill="1" applyBorder="1" applyAlignment="1">
      <alignment horizontal="right"/>
    </xf>
    <xf numFmtId="0" fontId="7" fillId="19" borderId="12" xfId="94" applyFont="1" applyFill="1" applyBorder="1" applyAlignment="1">
      <alignment horizontal="right"/>
    </xf>
    <xf numFmtId="9" fontId="64" fillId="19" borderId="0" xfId="97" applyFont="1" applyFill="1"/>
    <xf numFmtId="9" fontId="52" fillId="19" borderId="0" xfId="97" applyFont="1" applyFill="1"/>
    <xf numFmtId="0" fontId="56" fillId="24" borderId="0" xfId="94" applyFont="1" applyFill="1" applyAlignment="1">
      <alignment horizontal="right"/>
    </xf>
    <xf numFmtId="37" fontId="56" fillId="24" borderId="0" xfId="94" applyNumberFormat="1" applyFont="1" applyFill="1" applyAlignment="1">
      <alignment horizontal="right"/>
    </xf>
    <xf numFmtId="37" fontId="7" fillId="19" borderId="0" xfId="94" applyNumberFormat="1" applyFont="1" applyFill="1" applyAlignment="1">
      <alignment horizontal="right"/>
    </xf>
    <xf numFmtId="172" fontId="51" fillId="19" borderId="0" xfId="94" applyNumberFormat="1" applyFont="1" applyFill="1" applyAlignment="1">
      <alignment horizontal="right"/>
    </xf>
    <xf numFmtId="172" fontId="51" fillId="24" borderId="0" xfId="94" applyNumberFormat="1" applyFont="1" applyFill="1" applyAlignment="1">
      <alignment horizontal="right"/>
    </xf>
    <xf numFmtId="167" fontId="56" fillId="19" borderId="0" xfId="99" applyNumberFormat="1" applyFont="1" applyFill="1" applyAlignment="1">
      <alignment horizontal="right"/>
    </xf>
    <xf numFmtId="167" fontId="56" fillId="24" borderId="0" xfId="94" applyNumberFormat="1" applyFont="1" applyFill="1" applyAlignment="1">
      <alignment horizontal="right"/>
    </xf>
    <xf numFmtId="167" fontId="7" fillId="19" borderId="0" xfId="99" applyNumberFormat="1" applyFont="1" applyFill="1" applyAlignment="1">
      <alignment horizontal="right"/>
    </xf>
    <xf numFmtId="0" fontId="56" fillId="19" borderId="0" xfId="94" applyNumberFormat="1" applyFont="1" applyFill="1" applyAlignment="1">
      <alignment horizontal="right"/>
    </xf>
    <xf numFmtId="167" fontId="56" fillId="19" borderId="0" xfId="94" applyNumberFormat="1" applyFont="1" applyFill="1" applyAlignment="1">
      <alignment horizontal="right"/>
    </xf>
    <xf numFmtId="167" fontId="7" fillId="19" borderId="0" xfId="94" applyNumberFormat="1" applyFont="1" applyFill="1" applyAlignment="1">
      <alignment horizontal="right"/>
    </xf>
    <xf numFmtId="9" fontId="64" fillId="19" borderId="0" xfId="94" applyNumberFormat="1" applyFont="1" applyFill="1" applyAlignment="1">
      <alignment horizontal="right"/>
    </xf>
    <xf numFmtId="9" fontId="64" fillId="24" borderId="0" xfId="94" applyNumberFormat="1" applyFont="1" applyFill="1" applyAlignment="1">
      <alignment horizontal="right"/>
    </xf>
    <xf numFmtId="5" fontId="51" fillId="19" borderId="0" xfId="96" applyNumberFormat="1" applyFont="1" applyFill="1" applyAlignment="1">
      <alignment horizontal="right"/>
    </xf>
    <xf numFmtId="5" fontId="51" fillId="24" borderId="0" xfId="96" applyNumberFormat="1" applyFont="1" applyFill="1" applyAlignment="1">
      <alignment horizontal="right"/>
    </xf>
    <xf numFmtId="5" fontId="7" fillId="19" borderId="0" xfId="96" applyNumberFormat="1" applyFont="1" applyFill="1" applyAlignment="1">
      <alignment horizontal="right"/>
    </xf>
    <xf numFmtId="0" fontId="51" fillId="19" borderId="0" xfId="94" applyFont="1" applyFill="1" applyAlignment="1">
      <alignment horizontal="right"/>
    </xf>
    <xf numFmtId="0" fontId="51" fillId="24" borderId="0" xfId="94" applyFont="1" applyFill="1" applyAlignment="1">
      <alignment horizontal="right"/>
    </xf>
    <xf numFmtId="9" fontId="7" fillId="19" borderId="0" xfId="94" applyNumberFormat="1" applyFont="1" applyFill="1" applyAlignment="1">
      <alignment horizontal="right"/>
    </xf>
    <xf numFmtId="9" fontId="56" fillId="24" borderId="0" xfId="94" applyNumberFormat="1" applyFont="1" applyFill="1" applyAlignment="1">
      <alignment horizontal="right"/>
    </xf>
    <xf numFmtId="9" fontId="7" fillId="19" borderId="0" xfId="54" applyFont="1" applyFill="1" applyAlignment="1">
      <alignment horizontal="right"/>
    </xf>
    <xf numFmtId="9" fontId="7" fillId="19" borderId="0" xfId="97" applyFont="1" applyFill="1" applyAlignment="1">
      <alignment horizontal="left"/>
    </xf>
    <xf numFmtId="9" fontId="7" fillId="19" borderId="0" xfId="97" applyFont="1" applyFill="1" applyAlignment="1">
      <alignment horizontal="right"/>
    </xf>
    <xf numFmtId="9" fontId="51" fillId="19" borderId="0" xfId="97" applyFont="1" applyFill="1" applyAlignment="1">
      <alignment horizontal="right"/>
    </xf>
    <xf numFmtId="9" fontId="51" fillId="24" borderId="0" xfId="97" applyFont="1" applyFill="1" applyAlignment="1">
      <alignment horizontal="right"/>
    </xf>
    <xf numFmtId="9" fontId="7" fillId="19" borderId="0" xfId="97" applyFont="1" applyFill="1"/>
    <xf numFmtId="9" fontId="51" fillId="19" borderId="0" xfId="94" applyNumberFormat="1" applyFont="1" applyFill="1" applyAlignment="1">
      <alignment horizontal="right"/>
    </xf>
    <xf numFmtId="9" fontId="51" fillId="24" borderId="0" xfId="94" applyNumberFormat="1" applyFont="1" applyFill="1" applyAlignment="1">
      <alignment horizontal="right"/>
    </xf>
    <xf numFmtId="0" fontId="56" fillId="19" borderId="0" xfId="94" applyFont="1" applyFill="1" applyBorder="1" applyAlignment="1">
      <alignment horizontal="left"/>
    </xf>
    <xf numFmtId="0" fontId="56" fillId="19" borderId="0" xfId="94" applyFont="1" applyFill="1" applyBorder="1" applyAlignment="1">
      <alignment horizontal="right"/>
    </xf>
    <xf numFmtId="0" fontId="56" fillId="24" borderId="0" xfId="94" applyFont="1" applyFill="1" applyBorder="1" applyAlignment="1">
      <alignment horizontal="right"/>
    </xf>
    <xf numFmtId="0" fontId="7" fillId="19" borderId="0" xfId="94" applyFont="1" applyFill="1" applyBorder="1" applyAlignment="1">
      <alignment horizontal="right"/>
    </xf>
    <xf numFmtId="0" fontId="61" fillId="19" borderId="34" xfId="94" applyFont="1" applyFill="1" applyBorder="1" applyAlignment="1">
      <alignment horizontal="left"/>
    </xf>
    <xf numFmtId="0" fontId="61" fillId="19" borderId="34" xfId="94" applyFont="1" applyFill="1" applyBorder="1" applyAlignment="1">
      <alignment horizontal="right"/>
    </xf>
    <xf numFmtId="5" fontId="10" fillId="19" borderId="34" xfId="96" applyNumberFormat="1" applyFont="1" applyFill="1" applyBorder="1" applyAlignment="1">
      <alignment horizontal="right"/>
    </xf>
    <xf numFmtId="5" fontId="10" fillId="24" borderId="34" xfId="96" applyNumberFormat="1" applyFont="1" applyFill="1" applyBorder="1" applyAlignment="1">
      <alignment horizontal="right"/>
    </xf>
    <xf numFmtId="9" fontId="64" fillId="19" borderId="0" xfId="97" applyFont="1" applyFill="1" applyAlignment="1">
      <alignment horizontal="left" indent="1"/>
    </xf>
    <xf numFmtId="9" fontId="64" fillId="19" borderId="0" xfId="97" applyFont="1" applyFill="1" applyAlignment="1">
      <alignment horizontal="right"/>
    </xf>
    <xf numFmtId="9" fontId="64" fillId="24" borderId="0" xfId="97" applyFont="1" applyFill="1" applyAlignment="1">
      <alignment horizontal="right"/>
    </xf>
    <xf numFmtId="9" fontId="36" fillId="19" borderId="0" xfId="97" applyFont="1" applyFill="1" applyAlignment="1">
      <alignment horizontal="right"/>
    </xf>
    <xf numFmtId="172" fontId="56" fillId="19" borderId="0" xfId="94" applyNumberFormat="1" applyFont="1" applyFill="1" applyAlignment="1">
      <alignment horizontal="right"/>
    </xf>
    <xf numFmtId="172" fontId="56" fillId="24" borderId="0" xfId="94" applyNumberFormat="1" applyFont="1" applyFill="1" applyAlignment="1">
      <alignment horizontal="right"/>
    </xf>
    <xf numFmtId="172" fontId="7" fillId="19" borderId="0" xfId="94" applyNumberFormat="1" applyFont="1" applyFill="1" applyAlignment="1">
      <alignment horizontal="right"/>
    </xf>
    <xf numFmtId="0" fontId="56" fillId="24" borderId="0" xfId="94" applyNumberFormat="1" applyFont="1" applyFill="1" applyAlignment="1">
      <alignment horizontal="right"/>
    </xf>
    <xf numFmtId="1" fontId="7" fillId="19" borderId="0" xfId="94" applyNumberFormat="1" applyFont="1" applyFill="1" applyAlignment="1">
      <alignment horizontal="right"/>
    </xf>
    <xf numFmtId="5" fontId="63" fillId="19" borderId="0" xfId="96" applyNumberFormat="1" applyFont="1" applyFill="1" applyAlignment="1">
      <alignment horizontal="right"/>
    </xf>
    <xf numFmtId="5" fontId="63" fillId="24" borderId="0" xfId="96" applyNumberFormat="1" applyFont="1" applyFill="1" applyAlignment="1">
      <alignment horizontal="right"/>
    </xf>
    <xf numFmtId="9" fontId="63" fillId="19" borderId="0" xfId="97" applyFont="1" applyFill="1" applyAlignment="1">
      <alignment horizontal="right"/>
    </xf>
    <xf numFmtId="9" fontId="63" fillId="24" borderId="0" xfId="97" applyFont="1" applyFill="1" applyAlignment="1">
      <alignment horizontal="right"/>
    </xf>
    <xf numFmtId="9" fontId="63" fillId="19" borderId="0" xfId="94" applyNumberFormat="1" applyFont="1" applyFill="1" applyAlignment="1">
      <alignment horizontal="right"/>
    </xf>
    <xf numFmtId="9" fontId="63" fillId="24" borderId="0" xfId="94" applyNumberFormat="1" applyFont="1" applyFill="1" applyAlignment="1">
      <alignment horizontal="right"/>
    </xf>
    <xf numFmtId="0" fontId="7" fillId="18" borderId="0" xfId="94" applyFont="1" applyFill="1" applyAlignment="1">
      <alignment horizontal="right"/>
    </xf>
    <xf numFmtId="0" fontId="56" fillId="24" borderId="0" xfId="94" applyFont="1" applyFill="1" applyAlignment="1">
      <alignment horizontal="center"/>
    </xf>
    <xf numFmtId="0" fontId="7" fillId="19" borderId="0" xfId="94" applyFont="1" applyFill="1" applyAlignment="1">
      <alignment horizontal="center"/>
    </xf>
    <xf numFmtId="0" fontId="7" fillId="19" borderId="0" xfId="94" applyFont="1" applyFill="1"/>
    <xf numFmtId="0" fontId="61" fillId="19" borderId="36" xfId="94" applyFont="1" applyFill="1" applyBorder="1" applyAlignment="1">
      <alignment horizontal="left"/>
    </xf>
    <xf numFmtId="0" fontId="61" fillId="19" borderId="35" xfId="94" applyFont="1" applyFill="1" applyBorder="1" applyAlignment="1">
      <alignment horizontal="right"/>
    </xf>
    <xf numFmtId="5" fontId="10" fillId="19" borderId="35" xfId="96" applyNumberFormat="1" applyFont="1" applyFill="1" applyBorder="1" applyAlignment="1">
      <alignment horizontal="right"/>
    </xf>
    <xf numFmtId="5" fontId="10" fillId="24" borderId="35" xfId="96" applyNumberFormat="1" applyFont="1" applyFill="1" applyBorder="1" applyAlignment="1">
      <alignment horizontal="right"/>
    </xf>
    <xf numFmtId="5" fontId="10" fillId="19" borderId="39" xfId="96" applyNumberFormat="1" applyFont="1" applyFill="1" applyBorder="1" applyAlignment="1">
      <alignment horizontal="right"/>
    </xf>
    <xf numFmtId="0" fontId="61" fillId="20" borderId="36" xfId="94" applyFont="1" applyFill="1" applyBorder="1" applyAlignment="1">
      <alignment horizontal="left"/>
    </xf>
    <xf numFmtId="0" fontId="61" fillId="20" borderId="35" xfId="94" applyFont="1" applyFill="1" applyBorder="1" applyAlignment="1">
      <alignment horizontal="right"/>
    </xf>
    <xf numFmtId="0" fontId="61" fillId="20" borderId="39" xfId="94" applyFont="1" applyFill="1" applyBorder="1" applyAlignment="1">
      <alignment horizontal="right"/>
    </xf>
    <xf numFmtId="0" fontId="56" fillId="19" borderId="25" xfId="94" applyFont="1" applyFill="1" applyBorder="1" applyAlignment="1">
      <alignment horizontal="left"/>
    </xf>
    <xf numFmtId="168" fontId="7" fillId="19" borderId="21" xfId="95" applyNumberFormat="1" applyFont="1" applyFill="1" applyBorder="1" applyAlignment="1">
      <alignment horizontal="right"/>
    </xf>
    <xf numFmtId="168" fontId="7" fillId="24" borderId="21" xfId="95" applyNumberFormat="1" applyFont="1" applyFill="1" applyBorder="1" applyAlignment="1">
      <alignment horizontal="right"/>
    </xf>
    <xf numFmtId="168" fontId="7" fillId="19" borderId="22" xfId="95" applyNumberFormat="1" applyFont="1" applyFill="1" applyBorder="1" applyAlignment="1">
      <alignment horizontal="right"/>
    </xf>
    <xf numFmtId="0" fontId="56" fillId="19" borderId="42" xfId="94" applyFont="1" applyFill="1" applyBorder="1" applyAlignment="1">
      <alignment horizontal="left"/>
    </xf>
    <xf numFmtId="168" fontId="7" fillId="19" borderId="30" xfId="95" applyNumberFormat="1" applyFont="1" applyFill="1" applyBorder="1" applyAlignment="1">
      <alignment horizontal="right"/>
    </xf>
    <xf numFmtId="168" fontId="7" fillId="24" borderId="15" xfId="95" applyNumberFormat="1" applyFont="1" applyFill="1" applyBorder="1" applyAlignment="1">
      <alignment horizontal="right"/>
    </xf>
    <xf numFmtId="168" fontId="7" fillId="19" borderId="43" xfId="95" applyNumberFormat="1" applyFont="1" applyFill="1" applyBorder="1" applyAlignment="1">
      <alignment horizontal="right"/>
    </xf>
    <xf numFmtId="0" fontId="56" fillId="19" borderId="44" xfId="94" applyFont="1" applyFill="1" applyBorder="1" applyAlignment="1">
      <alignment horizontal="left"/>
    </xf>
    <xf numFmtId="168" fontId="7" fillId="19" borderId="33" xfId="95" applyNumberFormat="1" applyFont="1" applyFill="1" applyBorder="1" applyAlignment="1">
      <alignment horizontal="right"/>
    </xf>
    <xf numFmtId="168" fontId="7" fillId="24" borderId="33" xfId="95" applyNumberFormat="1" applyFont="1" applyFill="1" applyBorder="1" applyAlignment="1">
      <alignment horizontal="right"/>
    </xf>
    <xf numFmtId="168" fontId="7" fillId="19" borderId="45" xfId="95" applyNumberFormat="1" applyFont="1" applyFill="1" applyBorder="1" applyAlignment="1">
      <alignment horizontal="right"/>
    </xf>
    <xf numFmtId="0" fontId="56" fillId="19" borderId="26" xfId="94" applyFont="1" applyFill="1" applyBorder="1" applyAlignment="1">
      <alignment horizontal="right"/>
    </xf>
    <xf numFmtId="0" fontId="56" fillId="19" borderId="0" xfId="94" applyFont="1" applyFill="1" applyBorder="1" applyAlignment="1">
      <alignment horizontal="center"/>
    </xf>
    <xf numFmtId="0" fontId="56" fillId="24" borderId="0" xfId="94" applyFont="1" applyFill="1" applyBorder="1" applyAlignment="1">
      <alignment horizontal="center"/>
    </xf>
    <xf numFmtId="0" fontId="56" fillId="19" borderId="27" xfId="94" applyFont="1" applyFill="1" applyBorder="1" applyAlignment="1">
      <alignment horizontal="center"/>
    </xf>
    <xf numFmtId="0" fontId="56" fillId="19" borderId="46" xfId="94" applyFont="1" applyFill="1" applyBorder="1" applyAlignment="1">
      <alignment horizontal="left"/>
    </xf>
    <xf numFmtId="5" fontId="10" fillId="19" borderId="40" xfId="96" applyNumberFormat="1" applyFont="1" applyFill="1" applyBorder="1" applyAlignment="1">
      <alignment horizontal="right"/>
    </xf>
    <xf numFmtId="5" fontId="10" fillId="24" borderId="40" xfId="96" applyNumberFormat="1" applyFont="1" applyFill="1" applyBorder="1" applyAlignment="1">
      <alignment horizontal="right"/>
    </xf>
    <xf numFmtId="5" fontId="10" fillId="19" borderId="47" xfId="96" applyNumberFormat="1" applyFont="1" applyFill="1" applyBorder="1" applyAlignment="1">
      <alignment horizontal="right"/>
    </xf>
    <xf numFmtId="9" fontId="64" fillId="19" borderId="28" xfId="97" applyFont="1" applyFill="1" applyBorder="1" applyAlignment="1">
      <alignment horizontal="left" indent="1"/>
    </xf>
    <xf numFmtId="9" fontId="36" fillId="19" borderId="19" xfId="97" applyFont="1" applyFill="1" applyBorder="1" applyAlignment="1">
      <alignment horizontal="right"/>
    </xf>
    <xf numFmtId="9" fontId="36" fillId="24" borderId="19" xfId="97" applyFont="1" applyFill="1" applyBorder="1" applyAlignment="1">
      <alignment horizontal="right"/>
    </xf>
    <xf numFmtId="9" fontId="36" fillId="19" borderId="23" xfId="97" applyFont="1" applyFill="1" applyBorder="1" applyAlignment="1">
      <alignment horizontal="right"/>
    </xf>
    <xf numFmtId="0" fontId="56" fillId="19" borderId="26" xfId="94" applyFont="1" applyFill="1" applyBorder="1" applyAlignment="1">
      <alignment horizontal="left"/>
    </xf>
    <xf numFmtId="5" fontId="10" fillId="19" borderId="0" xfId="96" applyNumberFormat="1" applyFont="1" applyFill="1" applyBorder="1" applyAlignment="1">
      <alignment horizontal="right"/>
    </xf>
    <xf numFmtId="5" fontId="10" fillId="24" borderId="0" xfId="96" applyNumberFormat="1" applyFont="1" applyFill="1" applyBorder="1" applyAlignment="1">
      <alignment horizontal="right"/>
    </xf>
    <xf numFmtId="5" fontId="10" fillId="19" borderId="27" xfId="96" applyNumberFormat="1" applyFont="1" applyFill="1" applyBorder="1" applyAlignment="1">
      <alignment horizontal="right"/>
    </xf>
    <xf numFmtId="9" fontId="64" fillId="19" borderId="48" xfId="97" applyFont="1" applyFill="1" applyBorder="1" applyAlignment="1">
      <alignment horizontal="left" indent="1"/>
    </xf>
    <xf numFmtId="9" fontId="36" fillId="19" borderId="41" xfId="97" applyFont="1" applyFill="1" applyBorder="1" applyAlignment="1">
      <alignment horizontal="right"/>
    </xf>
    <xf numFmtId="9" fontId="36" fillId="24" borderId="41" xfId="97" applyFont="1" applyFill="1" applyBorder="1" applyAlignment="1">
      <alignment horizontal="right"/>
    </xf>
    <xf numFmtId="9" fontId="36" fillId="19" borderId="49" xfId="97" applyFont="1" applyFill="1" applyBorder="1" applyAlignment="1">
      <alignment horizontal="right"/>
    </xf>
    <xf numFmtId="0" fontId="56" fillId="19" borderId="50" xfId="94" applyFont="1" applyFill="1" applyBorder="1" applyAlignment="1">
      <alignment horizontal="left"/>
    </xf>
    <xf numFmtId="5" fontId="10" fillId="19" borderId="51" xfId="96" applyNumberFormat="1" applyFont="1" applyFill="1" applyBorder="1" applyAlignment="1">
      <alignment horizontal="right"/>
    </xf>
    <xf numFmtId="0" fontId="56" fillId="28" borderId="36" xfId="94" applyFont="1" applyFill="1" applyBorder="1" applyAlignment="1">
      <alignment horizontal="left"/>
    </xf>
    <xf numFmtId="5" fontId="10" fillId="28" borderId="35" xfId="96" applyNumberFormat="1" applyFont="1" applyFill="1" applyBorder="1" applyAlignment="1">
      <alignment horizontal="right"/>
    </xf>
    <xf numFmtId="5" fontId="10" fillId="28" borderId="39" xfId="96" applyNumberFormat="1" applyFont="1" applyFill="1" applyBorder="1" applyAlignment="1">
      <alignment horizontal="right"/>
    </xf>
    <xf numFmtId="0" fontId="7" fillId="0" borderId="0" xfId="88" applyFont="1"/>
    <xf numFmtId="37" fontId="56" fillId="18" borderId="0" xfId="94" applyNumberFormat="1" applyFont="1" applyFill="1" applyAlignment="1">
      <alignment horizontal="right"/>
    </xf>
    <xf numFmtId="167" fontId="56" fillId="18" borderId="0" xfId="94" applyNumberFormat="1" applyFont="1" applyFill="1" applyAlignment="1">
      <alignment horizontal="right"/>
    </xf>
    <xf numFmtId="9" fontId="64" fillId="18" borderId="0" xfId="97" applyFont="1" applyFill="1" applyAlignment="1">
      <alignment horizontal="right"/>
    </xf>
    <xf numFmtId="9" fontId="51" fillId="24" borderId="0" xfId="54" applyFont="1" applyFill="1" applyAlignment="1">
      <alignment horizontal="right"/>
    </xf>
    <xf numFmtId="169" fontId="36" fillId="28" borderId="0" xfId="97" applyNumberFormat="1" applyFont="1" applyFill="1" applyAlignment="1">
      <alignment horizontal="left"/>
    </xf>
    <xf numFmtId="169" fontId="36" fillId="28" borderId="0" xfId="97" applyNumberFormat="1" applyFont="1" applyFill="1" applyAlignment="1">
      <alignment horizontal="right"/>
    </xf>
    <xf numFmtId="169" fontId="50" fillId="28" borderId="0" xfId="97" applyNumberFormat="1" applyFont="1" applyFill="1" applyAlignment="1">
      <alignment horizontal="right"/>
    </xf>
    <xf numFmtId="169" fontId="64" fillId="28" borderId="0" xfId="97" applyNumberFormat="1" applyFont="1" applyFill="1" applyAlignment="1">
      <alignment horizontal="right"/>
    </xf>
    <xf numFmtId="169" fontId="65" fillId="19" borderId="0" xfId="97" applyNumberFormat="1" applyFont="1" applyFill="1" applyAlignment="1">
      <alignment horizontal="left"/>
    </xf>
    <xf numFmtId="169" fontId="65" fillId="19" borderId="0" xfId="97" applyNumberFormat="1" applyFont="1" applyFill="1" applyAlignment="1">
      <alignment horizontal="right"/>
    </xf>
    <xf numFmtId="169" fontId="42" fillId="19" borderId="0" xfId="97" applyNumberFormat="1" applyFont="1" applyFill="1" applyAlignment="1">
      <alignment horizontal="right"/>
    </xf>
    <xf numFmtId="169" fontId="42" fillId="24" borderId="0" xfId="97" applyNumberFormat="1" applyFont="1" applyFill="1" applyAlignment="1">
      <alignment horizontal="right"/>
    </xf>
    <xf numFmtId="0" fontId="10" fillId="20" borderId="35" xfId="94" applyFont="1" applyFill="1" applyBorder="1" applyAlignment="1">
      <alignment horizontal="right"/>
    </xf>
    <xf numFmtId="167" fontId="10" fillId="18" borderId="12" xfId="37" applyNumberFormat="1" applyFont="1" applyFill="1" applyBorder="1" applyAlignment="1">
      <alignment horizontal="right" vertical="center"/>
    </xf>
    <xf numFmtId="167" fontId="10" fillId="24" borderId="12" xfId="37" applyNumberFormat="1" applyFont="1" applyFill="1" applyBorder="1" applyAlignment="1">
      <alignment horizontal="right" vertical="center"/>
    </xf>
    <xf numFmtId="167" fontId="7" fillId="24" borderId="0" xfId="54" applyNumberFormat="1" applyFont="1" applyFill="1" applyBorder="1" applyAlignment="1">
      <alignment vertical="center" wrapText="1"/>
    </xf>
    <xf numFmtId="167" fontId="51" fillId="18" borderId="0" xfId="54" applyNumberFormat="1" applyFont="1" applyFill="1" applyBorder="1" applyAlignment="1">
      <alignment vertical="center" wrapText="1"/>
    </xf>
    <xf numFmtId="167" fontId="7" fillId="24" borderId="0" xfId="37" applyNumberFormat="1" applyFont="1" applyFill="1" applyBorder="1" applyAlignment="1">
      <alignment vertical="center"/>
    </xf>
    <xf numFmtId="169" fontId="50" fillId="18" borderId="53" xfId="54" applyNumberFormat="1" applyFont="1" applyFill="1" applyBorder="1" applyAlignment="1">
      <alignment horizontal="right" vertical="center"/>
    </xf>
    <xf numFmtId="169" fontId="56" fillId="19" borderId="0" xfId="54" applyNumberFormat="1" applyFont="1" applyFill="1"/>
    <xf numFmtId="172" fontId="56" fillId="19" borderId="0" xfId="94" applyNumberFormat="1" applyFont="1" applyFill="1" applyAlignment="1">
      <alignment horizontal="center"/>
    </xf>
    <xf numFmtId="177" fontId="7" fillId="19" borderId="0" xfId="94" applyNumberFormat="1" applyFont="1" applyFill="1" applyAlignment="1">
      <alignment horizontal="right"/>
    </xf>
    <xf numFmtId="3" fontId="7" fillId="19" borderId="0" xfId="93" applyNumberFormat="1" applyFill="1" applyAlignment="1">
      <alignment horizontal="center"/>
    </xf>
    <xf numFmtId="3" fontId="7" fillId="19" borderId="0" xfId="62" applyNumberFormat="1" applyFont="1" applyFill="1" applyAlignment="1">
      <alignment horizontal="center"/>
    </xf>
    <xf numFmtId="3" fontId="7" fillId="20" borderId="0" xfId="62" applyNumberFormat="1" applyFont="1" applyFill="1" applyAlignment="1">
      <alignment horizontal="center"/>
    </xf>
    <xf numFmtId="9" fontId="36" fillId="19" borderId="0" xfId="63" applyFont="1" applyFill="1" applyAlignment="1">
      <alignment horizontal="center"/>
    </xf>
    <xf numFmtId="9" fontId="64" fillId="19" borderId="0" xfId="63" applyFont="1" applyFill="1" applyAlignment="1">
      <alignment horizontal="center"/>
    </xf>
    <xf numFmtId="0" fontId="7" fillId="20" borderId="0" xfId="93" applyFill="1" applyAlignment="1">
      <alignment horizontal="center"/>
    </xf>
    <xf numFmtId="0" fontId="7" fillId="19" borderId="0" xfId="93" applyFill="1" applyAlignment="1">
      <alignment horizontal="center"/>
    </xf>
    <xf numFmtId="9" fontId="41" fillId="19" borderId="0" xfId="62" applyNumberFormat="1" applyFont="1" applyFill="1" applyBorder="1" applyAlignment="1">
      <alignment horizontal="center"/>
    </xf>
    <xf numFmtId="37" fontId="7" fillId="19" borderId="0" xfId="93" applyNumberFormat="1" applyFill="1" applyAlignment="1">
      <alignment horizontal="center"/>
    </xf>
    <xf numFmtId="37" fontId="7" fillId="20" borderId="0" xfId="93" applyNumberFormat="1" applyFill="1" applyAlignment="1">
      <alignment horizontal="center"/>
    </xf>
    <xf numFmtId="0" fontId="36" fillId="19" borderId="0" xfId="93" applyFont="1" applyFill="1" applyAlignment="1">
      <alignment horizontal="center"/>
    </xf>
    <xf numFmtId="9" fontId="36" fillId="19" borderId="0" xfId="66" applyFont="1" applyFill="1" applyAlignment="1">
      <alignment horizontal="center"/>
    </xf>
    <xf numFmtId="9" fontId="36" fillId="20" borderId="0" xfId="66" applyFont="1" applyFill="1" applyAlignment="1">
      <alignment horizontal="center"/>
    </xf>
    <xf numFmtId="5" fontId="35" fillId="19" borderId="24" xfId="62" applyNumberFormat="1" applyFont="1" applyFill="1" applyBorder="1" applyAlignment="1">
      <alignment horizontal="center"/>
    </xf>
    <xf numFmtId="0" fontId="7" fillId="23" borderId="0" xfId="0" applyFont="1" applyFill="1" applyBorder="1" applyAlignment="1">
      <alignment horizontal="left" vertical="center" indent="1"/>
    </xf>
    <xf numFmtId="5" fontId="7" fillId="19" borderId="12" xfId="94" applyNumberFormat="1" applyFont="1" applyFill="1" applyBorder="1" applyAlignment="1">
      <alignment horizontal="right"/>
    </xf>
    <xf numFmtId="171" fontId="10" fillId="24" borderId="34" xfId="96" applyNumberFormat="1" applyFont="1" applyFill="1" applyBorder="1" applyAlignment="1">
      <alignment horizontal="right"/>
    </xf>
    <xf numFmtId="3" fontId="66" fillId="30" borderId="0" xfId="0" applyNumberFormat="1" applyFont="1" applyFill="1"/>
    <xf numFmtId="186" fontId="10" fillId="18" borderId="12" xfId="37" applyNumberFormat="1" applyFont="1" applyFill="1" applyBorder="1" applyAlignment="1">
      <alignment horizontal="right" vertical="center"/>
    </xf>
    <xf numFmtId="186" fontId="10" fillId="24" borderId="12" xfId="37" applyNumberFormat="1" applyFont="1" applyFill="1" applyBorder="1" applyAlignment="1">
      <alignment horizontal="right" vertical="center"/>
    </xf>
    <xf numFmtId="186" fontId="10" fillId="18" borderId="13" xfId="37" applyNumberFormat="1" applyFont="1" applyFill="1" applyBorder="1" applyAlignment="1">
      <alignment horizontal="right" vertical="center"/>
    </xf>
    <xf numFmtId="5" fontId="64" fillId="24" borderId="0" xfId="97" applyNumberFormat="1" applyFont="1" applyFill="1" applyAlignment="1">
      <alignment horizontal="right"/>
    </xf>
    <xf numFmtId="5" fontId="36" fillId="19" borderId="0" xfId="97" applyNumberFormat="1" applyFont="1" applyFill="1" applyAlignment="1">
      <alignment horizontal="right"/>
    </xf>
    <xf numFmtId="38" fontId="69" fillId="16" borderId="0" xfId="49" applyFont="1" applyFill="1" applyBorder="1" applyAlignment="1">
      <alignment vertical="center"/>
    </xf>
    <xf numFmtId="43" fontId="69" fillId="17" borderId="0" xfId="37" applyFont="1" applyFill="1" applyBorder="1" applyAlignment="1">
      <alignment vertical="center"/>
    </xf>
    <xf numFmtId="166" fontId="69" fillId="16" borderId="0" xfId="50" applyNumberFormat="1" applyFont="1" applyFill="1" applyBorder="1"/>
    <xf numFmtId="166" fontId="69" fillId="16" borderId="30" xfId="50" applyNumberFormat="1" applyFont="1" applyFill="1" applyBorder="1"/>
    <xf numFmtId="38" fontId="7" fillId="18" borderId="0" xfId="49" applyNumberFormat="1" applyFont="1" applyFill="1" applyBorder="1" applyAlignment="1">
      <alignment horizontal="center" vertical="center"/>
    </xf>
    <xf numFmtId="171" fontId="10" fillId="28" borderId="35" xfId="96" applyNumberFormat="1" applyFont="1" applyFill="1" applyBorder="1" applyAlignment="1">
      <alignment horizontal="right"/>
    </xf>
    <xf numFmtId="3" fontId="39" fillId="31" borderId="36" xfId="0" applyNumberFormat="1" applyFont="1" applyFill="1" applyBorder="1"/>
    <xf numFmtId="3" fontId="39" fillId="31" borderId="39" xfId="0" applyNumberFormat="1" applyFont="1" applyFill="1" applyBorder="1" applyAlignment="1">
      <alignment horizontal="right"/>
    </xf>
    <xf numFmtId="3" fontId="39" fillId="0" borderId="0" xfId="0" applyNumberFormat="1" applyFont="1" applyFill="1" applyBorder="1" applyAlignment="1">
      <alignment horizontal="right"/>
    </xf>
    <xf numFmtId="0" fontId="7" fillId="16" borderId="21" xfId="91" applyFill="1" applyBorder="1" applyAlignment="1">
      <alignment horizontal="centerContinuous"/>
    </xf>
    <xf numFmtId="0" fontId="7" fillId="16" borderId="22" xfId="91" applyFill="1" applyBorder="1" applyAlignment="1">
      <alignment horizontal="centerContinuous"/>
    </xf>
    <xf numFmtId="0" fontId="35" fillId="16" borderId="0" xfId="62" applyFont="1" applyFill="1" applyBorder="1" applyAlignment="1">
      <alignment horizontal="centerContinuous"/>
    </xf>
    <xf numFmtId="0" fontId="35" fillId="16" borderId="27" xfId="62" applyFont="1" applyFill="1" applyBorder="1" applyAlignment="1">
      <alignment horizontal="centerContinuous"/>
    </xf>
    <xf numFmtId="0" fontId="35" fillId="16" borderId="19" xfId="62" applyFont="1" applyFill="1" applyBorder="1" applyAlignment="1">
      <alignment horizontal="centerContinuous"/>
    </xf>
    <xf numFmtId="0" fontId="35" fillId="16" borderId="23" xfId="62" applyFont="1" applyFill="1" applyBorder="1" applyAlignment="1">
      <alignment horizontal="centerContinuous"/>
    </xf>
    <xf numFmtId="0" fontId="61" fillId="19" borderId="0" xfId="94" applyFont="1" applyFill="1" applyBorder="1" applyAlignment="1">
      <alignment horizontal="left"/>
    </xf>
    <xf numFmtId="0" fontId="61" fillId="19" borderId="0" xfId="94" applyFont="1" applyFill="1" applyBorder="1" applyAlignment="1">
      <alignment horizontal="right"/>
    </xf>
    <xf numFmtId="168" fontId="7" fillId="19" borderId="0" xfId="95" applyNumberFormat="1" applyFont="1" applyFill="1" applyBorder="1" applyAlignment="1">
      <alignment horizontal="right"/>
    </xf>
    <xf numFmtId="168" fontId="7" fillId="24" borderId="0" xfId="95" applyNumberFormat="1" applyFont="1" applyFill="1" applyBorder="1" applyAlignment="1">
      <alignment horizontal="right"/>
    </xf>
    <xf numFmtId="168" fontId="7" fillId="19" borderId="27" xfId="95" applyNumberFormat="1" applyFont="1" applyFill="1" applyBorder="1" applyAlignment="1">
      <alignment horizontal="right"/>
    </xf>
    <xf numFmtId="7" fontId="10" fillId="28" borderId="35" xfId="96" applyNumberFormat="1" applyFont="1" applyFill="1" applyBorder="1" applyAlignment="1">
      <alignment horizontal="right"/>
    </xf>
    <xf numFmtId="0" fontId="61" fillId="27" borderId="54" xfId="94" applyFont="1" applyFill="1" applyBorder="1" applyAlignment="1">
      <alignment horizontal="right"/>
    </xf>
    <xf numFmtId="5" fontId="56" fillId="19" borderId="0" xfId="94" applyNumberFormat="1" applyFont="1" applyFill="1" applyAlignment="1">
      <alignment horizontal="center"/>
    </xf>
    <xf numFmtId="0" fontId="61" fillId="27" borderId="39" xfId="94" applyFont="1" applyFill="1" applyBorder="1" applyAlignment="1">
      <alignment horizontal="right"/>
    </xf>
    <xf numFmtId="0" fontId="61" fillId="32" borderId="35" xfId="94" applyFont="1" applyFill="1" applyBorder="1" applyAlignment="1">
      <alignment horizontal="center"/>
    </xf>
    <xf numFmtId="0" fontId="56" fillId="32" borderId="36" xfId="94" applyFont="1" applyFill="1" applyBorder="1" applyAlignment="1">
      <alignment horizontal="center"/>
    </xf>
    <xf numFmtId="171" fontId="10" fillId="24" borderId="12" xfId="96" applyNumberFormat="1" applyFont="1" applyFill="1" applyBorder="1" applyAlignment="1">
      <alignment horizontal="right"/>
    </xf>
    <xf numFmtId="5" fontId="10" fillId="24" borderId="12" xfId="96" applyNumberFormat="1" applyFont="1" applyFill="1" applyBorder="1" applyAlignment="1">
      <alignment horizontal="right"/>
    </xf>
    <xf numFmtId="5" fontId="10" fillId="19" borderId="12" xfId="96" applyNumberFormat="1" applyFont="1" applyFill="1" applyBorder="1" applyAlignment="1">
      <alignment horizontal="right"/>
    </xf>
    <xf numFmtId="0" fontId="61" fillId="19" borderId="12" xfId="94" applyFont="1" applyFill="1" applyBorder="1" applyAlignment="1">
      <alignment horizontal="right"/>
    </xf>
    <xf numFmtId="169" fontId="51" fillId="19" borderId="0" xfId="54" applyNumberFormat="1" applyFont="1" applyFill="1" applyAlignment="1">
      <alignment horizontal="right"/>
    </xf>
    <xf numFmtId="37" fontId="7" fillId="19" borderId="0" xfId="99" applyNumberFormat="1" applyFont="1" applyFill="1" applyAlignment="1">
      <alignment horizontal="right"/>
    </xf>
    <xf numFmtId="0" fontId="56" fillId="16" borderId="0" xfId="68" applyFont="1" applyFill="1" applyAlignment="1">
      <alignment horizontal="left"/>
    </xf>
    <xf numFmtId="0" fontId="56" fillId="16" borderId="0" xfId="68" applyFont="1" applyFill="1" applyBorder="1" applyAlignment="1">
      <alignment horizontal="left" indent="1"/>
    </xf>
    <xf numFmtId="0" fontId="56" fillId="19" borderId="26" xfId="94" applyFont="1" applyFill="1" applyBorder="1" applyAlignment="1">
      <alignment horizontal="left" indent="1"/>
    </xf>
    <xf numFmtId="169" fontId="56" fillId="19" borderId="0" xfId="94" applyNumberFormat="1" applyFont="1" applyFill="1" applyAlignment="1">
      <alignment horizontal="center"/>
    </xf>
    <xf numFmtId="5" fontId="10" fillId="19" borderId="21" xfId="96" applyNumberFormat="1" applyFont="1" applyFill="1" applyBorder="1" applyAlignment="1">
      <alignment horizontal="right"/>
    </xf>
    <xf numFmtId="5" fontId="10" fillId="24" borderId="21" xfId="96" applyNumberFormat="1" applyFont="1" applyFill="1" applyBorder="1" applyAlignment="1">
      <alignment horizontal="right"/>
    </xf>
    <xf numFmtId="5" fontId="10" fillId="19" borderId="22" xfId="96" applyNumberFormat="1" applyFont="1" applyFill="1" applyBorder="1" applyAlignment="1">
      <alignment horizontal="right"/>
    </xf>
    <xf numFmtId="0" fontId="56" fillId="19" borderId="28" xfId="94" applyFont="1" applyFill="1" applyBorder="1" applyAlignment="1">
      <alignment horizontal="left" indent="1"/>
    </xf>
    <xf numFmtId="5" fontId="10" fillId="19" borderId="19" xfId="96" applyNumberFormat="1" applyFont="1" applyFill="1" applyBorder="1" applyAlignment="1">
      <alignment horizontal="right"/>
    </xf>
    <xf numFmtId="5" fontId="10" fillId="24" borderId="19" xfId="96" applyNumberFormat="1" applyFont="1" applyFill="1" applyBorder="1" applyAlignment="1">
      <alignment horizontal="right"/>
    </xf>
    <xf numFmtId="5" fontId="10" fillId="19" borderId="23" xfId="96" applyNumberFormat="1" applyFont="1" applyFill="1" applyBorder="1" applyAlignment="1">
      <alignment horizontal="right"/>
    </xf>
    <xf numFmtId="0" fontId="64" fillId="19" borderId="0" xfId="94" applyFont="1" applyFill="1" applyAlignment="1">
      <alignment horizontal="center"/>
    </xf>
    <xf numFmtId="9" fontId="56" fillId="19" borderId="0" xfId="94" applyNumberFormat="1" applyFont="1" applyFill="1" applyAlignment="1"/>
    <xf numFmtId="169" fontId="7" fillId="18" borderId="30" xfId="0" applyNumberFormat="1" applyFont="1" applyFill="1" applyBorder="1" applyAlignment="1">
      <alignment horizontal="right"/>
    </xf>
    <xf numFmtId="174" fontId="7" fillId="18" borderId="0" xfId="0" applyNumberFormat="1" applyFont="1" applyFill="1" applyBorder="1"/>
    <xf numFmtId="174" fontId="7" fillId="18" borderId="18" xfId="0" applyNumberFormat="1" applyFont="1" applyFill="1" applyBorder="1"/>
    <xf numFmtId="167" fontId="7" fillId="0" borderId="0" xfId="37" applyNumberFormat="1" applyFont="1" applyFill="1" applyBorder="1" applyAlignment="1">
      <alignment horizontal="right"/>
    </xf>
    <xf numFmtId="167" fontId="7" fillId="0" borderId="18" xfId="37" applyNumberFormat="1" applyFont="1" applyFill="1" applyBorder="1" applyAlignment="1">
      <alignment horizontal="right"/>
    </xf>
    <xf numFmtId="167" fontId="7" fillId="18" borderId="18" xfId="65" applyNumberFormat="1" applyFont="1" applyFill="1" applyBorder="1"/>
    <xf numFmtId="167" fontId="56" fillId="18" borderId="0" xfId="0" applyNumberFormat="1" applyFont="1" applyFill="1" applyBorder="1"/>
    <xf numFmtId="167" fontId="7" fillId="18" borderId="0" xfId="0" applyNumberFormat="1" applyFont="1" applyFill="1" applyBorder="1"/>
    <xf numFmtId="167" fontId="7" fillId="18" borderId="18" xfId="0" applyNumberFormat="1" applyFont="1" applyFill="1" applyBorder="1"/>
    <xf numFmtId="37" fontId="66" fillId="30" borderId="0" xfId="116" applyNumberFormat="1" applyFont="1" applyFill="1" applyBorder="1" applyAlignment="1"/>
    <xf numFmtId="38" fontId="7" fillId="0" borderId="0" xfId="49" applyFont="1" applyFill="1" applyBorder="1" applyAlignment="1">
      <alignment vertical="center"/>
    </xf>
    <xf numFmtId="3" fontId="76" fillId="30" borderId="0" xfId="88" applyNumberFormat="1" applyFont="1" applyFill="1"/>
    <xf numFmtId="39" fontId="66" fillId="30" borderId="0" xfId="88" applyNumberFormat="1" applyFont="1" applyFill="1" applyAlignment="1">
      <alignment horizontal="right"/>
    </xf>
    <xf numFmtId="0" fontId="60" fillId="25" borderId="0" xfId="64" applyFont="1" applyFill="1" applyBorder="1" applyAlignment="1">
      <alignment horizontal="left" vertical="center"/>
    </xf>
    <xf numFmtId="0" fontId="60" fillId="25" borderId="30" xfId="64" applyFont="1" applyFill="1" applyBorder="1" applyAlignment="1">
      <alignment horizontal="left" vertical="center"/>
    </xf>
    <xf numFmtId="0" fontId="7" fillId="19" borderId="0" xfId="163" applyFont="1" applyFill="1" applyAlignment="1">
      <alignment vertical="top"/>
    </xf>
    <xf numFmtId="0" fontId="7" fillId="19" borderId="0" xfId="88" applyFill="1" applyAlignment="1">
      <alignment vertical="top"/>
    </xf>
    <xf numFmtId="0" fontId="7" fillId="19" borderId="0" xfId="88" applyFill="1"/>
    <xf numFmtId="0" fontId="33" fillId="19" borderId="0" xfId="163" applyFont="1" applyFill="1" applyAlignment="1">
      <alignment horizontal="left" vertical="top"/>
    </xf>
    <xf numFmtId="0" fontId="7" fillId="19" borderId="0" xfId="88" applyFont="1" applyFill="1" applyAlignment="1">
      <alignment vertical="top"/>
    </xf>
    <xf numFmtId="0" fontId="36" fillId="19" borderId="0" xfId="163" applyFont="1" applyFill="1" applyAlignment="1">
      <alignment vertical="top"/>
    </xf>
    <xf numFmtId="0" fontId="0" fillId="19" borderId="0" xfId="0" applyFill="1" applyAlignment="1">
      <alignment vertical="top"/>
    </xf>
    <xf numFmtId="0" fontId="78" fillId="19" borderId="0" xfId="0" applyFont="1" applyFill="1" applyAlignment="1">
      <alignment vertical="top"/>
    </xf>
    <xf numFmtId="0" fontId="79" fillId="19" borderId="0" xfId="0" applyFont="1" applyFill="1" applyAlignment="1">
      <alignment vertical="top"/>
    </xf>
    <xf numFmtId="0" fontId="79" fillId="19" borderId="0" xfId="0" applyFont="1" applyFill="1" applyAlignment="1">
      <alignment vertical="top"/>
    </xf>
    <xf numFmtId="0" fontId="78" fillId="19" borderId="0" xfId="0" applyFont="1" applyFill="1" applyAlignment="1">
      <alignment vertical="top"/>
    </xf>
    <xf numFmtId="0" fontId="0" fillId="19" borderId="0" xfId="0" applyFill="1" applyAlignment="1">
      <alignment vertical="top"/>
    </xf>
    <xf numFmtId="0" fontId="0" fillId="19" borderId="60" xfId="0" applyFill="1" applyBorder="1" applyAlignment="1">
      <alignment vertical="top"/>
    </xf>
    <xf numFmtId="0" fontId="78" fillId="19" borderId="56" xfId="0" applyFont="1" applyFill="1" applyBorder="1" applyAlignment="1">
      <alignment vertical="top"/>
    </xf>
    <xf numFmtId="0" fontId="78" fillId="19" borderId="57" xfId="0" applyFont="1" applyFill="1" applyBorder="1" applyAlignment="1">
      <alignment vertical="top"/>
    </xf>
    <xf numFmtId="0" fontId="78" fillId="19" borderId="58" xfId="0" applyFont="1" applyFill="1" applyBorder="1" applyAlignment="1">
      <alignment vertical="top"/>
    </xf>
    <xf numFmtId="0" fontId="78" fillId="19" borderId="59" xfId="0" applyFont="1" applyFill="1" applyBorder="1" applyAlignment="1">
      <alignment vertical="top"/>
    </xf>
    <xf numFmtId="9" fontId="78" fillId="19" borderId="56" xfId="0" applyNumberFormat="1" applyFont="1" applyFill="1" applyBorder="1" applyAlignment="1">
      <alignment vertical="top"/>
    </xf>
    <xf numFmtId="3" fontId="78" fillId="19" borderId="56" xfId="0" applyNumberFormat="1" applyFont="1" applyFill="1" applyBorder="1" applyAlignment="1">
      <alignment vertical="top"/>
    </xf>
    <xf numFmtId="0" fontId="0" fillId="19" borderId="61" xfId="0" applyFill="1" applyBorder="1" applyAlignment="1">
      <alignment vertical="top"/>
    </xf>
    <xf numFmtId="2" fontId="7" fillId="0" borderId="0" xfId="88" applyNumberFormat="1" applyAlignment="1">
      <alignment horizontal="left"/>
    </xf>
    <xf numFmtId="0" fontId="7" fillId="0" borderId="0" xfId="88" applyNumberFormat="1" applyAlignment="1">
      <alignment horizontal="left"/>
    </xf>
    <xf numFmtId="1" fontId="7" fillId="0" borderId="0" xfId="88" applyNumberFormat="1" applyAlignment="1">
      <alignment horizontal="left"/>
    </xf>
    <xf numFmtId="194" fontId="7" fillId="0" borderId="0" xfId="88" applyNumberFormat="1" applyAlignment="1">
      <alignment horizontal="left"/>
    </xf>
    <xf numFmtId="49" fontId="7" fillId="0" borderId="0" xfId="88" applyNumberFormat="1"/>
  </cellXfs>
  <cellStyles count="164">
    <cellStyle name=" 1" xfId="1"/>
    <cellStyle name=" 1 2" xfId="73"/>
    <cellStyle name=" 1 3" xfId="72"/>
    <cellStyle name=" 1 3 2" xfId="117"/>
    <cellStyle name=" 2" xfId="74"/>
    <cellStyle name=" 2 2" xfId="75"/>
    <cellStyle name=" Writer Import]_x000d__x000a_Display Dialog=No_x000d__x000a__x000d__x000a_[Horizontal Arrange]_x000d__x000a_Dimensions Interlocking=Yes_x000d__x000a_Sum Hierarchy=Yes_x000d__x000a_Generate" xfId="157"/>
    <cellStyle name="_x000a_386grabber=M" xfId="90"/>
    <cellStyle name="_Balance Sheet " xfId="98"/>
    <cellStyle name="_BS " xfId="76"/>
    <cellStyle name="_DCF " xfId="77"/>
    <cellStyle name="_SUMMARY " xfId="2"/>
    <cellStyle name="0_Annual-VRTX " xfId="3"/>
    <cellStyle name="0_Capex &amp; Depreciation " xfId="4"/>
    <cellStyle name="0_OMV EP 2000-2015 Consolidated " xfId="78"/>
    <cellStyle name="0_P&amp;L-adj " xfId="5"/>
    <cellStyle name="0_Pension_UTX Example_Acute Care " xfId="158"/>
    <cellStyle name="0_Quarterly " xfId="6"/>
    <cellStyle name="0_Quarterly-ITMN " xfId="7"/>
    <cellStyle name="0_TPP.N Ver 15_Acute Care " xfId="159"/>
    <cellStyle name="0_Valuing BP " xfId="8"/>
    <cellStyle name="20% - Accent1" xfId="9" builtinId="30" customBuiltin="1"/>
    <cellStyle name="20% - Accent1 2" xfId="118"/>
    <cellStyle name="20% - Accent2" xfId="10" builtinId="34" customBuiltin="1"/>
    <cellStyle name="20% - Accent2 2" xfId="119"/>
    <cellStyle name="20% - Accent3" xfId="11" builtinId="38" customBuiltin="1"/>
    <cellStyle name="20% - Accent3 2" xfId="120"/>
    <cellStyle name="20% - Accent4" xfId="12" builtinId="42" customBuiltin="1"/>
    <cellStyle name="20% - Accent4 2" xfId="121"/>
    <cellStyle name="20% - Accent5" xfId="13" builtinId="46" customBuiltin="1"/>
    <cellStyle name="20% - Accent5 2" xfId="122"/>
    <cellStyle name="20% - Accent6" xfId="14" builtinId="50" customBuiltin="1"/>
    <cellStyle name="20% - Accent6 2" xfId="123"/>
    <cellStyle name="40% - Accent1" xfId="15" builtinId="31" customBuiltin="1"/>
    <cellStyle name="40% - Accent1 2" xfId="124"/>
    <cellStyle name="40% - Accent2" xfId="16" builtinId="35" customBuiltin="1"/>
    <cellStyle name="40% - Accent2 2" xfId="125"/>
    <cellStyle name="40% - Accent3" xfId="17" builtinId="39" customBuiltin="1"/>
    <cellStyle name="40% - Accent3 2" xfId="126"/>
    <cellStyle name="40% - Accent4" xfId="18" builtinId="43" customBuiltin="1"/>
    <cellStyle name="40% - Accent5" xfId="19" builtinId="47" customBuiltin="1"/>
    <cellStyle name="40% - Accent5 2" xfId="127"/>
    <cellStyle name="40% - Accent6" xfId="20" builtinId="51" customBuiltin="1"/>
    <cellStyle name="40% - Accent6 2" xfId="128"/>
    <cellStyle name="60% - Accent1" xfId="21" builtinId="32" customBuiltin="1"/>
    <cellStyle name="60% - Accent1 2" xfId="129"/>
    <cellStyle name="60% - Accent2" xfId="22" builtinId="36" customBuiltin="1"/>
    <cellStyle name="60% - Accent2 2" xfId="130"/>
    <cellStyle name="60% - Accent3" xfId="23" builtinId="40" customBuiltin="1"/>
    <cellStyle name="60% - Accent3 2" xfId="131"/>
    <cellStyle name="60% - Accent4" xfId="24" builtinId="44" customBuiltin="1"/>
    <cellStyle name="60% - Accent5" xfId="25" builtinId="48" customBuiltin="1"/>
    <cellStyle name="60% - Accent5 2" xfId="132"/>
    <cellStyle name="60% - Accent6" xfId="26" builtinId="52" customBuiltin="1"/>
    <cellStyle name="60% - Accent6 2" xfId="133"/>
    <cellStyle name="Accent1" xfId="27" builtinId="29" customBuiltin="1"/>
    <cellStyle name="Accent1 2" xfId="134"/>
    <cellStyle name="Accent2" xfId="28" builtinId="33" customBuiltin="1"/>
    <cellStyle name="Accent2 2" xfId="135"/>
    <cellStyle name="Accent3" xfId="29" builtinId="37" customBuiltin="1"/>
    <cellStyle name="Accent3 2" xfId="136"/>
    <cellStyle name="Accent4" xfId="30" builtinId="41" customBuiltin="1"/>
    <cellStyle name="Accent4 2" xfId="137"/>
    <cellStyle name="Accent5" xfId="31" builtinId="45" customBuiltin="1"/>
    <cellStyle name="Accent5 2" xfId="138"/>
    <cellStyle name="Accent6" xfId="32" builtinId="49" customBuiltin="1"/>
    <cellStyle name="Accent6 2" xfId="139"/>
    <cellStyle name="ÅëÈ­ [0]_cover " xfId="79"/>
    <cellStyle name="ÅëÈ­_cover " xfId="80"/>
    <cellStyle name="ÄÞ¸¶ [0]_cover " xfId="81"/>
    <cellStyle name="ÄÞ¸¶_cover " xfId="82"/>
    <cellStyle name="Bad" xfId="33" builtinId="27" customBuiltin="1"/>
    <cellStyle name="Bad 2" xfId="140"/>
    <cellStyle name="c_HardInc " xfId="34"/>
    <cellStyle name="C￥AØ_¿μ¾÷CoE² " xfId="83"/>
    <cellStyle name="Ç¥ÁØ_cover " xfId="84"/>
    <cellStyle name="Calculation" xfId="35" builtinId="22" customBuiltin="1"/>
    <cellStyle name="Calculation 2" xfId="141"/>
    <cellStyle name="Check Cell" xfId="36" builtinId="23" customBuiltin="1"/>
    <cellStyle name="Comma" xfId="37" builtinId="3"/>
    <cellStyle name="Comma 2" xfId="65"/>
    <cellStyle name="Comma 2 2" xfId="142"/>
    <cellStyle name="Comma 2 4" xfId="95"/>
    <cellStyle name="Comma 2 4 2" xfId="108"/>
    <cellStyle name="Comma 3" xfId="116"/>
    <cellStyle name="Currency 2" xfId="100"/>
    <cellStyle name="Currency 2 2" xfId="96"/>
    <cellStyle name="Currency 2 2 2" xfId="109"/>
    <cellStyle name="Currency 2 3" xfId="112"/>
    <cellStyle name="Currency 2 4" xfId="114"/>
    <cellStyle name="Currency 3" xfId="101"/>
    <cellStyle name="Currency 4" xfId="67"/>
    <cellStyle name="Explanatory Text" xfId="38" builtinId="53" customBuiltin="1"/>
    <cellStyle name="Good" xfId="39" builtinId="26" customBuiltin="1"/>
    <cellStyle name="Good 2" xfId="143"/>
    <cellStyle name="Heading 1" xfId="40" builtinId="16" customBuiltin="1"/>
    <cellStyle name="Heading 2" xfId="41" builtinId="17" customBuiltin="1"/>
    <cellStyle name="Heading 3" xfId="42" builtinId="18" customBuiltin="1"/>
    <cellStyle name="Heading 4" xfId="43" builtinId="19" customBuiltin="1"/>
    <cellStyle name="Hyperlink 2" xfId="102"/>
    <cellStyle name="Hyperlink 2 2" xfId="161"/>
    <cellStyle name="Hyperlink 3" xfId="144"/>
    <cellStyle name="Input" xfId="44" builtinId="20" customBuiltin="1"/>
    <cellStyle name="Linked Cell" xfId="45" builtinId="24" customBuiltin="1"/>
    <cellStyle name="Neutral" xfId="46" builtinId="28" customBuiltin="1"/>
    <cellStyle name="Neutral 2" xfId="145"/>
    <cellStyle name="Normal" xfId="0" builtinId="0"/>
    <cellStyle name="Normal 11" xfId="88"/>
    <cellStyle name="Normal 12" xfId="92"/>
    <cellStyle name="Normal 15" xfId="155"/>
    <cellStyle name="Normal 16" xfId="156"/>
    <cellStyle name="Normal 18" xfId="160"/>
    <cellStyle name="Normal 2" xfId="104"/>
    <cellStyle name="Normal 2 2" xfId="68"/>
    <cellStyle name="Normal 2 4" xfId="94"/>
    <cellStyle name="Normal 2 4 2" xfId="107"/>
    <cellStyle name="Normal 2 4 3" xfId="99"/>
    <cellStyle name="Normal 2 4 3 2" xfId="111"/>
    <cellStyle name="Normal 3" xfId="64"/>
    <cellStyle name="Normal 3 2" xfId="103"/>
    <cellStyle name="Normal 3 2 2" xfId="91"/>
    <cellStyle name="Normal 3 2 3" xfId="113"/>
    <cellStyle name="Normal 3 2 3 2" xfId="162"/>
    <cellStyle name="Normal 3 2 4" xfId="115"/>
    <cellStyle name="Normal 3 2 5" xfId="146"/>
    <cellStyle name="Normal 3 3" xfId="62"/>
    <cellStyle name="Normal 3 5" xfId="154"/>
    <cellStyle name="Normal 4" xfId="69"/>
    <cellStyle name="Normal 4 2" xfId="147"/>
    <cellStyle name="Normal 5" xfId="70"/>
    <cellStyle name="Normal 5 2" xfId="148"/>
    <cellStyle name="Normal 6 2" xfId="93"/>
    <cellStyle name="Normal 7" xfId="153"/>
    <cellStyle name="Normal 9" xfId="71"/>
    <cellStyle name="Normal_AMGN" xfId="47"/>
    <cellStyle name="Normal_DisclaimerSheet Samples" xfId="163"/>
    <cellStyle name="Normal_Gilead_MW" xfId="48"/>
    <cellStyle name="Normal_MICU110404" xfId="49"/>
    <cellStyle name="Normal_NBIX" xfId="50"/>
    <cellStyle name="Note" xfId="51" builtinId="10" customBuiltin="1"/>
    <cellStyle name="Output" xfId="52" builtinId="21" customBuiltin="1"/>
    <cellStyle name="p " xfId="53"/>
    <cellStyle name="Percent" xfId="54" builtinId="5"/>
    <cellStyle name="Percent 2" xfId="149"/>
    <cellStyle name="Percent 2 2" xfId="63"/>
    <cellStyle name="Percent 2 3" xfId="97"/>
    <cellStyle name="Percent 2 3 2" xfId="110"/>
    <cellStyle name="Percent 2 3 3" xfId="150"/>
    <cellStyle name="Percent 3" xfId="151"/>
    <cellStyle name="Percent 4" xfId="152"/>
    <cellStyle name="Percent 5" xfId="66"/>
    <cellStyle name="Percent_MICU110404" xfId="55"/>
    <cellStyle name="RRSInstruction" xfId="89"/>
    <cellStyle name="s_HardInc " xfId="56"/>
    <cellStyle name="s_Valuation " xfId="57"/>
    <cellStyle name="s_Valuation  2" xfId="105"/>
    <cellStyle name="ssp " xfId="58"/>
    <cellStyle name="ssp  2" xfId="106"/>
    <cellStyle name="Title" xfId="59" builtinId="15" customBuiltin="1"/>
    <cellStyle name="Total" xfId="60" builtinId="25" customBuiltin="1"/>
    <cellStyle name="Warning Text" xfId="61" builtinId="11" customBuiltin="1"/>
    <cellStyle name="콤마 [0]_ 2팀층별 " xfId="85"/>
    <cellStyle name="콤마_ 2팀층별 " xfId="86"/>
    <cellStyle name="표준_0N-HANDLING " xfId="87"/>
  </cellStyles>
  <dxfs count="0"/>
  <tableStyles count="0" defaultTableStyle="TableStyleMedium2" defaultPivotStyle="PivotStyleLight16"/>
  <colors>
    <mruColors>
      <color rgb="FF0000FF"/>
      <color rgb="FFBFEBFF"/>
      <color rgb="FF00FF99"/>
      <color rgb="FF66FFCC"/>
      <color rgb="FF65D6A0"/>
      <color rgb="FF77DAE8"/>
      <color rgb="FF006393"/>
      <color rgb="FFCCFFFF"/>
      <color rgb="FFFFFF99"/>
      <color rgb="FF66CCFF"/>
    </mruColors>
  </colors>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pldatasource.trrtdserver">
      <tp>
        <v>-0.28133000000000002</v>
        <stp/>
        <stp>{9ABE7C25-762A-48B0-B01E-CE9AE4690E16}_x0000_</stp>
        <tr r="AD40" s="1"/>
      </tp>
      <tp>
        <v>64.571929999999995</v>
        <stp/>
        <stp>{E9231F48-0A7D-4D25-84D5-CCEB215EB5E0}_x0000_</stp>
        <tr r="AB14" s="1"/>
      </tp>
      <tp>
        <v>480.57328000000001</v>
        <stp/>
        <stp>{A696156C-42F1-4274-BBDB-83330DD1AEF4}_x0000_</stp>
        <tr r="AK12" s="1"/>
      </tp>
      <tp>
        <v>153.72783000000001</v>
        <stp/>
        <stp>{6A034C26-C8FE-41C7-8C58-8265F2D878B2}_x0000_</stp>
        <tr r="AA12" s="1"/>
      </tp>
      <tp>
        <v>33.287527777777797</v>
        <stp/>
        <stp>{0D4941AE-ABC5-4B8E-8DD8-88627CF00237}_x0000_</stp>
        <tr r="C47" s="11"/>
      </tp>
      <tp t="s">
        <v>-</v>
        <stp/>
        <stp>{80B6EB53-DB1D-4FCB-AA8A-E550470FAD85}_x0000_</stp>
        <tr r="AS12" s="1"/>
      </tp>
      <tp>
        <v>72.487799999999993</v>
        <stp/>
        <stp>{B35D8A9C-28EA-4626-BE0F-0876386C1E92}_x0000_</stp>
        <tr r="AC14" s="1"/>
      </tp>
      <tp>
        <v>24.106369047619001</v>
        <stp/>
        <stp>{C67F741D-CC1F-43B7-8F7C-4882E990FCBD}_x0000_</stp>
        <tr r="D47" s="11"/>
      </tp>
      <tp>
        <v>-1.2373799999999999</v>
        <stp/>
        <stp>{9EDBC834-52B2-42A7-A179-44645598B6C4}_x0000_</stp>
        <tr r="AF40" s="1"/>
      </tp>
      <tp>
        <v>-0.25067</v>
        <stp/>
        <stp>{30410E31-AF54-493D-B0CD-D6702E41FA50}_x0000_</stp>
        <tr r="AE40" s="1"/>
      </tp>
      <tp>
        <v>-0.31733</v>
        <stp/>
        <stp>{DA2972F9-622D-483E-8118-EFF974AAF015}_x0000_</stp>
        <tr r="AC40" s="1"/>
      </tp>
      <tp>
        <v>304.00078000000002</v>
        <stp/>
        <stp>{FBEED3B9-0BA3-480A-8316-D80EA985EEA1}_x0000_</stp>
        <tr r="AF14" s="1"/>
      </tp>
      <tp>
        <v>-0.32133</v>
        <stp/>
        <stp>{7E837FDF-11CF-41D6-A5D7-FBF1F4D90992}_x0000_</stp>
        <tr r="AB40" s="1"/>
      </tp>
      <tp>
        <v>304.00078000000002</v>
        <stp/>
        <stp>{DFD2684D-FB97-41EB-B80B-C06DB75B1B7F}_x0000_</stp>
        <tr r="AF12" s="1"/>
      </tp>
      <tp t="s">
        <v>-</v>
        <stp/>
        <stp>{E59B30F1-5ECB-4CB7-B5F7-062BA6300049}_x0000_</stp>
        <tr r="AQ12" s="1"/>
      </tp>
      <tp t="s">
        <v>-</v>
        <stp/>
        <stp>{96400DC1-BF54-4AFB-8123-9945C3F9B0B9}_x0000_</stp>
        <tr r="AT12" s="1"/>
      </tp>
      <tp>
        <v>89.61</v>
        <stp/>
        <stp>{302D296D-A7DC-4300-86AC-B79EBEB623AE}_x0000_</stp>
        <tr r="AE14" s="1"/>
      </tp>
      <tp>
        <v>0.27881</v>
        <stp/>
        <stp>{98639681-A788-434E-B1AE-F6EAA39FFDB5}_x0000_</stp>
        <tr r="AK40" s="1"/>
      </tp>
      <tp>
        <v>79.688670000000002</v>
        <stp/>
        <stp>{B991D297-9E94-4E7F-A201-5AF975029027}_x0000_</stp>
        <tr r="AD14" s="1"/>
      </tp>
      <tp>
        <v>22.375</v>
        <stp/>
        <stp>{1D9F9A5D-F059-43B7-929D-2E1B38A8164C}_x0000_</stp>
        <tr r="X12" s="1"/>
      </tp>
      <tp t="s">
        <v>USD</v>
        <stp/>
        <stp>{71AD230C-44DB-414D-A9A9-7ED7F2FEE5CE}_x0000_</stp>
        <tr r="CC3" s="1"/>
      </tp>
      <tp t="s">
        <v>-</v>
        <stp/>
        <stp>{8378923B-D318-4CDA-8A21-17F58D86C891}_x0000_</stp>
        <tr r="AR12" s="1"/>
      </tp>
      <tp>
        <v>56.48019</v>
        <stp/>
        <stp>{DB0B217C-DC77-4A53-B47A-44D6748D66FF}_x0000_</stp>
        <tr r="Z12" s="1"/>
      </tp>
      <tp>
        <v>727.66774999999996</v>
        <stp/>
        <stp>{690DB393-B452-4334-A088-438EE9AA4565}_x0000_</stp>
        <tr r="AP12" s="1"/>
      </tp>
      <tp>
        <v>480.57328000000001</v>
        <stp/>
        <stp>{D81CC034-BBAA-401D-91D5-FC3DF53FA843}_x0000_</stp>
        <tr r="AK14" s="1"/>
      </tp>
      <tp>
        <v>25.1901785714286</v>
        <stp/>
        <stp>{03EF1606-BDD6-4071-AC04-1CD671F8EA8F}_x0000_</stp>
        <tr r="E47" s="11"/>
      </tp>
      <tp>
        <v>40.771129999999999</v>
        <stp/>
        <stp>{C01DCE80-2E92-4FA9-AF2A-DEB20E965BFD}_x0000_</stp>
        <tr r="Y12" s="1"/>
      </tp>
    </main>
  </volType>
</volTypes>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externalLinks/externalLink1.xml" Type="http://schemas.openxmlformats.org/officeDocument/2006/relationships/externalLink"/>
<Relationship Id="rId12" Target="externalLinks/externalLink2.xml" Type="http://schemas.openxmlformats.org/officeDocument/2006/relationships/externalLink"/>
<Relationship Id="rId13" Target="externalLinks/externalLink3.xml" Type="http://schemas.openxmlformats.org/officeDocument/2006/relationships/externalLink"/>
<Relationship Id="rId14" Target="externalLinks/externalLink4.xml" Type="http://schemas.openxmlformats.org/officeDocument/2006/relationships/externalLink"/>
<Relationship Id="rId15" Target="externalLinks/externalLink5.xml" Type="http://schemas.openxmlformats.org/officeDocument/2006/relationships/externalLink"/>
<Relationship Id="rId16" Target="externalLinks/externalLink6.xml" Type="http://schemas.openxmlformats.org/officeDocument/2006/relationships/externalLink"/>
<Relationship Id="rId17" Target="externalLinks/externalLink7.xml" Type="http://schemas.openxmlformats.org/officeDocument/2006/relationships/externalLink"/>
<Relationship Id="rId18" Target="externalLinks/externalLink8.xml" Type="http://schemas.openxmlformats.org/officeDocument/2006/relationships/externalLink"/>
<Relationship Id="rId19" Target="externalLinks/externalLink9.xml" Type="http://schemas.openxmlformats.org/officeDocument/2006/relationships/externalLink"/>
<Relationship Id="rId2" Target="worksheets/sheet2.xml" Type="http://schemas.openxmlformats.org/officeDocument/2006/relationships/worksheet"/>
<Relationship Id="rId20" Target="externalLinks/externalLink10.xml" Type="http://schemas.openxmlformats.org/officeDocument/2006/relationships/externalLink"/>
<Relationship Id="rId21" Target="externalLinks/externalLink11.xml" Type="http://schemas.openxmlformats.org/officeDocument/2006/relationships/externalLink"/>
<Relationship Id="rId22" Target="externalLinks/externalLink12.xml" Type="http://schemas.openxmlformats.org/officeDocument/2006/relationships/externalLink"/>
<Relationship Id="rId23" Target="externalLinks/externalLink13.xml" Type="http://schemas.openxmlformats.org/officeDocument/2006/relationships/externalLink"/>
<Relationship Id="rId24" Target="externalLinks/externalLink14.xml" Type="http://schemas.openxmlformats.org/officeDocument/2006/relationships/externalLink"/>
<Relationship Id="rId25" Target="externalLinks/externalLink15.xml" Type="http://schemas.openxmlformats.org/officeDocument/2006/relationships/externalLink"/>
<Relationship Id="rId26" Target="externalLinks/externalLink16.xml" Type="http://schemas.openxmlformats.org/officeDocument/2006/relationships/externalLink"/>
<Relationship Id="rId27" Target="theme/theme1.xml" Type="http://schemas.openxmlformats.org/officeDocument/2006/relationships/theme"/>
<Relationship Id="rId28" Target="styles.xml" Type="http://schemas.openxmlformats.org/officeDocument/2006/relationships/styles"/>
<Relationship Id="rId29" Target="sharedStrings.xml" Type="http://schemas.openxmlformats.org/officeDocument/2006/relationships/sharedStrings"/>
<Relationship Id="rId3" Target="worksheets/sheet3.xml" Type="http://schemas.openxmlformats.org/officeDocument/2006/relationships/worksheet"/>
<Relationship Id="rId30" Target="calcChain.xml" Type="http://schemas.openxmlformats.org/officeDocument/2006/relationships/calcChain"/>
<Relationship Id="rId31" Target="../customXml/item1.xml" Type="http://schemas.openxmlformats.org/officeDocument/2006/relationships/customXml"/>
<Relationship Id="rId32" Target="../customXml/item2.xml" Type="http://schemas.openxmlformats.org/officeDocument/2006/relationships/customXml"/>
<Relationship Id="rId33" Target="volatileDependencies.xml" Type="http://schemas.openxmlformats.org/officeDocument/2006/relationships/volatileDependencies"/>
<Relationship Id="rId34" Target="vbaProject.bin" Type="http://schemas.microsoft.com/office/2006/relationships/vbaProjec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170</xdr:row>
      <xdr:rowOff>0</xdr:rowOff>
    </xdr:from>
    <xdr:to>
      <xdr:col>7</xdr:col>
      <xdr:colOff>390525</xdr:colOff>
      <xdr:row>193</xdr:row>
      <xdr:rowOff>104775</xdr:rowOff>
    </xdr:to>
    <xdr:pic>
      <xdr:nvPicPr>
        <xdr:cNvPr id="132097" name="Picture 1" descr="C:\Users\Asante\AppData\Local\Temp\MercuryPriceRatingHistoryChart\SRPT.O_2018_04_12_19_04_58.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615565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
<Relationship Id="rId1" Target="file://///msad/root/na/ny/users/johndasc/Docs/ID/Charts/Chart_Gallery/From%20Vlad/B11_BarSingle_AverageLine.xls" TargetMode="External" Type="http://schemas.openxmlformats.org/officeDocument/2006/relationships/externalLinkPath"/>
</Relationships>

</file>

<file path=xl/externalLinks/_rels/externalLink2.xml.rels><?xml version="1.0" encoding="UTF-8" standalone="yes"?>
<Relationships xmlns="http://schemas.openxmlformats.org/package/2006/relationships">
<Relationship Id="rId1" Target="HEALTH/Pharma/Risinger/models/LLY/LLYwk.xls" TargetMode="External" Type="http://schemas.microsoft.com/office/2006/relationships/xlExternalLinkPath/xlStartup"/>
</Relationships>

</file>

<file path=xl/externalLinks/_rels/externalLink3.xml.rels><?xml version="1.0" encoding="UTF-8" standalone="yes"?>
<Relationships xmlns="http://schemas.openxmlformats.org/package/2006/relationships">
<Relationship Id="rId1" Target="HEALTH/HarrS/Companies/GENZ/Models/DNA_041206.XLS" TargetMode="External" Type="http://schemas.microsoft.com/office/2006/relationships/xlExternalLinkPath/xlStartup"/>
</Relationships>

</file>

<file path=xl/externalLinks/_rels/externalLink4.xml.rels><?xml version="1.0" encoding="UTF-8" standalone="yes"?>
<Relationships xmlns="http://schemas.openxmlformats.org/package/2006/relationships">
<Relationship Id="rId1" Target="HEALTH/HarrS/Companies/AMGN/Models/AMGN_051506.xls" TargetMode="External" Type="http://schemas.microsoft.com/office/2006/relationships/xlExternalLinkPath/xlStartup"/>
</Relationships>

</file>

<file path=xl/externalLinks/_rels/externalLink5.xml.rels><?xml version="1.0" encoding="UTF-8" standalone="yes"?>
<Relationships xmlns="http://schemas.openxmlformats.org/package/2006/relationships">
<Relationship Id="rId1" Target="http://filetrans.swissbank.com/Brian%20Bapty/Biotechs/BioChem%20Pharma/Report/BioChem%20Financials.xls" TargetMode="External" Type="http://schemas.openxmlformats.org/officeDocument/2006/relationships/externalLinkPath"/>
</Relationships>

</file>

<file path=xl/externalLinks/_rels/externalLink6.xml.rels><?xml version="1.0" encoding="UTF-8" standalone="yes"?>
<Relationships xmlns="http://schemas.openxmlformats.org/package/2006/relationships">
<Relationship Id="rId1" Target="My%20Documents/Axcan/Axcan%20Model.xls" TargetMode="External" Type="http://schemas.microsoft.com/office/2006/relationships/xlExternalLinkPath/xlAlternateStartup"/>
</Relationships>

</file>

<file path=xl/externalLinks/_rels/externalLink7.xml.rels><?xml version="1.0" encoding="UTF-8" standalone="yes"?>
<Relationships xmlns="http://schemas.openxmlformats.org/package/2006/relationships">
<Relationship Id="rId1" Target="DOCUME~1/Owner/LOCALS~1/Temp/IncrediMail/Blank.xls" TargetMode="External" Type="http://schemas.microsoft.com/office/2006/relationships/xlExternalLinkPath/xlAlternateStartup"/>
</Relationships>

</file>

<file path=xl/externalLinks/_rels/externalLink8.xml.rels><?xml version="1.0" encoding="UTF-8" standalone="yes"?>
<Relationships xmlns="http://schemas.openxmlformats.org/package/2006/relationships">
<Relationship Id="rId1" Target="USERS/Shared%20Biotech/Options%20Accounting.xls" TargetMode="External" Type="http://schemas.microsoft.com/office/2006/relationships/xlExternalLinkPath/xlAlternateStartup"/>
</Relationships>

</file>

<file path=xl/externalLinks/_rels/externalLink9.xml.rels><?xml version="1.0" encoding="UTF-8" standalone="yes"?>
<Relationships xmlns="http://schemas.openxmlformats.org/package/2006/relationships">
<Relationship Id="rId1" Target="elliott/MDS/Model/MDS%20comp%20results.xls" TargetMode="External" Type="http://schemas.microsoft.com/office/2006/relationships/xlExternalLinkPath/xlAlternateStartup"/>
</Relationships>

</file>

<file path=xl/externalLinks/_rels/externalLink10.xml.rels><?xml version="1.0" encoding="UTF-8" standalone="yes"?>
<Relationships xmlns="http://schemas.openxmlformats.org/package/2006/relationships">
<Relationship Id="rId1" Target="http://filetrans.swissbank.com/Brian%20Bapty/Biotechs/QLT/Model/Header.xls" TargetMode="External" Type="http://schemas.openxmlformats.org/officeDocument/2006/relationships/externalLinkPath"/>
</Relationships>

</file>

<file path=xl/externalLinks/_rels/externalLink11.xml.rels><?xml version="1.0" encoding="UTF-8" standalone="yes"?>
<Relationships xmlns="http://schemas.openxmlformats.org/package/2006/relationships">
<Relationship Id="rId1" Target="file:///F:/Bloomberg/Nasr%20Bloomberg/Valuation/Valuation%20Spreadsheet.xls" TargetMode="External" Type="http://schemas.openxmlformats.org/officeDocument/2006/relationships/externalLinkPath"/>
</Relationships>

</file>

<file path=xl/externalLinks/_rels/externalLink12.xml.rels><?xml version="1.0" encoding="UTF-8" standalone="yes"?>
<Relationships xmlns="http://schemas.openxmlformats.org/package/2006/relationships">
<Relationship Id="rId1" Target="file://///server/DB/US%20infra%20SW/akshay/WEBM/Documents%20and%20Settings/akshayn/Local%20Settings/Temporary%20Internet%20Files/OLKC5/traker1/Industry%20Comps/Security_Comparable_Large.xls" TargetMode="External" Type="http://schemas.openxmlformats.org/officeDocument/2006/relationships/externalLinkPath"/>
</Relationships>

</file>

<file path=xl/externalLinks/_rels/externalLink13.xml.rels><?xml version="1.0" encoding="UTF-8" standalone="yes"?>
<Relationships xmlns="http://schemas.openxmlformats.org/package/2006/relationships">
<Relationship Id="rId1" Target="health/RubinJ/Company/WLA/WLAwork1.XLS" TargetMode="External" Type="http://schemas.microsoft.com/office/2006/relationships/xlExternalLinkPath/xlStartup"/>
</Relationships>

</file>

<file path=xl/externalLinks/_rels/externalLink14.xml.rels><?xml version="1.0" encoding="UTF-8" standalone="yes"?>
<Relationships xmlns="http://schemas.openxmlformats.org/package/2006/relationships">
<Relationship Id="rId1" Target="HEALTH/Biotech/Harrison/Models/MGNX_MH.xlsm" TargetMode="External" Type="http://schemas.microsoft.com/office/2006/relationships/xlExternalLinkPath/xlAlternateStartup"/>
</Relationships>

</file>

<file path=xl/externalLinks/_rels/externalLink15.xml.rels><?xml version="1.0" encoding="UTF-8" standalone="yes"?>
<Relationships xmlns="http://schemas.openxmlformats.org/package/2006/relationships">
<Relationship Id="rId1" Target="Biotechnology/Large%20Cap%20-%20New/IMS%20-%20New/IMS%20Data/Monthly%20Sales/IMS_monthlySales.xls" TargetMode="External" Type="http://schemas.microsoft.com/office/2006/relationships/xlExternalLinkPath/xlAlternateStartup"/>
</Relationships>

</file>

<file path=xl/externalLinks/_rels/externalLink16.xml.rels><?xml version="1.0" encoding="UTF-8" standalone="yes"?>
<Relationships xmlns="http://schemas.openxmlformats.org/package/2006/relationships">
<Relationship Id="rId1" Target="Biotechnology/Large%20Cap%20-%20New/IMS%20-%20New/IMS%20Data/Weekly%20Scripts/IMS_weeklyRx.xls" TargetMode="External" Type="http://schemas.microsoft.com/office/2006/relationships/xlExternalLinkPath/xlAlternate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ash"/>
      <sheetName val="Exhibit 3"/>
      <sheetName val="Cash_published"/>
      <sheetName val="NVF_published"/>
      <sheetName val="Exhibit 5"/>
      <sheetName val="IFRS"/>
      <sheetName val="Exhibit 4"/>
      <sheetName val="IFRS Life"/>
      <sheetName val="Exhibit 1"/>
      <sheetName val="Exhibit 2"/>
      <sheetName val="MCEV Roll-up"/>
      <sheetName val="Weekahead"/>
      <sheetName val="MCEV_Capital"/>
      <sheetName val="Assets(new)"/>
      <sheetName val="MCEV P&amp;L"/>
      <sheetName val="RI"/>
      <sheetName val="BULLBEAR"/>
      <sheetName val="Sheet2"/>
      <sheetName val="DCF"/>
      <sheetName val="MWA RR"/>
      <sheetName val="Cash Flow"/>
      <sheetName val="upside_downside"/>
      <sheetName val="Income Statement"/>
      <sheetName val="Balance Sheet"/>
      <sheetName val="REVENUE BY GEOGRAPHY"/>
      <sheetName val="NonQtr"/>
      <sheetName val="Data 20d"/>
      <sheetName val="Data"/>
      <sheetName val="Risk-Reward_View_Chart"/>
      <sheetName val="Valsum"/>
      <sheetName val="Interims"/>
      <sheetName val="Financial Statements"/>
      <sheetName val="Good 12-00 (2)"/>
      <sheetName val="Good 11-36"/>
      <sheetName val="Good 11-50"/>
      <sheetName val="Sheet3 (5)"/>
      <sheetName val="Inputs"/>
      <sheetName val="FX"/>
      <sheetName val="Summary"/>
      <sheetName val="Floater Demand"/>
      <sheetName val="CPB"/>
      <sheetName val="Total_Food_Promo"/>
      <sheetName val="CPB_2yr"/>
      <sheetName val="B11_BarSingle_AverageLine"/>
      <sheetName val="Quero_Sales"/>
      <sheetName val="L2005"/>
      <sheetName val="C2000"/>
      <sheetName val="Cell Reference"/>
      <sheetName val="Shading Period-Level"/>
      <sheetName val="Sources of Change"/>
      <sheetName val="Basic (gridlines)"/>
      <sheetName val="Average (reference) Line"/>
      <sheetName val="Double (overlapping)"/>
      <sheetName val="Reference Step Line"/>
      <sheetName val="Double (gridlines)"/>
      <sheetName val="Growth Line"/>
      <sheetName val="Reference Marks"/>
      <sheetName val="Single-point highlighting"/>
      <sheetName val="CPNO"/>
      <sheetName val="MMP"/>
      <sheetName val="PAA"/>
      <sheetName val="EEP"/>
      <sheetName val="KMP"/>
      <sheetName val="ETP"/>
      <sheetName val="BPL"/>
      <sheetName val="NS"/>
      <sheetName val="BWP"/>
      <sheetName val="EPD"/>
      <sheetName val="RGNC"/>
      <sheetName val="画像1"/>
      <sheetName val="業績推移"/>
      <sheetName val="バリュエーション比較"/>
      <sheetName val="自動車設備投資"/>
      <sheetName val="ロボット機械統計年"/>
      <sheetName val="ロボット機械統計"/>
      <sheetName val="株価と関連指標"/>
      <sheetName val="画像3"/>
      <sheetName val="利益率比較"/>
      <sheetName val="ロボット試算"/>
      <sheetName val="画像2"/>
      <sheetName val="内訳"/>
      <sheetName val="株価(過去1年) "/>
      <sheetName val="WWロボット出荷台数"/>
      <sheetName val="長期営業利益"/>
      <sheetName val="中国NC化率"/>
      <sheetName val="画像4"/>
      <sheetName val="成長率比較"/>
      <sheetName val="バリュエーション"/>
      <sheetName val="四半期"/>
      <sheetName val="画像5"/>
      <sheetName val="RRBox"/>
      <sheetName val="シェアと競合"/>
      <sheetName val="rev change analysis"/>
      <sheetName val="rev contribution analysis"/>
      <sheetName val="WP Detail "/>
      <sheetName val="Model"/>
      <sheetName val="Sheet4"/>
      <sheetName val="ForeignStake"/>
      <sheetName val="WPZ"/>
      <sheetName val="TPP"/>
      <sheetName val="EPE"/>
      <sheetName val="WMZ"/>
      <sheetName val="HEP"/>
      <sheetName val="MGG"/>
      <sheetName val="ETE"/>
      <sheetName val="BGH"/>
      <sheetName val="SEP"/>
      <sheetName val="TCLP"/>
      <sheetName val="SXL"/>
      <sheetName val="WES"/>
      <sheetName val="HTC"/>
      <sheetName val="MS Tele Rep"/>
      <sheetName val="China Handset"/>
      <sheetName val="Smartphone"/>
      <sheetName val="IDC"/>
      <sheetName val="CW"/>
      <sheetName val="R2000"/>
      <sheetName val="__FDS_DOWNL_SCRATCH_SHEET__"/>
      <sheetName val="FIH"/>
      <sheetName val="MIC"/>
      <sheetName val="Valuation"/>
      <sheetName val="Sales by App"/>
      <sheetName val="Net Income &amp; EPS"/>
      <sheetName val="IDC_2"/>
      <sheetName val="Sales by Region Comp"/>
      <sheetName val="What's Changed"/>
      <sheetName val="Outsourcing"/>
      <sheetName val="Nokia vs HTC"/>
      <sheetName val="2012 Outlook"/>
      <sheetName val="Basket_June09_2010"/>
      <sheetName val="C1070"/>
      <sheetName val="Basket_Jan09"/>
      <sheetName val="Basket_2010"/>
      <sheetName val="Inflation v Price 6mth lag"/>
      <sheetName val="Basket_2011"/>
      <sheetName val="Basket_June09"/>
      <sheetName val="Basket_June09_Futures"/>
      <sheetName val="Commodities Exposure"/>
      <sheetName val=" Capital"/>
      <sheetName val="New Business"/>
      <sheetName val="Charts"/>
      <sheetName val="Pension"/>
      <sheetName val="Walk"/>
      <sheetName val="Chart 6"/>
    </sheetNames>
    <sheetDataSet>
      <sheetData sheetId="0" refreshError="1">
        <row r="5">
          <cell r="F5" t="str">
            <v>Display horizontal line for the average?</v>
          </cell>
        </row>
        <row r="10">
          <cell r="Y10" t="str">
            <v>invisible1</v>
          </cell>
        </row>
        <row r="11">
          <cell r="D11" t="str">
            <v>Jupiter</v>
          </cell>
          <cell r="E11">
            <v>78</v>
          </cell>
          <cell r="X11" t="str">
            <v xml:space="preserve">  </v>
          </cell>
          <cell r="Y11">
            <v>44.5</v>
          </cell>
        </row>
        <row r="12">
          <cell r="D12" t="str">
            <v>Juno</v>
          </cell>
          <cell r="E12">
            <v>58</v>
          </cell>
        </row>
        <row r="13">
          <cell r="D13" t="str">
            <v>Neptune</v>
          </cell>
          <cell r="E13">
            <v>45</v>
          </cell>
          <cell r="X13" t="str">
            <v>width</v>
          </cell>
          <cell r="Y13">
            <v>0.624</v>
          </cell>
        </row>
        <row r="14">
          <cell r="D14" t="str">
            <v>Pluto</v>
          </cell>
          <cell r="E14">
            <v>37</v>
          </cell>
        </row>
        <row r="15">
          <cell r="D15" t="str">
            <v>Minerva</v>
          </cell>
          <cell r="E15">
            <v>26</v>
          </cell>
          <cell r="X15" t="str">
            <v>scaling</v>
          </cell>
          <cell r="Y15">
            <v>8.0000000000000002E-3</v>
          </cell>
        </row>
        <row r="16">
          <cell r="D16" t="str">
            <v>Hermes</v>
          </cell>
          <cell r="E16">
            <v>23</v>
          </cell>
        </row>
        <row r="17">
          <cell r="X17" t="str">
            <v>label</v>
          </cell>
          <cell r="Y17" t="str">
            <v>average: 44.5</v>
          </cell>
        </row>
        <row r="28">
          <cell r="R28" t="b">
            <v>1</v>
          </cell>
        </row>
        <row r="34">
          <cell r="R34" t="str">
            <v>Notes:</v>
          </cell>
        </row>
        <row r="35">
          <cell r="R35" t="str">
            <v>-doesn't work for negative average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rtantDisclosures"/>
      <sheetName val="summary"/>
      <sheetName val="consensus"/>
      <sheetName val="Gaap Adj"/>
      <sheetName val="COVER SHEET"/>
      <sheetName val="MW-Cache"/>
      <sheetName val="__FDSCACHE__"/>
      <sheetName val="IS-ANNUAL"/>
      <sheetName val="IS-QTRLY"/>
      <sheetName val="REV-ANNUAL"/>
      <sheetName val="REV-QTRLY"/>
      <sheetName val="SEL_FRANCHISES"/>
      <sheetName val="CFBS"/>
      <sheetName val="FOOTNOTES"/>
      <sheetName val="AGREEMENTS"/>
      <sheetName val="MGMT PROJECTIONS"/>
      <sheetName val="PIPELINE"/>
      <sheetName val="PIPELINE_UNADJ"/>
      <sheetName val="DCF"/>
      <sheetName val="DEBT"/>
      <sheetName val="patent expirations"/>
      <sheetName val="Var-YOY"/>
      <sheetName val="Var-Seq"/>
      <sheetName val="revenue snapshot"/>
      <sheetName val="rev contribution analysis"/>
      <sheetName val="rev change analysis"/>
      <sheetName val="2015 rev change"/>
      <sheetName val="MWA RR"/>
      <sheetName val="mwareDates"/>
      <sheetName val="MW Valuation"/>
      <sheetName val="mwareSettings"/>
      <sheetName val="ANOMALIES"/>
      <sheetName val="ASSUMPTIONS"/>
      <sheetName val="2008 pro forma EPS (wIMCL)"/>
      <sheetName val="prasugrel sales potential"/>
      <sheetName val="prasugrel npv"/>
      <sheetName val="Cialis JV"/>
      <sheetName val="tabs"/>
      <sheetName val="pipeline_summary"/>
      <sheetName val="C38001"/>
      <sheetName val="C3800"/>
      <sheetName val="Product Mix"/>
      <sheetName val="calendar"/>
      <sheetName val="patents"/>
      <sheetName val="launches"/>
      <sheetName val="pipeline handout"/>
      <sheetName val="FCF vs Guidance"/>
      <sheetName val="#REF"/>
      <sheetName val="diabetes_multiple"/>
      <sheetName val="TR Convert"/>
      <sheetName val="Annual"/>
      <sheetName val="Becker"/>
      <sheetName val="HGSI"/>
      <sheetName val="Partnerships"/>
    </sheetNames>
    <sheetDataSet>
      <sheetData sheetId="0" refreshError="1"/>
      <sheetData sheetId="1">
        <row r="1">
          <cell r="B1" t="str">
            <v>Eli Lilly &amp; Co.</v>
          </cell>
        </row>
      </sheetData>
      <sheetData sheetId="2"/>
      <sheetData sheetId="3"/>
      <sheetData sheetId="4"/>
      <sheetData sheetId="5"/>
      <sheetData sheetId="6"/>
      <sheetData sheetId="7" refreshError="1"/>
      <sheetData sheetId="8"/>
      <sheetData sheetId="9" refreshError="1"/>
      <sheetData sheetId="10"/>
      <sheetData sheetId="11"/>
      <sheetData sheetId="12"/>
      <sheetData sheetId="13" refreshError="1"/>
      <sheetData sheetId="14" refreshError="1"/>
      <sheetData sheetId="15"/>
      <sheetData sheetId="16"/>
      <sheetData sheetId="17"/>
      <sheetData sheetId="18" refreshError="1"/>
      <sheetData sheetId="19"/>
      <sheetData sheetId="20"/>
      <sheetData sheetId="21"/>
      <sheetData sheetId="22"/>
      <sheetData sheetId="23"/>
      <sheetData sheetId="24" refreshError="1">
        <row r="1">
          <cell r="U1" t="str">
            <v>SmartCharts</v>
          </cell>
          <cell r="BD1" t="str">
            <v>.</v>
          </cell>
        </row>
        <row r="2">
          <cell r="BD2" t="str">
            <v>.</v>
          </cell>
        </row>
        <row r="3">
          <cell r="BD3" t="str">
            <v>.</v>
          </cell>
        </row>
        <row r="4">
          <cell r="BD4" t="str">
            <v>.</v>
          </cell>
        </row>
        <row r="5">
          <cell r="C5" t="str">
            <v>Define value axis here:</v>
          </cell>
        </row>
        <row r="6">
          <cell r="C6" t="str">
            <v>Eli Lilly revenue contributions 2010E-2015E</v>
          </cell>
        </row>
        <row r="10">
          <cell r="C10" t="str">
            <v>Input your data here:</v>
          </cell>
          <cell r="BD10" t="str">
            <v>.</v>
          </cell>
        </row>
        <row r="11">
          <cell r="C11" t="str">
            <v>Sales ($M)</v>
          </cell>
          <cell r="D11" t="str">
            <v>2010E</v>
          </cell>
          <cell r="E11" t="str">
            <v>2011E</v>
          </cell>
          <cell r="F11" t="str">
            <v>2012E</v>
          </cell>
          <cell r="G11" t="str">
            <v>2013E</v>
          </cell>
          <cell r="H11" t="str">
            <v>2014E</v>
          </cell>
          <cell r="I11" t="str">
            <v>2015E</v>
          </cell>
          <cell r="BD11" t="str">
            <v>.</v>
          </cell>
        </row>
        <row r="12">
          <cell r="C12" t="str">
            <v>In-line products</v>
          </cell>
          <cell r="D12">
            <v>8741.7301775000014</v>
          </cell>
          <cell r="E12">
            <v>9422.206420550001</v>
          </cell>
          <cell r="F12">
            <v>9908.4720542889991</v>
          </cell>
          <cell r="G12">
            <v>10300.675416810274</v>
          </cell>
          <cell r="H12">
            <v>10709.128179281421</v>
          </cell>
          <cell r="I12">
            <v>10990.829805762725</v>
          </cell>
          <cell r="BD12" t="str">
            <v>.</v>
          </cell>
        </row>
        <row r="13">
          <cell r="C13" t="str">
            <v>Pipeline products launching 2010–2015</v>
          </cell>
          <cell r="D13">
            <v>141.25</v>
          </cell>
          <cell r="E13">
            <v>332.1875</v>
          </cell>
          <cell r="F13">
            <v>643.02499999999986</v>
          </cell>
          <cell r="G13">
            <v>1188.9100000000001</v>
          </cell>
          <cell r="H13">
            <v>2060.8072999999999</v>
          </cell>
          <cell r="I13">
            <v>3252.5061575</v>
          </cell>
          <cell r="BD13" t="str">
            <v>.</v>
          </cell>
        </row>
        <row r="14">
          <cell r="C14" t="str">
            <v>Products expiring 2010–2015</v>
          </cell>
          <cell r="D14">
            <v>13516.758760000001</v>
          </cell>
          <cell r="E14">
            <v>13145.262609800002</v>
          </cell>
          <cell r="F14">
            <v>10919.249930854003</v>
          </cell>
          <cell r="G14">
            <v>10206.164042898221</v>
          </cell>
          <cell r="H14">
            <v>7639.4611699592915</v>
          </cell>
          <cell r="I14">
            <v>5257.1242554678174</v>
          </cell>
          <cell r="BD14" t="str">
            <v>.</v>
          </cell>
        </row>
        <row r="15">
          <cell r="C15" t="str">
            <v>Δ in expiring products off 2010 base</v>
          </cell>
          <cell r="D15">
            <v>0</v>
          </cell>
          <cell r="E15">
            <v>-371.49615019999874</v>
          </cell>
          <cell r="F15">
            <v>-2597.5088291459979</v>
          </cell>
          <cell r="G15">
            <v>-3310.5947171017797</v>
          </cell>
          <cell r="H15">
            <v>-5877.2975900407091</v>
          </cell>
          <cell r="I15">
            <v>-8259.6345045321832</v>
          </cell>
          <cell r="BD15" t="str">
            <v>.</v>
          </cell>
        </row>
        <row r="16">
          <cell r="C16" t="str">
            <v>Net product sales</v>
          </cell>
          <cell r="D16">
            <v>22399.738937500002</v>
          </cell>
          <cell r="E16">
            <v>22899.656530350003</v>
          </cell>
          <cell r="F16">
            <v>21470.746985143003</v>
          </cell>
          <cell r="G16">
            <v>21695.749459708495</v>
          </cell>
          <cell r="H16">
            <v>20409.396649240713</v>
          </cell>
          <cell r="I16">
            <v>19500.460218730543</v>
          </cell>
          <cell r="BD16" t="str">
            <v>.</v>
          </cell>
        </row>
        <row r="17">
          <cell r="BD17" t="str">
            <v>.</v>
          </cell>
        </row>
        <row r="18">
          <cell r="BD18" t="str">
            <v>.</v>
          </cell>
        </row>
        <row r="20">
          <cell r="BD20" t="str">
            <v>.</v>
          </cell>
        </row>
        <row r="21">
          <cell r="BD21" t="str">
            <v>.</v>
          </cell>
        </row>
        <row r="22">
          <cell r="BD22" t="str">
            <v>.</v>
          </cell>
        </row>
        <row r="23">
          <cell r="BD23" t="str">
            <v>.</v>
          </cell>
        </row>
        <row r="24">
          <cell r="BD24" t="str">
            <v>.</v>
          </cell>
        </row>
        <row r="25">
          <cell r="BD25" t="str">
            <v>.</v>
          </cell>
        </row>
        <row r="26">
          <cell r="BD26" t="str">
            <v>.</v>
          </cell>
        </row>
        <row r="27">
          <cell r="BD27" t="str">
            <v>.</v>
          </cell>
        </row>
        <row r="28">
          <cell r="BD28" t="str">
            <v>.</v>
          </cell>
        </row>
        <row r="29">
          <cell r="BD29" t="str">
            <v>.</v>
          </cell>
        </row>
        <row r="30">
          <cell r="BD30" t="str">
            <v>.</v>
          </cell>
        </row>
        <row r="31">
          <cell r="BD31" t="str">
            <v>.</v>
          </cell>
        </row>
        <row r="32">
          <cell r="BD32" t="str">
            <v>.</v>
          </cell>
        </row>
        <row r="33">
          <cell r="BD33" t="str">
            <v>.</v>
          </cell>
        </row>
        <row r="34">
          <cell r="BD34" t="str">
            <v>.</v>
          </cell>
        </row>
        <row r="35">
          <cell r="BD35" t="str">
            <v>.</v>
          </cell>
        </row>
        <row r="36">
          <cell r="BD36" t="str">
            <v>.</v>
          </cell>
        </row>
        <row r="37">
          <cell r="M37" t="str">
            <v>Do not change the width of the exhibit or font sizes (they are optimized for export to Word).</v>
          </cell>
          <cell r="BD37" t="str">
            <v>.</v>
          </cell>
        </row>
        <row r="38">
          <cell r="BD38" t="str">
            <v>.</v>
          </cell>
        </row>
        <row r="39">
          <cell r="M39" t="str">
            <v>Do not delete any rows or columns (some gray cells are used for calculations).</v>
          </cell>
          <cell r="BD39" t="str">
            <v>.</v>
          </cell>
        </row>
        <row r="40">
          <cell r="BD40" t="str">
            <v>.</v>
          </cell>
        </row>
        <row r="41">
          <cell r="BD41" t="str">
            <v>.</v>
          </cell>
        </row>
        <row r="42">
          <cell r="BD42" t="str">
            <v>.</v>
          </cell>
        </row>
        <row r="43">
          <cell r="BD43" t="str">
            <v>.</v>
          </cell>
        </row>
        <row r="44">
          <cell r="BD44" t="str">
            <v>.</v>
          </cell>
        </row>
        <row r="45">
          <cell r="BD45" t="str">
            <v>.</v>
          </cell>
        </row>
        <row r="46">
          <cell r="BD46" t="str">
            <v>.</v>
          </cell>
        </row>
        <row r="47">
          <cell r="BD47" t="str">
            <v>.</v>
          </cell>
        </row>
        <row r="48">
          <cell r="BD48" t="str">
            <v>.</v>
          </cell>
        </row>
        <row r="49">
          <cell r="BD49" t="str">
            <v>.</v>
          </cell>
        </row>
        <row r="50">
          <cell r="BD50" t="str">
            <v>.</v>
          </cell>
        </row>
        <row r="51">
          <cell r="BD51" t="str">
            <v>.</v>
          </cell>
        </row>
        <row r="52">
          <cell r="BD52" t="str">
            <v>.</v>
          </cell>
        </row>
        <row r="53">
          <cell r="BD53" t="str">
            <v>.</v>
          </cell>
        </row>
        <row r="54">
          <cell r="BD54" t="str">
            <v>.</v>
          </cell>
        </row>
        <row r="55">
          <cell r="BD55" t="str">
            <v>.</v>
          </cell>
        </row>
        <row r="56">
          <cell r="BD56" t="str">
            <v>.</v>
          </cell>
        </row>
        <row r="57">
          <cell r="BD57" t="str">
            <v>.</v>
          </cell>
        </row>
        <row r="58">
          <cell r="BD58" t="str">
            <v>.</v>
          </cell>
        </row>
        <row r="59">
          <cell r="BD59" t="str">
            <v>.</v>
          </cell>
        </row>
        <row r="60">
          <cell r="BD60" t="str">
            <v>.</v>
          </cell>
        </row>
        <row r="61">
          <cell r="BD61" t="str">
            <v>.</v>
          </cell>
        </row>
        <row r="62">
          <cell r="BD62" t="str">
            <v>.</v>
          </cell>
        </row>
        <row r="63">
          <cell r="BD63" t="str">
            <v>.</v>
          </cell>
        </row>
        <row r="64">
          <cell r="BD64" t="str">
            <v>.</v>
          </cell>
        </row>
        <row r="65">
          <cell r="BD65" t="str">
            <v>.</v>
          </cell>
        </row>
        <row r="66">
          <cell r="BD66" t="str">
            <v>.</v>
          </cell>
        </row>
        <row r="67">
          <cell r="BD67" t="str">
            <v>.</v>
          </cell>
        </row>
        <row r="68">
          <cell r="BD68" t="str">
            <v>.</v>
          </cell>
        </row>
        <row r="69">
          <cell r="BD69" t="str">
            <v>.</v>
          </cell>
        </row>
        <row r="70">
          <cell r="BD70" t="str">
            <v>.</v>
          </cell>
        </row>
        <row r="71">
          <cell r="BD71" t="str">
            <v>.</v>
          </cell>
        </row>
        <row r="72">
          <cell r="BD72" t="str">
            <v>.</v>
          </cell>
        </row>
        <row r="73">
          <cell r="BD73" t="str">
            <v>.</v>
          </cell>
        </row>
        <row r="74">
          <cell r="BD74" t="str">
            <v>.</v>
          </cell>
        </row>
        <row r="75">
          <cell r="BD75" t="str">
            <v>.</v>
          </cell>
        </row>
        <row r="76">
          <cell r="BD76" t="str">
            <v>.</v>
          </cell>
        </row>
        <row r="77">
          <cell r="BD77" t="str">
            <v>.</v>
          </cell>
        </row>
        <row r="78">
          <cell r="BD78" t="str">
            <v>.</v>
          </cell>
        </row>
        <row r="79">
          <cell r="BD79" t="str">
            <v>.</v>
          </cell>
        </row>
        <row r="80">
          <cell r="BD80" t="str">
            <v>.</v>
          </cell>
        </row>
        <row r="81">
          <cell r="BD81" t="str">
            <v>.</v>
          </cell>
        </row>
        <row r="82">
          <cell r="BD82" t="str">
            <v>.</v>
          </cell>
        </row>
        <row r="83">
          <cell r="BD83" t="str">
            <v>.</v>
          </cell>
        </row>
        <row r="84">
          <cell r="BD84" t="str">
            <v>.</v>
          </cell>
        </row>
        <row r="85">
          <cell r="BD85" t="str">
            <v>.</v>
          </cell>
        </row>
        <row r="86">
          <cell r="BD86" t="str">
            <v>.</v>
          </cell>
        </row>
        <row r="87">
          <cell r="BD87" t="str">
            <v>.</v>
          </cell>
        </row>
        <row r="88">
          <cell r="BD88" t="str">
            <v>.</v>
          </cell>
        </row>
        <row r="89">
          <cell r="BD89" t="str">
            <v>.</v>
          </cell>
        </row>
        <row r="90">
          <cell r="BD90" t="str">
            <v>.</v>
          </cell>
        </row>
        <row r="91">
          <cell r="BD91" t="str">
            <v>.</v>
          </cell>
        </row>
        <row r="92">
          <cell r="BD92" t="str">
            <v>.</v>
          </cell>
        </row>
        <row r="93">
          <cell r="BD93" t="str">
            <v>.</v>
          </cell>
        </row>
        <row r="94">
          <cell r="BD94" t="str">
            <v>.</v>
          </cell>
        </row>
        <row r="95">
          <cell r="BD95" t="str">
            <v>.</v>
          </cell>
        </row>
        <row r="96">
          <cell r="BD96" t="str">
            <v>.</v>
          </cell>
        </row>
        <row r="97">
          <cell r="BD97" t="str">
            <v>.</v>
          </cell>
        </row>
        <row r="98">
          <cell r="BD98" t="str">
            <v>.</v>
          </cell>
        </row>
        <row r="99">
          <cell r="BD99" t="str">
            <v>.</v>
          </cell>
        </row>
        <row r="100">
          <cell r="BD100" t="str">
            <v>.</v>
          </cell>
        </row>
        <row r="101">
          <cell r="BD101" t="str">
            <v>.</v>
          </cell>
        </row>
        <row r="102">
          <cell r="BD102" t="str">
            <v>.</v>
          </cell>
        </row>
        <row r="103">
          <cell r="BD103" t="str">
            <v>.</v>
          </cell>
        </row>
        <row r="104">
          <cell r="BD104" t="str">
            <v>.</v>
          </cell>
        </row>
        <row r="105">
          <cell r="BD105" t="str">
            <v>.</v>
          </cell>
        </row>
        <row r="106">
          <cell r="BD106" t="str">
            <v>.</v>
          </cell>
        </row>
        <row r="107">
          <cell r="BD107" t="str">
            <v>.</v>
          </cell>
        </row>
        <row r="108">
          <cell r="BD108" t="str">
            <v>.</v>
          </cell>
        </row>
        <row r="109">
          <cell r="BD109" t="str">
            <v>.</v>
          </cell>
        </row>
        <row r="110">
          <cell r="BD110" t="str">
            <v>.</v>
          </cell>
        </row>
        <row r="111">
          <cell r="BD111" t="str">
            <v>.</v>
          </cell>
        </row>
        <row r="112">
          <cell r="BD112" t="str">
            <v>.</v>
          </cell>
        </row>
        <row r="113">
          <cell r="BD113" t="str">
            <v>.</v>
          </cell>
        </row>
        <row r="114">
          <cell r="BD114" t="str">
            <v>.</v>
          </cell>
        </row>
        <row r="115">
          <cell r="BD115" t="str">
            <v>.</v>
          </cell>
        </row>
        <row r="116">
          <cell r="BD116" t="str">
            <v>.</v>
          </cell>
        </row>
        <row r="117">
          <cell r="BD117" t="str">
            <v>.</v>
          </cell>
        </row>
        <row r="118">
          <cell r="BD118" t="str">
            <v>.</v>
          </cell>
        </row>
        <row r="119">
          <cell r="BD119" t="str">
            <v>.</v>
          </cell>
        </row>
        <row r="120">
          <cell r="BD120" t="str">
            <v>.</v>
          </cell>
        </row>
        <row r="121">
          <cell r="BD121" t="str">
            <v>.</v>
          </cell>
        </row>
        <row r="122">
          <cell r="BD122" t="str">
            <v>.</v>
          </cell>
        </row>
        <row r="123">
          <cell r="BD123" t="str">
            <v>.</v>
          </cell>
        </row>
        <row r="124">
          <cell r="BD124" t="str">
            <v>.</v>
          </cell>
        </row>
        <row r="125">
          <cell r="BD125" t="str">
            <v>.</v>
          </cell>
        </row>
        <row r="126">
          <cell r="BD126" t="str">
            <v>.</v>
          </cell>
        </row>
        <row r="127">
          <cell r="BD127" t="str">
            <v>.</v>
          </cell>
        </row>
        <row r="128">
          <cell r="BD128" t="str">
            <v>.</v>
          </cell>
        </row>
        <row r="129">
          <cell r="BD129" t="str">
            <v>.</v>
          </cell>
        </row>
        <row r="130">
          <cell r="BD130" t="str">
            <v>.</v>
          </cell>
        </row>
        <row r="131">
          <cell r="BD131" t="str">
            <v>.</v>
          </cell>
        </row>
        <row r="132">
          <cell r="BD132" t="str">
            <v>.</v>
          </cell>
        </row>
        <row r="133">
          <cell r="BD133" t="str">
            <v>.</v>
          </cell>
        </row>
        <row r="134">
          <cell r="BD134" t="str">
            <v>.</v>
          </cell>
        </row>
        <row r="135">
          <cell r="BD135" t="str">
            <v>.</v>
          </cell>
        </row>
        <row r="136">
          <cell r="BD136" t="str">
            <v>.</v>
          </cell>
        </row>
        <row r="137">
          <cell r="BD137" t="str">
            <v>.</v>
          </cell>
        </row>
        <row r="138">
          <cell r="BD138" t="str">
            <v>.</v>
          </cell>
        </row>
        <row r="139">
          <cell r="BD139" t="str">
            <v>.</v>
          </cell>
        </row>
        <row r="140">
          <cell r="BD140" t="str">
            <v>.</v>
          </cell>
        </row>
        <row r="141">
          <cell r="BD141" t="str">
            <v>.</v>
          </cell>
        </row>
        <row r="142">
          <cell r="BD142" t="str">
            <v>.</v>
          </cell>
        </row>
        <row r="143">
          <cell r="BD143" t="str">
            <v>.</v>
          </cell>
        </row>
        <row r="144">
          <cell r="BD144" t="str">
            <v>.</v>
          </cell>
        </row>
        <row r="145">
          <cell r="BD145" t="str">
            <v>.</v>
          </cell>
        </row>
        <row r="146">
          <cell r="BD146" t="str">
            <v>.</v>
          </cell>
        </row>
        <row r="147">
          <cell r="BD147" t="str">
            <v>.</v>
          </cell>
        </row>
        <row r="148">
          <cell r="BD148" t="str">
            <v>.</v>
          </cell>
        </row>
        <row r="149">
          <cell r="BD149" t="str">
            <v>.</v>
          </cell>
        </row>
        <row r="150">
          <cell r="BD150" t="str">
            <v>.</v>
          </cell>
        </row>
        <row r="151">
          <cell r="BD151" t="str">
            <v>.</v>
          </cell>
        </row>
        <row r="152">
          <cell r="BD152" t="str">
            <v>.</v>
          </cell>
        </row>
        <row r="153">
          <cell r="BD153" t="str">
            <v>.</v>
          </cell>
        </row>
        <row r="154">
          <cell r="BD154" t="str">
            <v>.</v>
          </cell>
        </row>
        <row r="155">
          <cell r="BD155" t="str">
            <v>.</v>
          </cell>
        </row>
        <row r="156">
          <cell r="BD156" t="str">
            <v>.</v>
          </cell>
        </row>
        <row r="157">
          <cell r="BD157" t="str">
            <v>.</v>
          </cell>
        </row>
        <row r="158">
          <cell r="BD158" t="str">
            <v>.</v>
          </cell>
        </row>
        <row r="159">
          <cell r="BD159" t="str">
            <v>.</v>
          </cell>
        </row>
        <row r="160">
          <cell r="BD160" t="str">
            <v>.</v>
          </cell>
        </row>
        <row r="161">
          <cell r="BD161" t="str">
            <v>.</v>
          </cell>
        </row>
        <row r="162">
          <cell r="BD162" t="str">
            <v>.</v>
          </cell>
        </row>
        <row r="163">
          <cell r="BD163" t="str">
            <v>.</v>
          </cell>
        </row>
        <row r="164">
          <cell r="BD164" t="str">
            <v>.</v>
          </cell>
        </row>
        <row r="165">
          <cell r="BD165" t="str">
            <v>.</v>
          </cell>
        </row>
        <row r="166">
          <cell r="BD166" t="str">
            <v>.</v>
          </cell>
        </row>
        <row r="167">
          <cell r="BD167" t="str">
            <v>.</v>
          </cell>
        </row>
        <row r="168">
          <cell r="BD168" t="str">
            <v>.</v>
          </cell>
        </row>
        <row r="169">
          <cell r="BD169" t="str">
            <v>.</v>
          </cell>
        </row>
        <row r="170">
          <cell r="BD170" t="str">
            <v>.</v>
          </cell>
        </row>
        <row r="171">
          <cell r="BD171" t="str">
            <v>.</v>
          </cell>
        </row>
        <row r="172">
          <cell r="BD172" t="str">
            <v>.</v>
          </cell>
        </row>
        <row r="173">
          <cell r="BD173" t="str">
            <v>.</v>
          </cell>
        </row>
        <row r="174">
          <cell r="BD174" t="str">
            <v>.</v>
          </cell>
        </row>
        <row r="175">
          <cell r="BD175" t="str">
            <v>.</v>
          </cell>
        </row>
        <row r="176">
          <cell r="BD176" t="str">
            <v>.</v>
          </cell>
        </row>
        <row r="177">
          <cell r="BD177" t="str">
            <v>.</v>
          </cell>
        </row>
        <row r="178">
          <cell r="BD178" t="str">
            <v>.</v>
          </cell>
        </row>
        <row r="179">
          <cell r="BD179" t="str">
            <v>.</v>
          </cell>
        </row>
        <row r="180">
          <cell r="BD180" t="str">
            <v>.</v>
          </cell>
        </row>
        <row r="181">
          <cell r="BD181" t="str">
            <v>.</v>
          </cell>
        </row>
        <row r="182">
          <cell r="BD182" t="str">
            <v>.</v>
          </cell>
        </row>
        <row r="183">
          <cell r="BD183" t="str">
            <v>.</v>
          </cell>
        </row>
        <row r="184">
          <cell r="BD184" t="str">
            <v>.</v>
          </cell>
        </row>
        <row r="185">
          <cell r="BD185" t="str">
            <v>.</v>
          </cell>
        </row>
        <row r="186">
          <cell r="BD186" t="str">
            <v>.</v>
          </cell>
        </row>
        <row r="187">
          <cell r="BD187" t="str">
            <v>.</v>
          </cell>
        </row>
        <row r="188">
          <cell r="BD188" t="str">
            <v>.</v>
          </cell>
        </row>
        <row r="189">
          <cell r="BD189" t="str">
            <v>.</v>
          </cell>
        </row>
        <row r="190">
          <cell r="BD190" t="str">
            <v>.</v>
          </cell>
        </row>
        <row r="191">
          <cell r="BD191" t="str">
            <v>.</v>
          </cell>
        </row>
        <row r="192">
          <cell r="BD192" t="str">
            <v>.</v>
          </cell>
        </row>
        <row r="193">
          <cell r="BD193" t="str">
            <v>.</v>
          </cell>
        </row>
        <row r="194">
          <cell r="BD194" t="str">
            <v>.</v>
          </cell>
        </row>
        <row r="195">
          <cell r="BD195" t="str">
            <v>.</v>
          </cell>
        </row>
        <row r="196">
          <cell r="BD196" t="str">
            <v>.</v>
          </cell>
        </row>
        <row r="197">
          <cell r="BD197" t="str">
            <v>.</v>
          </cell>
        </row>
        <row r="198">
          <cell r="BD198" t="str">
            <v>.</v>
          </cell>
        </row>
        <row r="199">
          <cell r="BD199" t="str">
            <v>.</v>
          </cell>
        </row>
        <row r="200">
          <cell r="BD200" t="str">
            <v>.</v>
          </cell>
        </row>
        <row r="201">
          <cell r="BD201" t="str">
            <v>.</v>
          </cell>
        </row>
        <row r="202">
          <cell r="BD202" t="str">
            <v>.</v>
          </cell>
        </row>
        <row r="203">
          <cell r="BD203" t="str">
            <v>.</v>
          </cell>
        </row>
        <row r="204">
          <cell r="BD204" t="str">
            <v>.</v>
          </cell>
        </row>
        <row r="205">
          <cell r="BD205" t="str">
            <v>.</v>
          </cell>
        </row>
        <row r="206">
          <cell r="BD206" t="str">
            <v>.</v>
          </cell>
        </row>
        <row r="207">
          <cell r="BD207" t="str">
            <v>.</v>
          </cell>
        </row>
        <row r="208">
          <cell r="BD208" t="str">
            <v>.</v>
          </cell>
        </row>
        <row r="209">
          <cell r="BD209" t="str">
            <v>.</v>
          </cell>
        </row>
        <row r="210">
          <cell r="BD210" t="str">
            <v>.</v>
          </cell>
        </row>
        <row r="211">
          <cell r="BD211" t="str">
            <v>.</v>
          </cell>
        </row>
        <row r="212">
          <cell r="BD212" t="str">
            <v>.</v>
          </cell>
        </row>
        <row r="213">
          <cell r="BD213" t="str">
            <v>.</v>
          </cell>
        </row>
        <row r="214">
          <cell r="BD214" t="str">
            <v>.</v>
          </cell>
        </row>
        <row r="215">
          <cell r="BD215" t="str">
            <v>.</v>
          </cell>
        </row>
        <row r="216">
          <cell r="BD216" t="str">
            <v>.</v>
          </cell>
        </row>
        <row r="217">
          <cell r="BD217" t="str">
            <v>.</v>
          </cell>
        </row>
        <row r="218">
          <cell r="BD218" t="str">
            <v>.</v>
          </cell>
        </row>
        <row r="219">
          <cell r="BD219" t="str">
            <v>.</v>
          </cell>
        </row>
        <row r="220">
          <cell r="BD220" t="str">
            <v>.</v>
          </cell>
        </row>
        <row r="221">
          <cell r="BD221" t="str">
            <v>.</v>
          </cell>
        </row>
        <row r="222">
          <cell r="BD222" t="str">
            <v>.</v>
          </cell>
        </row>
        <row r="223">
          <cell r="BD223" t="str">
            <v>.</v>
          </cell>
        </row>
        <row r="224">
          <cell r="BD224" t="str">
            <v>.</v>
          </cell>
        </row>
        <row r="225">
          <cell r="BD225" t="str">
            <v>.</v>
          </cell>
        </row>
        <row r="226">
          <cell r="BD226" t="str">
            <v>.</v>
          </cell>
        </row>
        <row r="227">
          <cell r="BD227" t="str">
            <v>.</v>
          </cell>
        </row>
        <row r="228">
          <cell r="BD228" t="str">
            <v>.</v>
          </cell>
        </row>
        <row r="229">
          <cell r="BD229" t="str">
            <v>.</v>
          </cell>
        </row>
        <row r="230">
          <cell r="BD230" t="str">
            <v>.</v>
          </cell>
        </row>
        <row r="231">
          <cell r="BD231" t="str">
            <v>.</v>
          </cell>
        </row>
        <row r="232">
          <cell r="BD232" t="str">
            <v>.</v>
          </cell>
        </row>
        <row r="233">
          <cell r="BD233" t="str">
            <v>.</v>
          </cell>
        </row>
        <row r="234">
          <cell r="BD234" t="str">
            <v>.</v>
          </cell>
        </row>
        <row r="235">
          <cell r="BD235" t="str">
            <v>.</v>
          </cell>
        </row>
        <row r="236">
          <cell r="BD236" t="str">
            <v>.</v>
          </cell>
        </row>
        <row r="237">
          <cell r="BD237" t="str">
            <v>.</v>
          </cell>
        </row>
        <row r="238">
          <cell r="BD238" t="str">
            <v>.</v>
          </cell>
        </row>
        <row r="239">
          <cell r="BD239" t="str">
            <v>.</v>
          </cell>
        </row>
        <row r="240">
          <cell r="BD240" t="str">
            <v>.</v>
          </cell>
        </row>
        <row r="241">
          <cell r="BD241" t="str">
            <v>.</v>
          </cell>
        </row>
        <row r="242">
          <cell r="BD242" t="str">
            <v>.</v>
          </cell>
        </row>
        <row r="243">
          <cell r="BD243" t="str">
            <v>.</v>
          </cell>
        </row>
        <row r="244">
          <cell r="BD244" t="str">
            <v>.</v>
          </cell>
        </row>
        <row r="245">
          <cell r="BD245" t="str">
            <v>.</v>
          </cell>
        </row>
        <row r="246">
          <cell r="BD246" t="str">
            <v>.</v>
          </cell>
        </row>
        <row r="247">
          <cell r="BD247" t="str">
            <v>.</v>
          </cell>
        </row>
        <row r="248">
          <cell r="BD248" t="str">
            <v>.</v>
          </cell>
        </row>
        <row r="249">
          <cell r="BD249" t="str">
            <v>.</v>
          </cell>
        </row>
        <row r="250">
          <cell r="BD250" t="str">
            <v>.</v>
          </cell>
        </row>
        <row r="251">
          <cell r="BD251" t="str">
            <v>.</v>
          </cell>
        </row>
        <row r="252">
          <cell r="BD252" t="str">
            <v>.</v>
          </cell>
        </row>
        <row r="253">
          <cell r="BD253" t="str">
            <v>.</v>
          </cell>
        </row>
        <row r="254">
          <cell r="BD254" t="str">
            <v>.</v>
          </cell>
        </row>
        <row r="255">
          <cell r="BD255" t="str">
            <v>.</v>
          </cell>
        </row>
        <row r="256">
          <cell r="BD256" t="str">
            <v>.</v>
          </cell>
        </row>
        <row r="257">
          <cell r="BD257" t="str">
            <v>.</v>
          </cell>
        </row>
        <row r="258">
          <cell r="BD258" t="str">
            <v>.</v>
          </cell>
        </row>
        <row r="259">
          <cell r="BD259" t="str">
            <v>.</v>
          </cell>
        </row>
        <row r="260">
          <cell r="BD260" t="str">
            <v>.</v>
          </cell>
        </row>
        <row r="261">
          <cell r="BD261" t="str">
            <v>.</v>
          </cell>
        </row>
        <row r="262">
          <cell r="BD262" t="str">
            <v>.</v>
          </cell>
        </row>
        <row r="263">
          <cell r="BD263" t="str">
            <v>.</v>
          </cell>
        </row>
        <row r="264">
          <cell r="BD264" t="str">
            <v>.</v>
          </cell>
        </row>
        <row r="265">
          <cell r="BD265" t="str">
            <v>.</v>
          </cell>
        </row>
        <row r="266">
          <cell r="BD266" t="str">
            <v>.</v>
          </cell>
        </row>
        <row r="267">
          <cell r="BD267" t="str">
            <v>.</v>
          </cell>
        </row>
        <row r="268">
          <cell r="BD268" t="str">
            <v>.</v>
          </cell>
        </row>
        <row r="269">
          <cell r="BD269" t="str">
            <v>.</v>
          </cell>
        </row>
        <row r="270">
          <cell r="BD270" t="str">
            <v>.</v>
          </cell>
        </row>
        <row r="271">
          <cell r="BD271" t="str">
            <v>.</v>
          </cell>
        </row>
        <row r="272">
          <cell r="BD272" t="str">
            <v>.</v>
          </cell>
        </row>
        <row r="273">
          <cell r="BD273" t="str">
            <v>.</v>
          </cell>
        </row>
        <row r="274">
          <cell r="BD274" t="str">
            <v>.</v>
          </cell>
        </row>
        <row r="275">
          <cell r="BD275" t="str">
            <v>.</v>
          </cell>
        </row>
        <row r="276">
          <cell r="BD276" t="str">
            <v>.</v>
          </cell>
        </row>
        <row r="277">
          <cell r="BD277" t="str">
            <v>.</v>
          </cell>
        </row>
        <row r="278">
          <cell r="BD278" t="str">
            <v>.</v>
          </cell>
        </row>
        <row r="279">
          <cell r="BD279" t="str">
            <v>.</v>
          </cell>
        </row>
        <row r="280">
          <cell r="BD280" t="str">
            <v>.</v>
          </cell>
        </row>
        <row r="281">
          <cell r="BD281" t="str">
            <v>.</v>
          </cell>
        </row>
        <row r="282">
          <cell r="BD282" t="str">
            <v>.</v>
          </cell>
        </row>
        <row r="283">
          <cell r="BD283" t="str">
            <v>.</v>
          </cell>
        </row>
        <row r="284">
          <cell r="BD284" t="str">
            <v>.</v>
          </cell>
        </row>
        <row r="285">
          <cell r="BD285" t="str">
            <v>.</v>
          </cell>
        </row>
        <row r="286">
          <cell r="BD286" t="str">
            <v>.</v>
          </cell>
        </row>
        <row r="287">
          <cell r="BD287" t="str">
            <v>.</v>
          </cell>
        </row>
        <row r="288">
          <cell r="BD288" t="str">
            <v>.</v>
          </cell>
        </row>
        <row r="289">
          <cell r="BD289" t="str">
            <v>.</v>
          </cell>
        </row>
        <row r="290">
          <cell r="BD290" t="str">
            <v>.</v>
          </cell>
        </row>
        <row r="291">
          <cell r="BD291" t="str">
            <v>.</v>
          </cell>
        </row>
        <row r="292">
          <cell r="BD292" t="str">
            <v>.</v>
          </cell>
        </row>
        <row r="293">
          <cell r="BD293" t="str">
            <v>.</v>
          </cell>
        </row>
        <row r="294">
          <cell r="BD294" t="str">
            <v>.</v>
          </cell>
        </row>
        <row r="295">
          <cell r="BD295" t="str">
            <v>.</v>
          </cell>
        </row>
        <row r="296">
          <cell r="BD296" t="str">
            <v>.</v>
          </cell>
        </row>
        <row r="297">
          <cell r="BD297" t="str">
            <v>.</v>
          </cell>
        </row>
        <row r="298">
          <cell r="BD298" t="str">
            <v>.</v>
          </cell>
        </row>
        <row r="299">
          <cell r="BD299" t="str">
            <v>.</v>
          </cell>
        </row>
        <row r="300">
          <cell r="BD300" t="str">
            <v>.</v>
          </cell>
        </row>
        <row r="301">
          <cell r="BD301" t="str">
            <v>.</v>
          </cell>
        </row>
        <row r="302">
          <cell r="BD302" t="str">
            <v>.</v>
          </cell>
        </row>
        <row r="303">
          <cell r="BD303" t="str">
            <v>.</v>
          </cell>
        </row>
        <row r="304">
          <cell r="BD304" t="str">
            <v>.</v>
          </cell>
        </row>
        <row r="305">
          <cell r="BD305" t="str">
            <v>.</v>
          </cell>
        </row>
        <row r="306">
          <cell r="BD306" t="str">
            <v>.</v>
          </cell>
        </row>
        <row r="307">
          <cell r="BD307" t="str">
            <v>.</v>
          </cell>
        </row>
        <row r="308">
          <cell r="BD308" t="str">
            <v>.</v>
          </cell>
        </row>
        <row r="309">
          <cell r="BD309" t="str">
            <v>.</v>
          </cell>
        </row>
        <row r="310">
          <cell r="BD310" t="str">
            <v>.</v>
          </cell>
        </row>
        <row r="311">
          <cell r="BD311" t="str">
            <v>.</v>
          </cell>
        </row>
        <row r="312">
          <cell r="BD312" t="str">
            <v>.</v>
          </cell>
        </row>
        <row r="313">
          <cell r="BD313" t="str">
            <v>.</v>
          </cell>
        </row>
        <row r="314">
          <cell r="BD314" t="str">
            <v>.</v>
          </cell>
        </row>
        <row r="315">
          <cell r="BD315" t="str">
            <v>.</v>
          </cell>
        </row>
        <row r="316">
          <cell r="BD316" t="str">
            <v>.</v>
          </cell>
        </row>
        <row r="317">
          <cell r="BD317" t="str">
            <v>.</v>
          </cell>
        </row>
        <row r="318">
          <cell r="BD318" t="str">
            <v>.</v>
          </cell>
        </row>
        <row r="319">
          <cell r="BD319" t="str">
            <v>.</v>
          </cell>
        </row>
        <row r="320">
          <cell r="BD320" t="str">
            <v>.</v>
          </cell>
        </row>
        <row r="321">
          <cell r="BD321" t="str">
            <v>.</v>
          </cell>
        </row>
        <row r="322">
          <cell r="BD322" t="str">
            <v>.</v>
          </cell>
        </row>
        <row r="323">
          <cell r="BD323" t="str">
            <v>.</v>
          </cell>
        </row>
        <row r="324">
          <cell r="BD324" t="str">
            <v>.</v>
          </cell>
        </row>
        <row r="325">
          <cell r="BD325" t="str">
            <v>.</v>
          </cell>
        </row>
        <row r="326">
          <cell r="BD326" t="str">
            <v>.</v>
          </cell>
        </row>
        <row r="327">
          <cell r="BD327" t="str">
            <v>.</v>
          </cell>
        </row>
        <row r="328">
          <cell r="BD328" t="str">
            <v>.</v>
          </cell>
        </row>
        <row r="329">
          <cell r="BD329" t="str">
            <v>.</v>
          </cell>
        </row>
        <row r="330">
          <cell r="BD330" t="str">
            <v>.</v>
          </cell>
        </row>
        <row r="331">
          <cell r="BD331" t="str">
            <v>.</v>
          </cell>
        </row>
        <row r="332">
          <cell r="BD332" t="str">
            <v>.</v>
          </cell>
        </row>
        <row r="333">
          <cell r="BD333" t="str">
            <v>.</v>
          </cell>
        </row>
        <row r="334">
          <cell r="BD334" t="str">
            <v>.</v>
          </cell>
        </row>
        <row r="335">
          <cell r="BD335" t="str">
            <v>.</v>
          </cell>
        </row>
        <row r="336">
          <cell r="BD336" t="str">
            <v>.</v>
          </cell>
        </row>
        <row r="337">
          <cell r="BD337" t="str">
            <v>.</v>
          </cell>
        </row>
        <row r="338">
          <cell r="BD338" t="str">
            <v>.</v>
          </cell>
        </row>
        <row r="339">
          <cell r="BD339" t="str">
            <v>.</v>
          </cell>
        </row>
        <row r="340">
          <cell r="BD340" t="str">
            <v>.</v>
          </cell>
        </row>
        <row r="341">
          <cell r="BD341" t="str">
            <v>.</v>
          </cell>
        </row>
        <row r="342">
          <cell r="BD342" t="str">
            <v>.</v>
          </cell>
        </row>
        <row r="343">
          <cell r="BD343" t="str">
            <v>.</v>
          </cell>
        </row>
        <row r="344">
          <cell r="BD344" t="str">
            <v>.</v>
          </cell>
        </row>
        <row r="345">
          <cell r="BD345" t="str">
            <v>.</v>
          </cell>
        </row>
        <row r="346">
          <cell r="BD346" t="str">
            <v>.</v>
          </cell>
        </row>
        <row r="347">
          <cell r="BD347" t="str">
            <v>.</v>
          </cell>
        </row>
        <row r="348">
          <cell r="BD348" t="str">
            <v>.</v>
          </cell>
        </row>
        <row r="349">
          <cell r="BD349" t="str">
            <v>.</v>
          </cell>
        </row>
        <row r="350">
          <cell r="BD350" t="str">
            <v>.</v>
          </cell>
        </row>
        <row r="351">
          <cell r="BD351" t="str">
            <v>.</v>
          </cell>
        </row>
        <row r="352">
          <cell r="BD352" t="str">
            <v>.</v>
          </cell>
        </row>
        <row r="353">
          <cell r="BD353" t="str">
            <v>.</v>
          </cell>
        </row>
        <row r="354">
          <cell r="BD354" t="str">
            <v>.</v>
          </cell>
        </row>
        <row r="355">
          <cell r="BD355" t="str">
            <v>.</v>
          </cell>
        </row>
        <row r="356">
          <cell r="BD356" t="str">
            <v>.</v>
          </cell>
        </row>
        <row r="357">
          <cell r="BD357" t="str">
            <v>.</v>
          </cell>
        </row>
        <row r="358">
          <cell r="BD358" t="str">
            <v>.</v>
          </cell>
        </row>
        <row r="359">
          <cell r="BD359" t="str">
            <v>.</v>
          </cell>
        </row>
        <row r="360">
          <cell r="BD360" t="str">
            <v>.</v>
          </cell>
        </row>
        <row r="361">
          <cell r="BD361" t="str">
            <v>.</v>
          </cell>
        </row>
        <row r="362">
          <cell r="BD362" t="str">
            <v>.</v>
          </cell>
        </row>
        <row r="363">
          <cell r="BD363" t="str">
            <v>.</v>
          </cell>
        </row>
        <row r="364">
          <cell r="BD364" t="str">
            <v>.</v>
          </cell>
        </row>
        <row r="365">
          <cell r="BD365" t="str">
            <v>.</v>
          </cell>
        </row>
        <row r="366">
          <cell r="BD366" t="str">
            <v>.</v>
          </cell>
        </row>
        <row r="367">
          <cell r="BD367" t="str">
            <v>.</v>
          </cell>
        </row>
        <row r="368">
          <cell r="BD368" t="str">
            <v>.</v>
          </cell>
        </row>
        <row r="369">
          <cell r="BD369" t="str">
            <v>.</v>
          </cell>
        </row>
        <row r="370">
          <cell r="BD370" t="str">
            <v>.</v>
          </cell>
        </row>
        <row r="371">
          <cell r="BD371" t="str">
            <v>.</v>
          </cell>
        </row>
        <row r="372">
          <cell r="BD372" t="str">
            <v>.</v>
          </cell>
        </row>
        <row r="373">
          <cell r="BD373" t="str">
            <v>.</v>
          </cell>
        </row>
        <row r="374">
          <cell r="BD374" t="str">
            <v>.</v>
          </cell>
        </row>
        <row r="375">
          <cell r="BD375" t="str">
            <v>.</v>
          </cell>
        </row>
        <row r="376">
          <cell r="BD376" t="str">
            <v>.</v>
          </cell>
        </row>
        <row r="377">
          <cell r="BD377" t="str">
            <v>.</v>
          </cell>
        </row>
        <row r="378">
          <cell r="BD378" t="str">
            <v>.</v>
          </cell>
        </row>
        <row r="379">
          <cell r="BD379" t="str">
            <v>.</v>
          </cell>
        </row>
        <row r="380">
          <cell r="BD380" t="str">
            <v>.</v>
          </cell>
        </row>
        <row r="381">
          <cell r="BD381" t="str">
            <v>.</v>
          </cell>
        </row>
        <row r="382">
          <cell r="BD382" t="str">
            <v>.</v>
          </cell>
        </row>
        <row r="383">
          <cell r="BD383" t="str">
            <v>.</v>
          </cell>
        </row>
        <row r="384">
          <cell r="BD384" t="str">
            <v>.</v>
          </cell>
        </row>
        <row r="385">
          <cell r="BD385" t="str">
            <v>.</v>
          </cell>
        </row>
        <row r="386">
          <cell r="BD386" t="str">
            <v>.</v>
          </cell>
        </row>
        <row r="387">
          <cell r="BD387" t="str">
            <v>.</v>
          </cell>
        </row>
        <row r="388">
          <cell r="BD388" t="str">
            <v>.</v>
          </cell>
        </row>
        <row r="389">
          <cell r="BD389" t="str">
            <v>.</v>
          </cell>
        </row>
        <row r="390">
          <cell r="BD390" t="str">
            <v>.</v>
          </cell>
        </row>
        <row r="391">
          <cell r="BD391" t="str">
            <v>.</v>
          </cell>
        </row>
        <row r="392">
          <cell r="BD392" t="str">
            <v>.</v>
          </cell>
        </row>
        <row r="393">
          <cell r="BD393" t="str">
            <v>.</v>
          </cell>
        </row>
        <row r="394">
          <cell r="BD394" t="str">
            <v>.</v>
          </cell>
        </row>
        <row r="395">
          <cell r="BD395" t="str">
            <v>.</v>
          </cell>
        </row>
        <row r="396">
          <cell r="BD396" t="str">
            <v>.</v>
          </cell>
        </row>
        <row r="397">
          <cell r="BD397" t="str">
            <v>.</v>
          </cell>
        </row>
        <row r="398">
          <cell r="BD398" t="str">
            <v>.</v>
          </cell>
        </row>
        <row r="399">
          <cell r="BD399" t="str">
            <v>.</v>
          </cell>
        </row>
        <row r="400">
          <cell r="BD400" t="str">
            <v>.</v>
          </cell>
        </row>
        <row r="401">
          <cell r="BD401" t="str">
            <v>.</v>
          </cell>
        </row>
        <row r="402">
          <cell r="BD402" t="str">
            <v>.</v>
          </cell>
        </row>
        <row r="403">
          <cell r="BD403" t="str">
            <v>.</v>
          </cell>
        </row>
        <row r="404">
          <cell r="BD404" t="str">
            <v>.</v>
          </cell>
        </row>
        <row r="405">
          <cell r="BD405" t="str">
            <v>.</v>
          </cell>
        </row>
        <row r="406">
          <cell r="BD406" t="str">
            <v>.</v>
          </cell>
        </row>
        <row r="407">
          <cell r="BD407" t="str">
            <v>.</v>
          </cell>
        </row>
        <row r="408">
          <cell r="BD408" t="str">
            <v>.</v>
          </cell>
        </row>
        <row r="409">
          <cell r="BD409" t="str">
            <v>.</v>
          </cell>
        </row>
        <row r="410">
          <cell r="BD410" t="str">
            <v>.</v>
          </cell>
        </row>
        <row r="411">
          <cell r="BD411" t="str">
            <v>.</v>
          </cell>
        </row>
        <row r="412">
          <cell r="BD412" t="str">
            <v>.</v>
          </cell>
        </row>
        <row r="413">
          <cell r="BD413" t="str">
            <v>.</v>
          </cell>
        </row>
        <row r="414">
          <cell r="BD414" t="str">
            <v>.</v>
          </cell>
        </row>
        <row r="415">
          <cell r="BD415" t="str">
            <v>.</v>
          </cell>
        </row>
        <row r="416">
          <cell r="BD416" t="str">
            <v>.</v>
          </cell>
        </row>
        <row r="417">
          <cell r="BD417" t="str">
            <v>.</v>
          </cell>
        </row>
        <row r="418">
          <cell r="BD418" t="str">
            <v>.</v>
          </cell>
        </row>
        <row r="419">
          <cell r="BD419" t="str">
            <v>.</v>
          </cell>
        </row>
        <row r="420">
          <cell r="BD420" t="str">
            <v>.</v>
          </cell>
        </row>
        <row r="421">
          <cell r="BD421" t="str">
            <v>.</v>
          </cell>
        </row>
        <row r="422">
          <cell r="BD422" t="str">
            <v>.</v>
          </cell>
        </row>
        <row r="423">
          <cell r="BD423" t="str">
            <v>.</v>
          </cell>
        </row>
        <row r="424">
          <cell r="BD424" t="str">
            <v>.</v>
          </cell>
        </row>
        <row r="425">
          <cell r="BD425" t="str">
            <v>.</v>
          </cell>
        </row>
        <row r="426">
          <cell r="BD426" t="str">
            <v>.</v>
          </cell>
        </row>
        <row r="427">
          <cell r="BD427" t="str">
            <v>.</v>
          </cell>
        </row>
        <row r="428">
          <cell r="BD428" t="str">
            <v>.</v>
          </cell>
        </row>
        <row r="429">
          <cell r="BD429" t="str">
            <v>.</v>
          </cell>
        </row>
        <row r="430">
          <cell r="BD430" t="str">
            <v>.</v>
          </cell>
        </row>
        <row r="431">
          <cell r="BD431" t="str">
            <v>.</v>
          </cell>
        </row>
        <row r="432">
          <cell r="BD432" t="str">
            <v>.</v>
          </cell>
        </row>
        <row r="433">
          <cell r="BD433" t="str">
            <v>.</v>
          </cell>
        </row>
        <row r="434">
          <cell r="BD434" t="str">
            <v>.</v>
          </cell>
        </row>
        <row r="435">
          <cell r="BD435" t="str">
            <v>.</v>
          </cell>
        </row>
        <row r="436">
          <cell r="BD436" t="str">
            <v>.</v>
          </cell>
        </row>
        <row r="437">
          <cell r="BD437" t="str">
            <v>.</v>
          </cell>
        </row>
        <row r="438">
          <cell r="BD438" t="str">
            <v>.</v>
          </cell>
        </row>
        <row r="439">
          <cell r="BD439" t="str">
            <v>.</v>
          </cell>
        </row>
        <row r="440">
          <cell r="BD440" t="str">
            <v>.</v>
          </cell>
        </row>
        <row r="441">
          <cell r="BD441" t="str">
            <v>.</v>
          </cell>
        </row>
        <row r="442">
          <cell r="BD442" t="str">
            <v>.</v>
          </cell>
        </row>
        <row r="443">
          <cell r="BD443" t="str">
            <v>.</v>
          </cell>
        </row>
        <row r="444">
          <cell r="BD444" t="str">
            <v>.</v>
          </cell>
        </row>
        <row r="445">
          <cell r="BD445" t="str">
            <v>.</v>
          </cell>
        </row>
        <row r="446">
          <cell r="BD446" t="str">
            <v>.</v>
          </cell>
        </row>
        <row r="447">
          <cell r="BD447" t="str">
            <v>.</v>
          </cell>
        </row>
        <row r="448">
          <cell r="BD448" t="str">
            <v>.</v>
          </cell>
        </row>
        <row r="449">
          <cell r="BD449" t="str">
            <v>.</v>
          </cell>
        </row>
        <row r="450">
          <cell r="BD450" t="str">
            <v>.</v>
          </cell>
        </row>
        <row r="451">
          <cell r="BD451" t="str">
            <v>.</v>
          </cell>
        </row>
        <row r="452">
          <cell r="BD452" t="str">
            <v>.</v>
          </cell>
        </row>
        <row r="453">
          <cell r="BD453" t="str">
            <v>.</v>
          </cell>
        </row>
        <row r="454">
          <cell r="BD454" t="str">
            <v>.</v>
          </cell>
        </row>
        <row r="455">
          <cell r="BD455" t="str">
            <v>.</v>
          </cell>
        </row>
        <row r="456">
          <cell r="BD456" t="str">
            <v>.</v>
          </cell>
        </row>
        <row r="457">
          <cell r="BD457" t="str">
            <v>.</v>
          </cell>
        </row>
        <row r="458">
          <cell r="BD458" t="str">
            <v>.</v>
          </cell>
        </row>
        <row r="459">
          <cell r="BD459" t="str">
            <v>.</v>
          </cell>
        </row>
        <row r="460">
          <cell r="BD460" t="str">
            <v>.</v>
          </cell>
        </row>
        <row r="461">
          <cell r="BD461" t="str">
            <v>.</v>
          </cell>
        </row>
        <row r="462">
          <cell r="BD462" t="str">
            <v>.</v>
          </cell>
        </row>
        <row r="463">
          <cell r="BD463" t="str">
            <v>.</v>
          </cell>
        </row>
        <row r="464">
          <cell r="BD464" t="str">
            <v>.</v>
          </cell>
        </row>
        <row r="465">
          <cell r="BD465" t="str">
            <v>.</v>
          </cell>
        </row>
        <row r="466">
          <cell r="BD466" t="str">
            <v>.</v>
          </cell>
        </row>
        <row r="467">
          <cell r="BD467" t="str">
            <v>.</v>
          </cell>
        </row>
        <row r="468">
          <cell r="BD468" t="str">
            <v>.</v>
          </cell>
        </row>
        <row r="469">
          <cell r="BD469" t="str">
            <v>.</v>
          </cell>
        </row>
        <row r="470">
          <cell r="BD470" t="str">
            <v>.</v>
          </cell>
        </row>
        <row r="471">
          <cell r="BD471" t="str">
            <v>.</v>
          </cell>
        </row>
        <row r="472">
          <cell r="BD472" t="str">
            <v>.</v>
          </cell>
        </row>
        <row r="473">
          <cell r="BD473" t="str">
            <v>.</v>
          </cell>
        </row>
        <row r="474">
          <cell r="BD474" t="str">
            <v>.</v>
          </cell>
        </row>
        <row r="475">
          <cell r="BD475" t="str">
            <v>.</v>
          </cell>
        </row>
        <row r="476">
          <cell r="BD476" t="str">
            <v>.</v>
          </cell>
        </row>
        <row r="477">
          <cell r="BD477" t="str">
            <v>.</v>
          </cell>
        </row>
        <row r="478">
          <cell r="BD478" t="str">
            <v>.</v>
          </cell>
        </row>
        <row r="479">
          <cell r="BD479" t="str">
            <v>.</v>
          </cell>
        </row>
        <row r="480">
          <cell r="BD480" t="str">
            <v>.</v>
          </cell>
        </row>
        <row r="481">
          <cell r="BD481" t="str">
            <v>.</v>
          </cell>
        </row>
        <row r="482">
          <cell r="BD482" t="str">
            <v>.</v>
          </cell>
        </row>
        <row r="483">
          <cell r="BD483" t="str">
            <v>.</v>
          </cell>
        </row>
        <row r="484">
          <cell r="BD484" t="str">
            <v>.</v>
          </cell>
        </row>
        <row r="485">
          <cell r="BD485" t="str">
            <v>.</v>
          </cell>
        </row>
        <row r="486">
          <cell r="BD486" t="str">
            <v>.</v>
          </cell>
        </row>
        <row r="487">
          <cell r="BD487" t="str">
            <v>.</v>
          </cell>
        </row>
        <row r="488">
          <cell r="BD488" t="str">
            <v>.</v>
          </cell>
        </row>
        <row r="489">
          <cell r="BD489" t="str">
            <v>.</v>
          </cell>
        </row>
        <row r="490">
          <cell r="BD490" t="str">
            <v>.</v>
          </cell>
        </row>
        <row r="491">
          <cell r="BD491" t="str">
            <v>.</v>
          </cell>
        </row>
        <row r="492">
          <cell r="BD492" t="str">
            <v>.</v>
          </cell>
        </row>
        <row r="493">
          <cell r="BD493" t="str">
            <v>.</v>
          </cell>
        </row>
        <row r="494">
          <cell r="BD494" t="str">
            <v>.</v>
          </cell>
        </row>
        <row r="495">
          <cell r="BD495" t="str">
            <v>.</v>
          </cell>
        </row>
        <row r="496">
          <cell r="BD496" t="str">
            <v>.</v>
          </cell>
        </row>
        <row r="497">
          <cell r="BD497" t="str">
            <v>.</v>
          </cell>
        </row>
        <row r="498">
          <cell r="BD498" t="str">
            <v>.</v>
          </cell>
        </row>
        <row r="499">
          <cell r="BD499" t="str">
            <v>.</v>
          </cell>
        </row>
        <row r="500">
          <cell r="BD500" t="str">
            <v>.</v>
          </cell>
        </row>
        <row r="501">
          <cell r="BD501" t="str">
            <v>.</v>
          </cell>
        </row>
        <row r="502">
          <cell r="BD502" t="str">
            <v>.</v>
          </cell>
        </row>
        <row r="503">
          <cell r="BD503" t="str">
            <v>.</v>
          </cell>
        </row>
        <row r="504">
          <cell r="BD504" t="str">
            <v>.</v>
          </cell>
        </row>
        <row r="505">
          <cell r="BD505" t="str">
            <v>.</v>
          </cell>
        </row>
        <row r="506">
          <cell r="BD506" t="str">
            <v>.</v>
          </cell>
        </row>
        <row r="507">
          <cell r="BD507" t="str">
            <v>.</v>
          </cell>
        </row>
        <row r="508">
          <cell r="BD508" t="str">
            <v>.</v>
          </cell>
        </row>
        <row r="509">
          <cell r="BD509" t="str">
            <v>.</v>
          </cell>
        </row>
        <row r="510">
          <cell r="BD510" t="str">
            <v>.</v>
          </cell>
        </row>
        <row r="511">
          <cell r="BD511" t="str">
            <v>.</v>
          </cell>
        </row>
        <row r="512">
          <cell r="BD512" t="str">
            <v>.</v>
          </cell>
        </row>
        <row r="513">
          <cell r="BD513" t="str">
            <v>.</v>
          </cell>
        </row>
        <row r="514">
          <cell r="BD514" t="str">
            <v>.</v>
          </cell>
        </row>
        <row r="515">
          <cell r="BD515" t="str">
            <v>.</v>
          </cell>
        </row>
        <row r="516">
          <cell r="BD516" t="str">
            <v>.</v>
          </cell>
        </row>
        <row r="517">
          <cell r="BD517" t="str">
            <v>.</v>
          </cell>
        </row>
        <row r="518">
          <cell r="BD518" t="str">
            <v>.</v>
          </cell>
        </row>
        <row r="519">
          <cell r="BD519" t="str">
            <v>.</v>
          </cell>
        </row>
        <row r="520">
          <cell r="BD520" t="str">
            <v>.</v>
          </cell>
        </row>
        <row r="521">
          <cell r="BD521" t="str">
            <v>.</v>
          </cell>
        </row>
        <row r="522">
          <cell r="BD522" t="str">
            <v>.</v>
          </cell>
        </row>
        <row r="523">
          <cell r="BD523" t="str">
            <v>.</v>
          </cell>
        </row>
        <row r="524">
          <cell r="BD524" t="str">
            <v>.</v>
          </cell>
        </row>
        <row r="525">
          <cell r="BD525" t="str">
            <v>.</v>
          </cell>
        </row>
        <row r="526">
          <cell r="BD526" t="str">
            <v>.</v>
          </cell>
        </row>
        <row r="527">
          <cell r="BD527" t="str">
            <v>.</v>
          </cell>
        </row>
        <row r="528">
          <cell r="BD528" t="str">
            <v>.</v>
          </cell>
        </row>
        <row r="529">
          <cell r="BD529" t="str">
            <v>.</v>
          </cell>
        </row>
        <row r="530">
          <cell r="BD530" t="str">
            <v>.</v>
          </cell>
        </row>
        <row r="531">
          <cell r="BD531" t="str">
            <v>.</v>
          </cell>
        </row>
        <row r="532">
          <cell r="BD532" t="str">
            <v>.</v>
          </cell>
        </row>
        <row r="533">
          <cell r="BD533" t="str">
            <v>.</v>
          </cell>
        </row>
        <row r="534">
          <cell r="BD534" t="str">
            <v>.</v>
          </cell>
        </row>
        <row r="535">
          <cell r="BD535" t="str">
            <v>.</v>
          </cell>
        </row>
        <row r="536">
          <cell r="BD536" t="str">
            <v>.</v>
          </cell>
        </row>
        <row r="537">
          <cell r="BD537" t="str">
            <v>.</v>
          </cell>
        </row>
        <row r="538">
          <cell r="BD538" t="str">
            <v>.</v>
          </cell>
        </row>
        <row r="539">
          <cell r="BD539" t="str">
            <v>.</v>
          </cell>
        </row>
        <row r="540">
          <cell r="BD540" t="str">
            <v>.</v>
          </cell>
        </row>
        <row r="541">
          <cell r="BD541" t="str">
            <v>.</v>
          </cell>
        </row>
        <row r="542">
          <cell r="BD542" t="str">
            <v>.</v>
          </cell>
        </row>
        <row r="543">
          <cell r="BD543" t="str">
            <v>.</v>
          </cell>
        </row>
        <row r="544">
          <cell r="BD544" t="str">
            <v>.</v>
          </cell>
        </row>
        <row r="545">
          <cell r="BD545" t="str">
            <v>.</v>
          </cell>
        </row>
        <row r="546">
          <cell r="BD546" t="str">
            <v>.</v>
          </cell>
        </row>
        <row r="547">
          <cell r="BD547" t="str">
            <v>.</v>
          </cell>
        </row>
        <row r="548">
          <cell r="BD548" t="str">
            <v>.</v>
          </cell>
        </row>
        <row r="549">
          <cell r="BD549" t="str">
            <v>.</v>
          </cell>
        </row>
        <row r="550">
          <cell r="BD550" t="str">
            <v>.</v>
          </cell>
        </row>
        <row r="551">
          <cell r="BD551" t="str">
            <v>.</v>
          </cell>
        </row>
        <row r="552">
          <cell r="BD552" t="str">
            <v>.</v>
          </cell>
        </row>
        <row r="553">
          <cell r="BD553" t="str">
            <v>.</v>
          </cell>
        </row>
        <row r="554">
          <cell r="BD554" t="str">
            <v>.</v>
          </cell>
        </row>
        <row r="555">
          <cell r="BD555" t="str">
            <v>.</v>
          </cell>
        </row>
        <row r="556">
          <cell r="BD556" t="str">
            <v>.</v>
          </cell>
        </row>
        <row r="557">
          <cell r="BD557" t="str">
            <v>.</v>
          </cell>
        </row>
        <row r="558">
          <cell r="BD558" t="str">
            <v>.</v>
          </cell>
        </row>
        <row r="559">
          <cell r="BD559" t="str">
            <v>.</v>
          </cell>
        </row>
        <row r="560">
          <cell r="BD560" t="str">
            <v>.</v>
          </cell>
        </row>
        <row r="561">
          <cell r="BD561" t="str">
            <v>.</v>
          </cell>
        </row>
        <row r="562">
          <cell r="BD562" t="str">
            <v>.</v>
          </cell>
        </row>
        <row r="563">
          <cell r="BD563" t="str">
            <v>.</v>
          </cell>
        </row>
        <row r="564">
          <cell r="BD564" t="str">
            <v>.</v>
          </cell>
        </row>
        <row r="565">
          <cell r="BD565" t="str">
            <v>.</v>
          </cell>
        </row>
        <row r="566">
          <cell r="BD566" t="str">
            <v>.</v>
          </cell>
        </row>
        <row r="567">
          <cell r="BD567" t="str">
            <v>.</v>
          </cell>
        </row>
        <row r="568">
          <cell r="BD568" t="str">
            <v>.</v>
          </cell>
        </row>
        <row r="569">
          <cell r="BD569" t="str">
            <v>.</v>
          </cell>
        </row>
        <row r="570">
          <cell r="BD570" t="str">
            <v>.</v>
          </cell>
        </row>
        <row r="571">
          <cell r="BD571" t="str">
            <v>.</v>
          </cell>
        </row>
        <row r="572">
          <cell r="BD572" t="str">
            <v>.</v>
          </cell>
        </row>
        <row r="573">
          <cell r="BD573" t="str">
            <v>.</v>
          </cell>
        </row>
        <row r="574">
          <cell r="BD574" t="str">
            <v>.</v>
          </cell>
        </row>
        <row r="575">
          <cell r="BD575" t="str">
            <v>.</v>
          </cell>
        </row>
        <row r="576">
          <cell r="BD576" t="str">
            <v>.</v>
          </cell>
        </row>
        <row r="577">
          <cell r="BD577" t="str">
            <v>.</v>
          </cell>
        </row>
        <row r="578">
          <cell r="BD578" t="str">
            <v>.</v>
          </cell>
        </row>
        <row r="579">
          <cell r="BD579" t="str">
            <v>.</v>
          </cell>
        </row>
        <row r="580">
          <cell r="BD580" t="str">
            <v>.</v>
          </cell>
        </row>
        <row r="581">
          <cell r="BD581" t="str">
            <v>.</v>
          </cell>
        </row>
        <row r="582">
          <cell r="BD582" t="str">
            <v>.</v>
          </cell>
        </row>
        <row r="583">
          <cell r="BD583" t="str">
            <v>.</v>
          </cell>
        </row>
        <row r="584">
          <cell r="BD584" t="str">
            <v>.</v>
          </cell>
        </row>
        <row r="585">
          <cell r="BD585" t="str">
            <v>.</v>
          </cell>
        </row>
        <row r="586">
          <cell r="BD586" t="str">
            <v>.</v>
          </cell>
        </row>
        <row r="587">
          <cell r="BD587" t="str">
            <v>.</v>
          </cell>
        </row>
        <row r="588">
          <cell r="BD588" t="str">
            <v>.</v>
          </cell>
        </row>
        <row r="589">
          <cell r="BD589" t="str">
            <v>.</v>
          </cell>
        </row>
        <row r="590">
          <cell r="BD590" t="str">
            <v>.</v>
          </cell>
        </row>
        <row r="591">
          <cell r="BD591" t="str">
            <v>.</v>
          </cell>
        </row>
        <row r="592">
          <cell r="BD592" t="str">
            <v>.</v>
          </cell>
        </row>
        <row r="593">
          <cell r="BD593" t="str">
            <v>.</v>
          </cell>
        </row>
        <row r="594">
          <cell r="BD594" t="str">
            <v>.</v>
          </cell>
        </row>
        <row r="595">
          <cell r="BD595" t="str">
            <v>.</v>
          </cell>
        </row>
        <row r="596">
          <cell r="BD596" t="str">
            <v>.</v>
          </cell>
        </row>
        <row r="597">
          <cell r="BD597" t="str">
            <v>.</v>
          </cell>
        </row>
        <row r="598">
          <cell r="BD598" t="str">
            <v>.</v>
          </cell>
        </row>
        <row r="599">
          <cell r="BD599" t="str">
            <v>.</v>
          </cell>
        </row>
        <row r="600">
          <cell r="BD600" t="str">
            <v>.</v>
          </cell>
        </row>
        <row r="601">
          <cell r="BD601" t="str">
            <v>.</v>
          </cell>
        </row>
        <row r="602">
          <cell r="BD602" t="str">
            <v>.</v>
          </cell>
        </row>
        <row r="603">
          <cell r="BD603" t="str">
            <v>.</v>
          </cell>
        </row>
        <row r="604">
          <cell r="BD604" t="str">
            <v>.</v>
          </cell>
        </row>
        <row r="605">
          <cell r="BD605" t="str">
            <v>.</v>
          </cell>
        </row>
        <row r="606">
          <cell r="BD606" t="str">
            <v>.</v>
          </cell>
        </row>
        <row r="607">
          <cell r="BD607" t="str">
            <v>.</v>
          </cell>
        </row>
        <row r="608">
          <cell r="BD608" t="str">
            <v>.</v>
          </cell>
        </row>
        <row r="609">
          <cell r="BD609" t="str">
            <v>.</v>
          </cell>
        </row>
        <row r="610">
          <cell r="BD610" t="str">
            <v>.</v>
          </cell>
        </row>
        <row r="611">
          <cell r="BD611" t="str">
            <v>.</v>
          </cell>
        </row>
        <row r="612">
          <cell r="BD612" t="str">
            <v>.</v>
          </cell>
        </row>
        <row r="613">
          <cell r="BD613" t="str">
            <v>.</v>
          </cell>
        </row>
        <row r="614">
          <cell r="BD614" t="str">
            <v>.</v>
          </cell>
        </row>
        <row r="615">
          <cell r="BD615" t="str">
            <v>.</v>
          </cell>
        </row>
        <row r="616">
          <cell r="BD616" t="str">
            <v>.</v>
          </cell>
        </row>
        <row r="617">
          <cell r="BD617" t="str">
            <v>.</v>
          </cell>
        </row>
        <row r="618">
          <cell r="BD618" t="str">
            <v>.</v>
          </cell>
        </row>
        <row r="619">
          <cell r="BD619" t="str">
            <v>.</v>
          </cell>
        </row>
        <row r="620">
          <cell r="BD620" t="str">
            <v>.</v>
          </cell>
        </row>
        <row r="621">
          <cell r="BD621" t="str">
            <v>.</v>
          </cell>
        </row>
        <row r="622">
          <cell r="BD622" t="str">
            <v>.</v>
          </cell>
        </row>
        <row r="623">
          <cell r="BD623" t="str">
            <v>.</v>
          </cell>
        </row>
        <row r="624">
          <cell r="BD624" t="str">
            <v>.</v>
          </cell>
        </row>
        <row r="625">
          <cell r="BD625" t="str">
            <v>.</v>
          </cell>
        </row>
        <row r="626">
          <cell r="BD626" t="str">
            <v>.</v>
          </cell>
        </row>
        <row r="627">
          <cell r="BD627" t="str">
            <v>.</v>
          </cell>
        </row>
        <row r="628">
          <cell r="BD628" t="str">
            <v>.</v>
          </cell>
        </row>
        <row r="629">
          <cell r="BD629" t="str">
            <v>.</v>
          </cell>
        </row>
        <row r="630">
          <cell r="BD630" t="str">
            <v>.</v>
          </cell>
        </row>
        <row r="631">
          <cell r="BD631" t="str">
            <v>.</v>
          </cell>
        </row>
        <row r="632">
          <cell r="BD632" t="str">
            <v>.</v>
          </cell>
        </row>
        <row r="633">
          <cell r="BD633" t="str">
            <v>.</v>
          </cell>
        </row>
        <row r="634">
          <cell r="BD634" t="str">
            <v>.</v>
          </cell>
        </row>
        <row r="635">
          <cell r="BD635" t="str">
            <v>.</v>
          </cell>
        </row>
        <row r="636">
          <cell r="BD636" t="str">
            <v>.</v>
          </cell>
        </row>
        <row r="637">
          <cell r="BD637" t="str">
            <v>.</v>
          </cell>
        </row>
        <row r="638">
          <cell r="BD638" t="str">
            <v>.</v>
          </cell>
        </row>
        <row r="639">
          <cell r="BD639" t="str">
            <v>.</v>
          </cell>
        </row>
        <row r="640">
          <cell r="BD640" t="str">
            <v>.</v>
          </cell>
        </row>
        <row r="641">
          <cell r="BD641" t="str">
            <v>.</v>
          </cell>
        </row>
        <row r="642">
          <cell r="BD642" t="str">
            <v>.</v>
          </cell>
        </row>
        <row r="643">
          <cell r="BD643" t="str">
            <v>.</v>
          </cell>
        </row>
        <row r="644">
          <cell r="BD644" t="str">
            <v>.</v>
          </cell>
        </row>
        <row r="645">
          <cell r="BD645" t="str">
            <v>.</v>
          </cell>
        </row>
        <row r="646">
          <cell r="BD646" t="str">
            <v>.</v>
          </cell>
        </row>
        <row r="647">
          <cell r="BD647" t="str">
            <v>.</v>
          </cell>
        </row>
        <row r="648">
          <cell r="BD648" t="str">
            <v>.</v>
          </cell>
        </row>
        <row r="649">
          <cell r="BD649" t="str">
            <v>.</v>
          </cell>
        </row>
        <row r="650">
          <cell r="BD650" t="str">
            <v>.</v>
          </cell>
        </row>
        <row r="651">
          <cell r="BD651" t="str">
            <v>.</v>
          </cell>
        </row>
        <row r="652">
          <cell r="BD652" t="str">
            <v>.</v>
          </cell>
        </row>
        <row r="653">
          <cell r="BD653" t="str">
            <v>.</v>
          </cell>
        </row>
        <row r="654">
          <cell r="BD654" t="str">
            <v>.</v>
          </cell>
        </row>
        <row r="655">
          <cell r="BD655" t="str">
            <v>.</v>
          </cell>
        </row>
        <row r="656">
          <cell r="BD656" t="str">
            <v>.</v>
          </cell>
        </row>
        <row r="657">
          <cell r="BD657" t="str">
            <v>.</v>
          </cell>
        </row>
        <row r="658">
          <cell r="BD658" t="str">
            <v>.</v>
          </cell>
        </row>
        <row r="659">
          <cell r="BD659" t="str">
            <v>.</v>
          </cell>
        </row>
        <row r="660">
          <cell r="BD660" t="str">
            <v>.</v>
          </cell>
        </row>
        <row r="661">
          <cell r="BD661" t="str">
            <v>.</v>
          </cell>
        </row>
        <row r="662">
          <cell r="BD662" t="str">
            <v>.</v>
          </cell>
        </row>
        <row r="663">
          <cell r="BD663" t="str">
            <v>.</v>
          </cell>
        </row>
        <row r="664">
          <cell r="BD664" t="str">
            <v>.</v>
          </cell>
        </row>
        <row r="665">
          <cell r="BD665" t="str">
            <v>.</v>
          </cell>
        </row>
        <row r="666">
          <cell r="BD666" t="str">
            <v>.</v>
          </cell>
        </row>
        <row r="667">
          <cell r="BD667" t="str">
            <v>.</v>
          </cell>
        </row>
        <row r="668">
          <cell r="BD668" t="str">
            <v>.</v>
          </cell>
        </row>
        <row r="669">
          <cell r="BD669" t="str">
            <v>.</v>
          </cell>
        </row>
        <row r="670">
          <cell r="BD670" t="str">
            <v>.</v>
          </cell>
        </row>
        <row r="671">
          <cell r="BD671" t="str">
            <v>.</v>
          </cell>
        </row>
        <row r="672">
          <cell r="BD672" t="str">
            <v>.</v>
          </cell>
        </row>
        <row r="673">
          <cell r="BD673" t="str">
            <v>.</v>
          </cell>
        </row>
        <row r="674">
          <cell r="BD674" t="str">
            <v>.</v>
          </cell>
        </row>
        <row r="675">
          <cell r="BD675" t="str">
            <v>.</v>
          </cell>
        </row>
        <row r="676">
          <cell r="BD676" t="str">
            <v>.</v>
          </cell>
        </row>
        <row r="677">
          <cell r="BD677" t="str">
            <v>.</v>
          </cell>
        </row>
        <row r="678">
          <cell r="BD678" t="str">
            <v>.</v>
          </cell>
        </row>
        <row r="679">
          <cell r="BD679" t="str">
            <v>.</v>
          </cell>
        </row>
        <row r="680">
          <cell r="BD680" t="str">
            <v>.</v>
          </cell>
        </row>
        <row r="681">
          <cell r="BD681" t="str">
            <v>.</v>
          </cell>
        </row>
        <row r="682">
          <cell r="BD682" t="str">
            <v>.</v>
          </cell>
        </row>
        <row r="683">
          <cell r="BD683" t="str">
            <v>.</v>
          </cell>
        </row>
        <row r="684">
          <cell r="BD684" t="str">
            <v>.</v>
          </cell>
        </row>
        <row r="685">
          <cell r="BD685" t="str">
            <v>.</v>
          </cell>
        </row>
        <row r="686">
          <cell r="BD686" t="str">
            <v>.</v>
          </cell>
        </row>
        <row r="687">
          <cell r="BD687" t="str">
            <v>.</v>
          </cell>
        </row>
        <row r="688">
          <cell r="BD688" t="str">
            <v>.</v>
          </cell>
        </row>
        <row r="689">
          <cell r="BD689" t="str">
            <v>.</v>
          </cell>
        </row>
        <row r="690">
          <cell r="BD690" t="str">
            <v>.</v>
          </cell>
        </row>
        <row r="691">
          <cell r="BD691" t="str">
            <v>.</v>
          </cell>
        </row>
        <row r="692">
          <cell r="BD692" t="str">
            <v>.</v>
          </cell>
        </row>
        <row r="693">
          <cell r="BD693" t="str">
            <v>.</v>
          </cell>
        </row>
        <row r="694">
          <cell r="BD694" t="str">
            <v>.</v>
          </cell>
        </row>
        <row r="695">
          <cell r="BD695" t="str">
            <v>.</v>
          </cell>
        </row>
        <row r="696">
          <cell r="BD696" t="str">
            <v>.</v>
          </cell>
        </row>
        <row r="697">
          <cell r="BD697" t="str">
            <v>.</v>
          </cell>
        </row>
        <row r="698">
          <cell r="BD698" t="str">
            <v>.</v>
          </cell>
        </row>
        <row r="699">
          <cell r="BD699" t="str">
            <v>.</v>
          </cell>
        </row>
        <row r="700">
          <cell r="BD700" t="str">
            <v>.</v>
          </cell>
        </row>
        <row r="701">
          <cell r="BD701" t="str">
            <v>.</v>
          </cell>
        </row>
        <row r="702">
          <cell r="BD702" t="str">
            <v>.</v>
          </cell>
        </row>
        <row r="703">
          <cell r="BD703" t="str">
            <v>.</v>
          </cell>
        </row>
        <row r="704">
          <cell r="BD704" t="str">
            <v>.</v>
          </cell>
        </row>
        <row r="705">
          <cell r="BD705" t="str">
            <v>.</v>
          </cell>
        </row>
        <row r="706">
          <cell r="BD706" t="str">
            <v>.</v>
          </cell>
        </row>
        <row r="707">
          <cell r="BD707" t="str">
            <v>.</v>
          </cell>
        </row>
        <row r="708">
          <cell r="BD708" t="str">
            <v>.</v>
          </cell>
        </row>
        <row r="709">
          <cell r="BD709" t="str">
            <v>.</v>
          </cell>
        </row>
        <row r="710">
          <cell r="BD710" t="str">
            <v>.</v>
          </cell>
        </row>
        <row r="711">
          <cell r="BD711" t="str">
            <v>.</v>
          </cell>
        </row>
        <row r="712">
          <cell r="BD712" t="str">
            <v>.</v>
          </cell>
        </row>
        <row r="713">
          <cell r="BD713" t="str">
            <v>.</v>
          </cell>
        </row>
        <row r="714">
          <cell r="BD714" t="str">
            <v>.</v>
          </cell>
        </row>
        <row r="715">
          <cell r="BD715" t="str">
            <v>.</v>
          </cell>
        </row>
        <row r="716">
          <cell r="BD716" t="str">
            <v>.</v>
          </cell>
        </row>
        <row r="717">
          <cell r="BD717" t="str">
            <v>.</v>
          </cell>
        </row>
        <row r="718">
          <cell r="BD718" t="str">
            <v>.</v>
          </cell>
        </row>
        <row r="719">
          <cell r="BD719" t="str">
            <v>.</v>
          </cell>
        </row>
        <row r="720">
          <cell r="BD720" t="str">
            <v>.</v>
          </cell>
        </row>
        <row r="721">
          <cell r="BD721" t="str">
            <v>.</v>
          </cell>
        </row>
        <row r="722">
          <cell r="BD722" t="str">
            <v>.</v>
          </cell>
        </row>
        <row r="723">
          <cell r="BD723" t="str">
            <v>.</v>
          </cell>
        </row>
        <row r="724">
          <cell r="BD724" t="str">
            <v>.</v>
          </cell>
        </row>
        <row r="725">
          <cell r="BD725" t="str">
            <v>.</v>
          </cell>
        </row>
        <row r="726">
          <cell r="BD726" t="str">
            <v>.</v>
          </cell>
        </row>
        <row r="727">
          <cell r="BD727" t="str">
            <v>.</v>
          </cell>
        </row>
        <row r="728">
          <cell r="BD728" t="str">
            <v>.</v>
          </cell>
        </row>
        <row r="729">
          <cell r="BD729" t="str">
            <v>.</v>
          </cell>
        </row>
        <row r="730">
          <cell r="BD730" t="str">
            <v>.</v>
          </cell>
        </row>
        <row r="731">
          <cell r="BD731" t="str">
            <v>.</v>
          </cell>
        </row>
        <row r="732">
          <cell r="BD732" t="str">
            <v>.</v>
          </cell>
        </row>
        <row r="733">
          <cell r="BD733" t="str">
            <v>.</v>
          </cell>
        </row>
        <row r="734">
          <cell r="BD734" t="str">
            <v>.</v>
          </cell>
        </row>
        <row r="735">
          <cell r="BD735" t="str">
            <v>.</v>
          </cell>
        </row>
        <row r="736">
          <cell r="BD736" t="str">
            <v>.</v>
          </cell>
        </row>
        <row r="737">
          <cell r="BD737" t="str">
            <v>.</v>
          </cell>
        </row>
        <row r="738">
          <cell r="BD738" t="str">
            <v>.</v>
          </cell>
        </row>
        <row r="739">
          <cell r="BD739" t="str">
            <v>.</v>
          </cell>
        </row>
        <row r="740">
          <cell r="BD740" t="str">
            <v>.</v>
          </cell>
        </row>
        <row r="741">
          <cell r="BD741" t="str">
            <v>.</v>
          </cell>
        </row>
        <row r="742">
          <cell r="BD742" t="str">
            <v>.</v>
          </cell>
        </row>
        <row r="743">
          <cell r="BD743" t="str">
            <v>.</v>
          </cell>
        </row>
        <row r="744">
          <cell r="BD744" t="str">
            <v>.</v>
          </cell>
        </row>
        <row r="745">
          <cell r="BD745" t="str">
            <v>.</v>
          </cell>
        </row>
        <row r="746">
          <cell r="BD746" t="str">
            <v>.</v>
          </cell>
        </row>
        <row r="747">
          <cell r="BD747" t="str">
            <v>.</v>
          </cell>
        </row>
        <row r="748">
          <cell r="BD748" t="str">
            <v>.</v>
          </cell>
        </row>
        <row r="749">
          <cell r="BD749" t="str">
            <v>.</v>
          </cell>
        </row>
        <row r="750">
          <cell r="BD750" t="str">
            <v>.</v>
          </cell>
        </row>
        <row r="751">
          <cell r="BD751" t="str">
            <v>.</v>
          </cell>
        </row>
        <row r="752">
          <cell r="BD752" t="str">
            <v>.</v>
          </cell>
        </row>
        <row r="753">
          <cell r="BD753" t="str">
            <v>.</v>
          </cell>
        </row>
        <row r="754">
          <cell r="BD754" t="str">
            <v>.</v>
          </cell>
        </row>
        <row r="755">
          <cell r="BD755" t="str">
            <v>.</v>
          </cell>
        </row>
        <row r="756">
          <cell r="BD756" t="str">
            <v>.</v>
          </cell>
        </row>
        <row r="757">
          <cell r="BD757" t="str">
            <v>.</v>
          </cell>
        </row>
        <row r="758">
          <cell r="BD758" t="str">
            <v>.</v>
          </cell>
        </row>
        <row r="759">
          <cell r="BD759" t="str">
            <v>.</v>
          </cell>
        </row>
        <row r="760">
          <cell r="BD760" t="str">
            <v>.</v>
          </cell>
        </row>
        <row r="761">
          <cell r="BD761" t="str">
            <v>.</v>
          </cell>
        </row>
        <row r="762">
          <cell r="BD762" t="str">
            <v>.</v>
          </cell>
        </row>
        <row r="763">
          <cell r="BD763" t="str">
            <v>.</v>
          </cell>
        </row>
        <row r="764">
          <cell r="BD764" t="str">
            <v>.</v>
          </cell>
        </row>
        <row r="765">
          <cell r="BD765" t="str">
            <v>.</v>
          </cell>
        </row>
        <row r="766">
          <cell r="BD766" t="str">
            <v>.</v>
          </cell>
        </row>
        <row r="767">
          <cell r="BD767" t="str">
            <v>.</v>
          </cell>
        </row>
        <row r="768">
          <cell r="BD768" t="str">
            <v>.</v>
          </cell>
        </row>
        <row r="769">
          <cell r="BD769" t="str">
            <v>.</v>
          </cell>
        </row>
        <row r="770">
          <cell r="BD770" t="str">
            <v>.</v>
          </cell>
        </row>
        <row r="771">
          <cell r="BD771" t="str">
            <v>.</v>
          </cell>
        </row>
        <row r="772">
          <cell r="BD772" t="str">
            <v>.</v>
          </cell>
        </row>
        <row r="773">
          <cell r="BD773" t="str">
            <v>.</v>
          </cell>
        </row>
        <row r="774">
          <cell r="BD774" t="str">
            <v>.</v>
          </cell>
        </row>
        <row r="775">
          <cell r="BD775" t="str">
            <v>.</v>
          </cell>
        </row>
        <row r="776">
          <cell r="BD776" t="str">
            <v>.</v>
          </cell>
        </row>
        <row r="777">
          <cell r="BD777" t="str">
            <v>.</v>
          </cell>
        </row>
        <row r="778">
          <cell r="BD778" t="str">
            <v>.</v>
          </cell>
        </row>
        <row r="779">
          <cell r="BD779" t="str">
            <v>.</v>
          </cell>
        </row>
        <row r="780">
          <cell r="BD780" t="str">
            <v>.</v>
          </cell>
        </row>
        <row r="781">
          <cell r="BD781" t="str">
            <v>.</v>
          </cell>
        </row>
        <row r="782">
          <cell r="BD782" t="str">
            <v>.</v>
          </cell>
        </row>
        <row r="783">
          <cell r="BD783" t="str">
            <v>.</v>
          </cell>
        </row>
        <row r="784">
          <cell r="BD784" t="str">
            <v>.</v>
          </cell>
        </row>
        <row r="785">
          <cell r="BD785" t="str">
            <v>.</v>
          </cell>
        </row>
        <row r="786">
          <cell r="BD786" t="str">
            <v>.</v>
          </cell>
        </row>
        <row r="787">
          <cell r="BD787" t="str">
            <v>.</v>
          </cell>
        </row>
        <row r="788">
          <cell r="BD788" t="str">
            <v>.</v>
          </cell>
        </row>
        <row r="789">
          <cell r="BD789" t="str">
            <v>.</v>
          </cell>
        </row>
        <row r="790">
          <cell r="BD790" t="str">
            <v>.</v>
          </cell>
        </row>
        <row r="791">
          <cell r="BD791" t="str">
            <v>.</v>
          </cell>
        </row>
        <row r="792">
          <cell r="BD792" t="str">
            <v>.</v>
          </cell>
        </row>
        <row r="793">
          <cell r="BD793" t="str">
            <v>.</v>
          </cell>
        </row>
        <row r="794">
          <cell r="BD794" t="str">
            <v>.</v>
          </cell>
        </row>
        <row r="795">
          <cell r="BD795" t="str">
            <v>.</v>
          </cell>
        </row>
        <row r="796">
          <cell r="BD796" t="str">
            <v>.</v>
          </cell>
        </row>
        <row r="797">
          <cell r="BD797" t="str">
            <v>.</v>
          </cell>
        </row>
        <row r="798">
          <cell r="BD798" t="str">
            <v>.</v>
          </cell>
        </row>
        <row r="799">
          <cell r="BD799" t="str">
            <v>.</v>
          </cell>
        </row>
        <row r="800">
          <cell r="BD800" t="str">
            <v>.</v>
          </cell>
        </row>
        <row r="801">
          <cell r="BD801" t="str">
            <v>.</v>
          </cell>
        </row>
        <row r="802">
          <cell r="BD802" t="str">
            <v>.</v>
          </cell>
        </row>
        <row r="803">
          <cell r="BD803" t="str">
            <v>.</v>
          </cell>
        </row>
        <row r="804">
          <cell r="BD804" t="str">
            <v>.</v>
          </cell>
        </row>
        <row r="805">
          <cell r="BD805" t="str">
            <v>.</v>
          </cell>
        </row>
        <row r="806">
          <cell r="BD806" t="str">
            <v>.</v>
          </cell>
        </row>
        <row r="807">
          <cell r="BD807" t="str">
            <v>.</v>
          </cell>
        </row>
        <row r="808">
          <cell r="BD808" t="str">
            <v>.</v>
          </cell>
        </row>
        <row r="809">
          <cell r="BD809" t="str">
            <v>.</v>
          </cell>
        </row>
        <row r="810">
          <cell r="BD810" t="str">
            <v>.</v>
          </cell>
        </row>
        <row r="811">
          <cell r="BD811" t="str">
            <v>.</v>
          </cell>
        </row>
        <row r="812">
          <cell r="BD812" t="str">
            <v>.</v>
          </cell>
        </row>
        <row r="813">
          <cell r="BD813" t="str">
            <v>.</v>
          </cell>
        </row>
        <row r="814">
          <cell r="BD814" t="str">
            <v>.</v>
          </cell>
        </row>
        <row r="815">
          <cell r="BD815" t="str">
            <v>.</v>
          </cell>
        </row>
        <row r="816">
          <cell r="BD816" t="str">
            <v>.</v>
          </cell>
        </row>
        <row r="817">
          <cell r="BD817" t="str">
            <v>.</v>
          </cell>
        </row>
        <row r="818">
          <cell r="BD818" t="str">
            <v>.</v>
          </cell>
        </row>
        <row r="819">
          <cell r="BD819" t="str">
            <v>.</v>
          </cell>
        </row>
        <row r="820">
          <cell r="BD820" t="str">
            <v>.</v>
          </cell>
        </row>
        <row r="821">
          <cell r="BD821" t="str">
            <v>.</v>
          </cell>
        </row>
        <row r="822">
          <cell r="BD822" t="str">
            <v>.</v>
          </cell>
        </row>
        <row r="823">
          <cell r="BD823" t="str">
            <v>.</v>
          </cell>
        </row>
        <row r="824">
          <cell r="BD824" t="str">
            <v>.</v>
          </cell>
        </row>
        <row r="825">
          <cell r="BD825" t="str">
            <v>.</v>
          </cell>
        </row>
        <row r="826">
          <cell r="BD826" t="str">
            <v>.</v>
          </cell>
        </row>
        <row r="827">
          <cell r="BD827" t="str">
            <v>.</v>
          </cell>
        </row>
        <row r="828">
          <cell r="BD828" t="str">
            <v>.</v>
          </cell>
        </row>
        <row r="829">
          <cell r="BD829" t="str">
            <v>.</v>
          </cell>
        </row>
        <row r="830">
          <cell r="BD830" t="str">
            <v>.</v>
          </cell>
        </row>
        <row r="831">
          <cell r="BD831" t="str">
            <v>.</v>
          </cell>
        </row>
        <row r="832">
          <cell r="BD832" t="str">
            <v>.</v>
          </cell>
        </row>
        <row r="833">
          <cell r="BD833" t="str">
            <v>.</v>
          </cell>
        </row>
        <row r="834">
          <cell r="BD834" t="str">
            <v>.</v>
          </cell>
        </row>
        <row r="835">
          <cell r="BD835" t="str">
            <v>.</v>
          </cell>
        </row>
        <row r="836">
          <cell r="BD836" t="str">
            <v>.</v>
          </cell>
        </row>
        <row r="837">
          <cell r="BD837" t="str">
            <v>.</v>
          </cell>
        </row>
        <row r="838">
          <cell r="BD838" t="str">
            <v>.</v>
          </cell>
        </row>
        <row r="839">
          <cell r="BD839" t="str">
            <v>.</v>
          </cell>
        </row>
        <row r="840">
          <cell r="BD840" t="str">
            <v>.</v>
          </cell>
        </row>
        <row r="841">
          <cell r="BD841" t="str">
            <v>.</v>
          </cell>
        </row>
        <row r="842">
          <cell r="BD842" t="str">
            <v>.</v>
          </cell>
        </row>
        <row r="843">
          <cell r="BD843" t="str">
            <v>.</v>
          </cell>
        </row>
        <row r="844">
          <cell r="BD844" t="str">
            <v>.</v>
          </cell>
        </row>
        <row r="845">
          <cell r="BD845" t="str">
            <v>.</v>
          </cell>
        </row>
        <row r="846">
          <cell r="BD846" t="str">
            <v>.</v>
          </cell>
        </row>
        <row r="847">
          <cell r="BD847" t="str">
            <v>.</v>
          </cell>
        </row>
        <row r="848">
          <cell r="BD848" t="str">
            <v>.</v>
          </cell>
        </row>
        <row r="849">
          <cell r="BD849" t="str">
            <v>.</v>
          </cell>
        </row>
        <row r="850">
          <cell r="BD850" t="str">
            <v>.</v>
          </cell>
        </row>
        <row r="851">
          <cell r="BD851" t="str">
            <v>.</v>
          </cell>
        </row>
        <row r="852">
          <cell r="BD852" t="str">
            <v>.</v>
          </cell>
        </row>
        <row r="853">
          <cell r="BD853" t="str">
            <v>.</v>
          </cell>
        </row>
        <row r="854">
          <cell r="BD854" t="str">
            <v>.</v>
          </cell>
        </row>
        <row r="855">
          <cell r="BD855" t="str">
            <v>.</v>
          </cell>
        </row>
        <row r="856">
          <cell r="BD856" t="str">
            <v>.</v>
          </cell>
        </row>
        <row r="857">
          <cell r="BD857" t="str">
            <v>.</v>
          </cell>
        </row>
        <row r="858">
          <cell r="BD858" t="str">
            <v>.</v>
          </cell>
        </row>
        <row r="859">
          <cell r="BD859" t="str">
            <v>.</v>
          </cell>
        </row>
        <row r="860">
          <cell r="BD860" t="str">
            <v>.</v>
          </cell>
        </row>
        <row r="861">
          <cell r="BD861" t="str">
            <v>.</v>
          </cell>
        </row>
        <row r="862">
          <cell r="BD862" t="str">
            <v>.</v>
          </cell>
        </row>
        <row r="863">
          <cell r="BD863" t="str">
            <v>.</v>
          </cell>
        </row>
        <row r="864">
          <cell r="BD864" t="str">
            <v>.</v>
          </cell>
        </row>
        <row r="865">
          <cell r="BD865" t="str">
            <v>.</v>
          </cell>
        </row>
        <row r="866">
          <cell r="BD866" t="str">
            <v>.</v>
          </cell>
        </row>
        <row r="867">
          <cell r="BD867" t="str">
            <v>.</v>
          </cell>
        </row>
        <row r="868">
          <cell r="BD868" t="str">
            <v>.</v>
          </cell>
        </row>
        <row r="869">
          <cell r="BD869" t="str">
            <v>.</v>
          </cell>
        </row>
        <row r="870">
          <cell r="BD870" t="str">
            <v>.</v>
          </cell>
        </row>
        <row r="871">
          <cell r="BD871" t="str">
            <v>.</v>
          </cell>
        </row>
        <row r="872">
          <cell r="BD872" t="str">
            <v>.</v>
          </cell>
        </row>
        <row r="873">
          <cell r="BD873" t="str">
            <v>.</v>
          </cell>
        </row>
        <row r="874">
          <cell r="BD874" t="str">
            <v>.</v>
          </cell>
        </row>
        <row r="875">
          <cell r="BD875" t="str">
            <v>.</v>
          </cell>
        </row>
        <row r="876">
          <cell r="BD876" t="str">
            <v>.</v>
          </cell>
        </row>
        <row r="877">
          <cell r="BD877" t="str">
            <v>.</v>
          </cell>
        </row>
        <row r="878">
          <cell r="BD878" t="str">
            <v>.</v>
          </cell>
        </row>
        <row r="879">
          <cell r="BD879" t="str">
            <v>.</v>
          </cell>
        </row>
        <row r="880">
          <cell r="BD880" t="str">
            <v>.</v>
          </cell>
        </row>
        <row r="881">
          <cell r="BD881" t="str">
            <v>.</v>
          </cell>
        </row>
        <row r="882">
          <cell r="BD882" t="str">
            <v>.</v>
          </cell>
        </row>
        <row r="883">
          <cell r="BD883" t="str">
            <v>.</v>
          </cell>
        </row>
        <row r="884">
          <cell r="BD884" t="str">
            <v>.</v>
          </cell>
        </row>
        <row r="885">
          <cell r="BD885" t="str">
            <v>.</v>
          </cell>
        </row>
        <row r="886">
          <cell r="BD886" t="str">
            <v>.</v>
          </cell>
        </row>
        <row r="887">
          <cell r="BD887" t="str">
            <v>.</v>
          </cell>
        </row>
        <row r="888">
          <cell r="BD888" t="str">
            <v>.</v>
          </cell>
        </row>
        <row r="889">
          <cell r="BD889" t="str">
            <v>.</v>
          </cell>
        </row>
        <row r="890">
          <cell r="BD890" t="str">
            <v>.</v>
          </cell>
        </row>
        <row r="891">
          <cell r="BD891" t="str">
            <v>.</v>
          </cell>
        </row>
        <row r="892">
          <cell r="BD892" t="str">
            <v>.</v>
          </cell>
        </row>
        <row r="893">
          <cell r="BD893" t="str">
            <v>.</v>
          </cell>
        </row>
        <row r="894">
          <cell r="BD894" t="str">
            <v>.</v>
          </cell>
        </row>
        <row r="895">
          <cell r="BD895" t="str">
            <v>.</v>
          </cell>
        </row>
        <row r="896">
          <cell r="BD896" t="str">
            <v>.</v>
          </cell>
        </row>
        <row r="897">
          <cell r="BD897" t="str">
            <v>.</v>
          </cell>
        </row>
        <row r="898">
          <cell r="BD898" t="str">
            <v>.</v>
          </cell>
        </row>
        <row r="899">
          <cell r="BD899" t="str">
            <v>.</v>
          </cell>
        </row>
        <row r="900">
          <cell r="BD900" t="str">
            <v>.</v>
          </cell>
        </row>
        <row r="901">
          <cell r="BD901" t="str">
            <v>.</v>
          </cell>
        </row>
        <row r="902">
          <cell r="BD902" t="str">
            <v>.</v>
          </cell>
        </row>
        <row r="903">
          <cell r="BD903" t="str">
            <v>.</v>
          </cell>
        </row>
        <row r="904">
          <cell r="BD904" t="str">
            <v>.</v>
          </cell>
        </row>
        <row r="905">
          <cell r="BD905" t="str">
            <v>.</v>
          </cell>
        </row>
        <row r="906">
          <cell r="BD906" t="str">
            <v>.</v>
          </cell>
        </row>
        <row r="907">
          <cell r="BD907" t="str">
            <v>.</v>
          </cell>
        </row>
        <row r="908">
          <cell r="BD908" t="str">
            <v>.</v>
          </cell>
        </row>
        <row r="909">
          <cell r="BD909" t="str">
            <v>.</v>
          </cell>
        </row>
        <row r="910">
          <cell r="BD910" t="str">
            <v>.</v>
          </cell>
        </row>
        <row r="911">
          <cell r="BD911" t="str">
            <v>.</v>
          </cell>
        </row>
        <row r="912">
          <cell r="BD912" t="str">
            <v>.</v>
          </cell>
        </row>
        <row r="913">
          <cell r="BD913" t="str">
            <v>.</v>
          </cell>
        </row>
        <row r="914">
          <cell r="BD914" t="str">
            <v>.</v>
          </cell>
        </row>
        <row r="915">
          <cell r="BD915" t="str">
            <v>.</v>
          </cell>
        </row>
        <row r="916">
          <cell r="BD916" t="str">
            <v>.</v>
          </cell>
        </row>
        <row r="917">
          <cell r="BD917" t="str">
            <v>.</v>
          </cell>
        </row>
        <row r="918">
          <cell r="BD918" t="str">
            <v>.</v>
          </cell>
        </row>
        <row r="919">
          <cell r="BD919" t="str">
            <v>.</v>
          </cell>
        </row>
        <row r="920">
          <cell r="BD920" t="str">
            <v>.</v>
          </cell>
        </row>
        <row r="921">
          <cell r="BD921" t="str">
            <v>.</v>
          </cell>
        </row>
        <row r="922">
          <cell r="BD922" t="str">
            <v>.</v>
          </cell>
        </row>
        <row r="923">
          <cell r="BD923" t="str">
            <v>.</v>
          </cell>
        </row>
        <row r="924">
          <cell r="BD924" t="str">
            <v>.</v>
          </cell>
        </row>
        <row r="925">
          <cell r="BD925" t="str">
            <v>.</v>
          </cell>
        </row>
        <row r="926">
          <cell r="BD926" t="str">
            <v>.</v>
          </cell>
        </row>
        <row r="927">
          <cell r="BD927" t="str">
            <v>.</v>
          </cell>
        </row>
        <row r="928">
          <cell r="BD928" t="str">
            <v>.</v>
          </cell>
        </row>
        <row r="929">
          <cell r="BD929" t="str">
            <v>.</v>
          </cell>
        </row>
        <row r="930">
          <cell r="BD930" t="str">
            <v>.</v>
          </cell>
        </row>
        <row r="931">
          <cell r="BD931" t="str">
            <v>.</v>
          </cell>
        </row>
        <row r="932">
          <cell r="BD932" t="str">
            <v>.</v>
          </cell>
        </row>
        <row r="933">
          <cell r="BD933" t="str">
            <v>.</v>
          </cell>
        </row>
        <row r="934">
          <cell r="BD934" t="str">
            <v>.</v>
          </cell>
        </row>
        <row r="935">
          <cell r="BD935" t="str">
            <v>.</v>
          </cell>
        </row>
        <row r="936">
          <cell r="BD936" t="str">
            <v>.</v>
          </cell>
        </row>
        <row r="937">
          <cell r="BD937" t="str">
            <v>.</v>
          </cell>
        </row>
        <row r="938">
          <cell r="BD938" t="str">
            <v>.</v>
          </cell>
        </row>
        <row r="939">
          <cell r="BD939" t="str">
            <v>.</v>
          </cell>
        </row>
        <row r="940">
          <cell r="BD940" t="str">
            <v>.</v>
          </cell>
        </row>
        <row r="941">
          <cell r="BD941" t="str">
            <v>.</v>
          </cell>
        </row>
        <row r="942">
          <cell r="BD942" t="str">
            <v>.</v>
          </cell>
        </row>
        <row r="943">
          <cell r="BD943" t="str">
            <v>.</v>
          </cell>
        </row>
        <row r="944">
          <cell r="BD944" t="str">
            <v>.</v>
          </cell>
        </row>
        <row r="945">
          <cell r="BD945" t="str">
            <v>.</v>
          </cell>
        </row>
        <row r="946">
          <cell r="BD946" t="str">
            <v>.</v>
          </cell>
        </row>
        <row r="947">
          <cell r="BD947" t="str">
            <v>.</v>
          </cell>
        </row>
        <row r="948">
          <cell r="BD948" t="str">
            <v>.</v>
          </cell>
        </row>
        <row r="949">
          <cell r="BD949" t="str">
            <v>.</v>
          </cell>
        </row>
        <row r="950">
          <cell r="BD950" t="str">
            <v>.</v>
          </cell>
        </row>
        <row r="951">
          <cell r="BD951" t="str">
            <v>.</v>
          </cell>
        </row>
        <row r="952">
          <cell r="BD952" t="str">
            <v>.</v>
          </cell>
        </row>
        <row r="953">
          <cell r="BD953" t="str">
            <v>.</v>
          </cell>
        </row>
        <row r="954">
          <cell r="BD954" t="str">
            <v>.</v>
          </cell>
        </row>
        <row r="955">
          <cell r="BD955" t="str">
            <v>.</v>
          </cell>
        </row>
        <row r="956">
          <cell r="BD956" t="str">
            <v>.</v>
          </cell>
        </row>
        <row r="957">
          <cell r="BD957" t="str">
            <v>.</v>
          </cell>
        </row>
        <row r="958">
          <cell r="BD958" t="str">
            <v>.</v>
          </cell>
        </row>
        <row r="959">
          <cell r="BD959" t="str">
            <v>.</v>
          </cell>
        </row>
        <row r="960">
          <cell r="BD960" t="str">
            <v>.</v>
          </cell>
        </row>
        <row r="961">
          <cell r="BD961" t="str">
            <v>.</v>
          </cell>
        </row>
        <row r="962">
          <cell r="BD962" t="str">
            <v>.</v>
          </cell>
        </row>
        <row r="963">
          <cell r="BD963" t="str">
            <v>.</v>
          </cell>
        </row>
        <row r="964">
          <cell r="BD964" t="str">
            <v>.</v>
          </cell>
        </row>
        <row r="965">
          <cell r="BD965" t="str">
            <v>.</v>
          </cell>
        </row>
        <row r="966">
          <cell r="BD966" t="str">
            <v>.</v>
          </cell>
        </row>
        <row r="967">
          <cell r="BD967" t="str">
            <v>.</v>
          </cell>
        </row>
        <row r="968">
          <cell r="BD968" t="str">
            <v>.</v>
          </cell>
        </row>
        <row r="969">
          <cell r="BD969" t="str">
            <v>.</v>
          </cell>
        </row>
        <row r="970">
          <cell r="BD970" t="str">
            <v>.</v>
          </cell>
        </row>
        <row r="971">
          <cell r="BD971" t="str">
            <v>.</v>
          </cell>
        </row>
        <row r="972">
          <cell r="BD972" t="str">
            <v>.</v>
          </cell>
        </row>
        <row r="973">
          <cell r="BD973" t="str">
            <v>.</v>
          </cell>
        </row>
        <row r="974">
          <cell r="BD974" t="str">
            <v>.</v>
          </cell>
        </row>
        <row r="975">
          <cell r="BD975" t="str">
            <v>.</v>
          </cell>
        </row>
        <row r="976">
          <cell r="BD976" t="str">
            <v>.</v>
          </cell>
        </row>
        <row r="977">
          <cell r="BD977" t="str">
            <v>.</v>
          </cell>
        </row>
        <row r="978">
          <cell r="BD978" t="str">
            <v>.</v>
          </cell>
        </row>
        <row r="979">
          <cell r="BD979" t="str">
            <v>.</v>
          </cell>
        </row>
        <row r="980">
          <cell r="BD980" t="str">
            <v>.</v>
          </cell>
        </row>
        <row r="981">
          <cell r="BD981" t="str">
            <v>.</v>
          </cell>
        </row>
        <row r="982">
          <cell r="BD982" t="str">
            <v>.</v>
          </cell>
        </row>
        <row r="983">
          <cell r="BD983" t="str">
            <v>.</v>
          </cell>
        </row>
        <row r="984">
          <cell r="BD984" t="str">
            <v>.</v>
          </cell>
        </row>
        <row r="985">
          <cell r="BD985" t="str">
            <v>.</v>
          </cell>
        </row>
        <row r="986">
          <cell r="BD986" t="str">
            <v>.</v>
          </cell>
        </row>
        <row r="987">
          <cell r="BD987" t="str">
            <v>.</v>
          </cell>
        </row>
        <row r="988">
          <cell r="BD988" t="str">
            <v>.</v>
          </cell>
        </row>
        <row r="989">
          <cell r="BD989" t="str">
            <v>.</v>
          </cell>
        </row>
        <row r="990">
          <cell r="BD990" t="str">
            <v>.</v>
          </cell>
        </row>
        <row r="991">
          <cell r="BD991" t="str">
            <v>.</v>
          </cell>
        </row>
        <row r="992">
          <cell r="BD992" t="str">
            <v>.</v>
          </cell>
        </row>
        <row r="993">
          <cell r="BD993" t="str">
            <v>.</v>
          </cell>
        </row>
        <row r="994">
          <cell r="BD994" t="str">
            <v>.</v>
          </cell>
        </row>
        <row r="995">
          <cell r="BD995" t="str">
            <v>.</v>
          </cell>
        </row>
        <row r="996">
          <cell r="BD996" t="str">
            <v>.</v>
          </cell>
        </row>
        <row r="997">
          <cell r="A997" t="str">
            <v>.</v>
          </cell>
          <cell r="B997" t="str">
            <v>.</v>
          </cell>
          <cell r="C997" t="str">
            <v>.</v>
          </cell>
          <cell r="D997" t="str">
            <v>.</v>
          </cell>
          <cell r="E997" t="str">
            <v>.</v>
          </cell>
          <cell r="F997" t="str">
            <v>.</v>
          </cell>
          <cell r="G997" t="str">
            <v>.</v>
          </cell>
          <cell r="H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cell r="BB997" t="str">
            <v>.</v>
          </cell>
          <cell r="BC997" t="str">
            <v>.</v>
          </cell>
          <cell r="BD997" t="str">
            <v>.</v>
          </cell>
        </row>
      </sheetData>
      <sheetData sheetId="25" refreshError="1">
        <row r="1">
          <cell r="U1" t="str">
            <v>SmartCharts</v>
          </cell>
          <cell r="BD1" t="str">
            <v>.</v>
          </cell>
        </row>
        <row r="2">
          <cell r="BD2" t="str">
            <v>.</v>
          </cell>
        </row>
        <row r="3">
          <cell r="BD3" t="str">
            <v>.</v>
          </cell>
        </row>
        <row r="4">
          <cell r="BD4" t="str">
            <v>.</v>
          </cell>
        </row>
        <row r="5">
          <cell r="C5" t="str">
            <v>Define value axis here:</v>
          </cell>
        </row>
        <row r="6">
          <cell r="C6" t="str">
            <v>Eli Lilly YOY revenue change 2010E-2015E</v>
          </cell>
        </row>
        <row r="10">
          <cell r="C10" t="str">
            <v>Input your data here:</v>
          </cell>
          <cell r="BD10" t="str">
            <v>.</v>
          </cell>
        </row>
        <row r="11">
          <cell r="C11" t="str">
            <v>Sales ($M)</v>
          </cell>
          <cell r="D11" t="str">
            <v>2011E</v>
          </cell>
          <cell r="E11" t="str">
            <v>2012E</v>
          </cell>
          <cell r="F11" t="str">
            <v>2013E</v>
          </cell>
          <cell r="G11" t="str">
            <v>2014E</v>
          </cell>
          <cell r="H11" t="str">
            <v>2015E</v>
          </cell>
          <cell r="BC11" t="str">
            <v>.</v>
          </cell>
        </row>
        <row r="12">
          <cell r="C12" t="str">
            <v>In-line products</v>
          </cell>
          <cell r="D12">
            <v>680.47624304999954</v>
          </cell>
          <cell r="E12">
            <v>486.26563373899808</v>
          </cell>
          <cell r="F12">
            <v>392.20336252127527</v>
          </cell>
          <cell r="G12">
            <v>408.45276247114634</v>
          </cell>
          <cell r="H12">
            <v>281.70162648130463</v>
          </cell>
          <cell r="BC12" t="str">
            <v>.</v>
          </cell>
        </row>
        <row r="13">
          <cell r="A13" t="str">
            <v>.</v>
          </cell>
          <cell r="C13" t="str">
            <v>Pipeline products launching 2010–2015</v>
          </cell>
          <cell r="D13">
            <v>190.9375</v>
          </cell>
          <cell r="E13">
            <v>310.83749999999986</v>
          </cell>
          <cell r="F13">
            <v>545.88500000000022</v>
          </cell>
          <cell r="G13">
            <v>871.89729999999986</v>
          </cell>
          <cell r="H13">
            <v>1191.6988575</v>
          </cell>
          <cell r="BC13" t="str">
            <v>.</v>
          </cell>
        </row>
        <row r="14">
          <cell r="C14" t="str">
            <v>Products expiring 2010–2015</v>
          </cell>
          <cell r="D14">
            <v>-371.49615019999874</v>
          </cell>
          <cell r="E14">
            <v>-2226.0126789459991</v>
          </cell>
          <cell r="F14">
            <v>-713.0858879557818</v>
          </cell>
          <cell r="G14">
            <v>-2566.7028729389294</v>
          </cell>
          <cell r="H14">
            <v>-2382.3369144914741</v>
          </cell>
          <cell r="BC14" t="str">
            <v>.</v>
          </cell>
        </row>
        <row r="15">
          <cell r="C15" t="str">
            <v>Net YOY change</v>
          </cell>
          <cell r="D15">
            <v>499.9175928500008</v>
          </cell>
          <cell r="E15">
            <v>-1428.9095452069996</v>
          </cell>
          <cell r="F15">
            <v>225.00247456549187</v>
          </cell>
          <cell r="G15">
            <v>-1286.3528104677825</v>
          </cell>
          <cell r="H15">
            <v>-908.93643051016988</v>
          </cell>
          <cell r="BC15" t="str">
            <v>.</v>
          </cell>
        </row>
        <row r="16">
          <cell r="BC16" t="str">
            <v>.</v>
          </cell>
        </row>
        <row r="17">
          <cell r="BD17" t="str">
            <v>.</v>
          </cell>
        </row>
        <row r="18">
          <cell r="BD18" t="str">
            <v>.</v>
          </cell>
        </row>
        <row r="20">
          <cell r="BD20" t="str">
            <v>.</v>
          </cell>
        </row>
        <row r="21">
          <cell r="BD21" t="str">
            <v>.</v>
          </cell>
        </row>
        <row r="22">
          <cell r="BD22" t="str">
            <v>.</v>
          </cell>
        </row>
        <row r="23">
          <cell r="BD23" t="str">
            <v>.</v>
          </cell>
        </row>
        <row r="24">
          <cell r="BD24" t="str">
            <v>.</v>
          </cell>
        </row>
        <row r="25">
          <cell r="BD25" t="str">
            <v>.</v>
          </cell>
        </row>
        <row r="26">
          <cell r="BD26" t="str">
            <v>.</v>
          </cell>
        </row>
        <row r="27">
          <cell r="BD27" t="str">
            <v>.</v>
          </cell>
        </row>
        <row r="28">
          <cell r="BD28" t="str">
            <v>.</v>
          </cell>
        </row>
        <row r="29">
          <cell r="BD29" t="str">
            <v>.</v>
          </cell>
        </row>
        <row r="30">
          <cell r="BD30" t="str">
            <v>.</v>
          </cell>
        </row>
        <row r="31">
          <cell r="BD31" t="str">
            <v>.</v>
          </cell>
        </row>
        <row r="32">
          <cell r="BD32" t="str">
            <v>.</v>
          </cell>
        </row>
        <row r="33">
          <cell r="BD33" t="str">
            <v>.</v>
          </cell>
        </row>
        <row r="34">
          <cell r="BD34" t="str">
            <v>.</v>
          </cell>
        </row>
        <row r="35">
          <cell r="BD35" t="str">
            <v>.</v>
          </cell>
        </row>
        <row r="36">
          <cell r="BD36" t="str">
            <v>.</v>
          </cell>
        </row>
        <row r="37">
          <cell r="M37" t="str">
            <v>Do not change the width of the exhibit or font sizes (they are optimized for export to Word).</v>
          </cell>
          <cell r="BD37" t="str">
            <v>.</v>
          </cell>
        </row>
        <row r="38">
          <cell r="BD38" t="str">
            <v>.</v>
          </cell>
        </row>
        <row r="39">
          <cell r="M39" t="str">
            <v>Do not delete any rows or columns (some gray cells are used for calculations).</v>
          </cell>
          <cell r="BD39" t="str">
            <v>.</v>
          </cell>
        </row>
        <row r="40">
          <cell r="BD40" t="str">
            <v>.</v>
          </cell>
        </row>
        <row r="41">
          <cell r="BD41" t="str">
            <v>.</v>
          </cell>
        </row>
        <row r="42">
          <cell r="BD42" t="str">
            <v>.</v>
          </cell>
        </row>
        <row r="43">
          <cell r="BD43" t="str">
            <v>.</v>
          </cell>
        </row>
        <row r="44">
          <cell r="BD44" t="str">
            <v>.</v>
          </cell>
        </row>
        <row r="45">
          <cell r="BD45" t="str">
            <v>.</v>
          </cell>
        </row>
        <row r="46">
          <cell r="BD46" t="str">
            <v>.</v>
          </cell>
        </row>
        <row r="47">
          <cell r="BD47" t="str">
            <v>.</v>
          </cell>
        </row>
        <row r="48">
          <cell r="BD48" t="str">
            <v>.</v>
          </cell>
        </row>
        <row r="49">
          <cell r="BD49" t="str">
            <v>.</v>
          </cell>
        </row>
        <row r="50">
          <cell r="BD50" t="str">
            <v>.</v>
          </cell>
        </row>
        <row r="51">
          <cell r="BD51" t="str">
            <v>.</v>
          </cell>
        </row>
        <row r="52">
          <cell r="BD52" t="str">
            <v>.</v>
          </cell>
        </row>
        <row r="53">
          <cell r="BD53" t="str">
            <v>.</v>
          </cell>
        </row>
        <row r="54">
          <cell r="BD54" t="str">
            <v>.</v>
          </cell>
        </row>
        <row r="55">
          <cell r="BD55" t="str">
            <v>.</v>
          </cell>
        </row>
        <row r="56">
          <cell r="BD56" t="str">
            <v>.</v>
          </cell>
        </row>
        <row r="57">
          <cell r="BD57" t="str">
            <v>.</v>
          </cell>
        </row>
        <row r="58">
          <cell r="BD58" t="str">
            <v>.</v>
          </cell>
        </row>
        <row r="59">
          <cell r="BD59" t="str">
            <v>.</v>
          </cell>
        </row>
        <row r="60">
          <cell r="BD60" t="str">
            <v>.</v>
          </cell>
        </row>
        <row r="61">
          <cell r="BD61" t="str">
            <v>.</v>
          </cell>
        </row>
        <row r="62">
          <cell r="BD62" t="str">
            <v>.</v>
          </cell>
        </row>
        <row r="63">
          <cell r="BD63" t="str">
            <v>.</v>
          </cell>
        </row>
        <row r="64">
          <cell r="BD64" t="str">
            <v>.</v>
          </cell>
        </row>
        <row r="65">
          <cell r="BD65" t="str">
            <v>.</v>
          </cell>
        </row>
        <row r="66">
          <cell r="BD66" t="str">
            <v>.</v>
          </cell>
        </row>
        <row r="67">
          <cell r="BD67" t="str">
            <v>.</v>
          </cell>
        </row>
        <row r="68">
          <cell r="BD68" t="str">
            <v>.</v>
          </cell>
        </row>
        <row r="69">
          <cell r="BD69" t="str">
            <v>.</v>
          </cell>
        </row>
        <row r="70">
          <cell r="BD70" t="str">
            <v>.</v>
          </cell>
        </row>
        <row r="71">
          <cell r="BD71" t="str">
            <v>.</v>
          </cell>
        </row>
        <row r="72">
          <cell r="BD72" t="str">
            <v>.</v>
          </cell>
        </row>
        <row r="73">
          <cell r="BD73" t="str">
            <v>.</v>
          </cell>
        </row>
        <row r="74">
          <cell r="BD74" t="str">
            <v>.</v>
          </cell>
        </row>
        <row r="75">
          <cell r="BD75" t="str">
            <v>.</v>
          </cell>
        </row>
        <row r="76">
          <cell r="BD76" t="str">
            <v>.</v>
          </cell>
        </row>
        <row r="77">
          <cell r="BD77" t="str">
            <v>.</v>
          </cell>
        </row>
        <row r="78">
          <cell r="BD78" t="str">
            <v>.</v>
          </cell>
        </row>
        <row r="79">
          <cell r="BD79" t="str">
            <v>.</v>
          </cell>
        </row>
        <row r="80">
          <cell r="BD80" t="str">
            <v>.</v>
          </cell>
        </row>
        <row r="81">
          <cell r="BD81" t="str">
            <v>.</v>
          </cell>
        </row>
        <row r="82">
          <cell r="BD82" t="str">
            <v>.</v>
          </cell>
        </row>
        <row r="83">
          <cell r="BD83" t="str">
            <v>.</v>
          </cell>
        </row>
        <row r="84">
          <cell r="BD84" t="str">
            <v>.</v>
          </cell>
        </row>
        <row r="85">
          <cell r="BD85" t="str">
            <v>.</v>
          </cell>
        </row>
        <row r="86">
          <cell r="BD86" t="str">
            <v>.</v>
          </cell>
        </row>
        <row r="87">
          <cell r="BD87" t="str">
            <v>.</v>
          </cell>
        </row>
        <row r="88">
          <cell r="BD88" t="str">
            <v>.</v>
          </cell>
        </row>
        <row r="89">
          <cell r="BD89" t="str">
            <v>.</v>
          </cell>
        </row>
        <row r="90">
          <cell r="BD90" t="str">
            <v>.</v>
          </cell>
        </row>
        <row r="91">
          <cell r="BD91" t="str">
            <v>.</v>
          </cell>
        </row>
        <row r="92">
          <cell r="BD92" t="str">
            <v>.</v>
          </cell>
        </row>
        <row r="93">
          <cell r="BD93" t="str">
            <v>.</v>
          </cell>
        </row>
        <row r="94">
          <cell r="BD94" t="str">
            <v>.</v>
          </cell>
        </row>
        <row r="95">
          <cell r="BD95" t="str">
            <v>.</v>
          </cell>
        </row>
        <row r="96">
          <cell r="BD96" t="str">
            <v>.</v>
          </cell>
        </row>
        <row r="97">
          <cell r="BD97" t="str">
            <v>.</v>
          </cell>
        </row>
        <row r="98">
          <cell r="BD98" t="str">
            <v>.</v>
          </cell>
        </row>
        <row r="99">
          <cell r="BD99" t="str">
            <v>.</v>
          </cell>
        </row>
        <row r="100">
          <cell r="BD100" t="str">
            <v>.</v>
          </cell>
        </row>
        <row r="101">
          <cell r="BD101" t="str">
            <v>.</v>
          </cell>
        </row>
        <row r="102">
          <cell r="BD102" t="str">
            <v>.</v>
          </cell>
        </row>
        <row r="103">
          <cell r="BD103" t="str">
            <v>.</v>
          </cell>
        </row>
        <row r="104">
          <cell r="BD104" t="str">
            <v>.</v>
          </cell>
        </row>
        <row r="105">
          <cell r="BD105" t="str">
            <v>.</v>
          </cell>
        </row>
        <row r="106">
          <cell r="BD106" t="str">
            <v>.</v>
          </cell>
        </row>
        <row r="107">
          <cell r="BD107" t="str">
            <v>.</v>
          </cell>
        </row>
        <row r="108">
          <cell r="BD108" t="str">
            <v>.</v>
          </cell>
        </row>
        <row r="109">
          <cell r="BD109" t="str">
            <v>.</v>
          </cell>
        </row>
        <row r="110">
          <cell r="BD110" t="str">
            <v>.</v>
          </cell>
        </row>
        <row r="111">
          <cell r="BD111" t="str">
            <v>.</v>
          </cell>
        </row>
        <row r="112">
          <cell r="BD112" t="str">
            <v>.</v>
          </cell>
        </row>
        <row r="113">
          <cell r="BD113" t="str">
            <v>.</v>
          </cell>
        </row>
        <row r="114">
          <cell r="BD114" t="str">
            <v>.</v>
          </cell>
        </row>
        <row r="115">
          <cell r="BD115" t="str">
            <v>.</v>
          </cell>
        </row>
        <row r="116">
          <cell r="BD116" t="str">
            <v>.</v>
          </cell>
        </row>
        <row r="117">
          <cell r="BD117" t="str">
            <v>.</v>
          </cell>
        </row>
        <row r="118">
          <cell r="BD118" t="str">
            <v>.</v>
          </cell>
        </row>
        <row r="119">
          <cell r="BD119" t="str">
            <v>.</v>
          </cell>
        </row>
        <row r="120">
          <cell r="BD120" t="str">
            <v>.</v>
          </cell>
        </row>
        <row r="121">
          <cell r="BD121" t="str">
            <v>.</v>
          </cell>
        </row>
        <row r="122">
          <cell r="BD122" t="str">
            <v>.</v>
          </cell>
        </row>
        <row r="123">
          <cell r="BD123" t="str">
            <v>.</v>
          </cell>
        </row>
        <row r="124">
          <cell r="BD124" t="str">
            <v>.</v>
          </cell>
        </row>
        <row r="125">
          <cell r="BD125" t="str">
            <v>.</v>
          </cell>
        </row>
        <row r="126">
          <cell r="BD126" t="str">
            <v>.</v>
          </cell>
        </row>
        <row r="127">
          <cell r="BD127" t="str">
            <v>.</v>
          </cell>
        </row>
        <row r="128">
          <cell r="BD128" t="str">
            <v>.</v>
          </cell>
        </row>
        <row r="129">
          <cell r="BD129" t="str">
            <v>.</v>
          </cell>
        </row>
        <row r="130">
          <cell r="BD130" t="str">
            <v>.</v>
          </cell>
        </row>
        <row r="131">
          <cell r="BD131" t="str">
            <v>.</v>
          </cell>
        </row>
        <row r="132">
          <cell r="BD132" t="str">
            <v>.</v>
          </cell>
        </row>
        <row r="133">
          <cell r="BD133" t="str">
            <v>.</v>
          </cell>
        </row>
        <row r="134">
          <cell r="BD134" t="str">
            <v>.</v>
          </cell>
        </row>
        <row r="135">
          <cell r="BD135" t="str">
            <v>.</v>
          </cell>
        </row>
        <row r="136">
          <cell r="BD136" t="str">
            <v>.</v>
          </cell>
        </row>
        <row r="137">
          <cell r="BD137" t="str">
            <v>.</v>
          </cell>
        </row>
        <row r="138">
          <cell r="BD138" t="str">
            <v>.</v>
          </cell>
        </row>
        <row r="139">
          <cell r="BD139" t="str">
            <v>.</v>
          </cell>
        </row>
        <row r="140">
          <cell r="BD140" t="str">
            <v>.</v>
          </cell>
        </row>
        <row r="141">
          <cell r="BD141" t="str">
            <v>.</v>
          </cell>
        </row>
        <row r="142">
          <cell r="BD142" t="str">
            <v>.</v>
          </cell>
        </row>
        <row r="143">
          <cell r="BD143" t="str">
            <v>.</v>
          </cell>
        </row>
        <row r="144">
          <cell r="BD144" t="str">
            <v>.</v>
          </cell>
        </row>
        <row r="145">
          <cell r="BD145" t="str">
            <v>.</v>
          </cell>
        </row>
        <row r="146">
          <cell r="BD146" t="str">
            <v>.</v>
          </cell>
        </row>
        <row r="147">
          <cell r="BD147" t="str">
            <v>.</v>
          </cell>
        </row>
        <row r="148">
          <cell r="BD148" t="str">
            <v>.</v>
          </cell>
        </row>
        <row r="149">
          <cell r="BD149" t="str">
            <v>.</v>
          </cell>
        </row>
        <row r="150">
          <cell r="BD150" t="str">
            <v>.</v>
          </cell>
        </row>
        <row r="151">
          <cell r="BD151" t="str">
            <v>.</v>
          </cell>
        </row>
        <row r="152">
          <cell r="BD152" t="str">
            <v>.</v>
          </cell>
        </row>
        <row r="153">
          <cell r="BD153" t="str">
            <v>.</v>
          </cell>
        </row>
        <row r="154">
          <cell r="BD154" t="str">
            <v>.</v>
          </cell>
        </row>
        <row r="155">
          <cell r="BD155" t="str">
            <v>.</v>
          </cell>
        </row>
        <row r="156">
          <cell r="BD156" t="str">
            <v>.</v>
          </cell>
        </row>
        <row r="157">
          <cell r="BD157" t="str">
            <v>.</v>
          </cell>
        </row>
        <row r="158">
          <cell r="BD158" t="str">
            <v>.</v>
          </cell>
        </row>
        <row r="159">
          <cell r="BD159" t="str">
            <v>.</v>
          </cell>
        </row>
        <row r="160">
          <cell r="BD160" t="str">
            <v>.</v>
          </cell>
        </row>
        <row r="161">
          <cell r="BD161" t="str">
            <v>.</v>
          </cell>
        </row>
        <row r="162">
          <cell r="BD162" t="str">
            <v>.</v>
          </cell>
        </row>
        <row r="163">
          <cell r="BD163" t="str">
            <v>.</v>
          </cell>
        </row>
        <row r="164">
          <cell r="BD164" t="str">
            <v>.</v>
          </cell>
        </row>
        <row r="165">
          <cell r="BD165" t="str">
            <v>.</v>
          </cell>
        </row>
        <row r="166">
          <cell r="BD166" t="str">
            <v>.</v>
          </cell>
        </row>
        <row r="167">
          <cell r="BD167" t="str">
            <v>.</v>
          </cell>
        </row>
        <row r="168">
          <cell r="BD168" t="str">
            <v>.</v>
          </cell>
        </row>
        <row r="169">
          <cell r="BD169" t="str">
            <v>.</v>
          </cell>
        </row>
        <row r="170">
          <cell r="BD170" t="str">
            <v>.</v>
          </cell>
        </row>
        <row r="171">
          <cell r="BD171" t="str">
            <v>.</v>
          </cell>
        </row>
        <row r="172">
          <cell r="BD172" t="str">
            <v>.</v>
          </cell>
        </row>
        <row r="173">
          <cell r="BD173" t="str">
            <v>.</v>
          </cell>
        </row>
        <row r="174">
          <cell r="BD174" t="str">
            <v>.</v>
          </cell>
        </row>
        <row r="175">
          <cell r="BD175" t="str">
            <v>.</v>
          </cell>
        </row>
        <row r="176">
          <cell r="BD176" t="str">
            <v>.</v>
          </cell>
        </row>
        <row r="177">
          <cell r="BD177" t="str">
            <v>.</v>
          </cell>
        </row>
        <row r="178">
          <cell r="BD178" t="str">
            <v>.</v>
          </cell>
        </row>
        <row r="179">
          <cell r="BD179" t="str">
            <v>.</v>
          </cell>
        </row>
        <row r="180">
          <cell r="BD180" t="str">
            <v>.</v>
          </cell>
        </row>
        <row r="181">
          <cell r="BD181" t="str">
            <v>.</v>
          </cell>
        </row>
        <row r="182">
          <cell r="BD182" t="str">
            <v>.</v>
          </cell>
        </row>
        <row r="183">
          <cell r="BD183" t="str">
            <v>.</v>
          </cell>
        </row>
        <row r="184">
          <cell r="BD184" t="str">
            <v>.</v>
          </cell>
        </row>
        <row r="185">
          <cell r="BD185" t="str">
            <v>.</v>
          </cell>
        </row>
        <row r="186">
          <cell r="BD186" t="str">
            <v>.</v>
          </cell>
        </row>
        <row r="187">
          <cell r="BD187" t="str">
            <v>.</v>
          </cell>
        </row>
        <row r="188">
          <cell r="BD188" t="str">
            <v>.</v>
          </cell>
        </row>
        <row r="189">
          <cell r="BD189" t="str">
            <v>.</v>
          </cell>
        </row>
        <row r="190">
          <cell r="BD190" t="str">
            <v>.</v>
          </cell>
        </row>
        <row r="191">
          <cell r="BD191" t="str">
            <v>.</v>
          </cell>
        </row>
        <row r="192">
          <cell r="BD192" t="str">
            <v>.</v>
          </cell>
        </row>
        <row r="193">
          <cell r="BD193" t="str">
            <v>.</v>
          </cell>
        </row>
        <row r="194">
          <cell r="BD194" t="str">
            <v>.</v>
          </cell>
        </row>
        <row r="195">
          <cell r="BD195" t="str">
            <v>.</v>
          </cell>
        </row>
        <row r="196">
          <cell r="BD196" t="str">
            <v>.</v>
          </cell>
        </row>
        <row r="197">
          <cell r="BD197" t="str">
            <v>.</v>
          </cell>
        </row>
        <row r="198">
          <cell r="BD198" t="str">
            <v>.</v>
          </cell>
        </row>
        <row r="199">
          <cell r="BD199" t="str">
            <v>.</v>
          </cell>
        </row>
        <row r="200">
          <cell r="BD200" t="str">
            <v>.</v>
          </cell>
        </row>
        <row r="201">
          <cell r="BD201" t="str">
            <v>.</v>
          </cell>
        </row>
        <row r="202">
          <cell r="BD202" t="str">
            <v>.</v>
          </cell>
        </row>
        <row r="203">
          <cell r="BD203" t="str">
            <v>.</v>
          </cell>
        </row>
        <row r="204">
          <cell r="BD204" t="str">
            <v>.</v>
          </cell>
        </row>
        <row r="205">
          <cell r="BD205" t="str">
            <v>.</v>
          </cell>
        </row>
        <row r="206">
          <cell r="BD206" t="str">
            <v>.</v>
          </cell>
        </row>
        <row r="207">
          <cell r="BD207" t="str">
            <v>.</v>
          </cell>
        </row>
        <row r="208">
          <cell r="BD208" t="str">
            <v>.</v>
          </cell>
        </row>
        <row r="209">
          <cell r="BD209" t="str">
            <v>.</v>
          </cell>
        </row>
        <row r="210">
          <cell r="BD210" t="str">
            <v>.</v>
          </cell>
        </row>
        <row r="211">
          <cell r="BD211" t="str">
            <v>.</v>
          </cell>
        </row>
        <row r="212">
          <cell r="BD212" t="str">
            <v>.</v>
          </cell>
        </row>
        <row r="213">
          <cell r="BD213" t="str">
            <v>.</v>
          </cell>
        </row>
        <row r="214">
          <cell r="BD214" t="str">
            <v>.</v>
          </cell>
        </row>
        <row r="215">
          <cell r="BD215" t="str">
            <v>.</v>
          </cell>
        </row>
        <row r="216">
          <cell r="BD216" t="str">
            <v>.</v>
          </cell>
        </row>
        <row r="217">
          <cell r="BD217" t="str">
            <v>.</v>
          </cell>
        </row>
        <row r="218">
          <cell r="BD218" t="str">
            <v>.</v>
          </cell>
        </row>
        <row r="219">
          <cell r="BD219" t="str">
            <v>.</v>
          </cell>
        </row>
        <row r="220">
          <cell r="BD220" t="str">
            <v>.</v>
          </cell>
        </row>
        <row r="221">
          <cell r="BD221" t="str">
            <v>.</v>
          </cell>
        </row>
        <row r="222">
          <cell r="BD222" t="str">
            <v>.</v>
          </cell>
        </row>
        <row r="223">
          <cell r="BD223" t="str">
            <v>.</v>
          </cell>
        </row>
        <row r="224">
          <cell r="BD224" t="str">
            <v>.</v>
          </cell>
        </row>
        <row r="225">
          <cell r="BD225" t="str">
            <v>.</v>
          </cell>
        </row>
        <row r="226">
          <cell r="BD226" t="str">
            <v>.</v>
          </cell>
        </row>
        <row r="227">
          <cell r="BD227" t="str">
            <v>.</v>
          </cell>
        </row>
        <row r="228">
          <cell r="BD228" t="str">
            <v>.</v>
          </cell>
        </row>
        <row r="229">
          <cell r="BD229" t="str">
            <v>.</v>
          </cell>
        </row>
        <row r="230">
          <cell r="BD230" t="str">
            <v>.</v>
          </cell>
        </row>
        <row r="231">
          <cell r="BD231" t="str">
            <v>.</v>
          </cell>
        </row>
        <row r="232">
          <cell r="BD232" t="str">
            <v>.</v>
          </cell>
        </row>
        <row r="233">
          <cell r="BD233" t="str">
            <v>.</v>
          </cell>
        </row>
        <row r="234">
          <cell r="BD234" t="str">
            <v>.</v>
          </cell>
        </row>
        <row r="235">
          <cell r="BD235" t="str">
            <v>.</v>
          </cell>
        </row>
        <row r="236">
          <cell r="BD236" t="str">
            <v>.</v>
          </cell>
        </row>
        <row r="237">
          <cell r="BD237" t="str">
            <v>.</v>
          </cell>
        </row>
        <row r="238">
          <cell r="BD238" t="str">
            <v>.</v>
          </cell>
        </row>
        <row r="239">
          <cell r="BD239" t="str">
            <v>.</v>
          </cell>
        </row>
        <row r="240">
          <cell r="BD240" t="str">
            <v>.</v>
          </cell>
        </row>
        <row r="241">
          <cell r="BD241" t="str">
            <v>.</v>
          </cell>
        </row>
        <row r="242">
          <cell r="BD242" t="str">
            <v>.</v>
          </cell>
        </row>
        <row r="243">
          <cell r="BD243" t="str">
            <v>.</v>
          </cell>
        </row>
        <row r="244">
          <cell r="BD244" t="str">
            <v>.</v>
          </cell>
        </row>
        <row r="245">
          <cell r="BD245" t="str">
            <v>.</v>
          </cell>
        </row>
        <row r="246">
          <cell r="BD246" t="str">
            <v>.</v>
          </cell>
        </row>
        <row r="247">
          <cell r="BD247" t="str">
            <v>.</v>
          </cell>
        </row>
        <row r="248">
          <cell r="BD248" t="str">
            <v>.</v>
          </cell>
        </row>
        <row r="249">
          <cell r="BD249" t="str">
            <v>.</v>
          </cell>
        </row>
        <row r="250">
          <cell r="BD250" t="str">
            <v>.</v>
          </cell>
        </row>
        <row r="251">
          <cell r="BD251" t="str">
            <v>.</v>
          </cell>
        </row>
        <row r="252">
          <cell r="BD252" t="str">
            <v>.</v>
          </cell>
        </row>
        <row r="253">
          <cell r="BD253" t="str">
            <v>.</v>
          </cell>
        </row>
        <row r="254">
          <cell r="BD254" t="str">
            <v>.</v>
          </cell>
        </row>
        <row r="255">
          <cell r="BD255" t="str">
            <v>.</v>
          </cell>
        </row>
        <row r="256">
          <cell r="BD256" t="str">
            <v>.</v>
          </cell>
        </row>
        <row r="257">
          <cell r="BD257" t="str">
            <v>.</v>
          </cell>
        </row>
        <row r="258">
          <cell r="BD258" t="str">
            <v>.</v>
          </cell>
        </row>
        <row r="259">
          <cell r="BD259" t="str">
            <v>.</v>
          </cell>
        </row>
        <row r="260">
          <cell r="BD260" t="str">
            <v>.</v>
          </cell>
        </row>
        <row r="261">
          <cell r="BD261" t="str">
            <v>.</v>
          </cell>
        </row>
        <row r="262">
          <cell r="BD262" t="str">
            <v>.</v>
          </cell>
        </row>
        <row r="263">
          <cell r="BD263" t="str">
            <v>.</v>
          </cell>
        </row>
        <row r="264">
          <cell r="BD264" t="str">
            <v>.</v>
          </cell>
        </row>
        <row r="265">
          <cell r="BD265" t="str">
            <v>.</v>
          </cell>
        </row>
        <row r="266">
          <cell r="BD266" t="str">
            <v>.</v>
          </cell>
        </row>
        <row r="267">
          <cell r="BD267" t="str">
            <v>.</v>
          </cell>
        </row>
        <row r="268">
          <cell r="BD268" t="str">
            <v>.</v>
          </cell>
        </row>
        <row r="269">
          <cell r="BD269" t="str">
            <v>.</v>
          </cell>
        </row>
        <row r="270">
          <cell r="BD270" t="str">
            <v>.</v>
          </cell>
        </row>
        <row r="271">
          <cell r="BD271" t="str">
            <v>.</v>
          </cell>
        </row>
        <row r="272">
          <cell r="BD272" t="str">
            <v>.</v>
          </cell>
        </row>
        <row r="273">
          <cell r="BD273" t="str">
            <v>.</v>
          </cell>
        </row>
        <row r="274">
          <cell r="BD274" t="str">
            <v>.</v>
          </cell>
        </row>
        <row r="275">
          <cell r="BD275" t="str">
            <v>.</v>
          </cell>
        </row>
        <row r="276">
          <cell r="BD276" t="str">
            <v>.</v>
          </cell>
        </row>
        <row r="277">
          <cell r="BD277" t="str">
            <v>.</v>
          </cell>
        </row>
        <row r="278">
          <cell r="BD278" t="str">
            <v>.</v>
          </cell>
        </row>
        <row r="279">
          <cell r="BD279" t="str">
            <v>.</v>
          </cell>
        </row>
        <row r="280">
          <cell r="BD280" t="str">
            <v>.</v>
          </cell>
        </row>
        <row r="281">
          <cell r="BD281" t="str">
            <v>.</v>
          </cell>
        </row>
        <row r="282">
          <cell r="BD282" t="str">
            <v>.</v>
          </cell>
        </row>
        <row r="283">
          <cell r="BD283" t="str">
            <v>.</v>
          </cell>
        </row>
        <row r="284">
          <cell r="BD284" t="str">
            <v>.</v>
          </cell>
        </row>
        <row r="285">
          <cell r="BD285" t="str">
            <v>.</v>
          </cell>
        </row>
        <row r="286">
          <cell r="BD286" t="str">
            <v>.</v>
          </cell>
        </row>
        <row r="287">
          <cell r="BD287" t="str">
            <v>.</v>
          </cell>
        </row>
        <row r="288">
          <cell r="BD288" t="str">
            <v>.</v>
          </cell>
        </row>
        <row r="289">
          <cell r="BD289" t="str">
            <v>.</v>
          </cell>
        </row>
        <row r="290">
          <cell r="BD290" t="str">
            <v>.</v>
          </cell>
        </row>
        <row r="291">
          <cell r="BD291" t="str">
            <v>.</v>
          </cell>
        </row>
        <row r="292">
          <cell r="BD292" t="str">
            <v>.</v>
          </cell>
        </row>
        <row r="293">
          <cell r="BD293" t="str">
            <v>.</v>
          </cell>
        </row>
        <row r="294">
          <cell r="BD294" t="str">
            <v>.</v>
          </cell>
        </row>
        <row r="295">
          <cell r="BD295" t="str">
            <v>.</v>
          </cell>
        </row>
        <row r="296">
          <cell r="BD296" t="str">
            <v>.</v>
          </cell>
        </row>
        <row r="297">
          <cell r="BD297" t="str">
            <v>.</v>
          </cell>
        </row>
        <row r="298">
          <cell r="BD298" t="str">
            <v>.</v>
          </cell>
        </row>
        <row r="299">
          <cell r="BD299" t="str">
            <v>.</v>
          </cell>
        </row>
        <row r="300">
          <cell r="BD300" t="str">
            <v>.</v>
          </cell>
        </row>
        <row r="301">
          <cell r="BD301" t="str">
            <v>.</v>
          </cell>
        </row>
        <row r="302">
          <cell r="BD302" t="str">
            <v>.</v>
          </cell>
        </row>
        <row r="303">
          <cell r="BD303" t="str">
            <v>.</v>
          </cell>
        </row>
        <row r="304">
          <cell r="BD304" t="str">
            <v>.</v>
          </cell>
        </row>
        <row r="305">
          <cell r="BD305" t="str">
            <v>.</v>
          </cell>
        </row>
        <row r="306">
          <cell r="BD306" t="str">
            <v>.</v>
          </cell>
        </row>
        <row r="307">
          <cell r="BD307" t="str">
            <v>.</v>
          </cell>
        </row>
        <row r="308">
          <cell r="BD308" t="str">
            <v>.</v>
          </cell>
        </row>
        <row r="309">
          <cell r="BD309" t="str">
            <v>.</v>
          </cell>
        </row>
        <row r="310">
          <cell r="BD310" t="str">
            <v>.</v>
          </cell>
        </row>
        <row r="311">
          <cell r="BD311" t="str">
            <v>.</v>
          </cell>
        </row>
        <row r="312">
          <cell r="BD312" t="str">
            <v>.</v>
          </cell>
        </row>
        <row r="313">
          <cell r="BD313" t="str">
            <v>.</v>
          </cell>
        </row>
        <row r="314">
          <cell r="BD314" t="str">
            <v>.</v>
          </cell>
        </row>
        <row r="315">
          <cell r="BD315" t="str">
            <v>.</v>
          </cell>
        </row>
        <row r="316">
          <cell r="BD316" t="str">
            <v>.</v>
          </cell>
        </row>
        <row r="317">
          <cell r="BD317" t="str">
            <v>.</v>
          </cell>
        </row>
        <row r="318">
          <cell r="BD318" t="str">
            <v>.</v>
          </cell>
        </row>
        <row r="319">
          <cell r="BD319" t="str">
            <v>.</v>
          </cell>
        </row>
        <row r="320">
          <cell r="BD320" t="str">
            <v>.</v>
          </cell>
        </row>
        <row r="321">
          <cell r="BD321" t="str">
            <v>.</v>
          </cell>
        </row>
        <row r="322">
          <cell r="BD322" t="str">
            <v>.</v>
          </cell>
        </row>
        <row r="323">
          <cell r="BD323" t="str">
            <v>.</v>
          </cell>
        </row>
        <row r="324">
          <cell r="BD324" t="str">
            <v>.</v>
          </cell>
        </row>
        <row r="325">
          <cell r="BD325" t="str">
            <v>.</v>
          </cell>
        </row>
        <row r="326">
          <cell r="BD326" t="str">
            <v>.</v>
          </cell>
        </row>
        <row r="327">
          <cell r="BD327" t="str">
            <v>.</v>
          </cell>
        </row>
        <row r="328">
          <cell r="BD328" t="str">
            <v>.</v>
          </cell>
        </row>
        <row r="329">
          <cell r="BD329" t="str">
            <v>.</v>
          </cell>
        </row>
        <row r="330">
          <cell r="BD330" t="str">
            <v>.</v>
          </cell>
        </row>
        <row r="331">
          <cell r="BD331" t="str">
            <v>.</v>
          </cell>
        </row>
        <row r="332">
          <cell r="BD332" t="str">
            <v>.</v>
          </cell>
        </row>
        <row r="333">
          <cell r="BD333" t="str">
            <v>.</v>
          </cell>
        </row>
        <row r="334">
          <cell r="BD334" t="str">
            <v>.</v>
          </cell>
        </row>
        <row r="335">
          <cell r="BD335" t="str">
            <v>.</v>
          </cell>
        </row>
        <row r="336">
          <cell r="BD336" t="str">
            <v>.</v>
          </cell>
        </row>
        <row r="337">
          <cell r="BD337" t="str">
            <v>.</v>
          </cell>
        </row>
        <row r="338">
          <cell r="BD338" t="str">
            <v>.</v>
          </cell>
        </row>
        <row r="339">
          <cell r="BD339" t="str">
            <v>.</v>
          </cell>
        </row>
        <row r="340">
          <cell r="BD340" t="str">
            <v>.</v>
          </cell>
        </row>
        <row r="341">
          <cell r="BD341" t="str">
            <v>.</v>
          </cell>
        </row>
        <row r="342">
          <cell r="BD342" t="str">
            <v>.</v>
          </cell>
        </row>
        <row r="343">
          <cell r="BD343" t="str">
            <v>.</v>
          </cell>
        </row>
        <row r="344">
          <cell r="BD344" t="str">
            <v>.</v>
          </cell>
        </row>
        <row r="345">
          <cell r="BD345" t="str">
            <v>.</v>
          </cell>
        </row>
        <row r="346">
          <cell r="BD346" t="str">
            <v>.</v>
          </cell>
        </row>
        <row r="347">
          <cell r="BD347" t="str">
            <v>.</v>
          </cell>
        </row>
        <row r="348">
          <cell r="BD348" t="str">
            <v>.</v>
          </cell>
        </row>
        <row r="349">
          <cell r="BD349" t="str">
            <v>.</v>
          </cell>
        </row>
        <row r="350">
          <cell r="BD350" t="str">
            <v>.</v>
          </cell>
        </row>
        <row r="351">
          <cell r="BD351" t="str">
            <v>.</v>
          </cell>
        </row>
        <row r="352">
          <cell r="BD352" t="str">
            <v>.</v>
          </cell>
        </row>
        <row r="353">
          <cell r="BD353" t="str">
            <v>.</v>
          </cell>
        </row>
        <row r="354">
          <cell r="BD354" t="str">
            <v>.</v>
          </cell>
        </row>
        <row r="355">
          <cell r="BD355" t="str">
            <v>.</v>
          </cell>
        </row>
        <row r="356">
          <cell r="BD356" t="str">
            <v>.</v>
          </cell>
        </row>
        <row r="357">
          <cell r="BD357" t="str">
            <v>.</v>
          </cell>
        </row>
        <row r="358">
          <cell r="BD358" t="str">
            <v>.</v>
          </cell>
        </row>
        <row r="359">
          <cell r="BD359" t="str">
            <v>.</v>
          </cell>
        </row>
        <row r="360">
          <cell r="BD360" t="str">
            <v>.</v>
          </cell>
        </row>
        <row r="361">
          <cell r="BD361" t="str">
            <v>.</v>
          </cell>
        </row>
        <row r="362">
          <cell r="BD362" t="str">
            <v>.</v>
          </cell>
        </row>
        <row r="363">
          <cell r="BD363" t="str">
            <v>.</v>
          </cell>
        </row>
        <row r="364">
          <cell r="BD364" t="str">
            <v>.</v>
          </cell>
        </row>
        <row r="365">
          <cell r="BD365" t="str">
            <v>.</v>
          </cell>
        </row>
        <row r="366">
          <cell r="BD366" t="str">
            <v>.</v>
          </cell>
        </row>
        <row r="367">
          <cell r="BD367" t="str">
            <v>.</v>
          </cell>
        </row>
        <row r="368">
          <cell r="BD368" t="str">
            <v>.</v>
          </cell>
        </row>
        <row r="369">
          <cell r="BD369" t="str">
            <v>.</v>
          </cell>
        </row>
        <row r="370">
          <cell r="BD370" t="str">
            <v>.</v>
          </cell>
        </row>
        <row r="371">
          <cell r="BD371" t="str">
            <v>.</v>
          </cell>
        </row>
        <row r="372">
          <cell r="BD372" t="str">
            <v>.</v>
          </cell>
        </row>
        <row r="373">
          <cell r="BD373" t="str">
            <v>.</v>
          </cell>
        </row>
        <row r="374">
          <cell r="BD374" t="str">
            <v>.</v>
          </cell>
        </row>
        <row r="375">
          <cell r="BD375" t="str">
            <v>.</v>
          </cell>
        </row>
        <row r="376">
          <cell r="BD376" t="str">
            <v>.</v>
          </cell>
        </row>
        <row r="377">
          <cell r="BD377" t="str">
            <v>.</v>
          </cell>
        </row>
        <row r="378">
          <cell r="BD378" t="str">
            <v>.</v>
          </cell>
        </row>
        <row r="379">
          <cell r="BD379" t="str">
            <v>.</v>
          </cell>
        </row>
        <row r="380">
          <cell r="BD380" t="str">
            <v>.</v>
          </cell>
        </row>
        <row r="381">
          <cell r="BD381" t="str">
            <v>.</v>
          </cell>
        </row>
        <row r="382">
          <cell r="BD382" t="str">
            <v>.</v>
          </cell>
        </row>
        <row r="383">
          <cell r="BD383" t="str">
            <v>.</v>
          </cell>
        </row>
        <row r="384">
          <cell r="BD384" t="str">
            <v>.</v>
          </cell>
        </row>
        <row r="385">
          <cell r="BD385" t="str">
            <v>.</v>
          </cell>
        </row>
        <row r="386">
          <cell r="BD386" t="str">
            <v>.</v>
          </cell>
        </row>
        <row r="387">
          <cell r="BD387" t="str">
            <v>.</v>
          </cell>
        </row>
        <row r="388">
          <cell r="BD388" t="str">
            <v>.</v>
          </cell>
        </row>
        <row r="389">
          <cell r="BD389" t="str">
            <v>.</v>
          </cell>
        </row>
        <row r="390">
          <cell r="BD390" t="str">
            <v>.</v>
          </cell>
        </row>
        <row r="391">
          <cell r="BD391" t="str">
            <v>.</v>
          </cell>
        </row>
        <row r="392">
          <cell r="BD392" t="str">
            <v>.</v>
          </cell>
        </row>
        <row r="393">
          <cell r="BD393" t="str">
            <v>.</v>
          </cell>
        </row>
        <row r="394">
          <cell r="BD394" t="str">
            <v>.</v>
          </cell>
        </row>
        <row r="395">
          <cell r="BD395" t="str">
            <v>.</v>
          </cell>
        </row>
        <row r="396">
          <cell r="BD396" t="str">
            <v>.</v>
          </cell>
        </row>
        <row r="397">
          <cell r="BD397" t="str">
            <v>.</v>
          </cell>
        </row>
        <row r="398">
          <cell r="BD398" t="str">
            <v>.</v>
          </cell>
        </row>
        <row r="399">
          <cell r="BD399" t="str">
            <v>.</v>
          </cell>
        </row>
        <row r="400">
          <cell r="BD400" t="str">
            <v>.</v>
          </cell>
        </row>
        <row r="401">
          <cell r="BD401" t="str">
            <v>.</v>
          </cell>
        </row>
        <row r="402">
          <cell r="BD402" t="str">
            <v>.</v>
          </cell>
        </row>
        <row r="403">
          <cell r="BD403" t="str">
            <v>.</v>
          </cell>
        </row>
        <row r="404">
          <cell r="BD404" t="str">
            <v>.</v>
          </cell>
        </row>
        <row r="405">
          <cell r="BD405" t="str">
            <v>.</v>
          </cell>
        </row>
        <row r="406">
          <cell r="BD406" t="str">
            <v>.</v>
          </cell>
        </row>
        <row r="407">
          <cell r="BD407" t="str">
            <v>.</v>
          </cell>
        </row>
        <row r="408">
          <cell r="BD408" t="str">
            <v>.</v>
          </cell>
        </row>
        <row r="409">
          <cell r="BD409" t="str">
            <v>.</v>
          </cell>
        </row>
        <row r="410">
          <cell r="BD410" t="str">
            <v>.</v>
          </cell>
        </row>
        <row r="411">
          <cell r="BD411" t="str">
            <v>.</v>
          </cell>
        </row>
        <row r="412">
          <cell r="BD412" t="str">
            <v>.</v>
          </cell>
        </row>
        <row r="413">
          <cell r="BD413" t="str">
            <v>.</v>
          </cell>
        </row>
        <row r="414">
          <cell r="BD414" t="str">
            <v>.</v>
          </cell>
        </row>
        <row r="415">
          <cell r="BD415" t="str">
            <v>.</v>
          </cell>
        </row>
        <row r="416">
          <cell r="BD416" t="str">
            <v>.</v>
          </cell>
        </row>
        <row r="417">
          <cell r="BD417" t="str">
            <v>.</v>
          </cell>
        </row>
        <row r="418">
          <cell r="BD418" t="str">
            <v>.</v>
          </cell>
        </row>
        <row r="419">
          <cell r="BD419" t="str">
            <v>.</v>
          </cell>
        </row>
        <row r="420">
          <cell r="BD420" t="str">
            <v>.</v>
          </cell>
        </row>
        <row r="421">
          <cell r="BD421" t="str">
            <v>.</v>
          </cell>
        </row>
        <row r="422">
          <cell r="BD422" t="str">
            <v>.</v>
          </cell>
        </row>
        <row r="423">
          <cell r="BD423" t="str">
            <v>.</v>
          </cell>
        </row>
        <row r="424">
          <cell r="BD424" t="str">
            <v>.</v>
          </cell>
        </row>
        <row r="425">
          <cell r="BD425" t="str">
            <v>.</v>
          </cell>
        </row>
        <row r="426">
          <cell r="BD426" t="str">
            <v>.</v>
          </cell>
        </row>
        <row r="427">
          <cell r="BD427" t="str">
            <v>.</v>
          </cell>
        </row>
        <row r="428">
          <cell r="BD428" t="str">
            <v>.</v>
          </cell>
        </row>
        <row r="429">
          <cell r="BD429" t="str">
            <v>.</v>
          </cell>
        </row>
        <row r="430">
          <cell r="BD430" t="str">
            <v>.</v>
          </cell>
        </row>
        <row r="431">
          <cell r="BD431" t="str">
            <v>.</v>
          </cell>
        </row>
        <row r="432">
          <cell r="BD432" t="str">
            <v>.</v>
          </cell>
        </row>
        <row r="433">
          <cell r="BD433" t="str">
            <v>.</v>
          </cell>
        </row>
        <row r="434">
          <cell r="BD434" t="str">
            <v>.</v>
          </cell>
        </row>
        <row r="435">
          <cell r="BD435" t="str">
            <v>.</v>
          </cell>
        </row>
        <row r="436">
          <cell r="BD436" t="str">
            <v>.</v>
          </cell>
        </row>
        <row r="437">
          <cell r="BD437" t="str">
            <v>.</v>
          </cell>
        </row>
        <row r="438">
          <cell r="BD438" t="str">
            <v>.</v>
          </cell>
        </row>
        <row r="439">
          <cell r="BD439" t="str">
            <v>.</v>
          </cell>
        </row>
        <row r="440">
          <cell r="BD440" t="str">
            <v>.</v>
          </cell>
        </row>
        <row r="441">
          <cell r="BD441" t="str">
            <v>.</v>
          </cell>
        </row>
        <row r="442">
          <cell r="BD442" t="str">
            <v>.</v>
          </cell>
        </row>
        <row r="443">
          <cell r="BD443" t="str">
            <v>.</v>
          </cell>
        </row>
        <row r="444">
          <cell r="BD444" t="str">
            <v>.</v>
          </cell>
        </row>
        <row r="445">
          <cell r="BD445" t="str">
            <v>.</v>
          </cell>
        </row>
        <row r="446">
          <cell r="BD446" t="str">
            <v>.</v>
          </cell>
        </row>
        <row r="447">
          <cell r="BD447" t="str">
            <v>.</v>
          </cell>
        </row>
        <row r="448">
          <cell r="BD448" t="str">
            <v>.</v>
          </cell>
        </row>
        <row r="449">
          <cell r="BD449" t="str">
            <v>.</v>
          </cell>
        </row>
        <row r="450">
          <cell r="BD450" t="str">
            <v>.</v>
          </cell>
        </row>
        <row r="451">
          <cell r="BD451" t="str">
            <v>.</v>
          </cell>
        </row>
        <row r="452">
          <cell r="BD452" t="str">
            <v>.</v>
          </cell>
        </row>
        <row r="453">
          <cell r="BD453" t="str">
            <v>.</v>
          </cell>
        </row>
        <row r="454">
          <cell r="BD454" t="str">
            <v>.</v>
          </cell>
        </row>
        <row r="455">
          <cell r="BD455" t="str">
            <v>.</v>
          </cell>
        </row>
        <row r="456">
          <cell r="BD456" t="str">
            <v>.</v>
          </cell>
        </row>
        <row r="457">
          <cell r="BD457" t="str">
            <v>.</v>
          </cell>
        </row>
        <row r="458">
          <cell r="BD458" t="str">
            <v>.</v>
          </cell>
        </row>
        <row r="459">
          <cell r="BD459" t="str">
            <v>.</v>
          </cell>
        </row>
        <row r="460">
          <cell r="BD460" t="str">
            <v>.</v>
          </cell>
        </row>
        <row r="461">
          <cell r="BD461" t="str">
            <v>.</v>
          </cell>
        </row>
        <row r="462">
          <cell r="BD462" t="str">
            <v>.</v>
          </cell>
        </row>
        <row r="463">
          <cell r="BD463" t="str">
            <v>.</v>
          </cell>
        </row>
        <row r="464">
          <cell r="BD464" t="str">
            <v>.</v>
          </cell>
        </row>
        <row r="465">
          <cell r="BD465" t="str">
            <v>.</v>
          </cell>
        </row>
        <row r="466">
          <cell r="BD466" t="str">
            <v>.</v>
          </cell>
        </row>
        <row r="467">
          <cell r="BD467" t="str">
            <v>.</v>
          </cell>
        </row>
        <row r="468">
          <cell r="BD468" t="str">
            <v>.</v>
          </cell>
        </row>
        <row r="469">
          <cell r="BD469" t="str">
            <v>.</v>
          </cell>
        </row>
        <row r="470">
          <cell r="BD470" t="str">
            <v>.</v>
          </cell>
        </row>
        <row r="471">
          <cell r="BD471" t="str">
            <v>.</v>
          </cell>
        </row>
        <row r="472">
          <cell r="BD472" t="str">
            <v>.</v>
          </cell>
        </row>
        <row r="473">
          <cell r="BD473" t="str">
            <v>.</v>
          </cell>
        </row>
        <row r="474">
          <cell r="BD474" t="str">
            <v>.</v>
          </cell>
        </row>
        <row r="475">
          <cell r="BD475" t="str">
            <v>.</v>
          </cell>
        </row>
        <row r="476">
          <cell r="BD476" t="str">
            <v>.</v>
          </cell>
        </row>
        <row r="477">
          <cell r="BD477" t="str">
            <v>.</v>
          </cell>
        </row>
        <row r="478">
          <cell r="BD478" t="str">
            <v>.</v>
          </cell>
        </row>
        <row r="479">
          <cell r="BD479" t="str">
            <v>.</v>
          </cell>
        </row>
        <row r="480">
          <cell r="BD480" t="str">
            <v>.</v>
          </cell>
        </row>
        <row r="481">
          <cell r="BD481" t="str">
            <v>.</v>
          </cell>
        </row>
        <row r="482">
          <cell r="BD482" t="str">
            <v>.</v>
          </cell>
        </row>
        <row r="483">
          <cell r="BD483" t="str">
            <v>.</v>
          </cell>
        </row>
        <row r="484">
          <cell r="BD484" t="str">
            <v>.</v>
          </cell>
        </row>
        <row r="485">
          <cell r="BD485" t="str">
            <v>.</v>
          </cell>
        </row>
        <row r="486">
          <cell r="BD486" t="str">
            <v>.</v>
          </cell>
        </row>
        <row r="487">
          <cell r="BD487" t="str">
            <v>.</v>
          </cell>
        </row>
        <row r="488">
          <cell r="BD488" t="str">
            <v>.</v>
          </cell>
        </row>
        <row r="489">
          <cell r="BD489" t="str">
            <v>.</v>
          </cell>
        </row>
        <row r="490">
          <cell r="BD490" t="str">
            <v>.</v>
          </cell>
        </row>
        <row r="491">
          <cell r="BD491" t="str">
            <v>.</v>
          </cell>
        </row>
        <row r="492">
          <cell r="BD492" t="str">
            <v>.</v>
          </cell>
        </row>
        <row r="493">
          <cell r="BD493" t="str">
            <v>.</v>
          </cell>
        </row>
        <row r="494">
          <cell r="BD494" t="str">
            <v>.</v>
          </cell>
        </row>
        <row r="495">
          <cell r="BD495" t="str">
            <v>.</v>
          </cell>
        </row>
        <row r="496">
          <cell r="BD496" t="str">
            <v>.</v>
          </cell>
        </row>
        <row r="497">
          <cell r="BD497" t="str">
            <v>.</v>
          </cell>
        </row>
        <row r="498">
          <cell r="BD498" t="str">
            <v>.</v>
          </cell>
        </row>
        <row r="499">
          <cell r="BD499" t="str">
            <v>.</v>
          </cell>
        </row>
        <row r="500">
          <cell r="BD500" t="str">
            <v>.</v>
          </cell>
        </row>
        <row r="501">
          <cell r="BD501" t="str">
            <v>.</v>
          </cell>
        </row>
        <row r="502">
          <cell r="BD502" t="str">
            <v>.</v>
          </cell>
        </row>
        <row r="503">
          <cell r="BD503" t="str">
            <v>.</v>
          </cell>
        </row>
        <row r="504">
          <cell r="BD504" t="str">
            <v>.</v>
          </cell>
        </row>
        <row r="505">
          <cell r="BD505" t="str">
            <v>.</v>
          </cell>
        </row>
        <row r="506">
          <cell r="BD506" t="str">
            <v>.</v>
          </cell>
        </row>
        <row r="507">
          <cell r="BD507" t="str">
            <v>.</v>
          </cell>
        </row>
        <row r="508">
          <cell r="BD508" t="str">
            <v>.</v>
          </cell>
        </row>
        <row r="509">
          <cell r="BD509" t="str">
            <v>.</v>
          </cell>
        </row>
        <row r="510">
          <cell r="BD510" t="str">
            <v>.</v>
          </cell>
        </row>
        <row r="511">
          <cell r="BD511" t="str">
            <v>.</v>
          </cell>
        </row>
        <row r="512">
          <cell r="BD512" t="str">
            <v>.</v>
          </cell>
        </row>
        <row r="513">
          <cell r="BD513" t="str">
            <v>.</v>
          </cell>
        </row>
        <row r="514">
          <cell r="BD514" t="str">
            <v>.</v>
          </cell>
        </row>
        <row r="515">
          <cell r="BD515" t="str">
            <v>.</v>
          </cell>
        </row>
        <row r="516">
          <cell r="BD516" t="str">
            <v>.</v>
          </cell>
        </row>
        <row r="517">
          <cell r="BD517" t="str">
            <v>.</v>
          </cell>
        </row>
        <row r="518">
          <cell r="BD518" t="str">
            <v>.</v>
          </cell>
        </row>
        <row r="519">
          <cell r="BD519" t="str">
            <v>.</v>
          </cell>
        </row>
        <row r="520">
          <cell r="BD520" t="str">
            <v>.</v>
          </cell>
        </row>
        <row r="521">
          <cell r="BD521" t="str">
            <v>.</v>
          </cell>
        </row>
        <row r="522">
          <cell r="BD522" t="str">
            <v>.</v>
          </cell>
        </row>
        <row r="523">
          <cell r="BD523" t="str">
            <v>.</v>
          </cell>
        </row>
        <row r="524">
          <cell r="BD524" t="str">
            <v>.</v>
          </cell>
        </row>
        <row r="525">
          <cell r="BD525" t="str">
            <v>.</v>
          </cell>
        </row>
        <row r="526">
          <cell r="BD526" t="str">
            <v>.</v>
          </cell>
        </row>
        <row r="527">
          <cell r="BD527" t="str">
            <v>.</v>
          </cell>
        </row>
        <row r="528">
          <cell r="BD528" t="str">
            <v>.</v>
          </cell>
        </row>
        <row r="529">
          <cell r="BD529" t="str">
            <v>.</v>
          </cell>
        </row>
        <row r="530">
          <cell r="BD530" t="str">
            <v>.</v>
          </cell>
        </row>
        <row r="531">
          <cell r="BD531" t="str">
            <v>.</v>
          </cell>
        </row>
        <row r="532">
          <cell r="BD532" t="str">
            <v>.</v>
          </cell>
        </row>
        <row r="533">
          <cell r="BD533" t="str">
            <v>.</v>
          </cell>
        </row>
        <row r="534">
          <cell r="BD534" t="str">
            <v>.</v>
          </cell>
        </row>
        <row r="535">
          <cell r="BD535" t="str">
            <v>.</v>
          </cell>
        </row>
        <row r="536">
          <cell r="BD536" t="str">
            <v>.</v>
          </cell>
        </row>
        <row r="537">
          <cell r="BD537" t="str">
            <v>.</v>
          </cell>
        </row>
        <row r="538">
          <cell r="BD538" t="str">
            <v>.</v>
          </cell>
        </row>
        <row r="539">
          <cell r="BD539" t="str">
            <v>.</v>
          </cell>
        </row>
        <row r="540">
          <cell r="BD540" t="str">
            <v>.</v>
          </cell>
        </row>
        <row r="541">
          <cell r="BD541" t="str">
            <v>.</v>
          </cell>
        </row>
        <row r="542">
          <cell r="BD542" t="str">
            <v>.</v>
          </cell>
        </row>
        <row r="543">
          <cell r="BD543" t="str">
            <v>.</v>
          </cell>
        </row>
        <row r="544">
          <cell r="BD544" t="str">
            <v>.</v>
          </cell>
        </row>
        <row r="545">
          <cell r="BD545" t="str">
            <v>.</v>
          </cell>
        </row>
        <row r="546">
          <cell r="BD546" t="str">
            <v>.</v>
          </cell>
        </row>
        <row r="547">
          <cell r="BD547" t="str">
            <v>.</v>
          </cell>
        </row>
        <row r="548">
          <cell r="BD548" t="str">
            <v>.</v>
          </cell>
        </row>
        <row r="549">
          <cell r="BD549" t="str">
            <v>.</v>
          </cell>
        </row>
        <row r="550">
          <cell r="BD550" t="str">
            <v>.</v>
          </cell>
        </row>
        <row r="551">
          <cell r="BD551" t="str">
            <v>.</v>
          </cell>
        </row>
        <row r="552">
          <cell r="BD552" t="str">
            <v>.</v>
          </cell>
        </row>
        <row r="553">
          <cell r="BD553" t="str">
            <v>.</v>
          </cell>
        </row>
        <row r="554">
          <cell r="BD554" t="str">
            <v>.</v>
          </cell>
        </row>
        <row r="555">
          <cell r="BD555" t="str">
            <v>.</v>
          </cell>
        </row>
        <row r="556">
          <cell r="BD556" t="str">
            <v>.</v>
          </cell>
        </row>
        <row r="557">
          <cell r="BD557" t="str">
            <v>.</v>
          </cell>
        </row>
        <row r="558">
          <cell r="BD558" t="str">
            <v>.</v>
          </cell>
        </row>
        <row r="559">
          <cell r="BD559" t="str">
            <v>.</v>
          </cell>
        </row>
        <row r="560">
          <cell r="BD560" t="str">
            <v>.</v>
          </cell>
        </row>
        <row r="561">
          <cell r="BD561" t="str">
            <v>.</v>
          </cell>
        </row>
        <row r="562">
          <cell r="BD562" t="str">
            <v>.</v>
          </cell>
        </row>
        <row r="563">
          <cell r="BD563" t="str">
            <v>.</v>
          </cell>
        </row>
        <row r="564">
          <cell r="BD564" t="str">
            <v>.</v>
          </cell>
        </row>
        <row r="565">
          <cell r="BD565" t="str">
            <v>.</v>
          </cell>
        </row>
        <row r="566">
          <cell r="BD566" t="str">
            <v>.</v>
          </cell>
        </row>
        <row r="567">
          <cell r="BD567" t="str">
            <v>.</v>
          </cell>
        </row>
        <row r="568">
          <cell r="BD568" t="str">
            <v>.</v>
          </cell>
        </row>
        <row r="569">
          <cell r="BD569" t="str">
            <v>.</v>
          </cell>
        </row>
        <row r="570">
          <cell r="BD570" t="str">
            <v>.</v>
          </cell>
        </row>
        <row r="571">
          <cell r="BD571" t="str">
            <v>.</v>
          </cell>
        </row>
        <row r="572">
          <cell r="BD572" t="str">
            <v>.</v>
          </cell>
        </row>
        <row r="573">
          <cell r="BD573" t="str">
            <v>.</v>
          </cell>
        </row>
        <row r="574">
          <cell r="BD574" t="str">
            <v>.</v>
          </cell>
        </row>
        <row r="575">
          <cell r="BD575" t="str">
            <v>.</v>
          </cell>
        </row>
        <row r="576">
          <cell r="BD576" t="str">
            <v>.</v>
          </cell>
        </row>
        <row r="577">
          <cell r="BD577" t="str">
            <v>.</v>
          </cell>
        </row>
        <row r="578">
          <cell r="BD578" t="str">
            <v>.</v>
          </cell>
        </row>
        <row r="579">
          <cell r="BD579" t="str">
            <v>.</v>
          </cell>
        </row>
        <row r="580">
          <cell r="BD580" t="str">
            <v>.</v>
          </cell>
        </row>
        <row r="581">
          <cell r="BD581" t="str">
            <v>.</v>
          </cell>
        </row>
        <row r="582">
          <cell r="BD582" t="str">
            <v>.</v>
          </cell>
        </row>
        <row r="583">
          <cell r="BD583" t="str">
            <v>.</v>
          </cell>
        </row>
        <row r="584">
          <cell r="BD584" t="str">
            <v>.</v>
          </cell>
        </row>
        <row r="585">
          <cell r="BD585" t="str">
            <v>.</v>
          </cell>
        </row>
        <row r="586">
          <cell r="BD586" t="str">
            <v>.</v>
          </cell>
        </row>
        <row r="587">
          <cell r="BD587" t="str">
            <v>.</v>
          </cell>
        </row>
        <row r="588">
          <cell r="BD588" t="str">
            <v>.</v>
          </cell>
        </row>
        <row r="589">
          <cell r="BD589" t="str">
            <v>.</v>
          </cell>
        </row>
        <row r="590">
          <cell r="BD590" t="str">
            <v>.</v>
          </cell>
        </row>
        <row r="591">
          <cell r="BD591" t="str">
            <v>.</v>
          </cell>
        </row>
        <row r="592">
          <cell r="BD592" t="str">
            <v>.</v>
          </cell>
        </row>
        <row r="593">
          <cell r="BD593" t="str">
            <v>.</v>
          </cell>
        </row>
        <row r="594">
          <cell r="BD594" t="str">
            <v>.</v>
          </cell>
        </row>
        <row r="595">
          <cell r="BD595" t="str">
            <v>.</v>
          </cell>
        </row>
        <row r="596">
          <cell r="BD596" t="str">
            <v>.</v>
          </cell>
        </row>
        <row r="597">
          <cell r="BD597" t="str">
            <v>.</v>
          </cell>
        </row>
        <row r="598">
          <cell r="BD598" t="str">
            <v>.</v>
          </cell>
        </row>
        <row r="599">
          <cell r="BD599" t="str">
            <v>.</v>
          </cell>
        </row>
        <row r="600">
          <cell r="BD600" t="str">
            <v>.</v>
          </cell>
        </row>
        <row r="601">
          <cell r="BD601" t="str">
            <v>.</v>
          </cell>
        </row>
        <row r="602">
          <cell r="BD602" t="str">
            <v>.</v>
          </cell>
        </row>
        <row r="603">
          <cell r="BD603" t="str">
            <v>.</v>
          </cell>
        </row>
        <row r="604">
          <cell r="BD604" t="str">
            <v>.</v>
          </cell>
        </row>
        <row r="605">
          <cell r="BD605" t="str">
            <v>.</v>
          </cell>
        </row>
        <row r="606">
          <cell r="BD606" t="str">
            <v>.</v>
          </cell>
        </row>
        <row r="607">
          <cell r="BD607" t="str">
            <v>.</v>
          </cell>
        </row>
        <row r="608">
          <cell r="BD608" t="str">
            <v>.</v>
          </cell>
        </row>
        <row r="609">
          <cell r="BD609" t="str">
            <v>.</v>
          </cell>
        </row>
        <row r="610">
          <cell r="BD610" t="str">
            <v>.</v>
          </cell>
        </row>
        <row r="611">
          <cell r="BD611" t="str">
            <v>.</v>
          </cell>
        </row>
        <row r="612">
          <cell r="BD612" t="str">
            <v>.</v>
          </cell>
        </row>
        <row r="613">
          <cell r="BD613" t="str">
            <v>.</v>
          </cell>
        </row>
        <row r="614">
          <cell r="BD614" t="str">
            <v>.</v>
          </cell>
        </row>
        <row r="615">
          <cell r="BD615" t="str">
            <v>.</v>
          </cell>
        </row>
        <row r="616">
          <cell r="BD616" t="str">
            <v>.</v>
          </cell>
        </row>
        <row r="617">
          <cell r="BD617" t="str">
            <v>.</v>
          </cell>
        </row>
        <row r="618">
          <cell r="BD618" t="str">
            <v>.</v>
          </cell>
        </row>
        <row r="619">
          <cell r="BD619" t="str">
            <v>.</v>
          </cell>
        </row>
        <row r="620">
          <cell r="BD620" t="str">
            <v>.</v>
          </cell>
        </row>
        <row r="621">
          <cell r="BD621" t="str">
            <v>.</v>
          </cell>
        </row>
        <row r="622">
          <cell r="BD622" t="str">
            <v>.</v>
          </cell>
        </row>
        <row r="623">
          <cell r="BD623" t="str">
            <v>.</v>
          </cell>
        </row>
        <row r="624">
          <cell r="BD624" t="str">
            <v>.</v>
          </cell>
        </row>
        <row r="625">
          <cell r="BD625" t="str">
            <v>.</v>
          </cell>
        </row>
        <row r="626">
          <cell r="BD626" t="str">
            <v>.</v>
          </cell>
        </row>
        <row r="627">
          <cell r="BD627" t="str">
            <v>.</v>
          </cell>
        </row>
        <row r="628">
          <cell r="BD628" t="str">
            <v>.</v>
          </cell>
        </row>
        <row r="629">
          <cell r="BD629" t="str">
            <v>.</v>
          </cell>
        </row>
        <row r="630">
          <cell r="BD630" t="str">
            <v>.</v>
          </cell>
        </row>
        <row r="631">
          <cell r="BD631" t="str">
            <v>.</v>
          </cell>
        </row>
        <row r="632">
          <cell r="BD632" t="str">
            <v>.</v>
          </cell>
        </row>
        <row r="633">
          <cell r="BD633" t="str">
            <v>.</v>
          </cell>
        </row>
        <row r="634">
          <cell r="BD634" t="str">
            <v>.</v>
          </cell>
        </row>
        <row r="635">
          <cell r="BD635" t="str">
            <v>.</v>
          </cell>
        </row>
        <row r="636">
          <cell r="BD636" t="str">
            <v>.</v>
          </cell>
        </row>
        <row r="637">
          <cell r="BD637" t="str">
            <v>.</v>
          </cell>
        </row>
        <row r="638">
          <cell r="BD638" t="str">
            <v>.</v>
          </cell>
        </row>
        <row r="639">
          <cell r="BD639" t="str">
            <v>.</v>
          </cell>
        </row>
        <row r="640">
          <cell r="BD640" t="str">
            <v>.</v>
          </cell>
        </row>
        <row r="641">
          <cell r="BD641" t="str">
            <v>.</v>
          </cell>
        </row>
        <row r="642">
          <cell r="BD642" t="str">
            <v>.</v>
          </cell>
        </row>
        <row r="643">
          <cell r="BD643" t="str">
            <v>.</v>
          </cell>
        </row>
        <row r="644">
          <cell r="BD644" t="str">
            <v>.</v>
          </cell>
        </row>
        <row r="645">
          <cell r="BD645" t="str">
            <v>.</v>
          </cell>
        </row>
        <row r="646">
          <cell r="BD646" t="str">
            <v>.</v>
          </cell>
        </row>
        <row r="647">
          <cell r="BD647" t="str">
            <v>.</v>
          </cell>
        </row>
        <row r="648">
          <cell r="BD648" t="str">
            <v>.</v>
          </cell>
        </row>
        <row r="649">
          <cell r="BD649" t="str">
            <v>.</v>
          </cell>
        </row>
        <row r="650">
          <cell r="BD650" t="str">
            <v>.</v>
          </cell>
        </row>
        <row r="651">
          <cell r="BD651" t="str">
            <v>.</v>
          </cell>
        </row>
        <row r="652">
          <cell r="BD652" t="str">
            <v>.</v>
          </cell>
        </row>
        <row r="653">
          <cell r="BD653" t="str">
            <v>.</v>
          </cell>
        </row>
        <row r="654">
          <cell r="BD654" t="str">
            <v>.</v>
          </cell>
        </row>
        <row r="655">
          <cell r="BD655" t="str">
            <v>.</v>
          </cell>
        </row>
        <row r="656">
          <cell r="BD656" t="str">
            <v>.</v>
          </cell>
        </row>
        <row r="657">
          <cell r="BD657" t="str">
            <v>.</v>
          </cell>
        </row>
        <row r="658">
          <cell r="BD658" t="str">
            <v>.</v>
          </cell>
        </row>
        <row r="659">
          <cell r="BD659" t="str">
            <v>.</v>
          </cell>
        </row>
        <row r="660">
          <cell r="BD660" t="str">
            <v>.</v>
          </cell>
        </row>
        <row r="661">
          <cell r="BD661" t="str">
            <v>.</v>
          </cell>
        </row>
        <row r="662">
          <cell r="BD662" t="str">
            <v>.</v>
          </cell>
        </row>
        <row r="663">
          <cell r="BD663" t="str">
            <v>.</v>
          </cell>
        </row>
        <row r="664">
          <cell r="BD664" t="str">
            <v>.</v>
          </cell>
        </row>
        <row r="665">
          <cell r="BD665" t="str">
            <v>.</v>
          </cell>
        </row>
        <row r="666">
          <cell r="BD666" t="str">
            <v>.</v>
          </cell>
        </row>
        <row r="667">
          <cell r="BD667" t="str">
            <v>.</v>
          </cell>
        </row>
        <row r="668">
          <cell r="BD668" t="str">
            <v>.</v>
          </cell>
        </row>
        <row r="669">
          <cell r="BD669" t="str">
            <v>.</v>
          </cell>
        </row>
        <row r="670">
          <cell r="BD670" t="str">
            <v>.</v>
          </cell>
        </row>
        <row r="671">
          <cell r="BD671" t="str">
            <v>.</v>
          </cell>
        </row>
        <row r="672">
          <cell r="BD672" t="str">
            <v>.</v>
          </cell>
        </row>
        <row r="673">
          <cell r="BD673" t="str">
            <v>.</v>
          </cell>
        </row>
        <row r="674">
          <cell r="BD674" t="str">
            <v>.</v>
          </cell>
        </row>
        <row r="675">
          <cell r="BD675" t="str">
            <v>.</v>
          </cell>
        </row>
        <row r="676">
          <cell r="BD676" t="str">
            <v>.</v>
          </cell>
        </row>
        <row r="677">
          <cell r="BD677" t="str">
            <v>.</v>
          </cell>
        </row>
        <row r="678">
          <cell r="BD678" t="str">
            <v>.</v>
          </cell>
        </row>
        <row r="679">
          <cell r="BD679" t="str">
            <v>.</v>
          </cell>
        </row>
        <row r="680">
          <cell r="BD680" t="str">
            <v>.</v>
          </cell>
        </row>
        <row r="681">
          <cell r="BD681" t="str">
            <v>.</v>
          </cell>
        </row>
        <row r="682">
          <cell r="BD682" t="str">
            <v>.</v>
          </cell>
        </row>
        <row r="683">
          <cell r="BD683" t="str">
            <v>.</v>
          </cell>
        </row>
        <row r="684">
          <cell r="BD684" t="str">
            <v>.</v>
          </cell>
        </row>
        <row r="685">
          <cell r="BD685" t="str">
            <v>.</v>
          </cell>
        </row>
        <row r="686">
          <cell r="BD686" t="str">
            <v>.</v>
          </cell>
        </row>
        <row r="687">
          <cell r="BD687" t="str">
            <v>.</v>
          </cell>
        </row>
        <row r="688">
          <cell r="BD688" t="str">
            <v>.</v>
          </cell>
        </row>
        <row r="689">
          <cell r="BD689" t="str">
            <v>.</v>
          </cell>
        </row>
        <row r="690">
          <cell r="BD690" t="str">
            <v>.</v>
          </cell>
        </row>
        <row r="691">
          <cell r="BD691" t="str">
            <v>.</v>
          </cell>
        </row>
        <row r="692">
          <cell r="BD692" t="str">
            <v>.</v>
          </cell>
        </row>
        <row r="693">
          <cell r="BD693" t="str">
            <v>.</v>
          </cell>
        </row>
        <row r="694">
          <cell r="BD694" t="str">
            <v>.</v>
          </cell>
        </row>
        <row r="695">
          <cell r="BD695" t="str">
            <v>.</v>
          </cell>
        </row>
        <row r="696">
          <cell r="BD696" t="str">
            <v>.</v>
          </cell>
        </row>
        <row r="697">
          <cell r="BD697" t="str">
            <v>.</v>
          </cell>
        </row>
        <row r="698">
          <cell r="BD698" t="str">
            <v>.</v>
          </cell>
        </row>
        <row r="699">
          <cell r="BD699" t="str">
            <v>.</v>
          </cell>
        </row>
        <row r="700">
          <cell r="BD700" t="str">
            <v>.</v>
          </cell>
        </row>
        <row r="701">
          <cell r="BD701" t="str">
            <v>.</v>
          </cell>
        </row>
        <row r="702">
          <cell r="BD702" t="str">
            <v>.</v>
          </cell>
        </row>
        <row r="703">
          <cell r="BD703" t="str">
            <v>.</v>
          </cell>
        </row>
        <row r="704">
          <cell r="BD704" t="str">
            <v>.</v>
          </cell>
        </row>
        <row r="705">
          <cell r="BD705" t="str">
            <v>.</v>
          </cell>
        </row>
        <row r="706">
          <cell r="BD706" t="str">
            <v>.</v>
          </cell>
        </row>
        <row r="707">
          <cell r="BD707" t="str">
            <v>.</v>
          </cell>
        </row>
        <row r="708">
          <cell r="BD708" t="str">
            <v>.</v>
          </cell>
        </row>
        <row r="709">
          <cell r="BD709" t="str">
            <v>.</v>
          </cell>
        </row>
        <row r="710">
          <cell r="BD710" t="str">
            <v>.</v>
          </cell>
        </row>
        <row r="711">
          <cell r="BD711" t="str">
            <v>.</v>
          </cell>
        </row>
        <row r="712">
          <cell r="BD712" t="str">
            <v>.</v>
          </cell>
        </row>
        <row r="713">
          <cell r="BD713" t="str">
            <v>.</v>
          </cell>
        </row>
        <row r="714">
          <cell r="BD714" t="str">
            <v>.</v>
          </cell>
        </row>
        <row r="715">
          <cell r="BD715" t="str">
            <v>.</v>
          </cell>
        </row>
        <row r="716">
          <cell r="BD716" t="str">
            <v>.</v>
          </cell>
        </row>
        <row r="717">
          <cell r="BD717" t="str">
            <v>.</v>
          </cell>
        </row>
        <row r="718">
          <cell r="BD718" t="str">
            <v>.</v>
          </cell>
        </row>
        <row r="719">
          <cell r="BD719" t="str">
            <v>.</v>
          </cell>
        </row>
        <row r="720">
          <cell r="BD720" t="str">
            <v>.</v>
          </cell>
        </row>
        <row r="721">
          <cell r="BD721" t="str">
            <v>.</v>
          </cell>
        </row>
        <row r="722">
          <cell r="BD722" t="str">
            <v>.</v>
          </cell>
        </row>
        <row r="723">
          <cell r="BD723" t="str">
            <v>.</v>
          </cell>
        </row>
        <row r="724">
          <cell r="BD724" t="str">
            <v>.</v>
          </cell>
        </row>
        <row r="725">
          <cell r="BD725" t="str">
            <v>.</v>
          </cell>
        </row>
        <row r="726">
          <cell r="BD726" t="str">
            <v>.</v>
          </cell>
        </row>
        <row r="727">
          <cell r="BD727" t="str">
            <v>.</v>
          </cell>
        </row>
        <row r="728">
          <cell r="BD728" t="str">
            <v>.</v>
          </cell>
        </row>
        <row r="729">
          <cell r="BD729" t="str">
            <v>.</v>
          </cell>
        </row>
        <row r="730">
          <cell r="BD730" t="str">
            <v>.</v>
          </cell>
        </row>
        <row r="731">
          <cell r="BD731" t="str">
            <v>.</v>
          </cell>
        </row>
        <row r="732">
          <cell r="BD732" t="str">
            <v>.</v>
          </cell>
        </row>
        <row r="733">
          <cell r="BD733" t="str">
            <v>.</v>
          </cell>
        </row>
        <row r="734">
          <cell r="BD734" t="str">
            <v>.</v>
          </cell>
        </row>
        <row r="735">
          <cell r="BD735" t="str">
            <v>.</v>
          </cell>
        </row>
        <row r="736">
          <cell r="BD736" t="str">
            <v>.</v>
          </cell>
        </row>
        <row r="737">
          <cell r="BD737" t="str">
            <v>.</v>
          </cell>
        </row>
        <row r="738">
          <cell r="BD738" t="str">
            <v>.</v>
          </cell>
        </row>
        <row r="739">
          <cell r="BD739" t="str">
            <v>.</v>
          </cell>
        </row>
        <row r="740">
          <cell r="BD740" t="str">
            <v>.</v>
          </cell>
        </row>
        <row r="741">
          <cell r="BD741" t="str">
            <v>.</v>
          </cell>
        </row>
        <row r="742">
          <cell r="BD742" t="str">
            <v>.</v>
          </cell>
        </row>
        <row r="743">
          <cell r="BD743" t="str">
            <v>.</v>
          </cell>
        </row>
        <row r="744">
          <cell r="BD744" t="str">
            <v>.</v>
          </cell>
        </row>
        <row r="745">
          <cell r="BD745" t="str">
            <v>.</v>
          </cell>
        </row>
        <row r="746">
          <cell r="BD746" t="str">
            <v>.</v>
          </cell>
        </row>
        <row r="747">
          <cell r="BD747" t="str">
            <v>.</v>
          </cell>
        </row>
        <row r="748">
          <cell r="BD748" t="str">
            <v>.</v>
          </cell>
        </row>
        <row r="749">
          <cell r="BD749" t="str">
            <v>.</v>
          </cell>
        </row>
        <row r="750">
          <cell r="BD750" t="str">
            <v>.</v>
          </cell>
        </row>
        <row r="751">
          <cell r="BD751" t="str">
            <v>.</v>
          </cell>
        </row>
        <row r="752">
          <cell r="BD752" t="str">
            <v>.</v>
          </cell>
        </row>
        <row r="753">
          <cell r="BD753" t="str">
            <v>.</v>
          </cell>
        </row>
        <row r="754">
          <cell r="BD754" t="str">
            <v>.</v>
          </cell>
        </row>
        <row r="755">
          <cell r="BD755" t="str">
            <v>.</v>
          </cell>
        </row>
        <row r="756">
          <cell r="BD756" t="str">
            <v>.</v>
          </cell>
        </row>
        <row r="757">
          <cell r="BD757" t="str">
            <v>.</v>
          </cell>
        </row>
        <row r="758">
          <cell r="BD758" t="str">
            <v>.</v>
          </cell>
        </row>
        <row r="759">
          <cell r="BD759" t="str">
            <v>.</v>
          </cell>
        </row>
        <row r="760">
          <cell r="BD760" t="str">
            <v>.</v>
          </cell>
        </row>
        <row r="761">
          <cell r="BD761" t="str">
            <v>.</v>
          </cell>
        </row>
        <row r="762">
          <cell r="BD762" t="str">
            <v>.</v>
          </cell>
        </row>
        <row r="763">
          <cell r="BD763" t="str">
            <v>.</v>
          </cell>
        </row>
        <row r="764">
          <cell r="BD764" t="str">
            <v>.</v>
          </cell>
        </row>
        <row r="765">
          <cell r="BD765" t="str">
            <v>.</v>
          </cell>
        </row>
        <row r="766">
          <cell r="BD766" t="str">
            <v>.</v>
          </cell>
        </row>
        <row r="767">
          <cell r="BD767" t="str">
            <v>.</v>
          </cell>
        </row>
        <row r="768">
          <cell r="BD768" t="str">
            <v>.</v>
          </cell>
        </row>
        <row r="769">
          <cell r="BD769" t="str">
            <v>.</v>
          </cell>
        </row>
        <row r="770">
          <cell r="BD770" t="str">
            <v>.</v>
          </cell>
        </row>
        <row r="771">
          <cell r="BD771" t="str">
            <v>.</v>
          </cell>
        </row>
        <row r="772">
          <cell r="BD772" t="str">
            <v>.</v>
          </cell>
        </row>
        <row r="773">
          <cell r="BD773" t="str">
            <v>.</v>
          </cell>
        </row>
        <row r="774">
          <cell r="BD774" t="str">
            <v>.</v>
          </cell>
        </row>
        <row r="775">
          <cell r="BD775" t="str">
            <v>.</v>
          </cell>
        </row>
        <row r="776">
          <cell r="BD776" t="str">
            <v>.</v>
          </cell>
        </row>
        <row r="777">
          <cell r="BD777" t="str">
            <v>.</v>
          </cell>
        </row>
        <row r="778">
          <cell r="BD778" t="str">
            <v>.</v>
          </cell>
        </row>
        <row r="779">
          <cell r="BD779" t="str">
            <v>.</v>
          </cell>
        </row>
        <row r="780">
          <cell r="BD780" t="str">
            <v>.</v>
          </cell>
        </row>
        <row r="781">
          <cell r="BD781" t="str">
            <v>.</v>
          </cell>
        </row>
        <row r="782">
          <cell r="BD782" t="str">
            <v>.</v>
          </cell>
        </row>
        <row r="783">
          <cell r="BD783" t="str">
            <v>.</v>
          </cell>
        </row>
        <row r="784">
          <cell r="BD784" t="str">
            <v>.</v>
          </cell>
        </row>
        <row r="785">
          <cell r="BD785" t="str">
            <v>.</v>
          </cell>
        </row>
        <row r="786">
          <cell r="BD786" t="str">
            <v>.</v>
          </cell>
        </row>
        <row r="787">
          <cell r="BD787" t="str">
            <v>.</v>
          </cell>
        </row>
        <row r="788">
          <cell r="BD788" t="str">
            <v>.</v>
          </cell>
        </row>
        <row r="789">
          <cell r="BD789" t="str">
            <v>.</v>
          </cell>
        </row>
        <row r="790">
          <cell r="BD790" t="str">
            <v>.</v>
          </cell>
        </row>
        <row r="791">
          <cell r="BD791" t="str">
            <v>.</v>
          </cell>
        </row>
        <row r="792">
          <cell r="BD792" t="str">
            <v>.</v>
          </cell>
        </row>
        <row r="793">
          <cell r="BD793" t="str">
            <v>.</v>
          </cell>
        </row>
        <row r="794">
          <cell r="BD794" t="str">
            <v>.</v>
          </cell>
        </row>
        <row r="795">
          <cell r="BD795" t="str">
            <v>.</v>
          </cell>
        </row>
        <row r="796">
          <cell r="BD796" t="str">
            <v>.</v>
          </cell>
        </row>
        <row r="797">
          <cell r="BD797" t="str">
            <v>.</v>
          </cell>
        </row>
        <row r="798">
          <cell r="BD798" t="str">
            <v>.</v>
          </cell>
        </row>
        <row r="799">
          <cell r="BD799" t="str">
            <v>.</v>
          </cell>
        </row>
        <row r="800">
          <cell r="BD800" t="str">
            <v>.</v>
          </cell>
        </row>
        <row r="801">
          <cell r="BD801" t="str">
            <v>.</v>
          </cell>
        </row>
        <row r="802">
          <cell r="BD802" t="str">
            <v>.</v>
          </cell>
        </row>
        <row r="803">
          <cell r="BD803" t="str">
            <v>.</v>
          </cell>
        </row>
        <row r="804">
          <cell r="BD804" t="str">
            <v>.</v>
          </cell>
        </row>
        <row r="805">
          <cell r="BD805" t="str">
            <v>.</v>
          </cell>
        </row>
        <row r="806">
          <cell r="BD806" t="str">
            <v>.</v>
          </cell>
        </row>
        <row r="807">
          <cell r="BD807" t="str">
            <v>.</v>
          </cell>
        </row>
        <row r="808">
          <cell r="BD808" t="str">
            <v>.</v>
          </cell>
        </row>
        <row r="809">
          <cell r="BD809" t="str">
            <v>.</v>
          </cell>
        </row>
        <row r="810">
          <cell r="BD810" t="str">
            <v>.</v>
          </cell>
        </row>
        <row r="811">
          <cell r="BD811" t="str">
            <v>.</v>
          </cell>
        </row>
        <row r="812">
          <cell r="BD812" t="str">
            <v>.</v>
          </cell>
        </row>
        <row r="813">
          <cell r="BD813" t="str">
            <v>.</v>
          </cell>
        </row>
        <row r="814">
          <cell r="BD814" t="str">
            <v>.</v>
          </cell>
        </row>
        <row r="815">
          <cell r="BD815" t="str">
            <v>.</v>
          </cell>
        </row>
        <row r="816">
          <cell r="BD816" t="str">
            <v>.</v>
          </cell>
        </row>
        <row r="817">
          <cell r="BD817" t="str">
            <v>.</v>
          </cell>
        </row>
        <row r="818">
          <cell r="BD818" t="str">
            <v>.</v>
          </cell>
        </row>
        <row r="819">
          <cell r="BD819" t="str">
            <v>.</v>
          </cell>
        </row>
        <row r="820">
          <cell r="BD820" t="str">
            <v>.</v>
          </cell>
        </row>
        <row r="821">
          <cell r="BD821" t="str">
            <v>.</v>
          </cell>
        </row>
        <row r="822">
          <cell r="BD822" t="str">
            <v>.</v>
          </cell>
        </row>
        <row r="823">
          <cell r="BD823" t="str">
            <v>.</v>
          </cell>
        </row>
        <row r="824">
          <cell r="BD824" t="str">
            <v>.</v>
          </cell>
        </row>
        <row r="825">
          <cell r="BD825" t="str">
            <v>.</v>
          </cell>
        </row>
        <row r="826">
          <cell r="BD826" t="str">
            <v>.</v>
          </cell>
        </row>
        <row r="827">
          <cell r="BD827" t="str">
            <v>.</v>
          </cell>
        </row>
        <row r="828">
          <cell r="BD828" t="str">
            <v>.</v>
          </cell>
        </row>
        <row r="829">
          <cell r="BD829" t="str">
            <v>.</v>
          </cell>
        </row>
        <row r="830">
          <cell r="BD830" t="str">
            <v>.</v>
          </cell>
        </row>
        <row r="831">
          <cell r="BD831" t="str">
            <v>.</v>
          </cell>
        </row>
        <row r="832">
          <cell r="BD832" t="str">
            <v>.</v>
          </cell>
        </row>
        <row r="833">
          <cell r="BD833" t="str">
            <v>.</v>
          </cell>
        </row>
        <row r="834">
          <cell r="BD834" t="str">
            <v>.</v>
          </cell>
        </row>
        <row r="835">
          <cell r="BD835" t="str">
            <v>.</v>
          </cell>
        </row>
        <row r="836">
          <cell r="BD836" t="str">
            <v>.</v>
          </cell>
        </row>
        <row r="837">
          <cell r="BD837" t="str">
            <v>.</v>
          </cell>
        </row>
        <row r="838">
          <cell r="BD838" t="str">
            <v>.</v>
          </cell>
        </row>
        <row r="839">
          <cell r="BD839" t="str">
            <v>.</v>
          </cell>
        </row>
        <row r="840">
          <cell r="BD840" t="str">
            <v>.</v>
          </cell>
        </row>
        <row r="841">
          <cell r="BD841" t="str">
            <v>.</v>
          </cell>
        </row>
        <row r="842">
          <cell r="BD842" t="str">
            <v>.</v>
          </cell>
        </row>
        <row r="843">
          <cell r="BD843" t="str">
            <v>.</v>
          </cell>
        </row>
        <row r="844">
          <cell r="BD844" t="str">
            <v>.</v>
          </cell>
        </row>
        <row r="845">
          <cell r="BD845" t="str">
            <v>.</v>
          </cell>
        </row>
        <row r="846">
          <cell r="BD846" t="str">
            <v>.</v>
          </cell>
        </row>
        <row r="847">
          <cell r="BD847" t="str">
            <v>.</v>
          </cell>
        </row>
        <row r="848">
          <cell r="BD848" t="str">
            <v>.</v>
          </cell>
        </row>
        <row r="849">
          <cell r="BD849" t="str">
            <v>.</v>
          </cell>
        </row>
        <row r="850">
          <cell r="BD850" t="str">
            <v>.</v>
          </cell>
        </row>
        <row r="851">
          <cell r="BD851" t="str">
            <v>.</v>
          </cell>
        </row>
        <row r="852">
          <cell r="BD852" t="str">
            <v>.</v>
          </cell>
        </row>
        <row r="853">
          <cell r="BD853" t="str">
            <v>.</v>
          </cell>
        </row>
        <row r="854">
          <cell r="BD854" t="str">
            <v>.</v>
          </cell>
        </row>
        <row r="855">
          <cell r="BD855" t="str">
            <v>.</v>
          </cell>
        </row>
        <row r="856">
          <cell r="BD856" t="str">
            <v>.</v>
          </cell>
        </row>
        <row r="857">
          <cell r="BD857" t="str">
            <v>.</v>
          </cell>
        </row>
        <row r="858">
          <cell r="BD858" t="str">
            <v>.</v>
          </cell>
        </row>
        <row r="859">
          <cell r="BD859" t="str">
            <v>.</v>
          </cell>
        </row>
        <row r="860">
          <cell r="BD860" t="str">
            <v>.</v>
          </cell>
        </row>
        <row r="861">
          <cell r="BD861" t="str">
            <v>.</v>
          </cell>
        </row>
        <row r="862">
          <cell r="BD862" t="str">
            <v>.</v>
          </cell>
        </row>
        <row r="863">
          <cell r="BD863" t="str">
            <v>.</v>
          </cell>
        </row>
        <row r="864">
          <cell r="BD864" t="str">
            <v>.</v>
          </cell>
        </row>
        <row r="865">
          <cell r="BD865" t="str">
            <v>.</v>
          </cell>
        </row>
        <row r="866">
          <cell r="BD866" t="str">
            <v>.</v>
          </cell>
        </row>
        <row r="867">
          <cell r="BD867" t="str">
            <v>.</v>
          </cell>
        </row>
        <row r="868">
          <cell r="BD868" t="str">
            <v>.</v>
          </cell>
        </row>
        <row r="869">
          <cell r="BD869" t="str">
            <v>.</v>
          </cell>
        </row>
        <row r="870">
          <cell r="BD870" t="str">
            <v>.</v>
          </cell>
        </row>
        <row r="871">
          <cell r="BD871" t="str">
            <v>.</v>
          </cell>
        </row>
        <row r="872">
          <cell r="BD872" t="str">
            <v>.</v>
          </cell>
        </row>
        <row r="873">
          <cell r="BD873" t="str">
            <v>.</v>
          </cell>
        </row>
        <row r="874">
          <cell r="BD874" t="str">
            <v>.</v>
          </cell>
        </row>
        <row r="875">
          <cell r="BD875" t="str">
            <v>.</v>
          </cell>
        </row>
        <row r="876">
          <cell r="BD876" t="str">
            <v>.</v>
          </cell>
        </row>
        <row r="877">
          <cell r="BD877" t="str">
            <v>.</v>
          </cell>
        </row>
        <row r="878">
          <cell r="BD878" t="str">
            <v>.</v>
          </cell>
        </row>
        <row r="879">
          <cell r="BD879" t="str">
            <v>.</v>
          </cell>
        </row>
        <row r="880">
          <cell r="BD880" t="str">
            <v>.</v>
          </cell>
        </row>
        <row r="881">
          <cell r="BD881" t="str">
            <v>.</v>
          </cell>
        </row>
        <row r="882">
          <cell r="BD882" t="str">
            <v>.</v>
          </cell>
        </row>
        <row r="883">
          <cell r="BD883" t="str">
            <v>.</v>
          </cell>
        </row>
        <row r="884">
          <cell r="BD884" t="str">
            <v>.</v>
          </cell>
        </row>
        <row r="885">
          <cell r="BD885" t="str">
            <v>.</v>
          </cell>
        </row>
        <row r="886">
          <cell r="BD886" t="str">
            <v>.</v>
          </cell>
        </row>
        <row r="887">
          <cell r="BD887" t="str">
            <v>.</v>
          </cell>
        </row>
        <row r="888">
          <cell r="BD888" t="str">
            <v>.</v>
          </cell>
        </row>
        <row r="889">
          <cell r="BD889" t="str">
            <v>.</v>
          </cell>
        </row>
        <row r="890">
          <cell r="BD890" t="str">
            <v>.</v>
          </cell>
        </row>
        <row r="891">
          <cell r="BD891" t="str">
            <v>.</v>
          </cell>
        </row>
        <row r="892">
          <cell r="BD892" t="str">
            <v>.</v>
          </cell>
        </row>
        <row r="893">
          <cell r="BD893" t="str">
            <v>.</v>
          </cell>
        </row>
        <row r="894">
          <cell r="BD894" t="str">
            <v>.</v>
          </cell>
        </row>
        <row r="895">
          <cell r="BD895" t="str">
            <v>.</v>
          </cell>
        </row>
        <row r="896">
          <cell r="BD896" t="str">
            <v>.</v>
          </cell>
        </row>
        <row r="897">
          <cell r="BD897" t="str">
            <v>.</v>
          </cell>
        </row>
        <row r="898">
          <cell r="BD898" t="str">
            <v>.</v>
          </cell>
        </row>
        <row r="899">
          <cell r="BD899" t="str">
            <v>.</v>
          </cell>
        </row>
        <row r="900">
          <cell r="BD900" t="str">
            <v>.</v>
          </cell>
        </row>
        <row r="901">
          <cell r="BD901" t="str">
            <v>.</v>
          </cell>
        </row>
        <row r="902">
          <cell r="BD902" t="str">
            <v>.</v>
          </cell>
        </row>
        <row r="903">
          <cell r="BD903" t="str">
            <v>.</v>
          </cell>
        </row>
        <row r="904">
          <cell r="BD904" t="str">
            <v>.</v>
          </cell>
        </row>
        <row r="905">
          <cell r="BD905" t="str">
            <v>.</v>
          </cell>
        </row>
        <row r="906">
          <cell r="BD906" t="str">
            <v>.</v>
          </cell>
        </row>
        <row r="907">
          <cell r="BD907" t="str">
            <v>.</v>
          </cell>
        </row>
        <row r="908">
          <cell r="BD908" t="str">
            <v>.</v>
          </cell>
        </row>
        <row r="909">
          <cell r="BD909" t="str">
            <v>.</v>
          </cell>
        </row>
        <row r="910">
          <cell r="BD910" t="str">
            <v>.</v>
          </cell>
        </row>
        <row r="911">
          <cell r="BD911" t="str">
            <v>.</v>
          </cell>
        </row>
        <row r="912">
          <cell r="BD912" t="str">
            <v>.</v>
          </cell>
        </row>
        <row r="913">
          <cell r="BD913" t="str">
            <v>.</v>
          </cell>
        </row>
        <row r="914">
          <cell r="BD914" t="str">
            <v>.</v>
          </cell>
        </row>
        <row r="915">
          <cell r="BD915" t="str">
            <v>.</v>
          </cell>
        </row>
        <row r="916">
          <cell r="BD916" t="str">
            <v>.</v>
          </cell>
        </row>
        <row r="917">
          <cell r="BD917" t="str">
            <v>.</v>
          </cell>
        </row>
        <row r="918">
          <cell r="BD918" t="str">
            <v>.</v>
          </cell>
        </row>
        <row r="919">
          <cell r="BD919" t="str">
            <v>.</v>
          </cell>
        </row>
        <row r="920">
          <cell r="BD920" t="str">
            <v>.</v>
          </cell>
        </row>
        <row r="921">
          <cell r="BD921" t="str">
            <v>.</v>
          </cell>
        </row>
        <row r="922">
          <cell r="BD922" t="str">
            <v>.</v>
          </cell>
        </row>
        <row r="923">
          <cell r="BD923" t="str">
            <v>.</v>
          </cell>
        </row>
        <row r="924">
          <cell r="BD924" t="str">
            <v>.</v>
          </cell>
        </row>
        <row r="925">
          <cell r="BD925" t="str">
            <v>.</v>
          </cell>
        </row>
        <row r="926">
          <cell r="BD926" t="str">
            <v>.</v>
          </cell>
        </row>
        <row r="927">
          <cell r="BD927" t="str">
            <v>.</v>
          </cell>
        </row>
        <row r="928">
          <cell r="BD928" t="str">
            <v>.</v>
          </cell>
        </row>
        <row r="929">
          <cell r="BD929" t="str">
            <v>.</v>
          </cell>
        </row>
        <row r="930">
          <cell r="BD930" t="str">
            <v>.</v>
          </cell>
        </row>
        <row r="931">
          <cell r="BD931" t="str">
            <v>.</v>
          </cell>
        </row>
        <row r="932">
          <cell r="BD932" t="str">
            <v>.</v>
          </cell>
        </row>
        <row r="933">
          <cell r="BD933" t="str">
            <v>.</v>
          </cell>
        </row>
        <row r="934">
          <cell r="BD934" t="str">
            <v>.</v>
          </cell>
        </row>
        <row r="935">
          <cell r="BD935" t="str">
            <v>.</v>
          </cell>
        </row>
        <row r="936">
          <cell r="BD936" t="str">
            <v>.</v>
          </cell>
        </row>
        <row r="937">
          <cell r="BD937" t="str">
            <v>.</v>
          </cell>
        </row>
        <row r="938">
          <cell r="BD938" t="str">
            <v>.</v>
          </cell>
        </row>
        <row r="939">
          <cell r="BD939" t="str">
            <v>.</v>
          </cell>
        </row>
        <row r="940">
          <cell r="BD940" t="str">
            <v>.</v>
          </cell>
        </row>
        <row r="941">
          <cell r="BD941" t="str">
            <v>.</v>
          </cell>
        </row>
        <row r="942">
          <cell r="BD942" t="str">
            <v>.</v>
          </cell>
        </row>
        <row r="943">
          <cell r="BD943" t="str">
            <v>.</v>
          </cell>
        </row>
        <row r="944">
          <cell r="BD944" t="str">
            <v>.</v>
          </cell>
        </row>
        <row r="945">
          <cell r="BD945" t="str">
            <v>.</v>
          </cell>
        </row>
        <row r="946">
          <cell r="BD946" t="str">
            <v>.</v>
          </cell>
        </row>
        <row r="947">
          <cell r="BD947" t="str">
            <v>.</v>
          </cell>
        </row>
        <row r="948">
          <cell r="BD948" t="str">
            <v>.</v>
          </cell>
        </row>
        <row r="949">
          <cell r="BD949" t="str">
            <v>.</v>
          </cell>
        </row>
        <row r="950">
          <cell r="BD950" t="str">
            <v>.</v>
          </cell>
        </row>
        <row r="951">
          <cell r="BD951" t="str">
            <v>.</v>
          </cell>
        </row>
        <row r="952">
          <cell r="BD952" t="str">
            <v>.</v>
          </cell>
        </row>
        <row r="953">
          <cell r="BD953" t="str">
            <v>.</v>
          </cell>
        </row>
        <row r="954">
          <cell r="BD954" t="str">
            <v>.</v>
          </cell>
        </row>
        <row r="955">
          <cell r="BD955" t="str">
            <v>.</v>
          </cell>
        </row>
        <row r="956">
          <cell r="BD956" t="str">
            <v>.</v>
          </cell>
        </row>
        <row r="957">
          <cell r="BD957" t="str">
            <v>.</v>
          </cell>
        </row>
        <row r="958">
          <cell r="BD958" t="str">
            <v>.</v>
          </cell>
        </row>
        <row r="959">
          <cell r="BD959" t="str">
            <v>.</v>
          </cell>
        </row>
        <row r="960">
          <cell r="BD960" t="str">
            <v>.</v>
          </cell>
        </row>
        <row r="961">
          <cell r="BD961" t="str">
            <v>.</v>
          </cell>
        </row>
        <row r="962">
          <cell r="BD962" t="str">
            <v>.</v>
          </cell>
        </row>
        <row r="963">
          <cell r="BD963" t="str">
            <v>.</v>
          </cell>
        </row>
        <row r="964">
          <cell r="BD964" t="str">
            <v>.</v>
          </cell>
        </row>
        <row r="965">
          <cell r="BD965" t="str">
            <v>.</v>
          </cell>
        </row>
        <row r="966">
          <cell r="BD966" t="str">
            <v>.</v>
          </cell>
        </row>
        <row r="967">
          <cell r="BD967" t="str">
            <v>.</v>
          </cell>
        </row>
        <row r="968">
          <cell r="BD968" t="str">
            <v>.</v>
          </cell>
        </row>
        <row r="969">
          <cell r="BD969" t="str">
            <v>.</v>
          </cell>
        </row>
        <row r="970">
          <cell r="BD970" t="str">
            <v>.</v>
          </cell>
        </row>
        <row r="971">
          <cell r="BD971" t="str">
            <v>.</v>
          </cell>
        </row>
        <row r="972">
          <cell r="BD972" t="str">
            <v>.</v>
          </cell>
        </row>
        <row r="973">
          <cell r="BD973" t="str">
            <v>.</v>
          </cell>
        </row>
        <row r="974">
          <cell r="BD974" t="str">
            <v>.</v>
          </cell>
        </row>
        <row r="975">
          <cell r="BD975" t="str">
            <v>.</v>
          </cell>
        </row>
        <row r="976">
          <cell r="BD976" t="str">
            <v>.</v>
          </cell>
        </row>
        <row r="977">
          <cell r="BD977" t="str">
            <v>.</v>
          </cell>
        </row>
        <row r="978">
          <cell r="BD978" t="str">
            <v>.</v>
          </cell>
        </row>
        <row r="979">
          <cell r="BD979" t="str">
            <v>.</v>
          </cell>
        </row>
        <row r="980">
          <cell r="BD980" t="str">
            <v>.</v>
          </cell>
        </row>
        <row r="981">
          <cell r="BD981" t="str">
            <v>.</v>
          </cell>
        </row>
        <row r="982">
          <cell r="BD982" t="str">
            <v>.</v>
          </cell>
        </row>
        <row r="983">
          <cell r="BD983" t="str">
            <v>.</v>
          </cell>
        </row>
        <row r="984">
          <cell r="BD984" t="str">
            <v>.</v>
          </cell>
        </row>
        <row r="985">
          <cell r="BD985" t="str">
            <v>.</v>
          </cell>
        </row>
        <row r="986">
          <cell r="BD986" t="str">
            <v>.</v>
          </cell>
        </row>
        <row r="987">
          <cell r="BD987" t="str">
            <v>.</v>
          </cell>
        </row>
        <row r="988">
          <cell r="BD988" t="str">
            <v>.</v>
          </cell>
        </row>
        <row r="989">
          <cell r="BD989" t="str">
            <v>.</v>
          </cell>
        </row>
        <row r="990">
          <cell r="BD990" t="str">
            <v>.</v>
          </cell>
        </row>
        <row r="991">
          <cell r="BD991" t="str">
            <v>.</v>
          </cell>
        </row>
        <row r="992">
          <cell r="BD992" t="str">
            <v>.</v>
          </cell>
        </row>
        <row r="993">
          <cell r="BD993" t="str">
            <v>.</v>
          </cell>
        </row>
        <row r="994">
          <cell r="BD994" t="str">
            <v>.</v>
          </cell>
        </row>
        <row r="995">
          <cell r="BD995" t="str">
            <v>.</v>
          </cell>
        </row>
        <row r="996">
          <cell r="C996" t="str">
            <v>.</v>
          </cell>
          <cell r="D996" t="str">
            <v>.</v>
          </cell>
          <cell r="E996" t="str">
            <v>.</v>
          </cell>
          <cell r="F996" t="str">
            <v>.</v>
          </cell>
          <cell r="G996" t="str">
            <v>.</v>
          </cell>
          <cell r="H996" t="str">
            <v>.</v>
          </cell>
          <cell r="BD996" t="str">
            <v>.</v>
          </cell>
        </row>
        <row r="997">
          <cell r="A997" t="str">
            <v>.</v>
          </cell>
          <cell r="B997" t="str">
            <v>.</v>
          </cell>
          <cell r="V997" t="str">
            <v>.</v>
          </cell>
          <cell r="W997" t="str">
            <v>.</v>
          </cell>
          <cell r="X997" t="str">
            <v>.</v>
          </cell>
          <cell r="Y997" t="str">
            <v>.</v>
          </cell>
          <cell r="Z997" t="str">
            <v>.</v>
          </cell>
          <cell r="AA997" t="str">
            <v>.</v>
          </cell>
          <cell r="AB997" t="str">
            <v>.</v>
          </cell>
          <cell r="AC997" t="str">
            <v>.</v>
          </cell>
          <cell r="AD997" t="str">
            <v>.</v>
          </cell>
          <cell r="AE997" t="str">
            <v>.</v>
          </cell>
          <cell r="AF997" t="str">
            <v>.</v>
          </cell>
          <cell r="AG997" t="str">
            <v>.</v>
          </cell>
          <cell r="AH997" t="str">
            <v>.</v>
          </cell>
          <cell r="AI997" t="str">
            <v>.</v>
          </cell>
          <cell r="AJ997" t="str">
            <v>.</v>
          </cell>
          <cell r="AK997" t="str">
            <v>.</v>
          </cell>
          <cell r="AL997" t="str">
            <v>.</v>
          </cell>
          <cell r="AM997" t="str">
            <v>.</v>
          </cell>
          <cell r="AN997" t="str">
            <v>.</v>
          </cell>
          <cell r="AO997" t="str">
            <v>.</v>
          </cell>
          <cell r="AP997" t="str">
            <v>.</v>
          </cell>
          <cell r="AQ997" t="str">
            <v>.</v>
          </cell>
          <cell r="AR997" t="str">
            <v>.</v>
          </cell>
          <cell r="AS997" t="str">
            <v>.</v>
          </cell>
          <cell r="AT997" t="str">
            <v>.</v>
          </cell>
          <cell r="AU997" t="str">
            <v>.</v>
          </cell>
          <cell r="AV997" t="str">
            <v>.</v>
          </cell>
          <cell r="AW997" t="str">
            <v>.</v>
          </cell>
          <cell r="AX997" t="str">
            <v>.</v>
          </cell>
          <cell r="AY997" t="str">
            <v>.</v>
          </cell>
          <cell r="AZ997" t="str">
            <v>.</v>
          </cell>
          <cell r="BA997" t="str">
            <v>.</v>
          </cell>
          <cell r="BB997" t="str">
            <v>.</v>
          </cell>
          <cell r="BC997" t="str">
            <v>.</v>
          </cell>
          <cell r="BD997" t="str">
            <v>.</v>
          </cell>
        </row>
      </sheetData>
      <sheetData sheetId="26"/>
      <sheetData sheetId="27">
        <row r="1">
          <cell r="A1" t="str">
            <v>RRS-5.10</v>
          </cell>
        </row>
      </sheetData>
      <sheetData sheetId="28"/>
      <sheetData sheetId="29"/>
      <sheetData sheetId="30"/>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sheetData sheetId="43"/>
      <sheetData sheetId="44"/>
      <sheetData sheetId="45"/>
      <sheetData sheetId="46"/>
      <sheetData sheetId="47" refreshError="1"/>
      <sheetData sheetId="48"/>
      <sheetData sheetId="49" refreshError="1"/>
      <sheetData sheetId="50" refreshError="1"/>
      <sheetData sheetId="51" refreshError="1"/>
      <sheetData sheetId="52" refreshError="1"/>
      <sheetData sheetId="5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mwareTaxoPres"/>
      <sheetName val="LOG"/>
      <sheetName val="MS Est vs. Rpt"/>
      <sheetName val="Changes to the Model"/>
      <sheetName val="Quarterly"/>
      <sheetName val="mwareValPrintout"/>
      <sheetName val="Annual"/>
      <sheetName val="Balance Sheet "/>
      <sheetName val="Cashflow"/>
      <sheetName val="Avastin"/>
      <sheetName val="Herceptin"/>
      <sheetName val="Rituxan"/>
      <sheetName val="Raptiva"/>
      <sheetName val="Xolair"/>
      <sheetName val="Avastin-Patient Ramp"/>
      <sheetName val="DCF Valuation"/>
      <sheetName val="Model_Template"/>
      <sheetName val="Clinical data"/>
      <sheetName val="Sheet1"/>
      <sheetName val="Sheet1 (2)"/>
      <sheetName val="Marketing"/>
      <sheetName val="mwareDates"/>
      <sheetName val="MWare_Cached"/>
      <sheetName val="Manufacturing"/>
      <sheetName val="NY UPLOAD shadow"/>
      <sheetName val="mwareSettings"/>
      <sheetName val="mStartup"/>
      <sheetName val="MainCode"/>
      <sheetName val="Figures"/>
      <sheetName val="MS Est. Vs Actual"/>
      <sheetName val="ProcritAranesp"/>
      <sheetName val="Changes to Model"/>
    </sheetNames>
    <sheetDataSet>
      <sheetData sheetId="0" refreshError="1"/>
      <sheetData sheetId="1" refreshError="1"/>
      <sheetData sheetId="2" refreshError="1"/>
      <sheetData sheetId="3" refreshError="1">
        <row r="2">
          <cell r="B2" t="str">
            <v>Earnings Snapshot</v>
          </cell>
        </row>
        <row r="3">
          <cell r="C3" t="str">
            <v>1Q05</v>
          </cell>
          <cell r="D3" t="str">
            <v>1Q06</v>
          </cell>
          <cell r="E3" t="str">
            <v>1Q06</v>
          </cell>
          <cell r="F3" t="str">
            <v>% Var.</v>
          </cell>
          <cell r="G3" t="str">
            <v>Y/Y</v>
          </cell>
        </row>
        <row r="4">
          <cell r="C4" t="str">
            <v>Actual</v>
          </cell>
          <cell r="D4" t="str">
            <v>MS Est</v>
          </cell>
          <cell r="E4" t="str">
            <v>Actual</v>
          </cell>
          <cell r="F4" t="str">
            <v>from est.</v>
          </cell>
          <cell r="G4" t="str">
            <v>% chg</v>
          </cell>
          <cell r="H4" t="str">
            <v>Comments</v>
          </cell>
        </row>
        <row r="5">
          <cell r="B5" t="str">
            <v>Revenues:</v>
          </cell>
        </row>
        <row r="6">
          <cell r="B6" t="str">
            <v>Rituxan US</v>
          </cell>
          <cell r="C6">
            <v>440.55</v>
          </cell>
          <cell r="D6">
            <v>505</v>
          </cell>
          <cell r="E6">
            <v>477</v>
          </cell>
          <cell r="F6">
            <v>-5.5445544554455495E-2</v>
          </cell>
          <cell r="G6">
            <v>0.14629440472137101</v>
          </cell>
          <cell r="H6" t="str">
            <v>Rituxan sales meaningfully weaker than indicated by IMS sales trends.</v>
          </cell>
        </row>
        <row r="7">
          <cell r="B7" t="str">
            <v>Avastin US</v>
          </cell>
          <cell r="C7">
            <v>202.85499999999999</v>
          </cell>
          <cell r="D7">
            <v>405</v>
          </cell>
          <cell r="E7">
            <v>398</v>
          </cell>
          <cell r="F7">
            <v>-1.7283950617283939E-2</v>
          </cell>
          <cell r="G7">
            <v>0.99649996302777866</v>
          </cell>
          <cell r="H7" t="str">
            <v xml:space="preserve">US sales were $10M short of our estimate after adjusting for $3M add back for destroyed shipment. </v>
          </cell>
        </row>
        <row r="8">
          <cell r="B8" t="str">
            <v>Herceptin US</v>
          </cell>
          <cell r="C8">
            <v>129.63</v>
          </cell>
          <cell r="D8">
            <v>273</v>
          </cell>
          <cell r="E8">
            <v>290</v>
          </cell>
          <cell r="F8">
            <v>6.2271062271062272E-2</v>
          </cell>
          <cell r="G8">
            <v>1.1059939828743346</v>
          </cell>
          <cell r="H8" t="str">
            <v>Herceptin strength in line with IMS sales data ($2M added back for destroyed shipment).</v>
          </cell>
        </row>
        <row r="9">
          <cell r="B9" t="str">
            <v>Xolair</v>
          </cell>
          <cell r="C9">
            <v>68.597000000000008</v>
          </cell>
          <cell r="D9">
            <v>98</v>
          </cell>
          <cell r="E9">
            <v>95</v>
          </cell>
          <cell r="F9">
            <v>-3.0612244897959218E-2</v>
          </cell>
          <cell r="G9">
            <v>0.42863390527282519</v>
          </cell>
        </row>
        <row r="10">
          <cell r="B10" t="str">
            <v>Tarceva - US</v>
          </cell>
          <cell r="C10">
            <v>47.585000000000001</v>
          </cell>
          <cell r="D10">
            <v>97</v>
          </cell>
          <cell r="E10">
            <v>93</v>
          </cell>
          <cell r="F10">
            <v>-4.123711340206182E-2</v>
          </cell>
          <cell r="G10" t="str">
            <v>NM</v>
          </cell>
          <cell r="H10" t="str">
            <v>US Tarceva sales below expectations based on IMS prescription trends and the November price increase.</v>
          </cell>
        </row>
        <row r="11">
          <cell r="B11" t="str">
            <v>Raptiva</v>
          </cell>
          <cell r="C11">
            <v>24.114999999999998</v>
          </cell>
          <cell r="D11">
            <v>22</v>
          </cell>
          <cell r="E11">
            <v>21</v>
          </cell>
          <cell r="F11">
            <v>-4.5454545454545414E-2</v>
          </cell>
          <cell r="G11">
            <v>-8.7704748082106487E-2</v>
          </cell>
        </row>
        <row r="12">
          <cell r="B12" t="str">
            <v>Growth Hormone Products</v>
          </cell>
          <cell r="C12">
            <v>92.087999999999994</v>
          </cell>
          <cell r="D12">
            <v>94</v>
          </cell>
          <cell r="E12">
            <v>87</v>
          </cell>
          <cell r="F12">
            <v>-7.4468085106383031E-2</v>
          </cell>
          <cell r="G12">
            <v>2.0762748675180243E-2</v>
          </cell>
        </row>
        <row r="13">
          <cell r="B13" t="str">
            <v>Thrombolytics</v>
          </cell>
          <cell r="C13">
            <v>53.57</v>
          </cell>
          <cell r="D13">
            <v>59</v>
          </cell>
          <cell r="E13">
            <v>59</v>
          </cell>
          <cell r="F13">
            <v>0</v>
          </cell>
          <cell r="G13">
            <v>0.10136270300541339</v>
          </cell>
        </row>
        <row r="14">
          <cell r="B14" t="str">
            <v>Pulmozyme</v>
          </cell>
          <cell r="C14">
            <v>51.745999999999995</v>
          </cell>
          <cell r="D14">
            <v>51</v>
          </cell>
          <cell r="E14">
            <v>49</v>
          </cell>
          <cell r="F14">
            <v>-3.9215686274509776E-2</v>
          </cell>
          <cell r="G14">
            <v>-1.4416573261701315E-2</v>
          </cell>
        </row>
        <row r="15">
          <cell r="B15" t="str">
            <v>Royalties, Contracts and Other</v>
          </cell>
          <cell r="C15">
            <v>275.60000000000002</v>
          </cell>
          <cell r="D15">
            <v>316.2</v>
          </cell>
          <cell r="E15">
            <v>342</v>
          </cell>
          <cell r="F15">
            <v>8.1593927893738094E-2</v>
          </cell>
          <cell r="G15">
            <v>0.1473149492017416</v>
          </cell>
        </row>
        <row r="16">
          <cell r="B16" t="str">
            <v>Total Revenues</v>
          </cell>
          <cell r="C16">
            <v>1461.6020000000003</v>
          </cell>
          <cell r="D16">
            <v>2013.12</v>
          </cell>
          <cell r="E16">
            <v>1986</v>
          </cell>
          <cell r="F16">
            <v>-1.3471626132570247E-2</v>
          </cell>
          <cell r="G16">
            <v>0.37733801677884915</v>
          </cell>
        </row>
        <row r="17">
          <cell r="B17" t="str">
            <v>Operating Expenses:</v>
          </cell>
        </row>
        <row r="18">
          <cell r="B18" t="str">
            <v>Cost of Sales</v>
          </cell>
          <cell r="C18">
            <v>251.041</v>
          </cell>
          <cell r="D18">
            <v>268.11336</v>
          </cell>
          <cell r="E18">
            <v>262</v>
          </cell>
          <cell r="F18">
            <v>-2.28014001241863E-2</v>
          </cell>
          <cell r="G18">
            <v>6.8006261925342981E-2</v>
          </cell>
        </row>
        <row r="19">
          <cell r="B19" t="str">
            <v>R&amp;D</v>
          </cell>
          <cell r="C19">
            <v>243.24</v>
          </cell>
          <cell r="D19">
            <v>367.39440000000002</v>
          </cell>
          <cell r="E19">
            <v>341</v>
          </cell>
          <cell r="F19">
            <v>-7.1842140217706185E-2</v>
          </cell>
          <cell r="G19">
            <v>0.51041933892451907</v>
          </cell>
        </row>
        <row r="20">
          <cell r="B20" t="str">
            <v>SG&amp;A</v>
          </cell>
          <cell r="C20">
            <v>315.214</v>
          </cell>
          <cell r="D20">
            <v>417.72239999999999</v>
          </cell>
          <cell r="E20">
            <v>400</v>
          </cell>
          <cell r="F20">
            <v>-4.2426262034307882E-2</v>
          </cell>
          <cell r="G20">
            <v>0.32520256079996446</v>
          </cell>
        </row>
        <row r="21">
          <cell r="B21" t="str">
            <v>Collaborative Profit Split</v>
          </cell>
          <cell r="C21">
            <v>176.27699999999999</v>
          </cell>
          <cell r="D21">
            <v>240</v>
          </cell>
          <cell r="E21">
            <v>226</v>
          </cell>
          <cell r="F21">
            <v>-5.8333333333333348E-2</v>
          </cell>
          <cell r="G21">
            <v>0.36149355843360187</v>
          </cell>
        </row>
        <row r="22">
          <cell r="B22" t="str">
            <v>Total Op.Expenses</v>
          </cell>
          <cell r="C22">
            <v>985.77199999999993</v>
          </cell>
          <cell r="D22">
            <v>1293.2301600000001</v>
          </cell>
          <cell r="E22">
            <v>1229</v>
          </cell>
          <cell r="F22">
            <v>-4.9666456897355382E-2</v>
          </cell>
          <cell r="G22">
            <v>0.31189581363641916</v>
          </cell>
        </row>
        <row r="23">
          <cell r="B23" t="str">
            <v>Operating Income (Loss)</v>
          </cell>
          <cell r="C23">
            <v>475.83000000000027</v>
          </cell>
          <cell r="D23">
            <v>719.88984000000005</v>
          </cell>
          <cell r="E23">
            <v>757</v>
          </cell>
          <cell r="F23">
            <v>5.154977600461752E-2</v>
          </cell>
          <cell r="G23">
            <v>0.51291393985246758</v>
          </cell>
        </row>
        <row r="24">
          <cell r="B24" t="str">
            <v xml:space="preserve">   Net Other Income</v>
          </cell>
          <cell r="C24">
            <v>16.396000000000001</v>
          </cell>
          <cell r="D24">
            <v>16</v>
          </cell>
          <cell r="E24">
            <v>34</v>
          </cell>
          <cell r="F24">
            <v>1.125</v>
          </cell>
          <cell r="G24">
            <v>-2.4152232251768768E-2</v>
          </cell>
        </row>
        <row r="25">
          <cell r="B25" t="str">
            <v xml:space="preserve">   Tax Expense</v>
          </cell>
          <cell r="C25">
            <v>180.58500000000001</v>
          </cell>
          <cell r="D25">
            <v>272.27924080000003</v>
          </cell>
          <cell r="E25">
            <v>300</v>
          </cell>
          <cell r="F25">
            <v>0.10181003560371304</v>
          </cell>
          <cell r="G25">
            <v>0.50776222166846652</v>
          </cell>
        </row>
        <row r="26">
          <cell r="B26" t="str">
            <v>Net Income (Loss)</v>
          </cell>
          <cell r="C26">
            <v>311.6410000000003</v>
          </cell>
          <cell r="D26">
            <v>463.61059920000002</v>
          </cell>
          <cell r="E26">
            <v>491</v>
          </cell>
          <cell r="F26">
            <v>5.9078461207018762E-2</v>
          </cell>
          <cell r="G26">
            <v>0.48764315093328414</v>
          </cell>
        </row>
        <row r="27">
          <cell r="B27" t="str">
            <v>EPS, Diluted</v>
          </cell>
          <cell r="C27">
            <v>0.29205273126155645</v>
          </cell>
          <cell r="D27">
            <v>0.42985344635725764</v>
          </cell>
          <cell r="E27">
            <v>0.45674418604651162</v>
          </cell>
          <cell r="F27">
            <v>6.2557925072222575E-2</v>
          </cell>
          <cell r="G27">
            <v>0.47183505013103155</v>
          </cell>
        </row>
        <row r="28">
          <cell r="B28" t="str">
            <v>Consensus EPS</v>
          </cell>
          <cell r="D28">
            <v>0.41</v>
          </cell>
        </row>
        <row r="29">
          <cell r="B29" t="str">
            <v xml:space="preserve">Diluted Shares Outstanding </v>
          </cell>
          <cell r="C29">
            <v>1067.0709999999999</v>
          </cell>
          <cell r="D29">
            <v>1078.531772</v>
          </cell>
          <cell r="E29">
            <v>1075</v>
          </cell>
          <cell r="F29">
            <v>-3.2746109958826652E-3</v>
          </cell>
          <cell r="G29">
            <v>1.0740402466190346E-2</v>
          </cell>
        </row>
      </sheetData>
      <sheetData sheetId="4" refreshError="1">
        <row r="2">
          <cell r="B2" t="str">
            <v>Changes To Model</v>
          </cell>
        </row>
        <row r="3">
          <cell r="C3">
            <v>2003</v>
          </cell>
          <cell r="E3">
            <v>2004</v>
          </cell>
          <cell r="G3">
            <v>2005</v>
          </cell>
          <cell r="I3">
            <v>2006</v>
          </cell>
          <cell r="K3">
            <v>2007</v>
          </cell>
          <cell r="M3">
            <v>2008</v>
          </cell>
          <cell r="O3">
            <v>2009</v>
          </cell>
          <cell r="Q3">
            <v>2010</v>
          </cell>
          <cell r="R3" t="str">
            <v>Comments</v>
          </cell>
        </row>
        <row r="4">
          <cell r="B4" t="str">
            <v>Avastin US Sales</v>
          </cell>
          <cell r="R4" t="str">
            <v>Lowered near term (2006-09) estimates based on current usage trends.  Long term, sales projections become more dependent upon additional indications.</v>
          </cell>
        </row>
        <row r="5">
          <cell r="B5" t="str">
            <v xml:space="preserve">   Current</v>
          </cell>
          <cell r="C5">
            <v>0</v>
          </cell>
          <cell r="E5">
            <v>552.34</v>
          </cell>
          <cell r="G5">
            <v>1132.721</v>
          </cell>
          <cell r="I5">
            <v>1876</v>
          </cell>
          <cell r="K5">
            <v>2817.9611602894643</v>
          </cell>
          <cell r="M5">
            <v>3802.1294573955038</v>
          </cell>
          <cell r="O5">
            <v>4624.6783247655285</v>
          </cell>
          <cell r="Q5">
            <v>5307.1770570587933</v>
          </cell>
        </row>
        <row r="6">
          <cell r="B6" t="str">
            <v xml:space="preserve">   Prior</v>
          </cell>
          <cell r="C6">
            <v>0</v>
          </cell>
          <cell r="E6">
            <v>545.5</v>
          </cell>
          <cell r="G6">
            <v>1132.721</v>
          </cell>
          <cell r="I6">
            <v>1991</v>
          </cell>
          <cell r="K6">
            <v>3237.062488981529</v>
          </cell>
          <cell r="M6">
            <v>4383.5907709546664</v>
          </cell>
          <cell r="O6">
            <v>4968.255300105604</v>
          </cell>
          <cell r="Q6">
            <v>5357.3388751605999</v>
          </cell>
        </row>
        <row r="7">
          <cell r="B7" t="str">
            <v>Rituxan US Sales</v>
          </cell>
        </row>
        <row r="8">
          <cell r="B8" t="str">
            <v xml:space="preserve">   Current</v>
          </cell>
          <cell r="C8">
            <v>1360.2</v>
          </cell>
          <cell r="E8">
            <v>1574</v>
          </cell>
          <cell r="G8">
            <v>1831.481</v>
          </cell>
          <cell r="I8">
            <v>2097</v>
          </cell>
          <cell r="K8">
            <v>2430.2807564833265</v>
          </cell>
          <cell r="M8">
            <v>2695.0166005063993</v>
          </cell>
          <cell r="O8">
            <v>2950.119381396431</v>
          </cell>
          <cell r="Q8">
            <v>3220</v>
          </cell>
        </row>
        <row r="9">
          <cell r="B9" t="str">
            <v xml:space="preserve">   Prior</v>
          </cell>
          <cell r="C9">
            <v>1360.2</v>
          </cell>
          <cell r="E9">
            <v>1574</v>
          </cell>
          <cell r="G9">
            <v>1831.481</v>
          </cell>
          <cell r="I9">
            <v>2160</v>
          </cell>
          <cell r="K9">
            <v>2437.3514265485192</v>
          </cell>
          <cell r="M9">
            <v>2692.5171673115556</v>
          </cell>
          <cell r="O9">
            <v>2933.0759826633407</v>
          </cell>
          <cell r="Q9">
            <v>3195</v>
          </cell>
        </row>
        <row r="10">
          <cell r="B10" t="str">
            <v>Herceptin US Sales</v>
          </cell>
        </row>
        <row r="11">
          <cell r="B11" t="str">
            <v xml:space="preserve">   Current</v>
          </cell>
          <cell r="C11">
            <v>424.8</v>
          </cell>
          <cell r="E11">
            <v>482.27499999999998</v>
          </cell>
          <cell r="G11">
            <v>747.24699999999996</v>
          </cell>
          <cell r="I11">
            <v>1375</v>
          </cell>
          <cell r="K11">
            <v>1566.9607618585742</v>
          </cell>
          <cell r="M11">
            <v>1676.8953104490511</v>
          </cell>
          <cell r="O11">
            <v>1772.633441089682</v>
          </cell>
          <cell r="Q11">
            <v>1873.880898727371</v>
          </cell>
        </row>
        <row r="12">
          <cell r="B12" t="str">
            <v xml:space="preserve">   Prior</v>
          </cell>
          <cell r="C12">
            <v>424.8</v>
          </cell>
          <cell r="E12">
            <v>482.27499999999998</v>
          </cell>
          <cell r="G12">
            <v>747.24699999999996</v>
          </cell>
          <cell r="I12">
            <v>1236</v>
          </cell>
          <cell r="K12">
            <v>1467.230824775874</v>
          </cell>
          <cell r="M12">
            <v>1572.4179521860037</v>
          </cell>
          <cell r="O12">
            <v>1676.1602207869551</v>
          </cell>
          <cell r="Q12">
            <v>1802.0633882939715</v>
          </cell>
        </row>
        <row r="13">
          <cell r="B13" t="str">
            <v>Xolair</v>
          </cell>
        </row>
        <row r="14">
          <cell r="B14" t="str">
            <v xml:space="preserve">   Current</v>
          </cell>
          <cell r="C14">
            <v>25.3</v>
          </cell>
          <cell r="E14">
            <v>188.5</v>
          </cell>
          <cell r="G14">
            <v>323.79700000000003</v>
          </cell>
          <cell r="I14">
            <v>423</v>
          </cell>
          <cell r="K14">
            <v>496.67639851943272</v>
          </cell>
          <cell r="M14">
            <v>549.18117450569844</v>
          </cell>
          <cell r="O14">
            <v>609.0179751523707</v>
          </cell>
          <cell r="Q14">
            <v>656.42413544863268</v>
          </cell>
        </row>
        <row r="15">
          <cell r="B15" t="str">
            <v xml:space="preserve">   Prior</v>
          </cell>
          <cell r="C15">
            <v>25.3</v>
          </cell>
          <cell r="E15">
            <v>188.5</v>
          </cell>
          <cell r="G15">
            <v>332.99700000000001</v>
          </cell>
          <cell r="I15">
            <v>443.81706468549254</v>
          </cell>
          <cell r="K15">
            <v>496.67639851943272</v>
          </cell>
          <cell r="M15">
            <v>583.43592955279041</v>
          </cell>
          <cell r="O15">
            <v>583.43592955279041</v>
          </cell>
          <cell r="Q15">
            <v>583.43592955279041</v>
          </cell>
        </row>
        <row r="16">
          <cell r="B16" t="str">
            <v>Raptiva</v>
          </cell>
        </row>
        <row r="17">
          <cell r="B17" t="str">
            <v xml:space="preserve">   Current</v>
          </cell>
          <cell r="C17">
            <v>1.4</v>
          </cell>
          <cell r="E17">
            <v>56.300000000000004</v>
          </cell>
          <cell r="G17">
            <v>86.754999999999995</v>
          </cell>
          <cell r="I17">
            <v>93</v>
          </cell>
          <cell r="K17">
            <v>114.74883545485645</v>
          </cell>
          <cell r="M17">
            <v>111.02507700089812</v>
          </cell>
          <cell r="O17">
            <v>116.64294589714356</v>
          </cell>
          <cell r="Q17">
            <v>122.54507895953904</v>
          </cell>
        </row>
        <row r="18">
          <cell r="B18" t="str">
            <v xml:space="preserve">   Prior</v>
          </cell>
          <cell r="C18">
            <v>1.4</v>
          </cell>
          <cell r="E18">
            <v>56.3</v>
          </cell>
          <cell r="G18">
            <v>96.415000000000006</v>
          </cell>
          <cell r="I18">
            <v>128.34202046044302</v>
          </cell>
          <cell r="K18">
            <v>154.41809851788798</v>
          </cell>
          <cell r="M18">
            <v>190.17374516347169</v>
          </cell>
          <cell r="O18">
            <v>190.17374516347169</v>
          </cell>
          <cell r="Q18">
            <v>190.17374516347169</v>
          </cell>
        </row>
        <row r="19">
          <cell r="B19" t="str">
            <v>Lucentis</v>
          </cell>
        </row>
        <row r="20">
          <cell r="B20" t="str">
            <v xml:space="preserve">   Current</v>
          </cell>
          <cell r="C20">
            <v>0</v>
          </cell>
          <cell r="E20">
            <v>0</v>
          </cell>
          <cell r="G20">
            <v>0</v>
          </cell>
          <cell r="I20">
            <v>135</v>
          </cell>
          <cell r="K20">
            <v>550</v>
          </cell>
          <cell r="M20">
            <v>850</v>
          </cell>
          <cell r="O20">
            <v>1050</v>
          </cell>
          <cell r="Q20">
            <v>1200</v>
          </cell>
        </row>
        <row r="21">
          <cell r="B21" t="str">
            <v xml:space="preserve">   Prior</v>
          </cell>
          <cell r="C21">
            <v>1.4</v>
          </cell>
          <cell r="E21">
            <v>0</v>
          </cell>
          <cell r="G21">
            <v>0</v>
          </cell>
          <cell r="I21">
            <v>150</v>
          </cell>
          <cell r="K21">
            <v>700</v>
          </cell>
          <cell r="M21">
            <v>1150</v>
          </cell>
          <cell r="O21">
            <v>1150</v>
          </cell>
          <cell r="Q21">
            <v>1150</v>
          </cell>
        </row>
        <row r="22">
          <cell r="B22" t="str">
            <v>Total Revenue</v>
          </cell>
          <cell r="R22" t="str">
            <v>2006 Guidance: Sales to Collaborators= YoY growth of 30%; Royalties = YoY growth of 30%; Net Interest Income = YoY growth of 30%</v>
          </cell>
        </row>
        <row r="23">
          <cell r="B23" t="str">
            <v xml:space="preserve">   Current</v>
          </cell>
          <cell r="C23">
            <v>3300.2629999999999</v>
          </cell>
          <cell r="E23">
            <v>4621.2</v>
          </cell>
          <cell r="G23">
            <v>6633.4230000000007</v>
          </cell>
          <cell r="I23">
            <v>9120.36</v>
          </cell>
          <cell r="K23">
            <v>11279.125121683228</v>
          </cell>
          <cell r="M23">
            <v>13104.186311101828</v>
          </cell>
          <cell r="O23">
            <v>14586.038977915103</v>
          </cell>
          <cell r="Q23">
            <v>15778.109649377711</v>
          </cell>
        </row>
        <row r="24">
          <cell r="B24" t="str">
            <v xml:space="preserve">   Prior</v>
          </cell>
          <cell r="C24">
            <v>3300.2629999999999</v>
          </cell>
          <cell r="E24">
            <v>4614.3599999999997</v>
          </cell>
          <cell r="G24">
            <v>6633.4230000000007</v>
          </cell>
          <cell r="I24">
            <v>9060.77</v>
          </cell>
          <cell r="K24">
            <v>11649.799183357783</v>
          </cell>
          <cell r="M24">
            <v>13530.991983203103</v>
          </cell>
          <cell r="O24">
            <v>14825.172049719364</v>
          </cell>
          <cell r="Q24">
            <v>15802.880857526117</v>
          </cell>
        </row>
        <row r="25">
          <cell r="B25" t="str">
            <v>COGS ($MM)</v>
          </cell>
          <cell r="R25" t="str">
            <v xml:space="preserve">2006 Guidance: 16% of sales (from 15-16%);  </v>
          </cell>
        </row>
        <row r="26">
          <cell r="B26" t="str">
            <v xml:space="preserve">   Current</v>
          </cell>
          <cell r="C26">
            <v>480.15100000000001</v>
          </cell>
          <cell r="E26">
            <v>672.5</v>
          </cell>
          <cell r="G26">
            <v>1011.0629999999999</v>
          </cell>
          <cell r="I26">
            <v>1222.5376000000001</v>
          </cell>
          <cell r="K26">
            <v>1506.7599287814626</v>
          </cell>
          <cell r="M26">
            <v>1619.0699996815897</v>
          </cell>
          <cell r="O26">
            <v>1702.8029601920346</v>
          </cell>
          <cell r="Q26">
            <v>1774.5598005138277</v>
          </cell>
        </row>
        <row r="27">
          <cell r="B27" t="str">
            <v xml:space="preserve">   Prior</v>
          </cell>
          <cell r="C27">
            <v>480.15100000000001</v>
          </cell>
          <cell r="E27">
            <v>672.5</v>
          </cell>
          <cell r="G27">
            <v>1011.0629999999999</v>
          </cell>
          <cell r="I27">
            <v>1202.9025999999999</v>
          </cell>
          <cell r="K27">
            <v>1565.9989624404361</v>
          </cell>
          <cell r="M27">
            <v>1695.7885048324765</v>
          </cell>
          <cell r="O27">
            <v>1751.9607945750547</v>
          </cell>
          <cell r="Q27">
            <v>1797.2421266516367</v>
          </cell>
        </row>
        <row r="28">
          <cell r="B28" t="str">
            <v>R&amp;D ($MM)</v>
          </cell>
          <cell r="R28" t="str">
            <v>2006 Guidance: 18-19% of operating revenue.</v>
          </cell>
        </row>
        <row r="29">
          <cell r="B29" t="str">
            <v xml:space="preserve">   Current</v>
          </cell>
          <cell r="C29">
            <v>721.96299999999997</v>
          </cell>
          <cell r="D29">
            <v>0.15795323682159235</v>
          </cell>
          <cell r="E29">
            <v>947.5</v>
          </cell>
          <cell r="F29">
            <v>0.3123941254607232</v>
          </cell>
          <cell r="G29">
            <v>1261.8240000000001</v>
          </cell>
          <cell r="H29">
            <v>0.33174036939314</v>
          </cell>
          <cell r="I29">
            <v>1677.1420800000001</v>
          </cell>
          <cell r="J29">
            <v>0.3291410529519172</v>
          </cell>
          <cell r="K29">
            <v>2058.4403347071889</v>
          </cell>
          <cell r="M29">
            <v>2384.9619086205325</v>
          </cell>
          <cell r="O29">
            <v>2654.6590939805487</v>
          </cell>
          <cell r="Q29">
            <v>2871.6159561867435</v>
          </cell>
        </row>
        <row r="30">
          <cell r="B30" t="str">
            <v xml:space="preserve">   Prior</v>
          </cell>
          <cell r="C30">
            <v>721.96299999999997</v>
          </cell>
          <cell r="E30">
            <v>947.5</v>
          </cell>
          <cell r="F30">
            <v>0.3123941254607232</v>
          </cell>
          <cell r="G30">
            <v>1261.8240000000001</v>
          </cell>
          <cell r="H30">
            <v>0.33174036939314</v>
          </cell>
          <cell r="I30">
            <v>1677.54035</v>
          </cell>
          <cell r="J30">
            <v>0.32945668334094136</v>
          </cell>
          <cell r="K30">
            <v>2126.0883509627956</v>
          </cell>
          <cell r="M30">
            <v>2462.6405409429644</v>
          </cell>
          <cell r="O30">
            <v>2698.181313048924</v>
          </cell>
          <cell r="Q30">
            <v>2876.1243160697531</v>
          </cell>
        </row>
        <row r="31">
          <cell r="B31" t="str">
            <v>SG&amp;A ($MM)</v>
          </cell>
          <cell r="R31" t="str">
            <v>2006 Guidance: 21% of operating revenue (from 21-22%)</v>
          </cell>
        </row>
        <row r="32">
          <cell r="B32" t="str">
            <v xml:space="preserve">   Current</v>
          </cell>
          <cell r="C32">
            <v>794.88499999999999</v>
          </cell>
          <cell r="D32">
            <v>0.45509778939583656</v>
          </cell>
          <cell r="E32">
            <v>1088.2</v>
          </cell>
          <cell r="F32">
            <v>0.36900306333620603</v>
          </cell>
          <cell r="G32">
            <v>1435.0319999999999</v>
          </cell>
          <cell r="H32">
            <v>0.31872082337805541</v>
          </cell>
          <cell r="I32">
            <v>1928.0563000000002</v>
          </cell>
          <cell r="J32">
            <v>0.34356327942512799</v>
          </cell>
          <cell r="K32">
            <v>2114.835960315605</v>
          </cell>
          <cell r="M32">
            <v>2293.2326044428196</v>
          </cell>
          <cell r="O32">
            <v>2406.696431355992</v>
          </cell>
          <cell r="Q32">
            <v>2406.1617215301007</v>
          </cell>
        </row>
        <row r="33">
          <cell r="B33" t="str">
            <v xml:space="preserve">   Prior</v>
          </cell>
          <cell r="C33">
            <v>794.88499999999999</v>
          </cell>
          <cell r="D33">
            <v>0.45509778939583656</v>
          </cell>
          <cell r="E33">
            <v>1088.2</v>
          </cell>
          <cell r="F33">
            <v>0.36900306333620603</v>
          </cell>
          <cell r="G33">
            <v>1435.0319999999999</v>
          </cell>
          <cell r="H33">
            <v>0.31872082337805541</v>
          </cell>
          <cell r="I33">
            <v>1955.315885</v>
          </cell>
          <cell r="J33">
            <v>0.36255908230617861</v>
          </cell>
          <cell r="K33">
            <v>2184.3373468795844</v>
          </cell>
          <cell r="M33">
            <v>2367.9235970605428</v>
          </cell>
          <cell r="O33">
            <v>2446.1533882036952</v>
          </cell>
          <cell r="Q33">
            <v>2409.9393307727328</v>
          </cell>
        </row>
        <row r="34">
          <cell r="B34" t="str">
            <v>Interest, Other Income</v>
          </cell>
        </row>
        <row r="35">
          <cell r="B35" t="str">
            <v xml:space="preserve">   Current</v>
          </cell>
          <cell r="C35">
            <v>92.807000000000002</v>
          </cell>
          <cell r="D35">
            <v>0</v>
          </cell>
          <cell r="E35">
            <v>82.597000000000008</v>
          </cell>
          <cell r="F35">
            <v>0</v>
          </cell>
          <cell r="G35">
            <v>140.9</v>
          </cell>
          <cell r="H35">
            <v>0</v>
          </cell>
          <cell r="I35">
            <v>228</v>
          </cell>
          <cell r="J35">
            <v>0</v>
          </cell>
          <cell r="K35">
            <v>158.27981570681379</v>
          </cell>
          <cell r="M35">
            <v>214.14721389467866</v>
          </cell>
          <cell r="O35">
            <v>298.9218808473185</v>
          </cell>
          <cell r="Q35">
            <v>424.04459975088002</v>
          </cell>
        </row>
        <row r="36">
          <cell r="B36" t="str">
            <v xml:space="preserve">   Prior</v>
          </cell>
          <cell r="C36">
            <v>92.8</v>
          </cell>
          <cell r="E36">
            <v>82.597000000000008</v>
          </cell>
          <cell r="F36">
            <v>0</v>
          </cell>
          <cell r="G36">
            <v>140.9</v>
          </cell>
          <cell r="H36">
            <v>0</v>
          </cell>
          <cell r="I36">
            <v>175</v>
          </cell>
          <cell r="J36">
            <v>0</v>
          </cell>
          <cell r="K36">
            <v>144.98120766629103</v>
          </cell>
          <cell r="M36">
            <v>198.6848384525747</v>
          </cell>
          <cell r="O36">
            <v>299.84795970525033</v>
          </cell>
          <cell r="Q36">
            <v>427.16721415138414</v>
          </cell>
        </row>
        <row r="37">
          <cell r="B37" t="str">
            <v xml:space="preserve">Net Income ($MM) </v>
          </cell>
        </row>
        <row r="38">
          <cell r="B38" t="str">
            <v xml:space="preserve">   Current</v>
          </cell>
          <cell r="C38">
            <v>634.65584265857763</v>
          </cell>
          <cell r="D38">
            <v>0.31253732024758918</v>
          </cell>
          <cell r="E38">
            <v>894.36599999999964</v>
          </cell>
          <cell r="F38">
            <v>0.4092141596829777</v>
          </cell>
          <cell r="G38">
            <v>1387.3240000000012</v>
          </cell>
          <cell r="H38">
            <v>0.55118150734710603</v>
          </cell>
          <cell r="I38">
            <v>2124.9055085800001</v>
          </cell>
          <cell r="J38">
            <v>0.53165771555887331</v>
          </cell>
          <cell r="K38">
            <v>2800.6211029553579</v>
          </cell>
          <cell r="M38">
            <v>3493.9576522401981</v>
          </cell>
          <cell r="O38">
            <v>4096.4026406736639</v>
          </cell>
          <cell r="Q38">
            <v>4671.2691888702175</v>
          </cell>
        </row>
        <row r="39">
          <cell r="B39" t="str">
            <v xml:space="preserve">   Prior</v>
          </cell>
          <cell r="C39">
            <v>634.65584265857763</v>
          </cell>
          <cell r="E39">
            <v>887.5259999999995</v>
          </cell>
          <cell r="F39">
            <v>0.3984366649523734</v>
          </cell>
          <cell r="G39">
            <v>1387.3240000000012</v>
          </cell>
          <cell r="H39">
            <v>0.55118150734710603</v>
          </cell>
          <cell r="I39">
            <v>2034.2770339500007</v>
          </cell>
          <cell r="J39">
            <v>0.4663316095951624</v>
          </cell>
          <cell r="K39">
            <v>2904.7667281963868</v>
          </cell>
          <cell r="M39">
            <v>3614.4886831826261</v>
          </cell>
          <cell r="O39">
            <v>4174.1361237760229</v>
          </cell>
          <cell r="Q39">
            <v>4681.8126100993795</v>
          </cell>
        </row>
        <row r="40">
          <cell r="B40" t="str">
            <v>Non-GAAP EPS, Diluted</v>
          </cell>
          <cell r="R40" t="str">
            <v>2006 Guidance: 45-55% YoY growth.  Raised guidance again (company raised guidance from 35-45% to 40%-50% at its analyst day three weeks ago).  Horizon 2010 guidance of 5-year CAGR of 25% (our model assumes 28%).  We are lowering 2007-09 EPS estimates.</v>
          </cell>
        </row>
        <row r="41">
          <cell r="B41" t="str">
            <v xml:space="preserve">   Current</v>
          </cell>
          <cell r="C41">
            <v>0.60195636879300407</v>
          </cell>
          <cell r="D41">
            <v>0.30585864252004424</v>
          </cell>
          <cell r="E41">
            <v>0.82872362999196592</v>
          </cell>
          <cell r="F41">
            <v>0.37671710601493902</v>
          </cell>
          <cell r="G41">
            <v>1.2834315032439099</v>
          </cell>
          <cell r="H41">
            <v>0.54868457564840067</v>
          </cell>
          <cell r="I41">
            <v>1.9766562870511628</v>
          </cell>
          <cell r="J41">
            <v>0.54013383811688231</v>
          </cell>
          <cell r="K41">
            <v>2.6131703146035923</v>
          </cell>
          <cell r="M41">
            <v>3.2657035401917991</v>
          </cell>
          <cell r="O41">
            <v>3.8441841959191563</v>
          </cell>
          <cell r="Q41">
            <v>4.4101388095141756</v>
          </cell>
        </row>
        <row r="42">
          <cell r="B42" t="str">
            <v xml:space="preserve">       Prior</v>
          </cell>
          <cell r="C42">
            <v>0.60195636879300407</v>
          </cell>
          <cell r="E42">
            <v>0.82238565467856495</v>
          </cell>
          <cell r="F42">
            <v>0.36618814471146544</v>
          </cell>
          <cell r="G42">
            <v>1.2834315032439099</v>
          </cell>
          <cell r="H42">
            <v>0.54868457564840067</v>
          </cell>
          <cell r="I42">
            <v>1.8875696940202418</v>
          </cell>
          <cell r="J42">
            <v>0.47072102348224698</v>
          </cell>
          <cell r="K42">
            <v>2.7103452791100371</v>
          </cell>
          <cell r="M42">
            <v>3.3783604907416378</v>
          </cell>
          <cell r="O42">
            <v>3.9171315727880218</v>
          </cell>
          <cell r="Q42">
            <v>4.4200928389797802</v>
          </cell>
        </row>
        <row r="43">
          <cell r="B43" t="str">
            <v>Non-GAAP EPS, Diluted (incl options expense)</v>
          </cell>
        </row>
        <row r="44">
          <cell r="B44" t="str">
            <v xml:space="preserve">   Current</v>
          </cell>
          <cell r="C44">
            <v>0</v>
          </cell>
          <cell r="D44">
            <v>0</v>
          </cell>
          <cell r="E44">
            <v>0</v>
          </cell>
          <cell r="F44">
            <v>0</v>
          </cell>
          <cell r="H44">
            <v>0</v>
          </cell>
          <cell r="I44">
            <v>1.670437236911628</v>
          </cell>
          <cell r="J44">
            <v>0</v>
          </cell>
          <cell r="K44">
            <v>2.2605437247777207</v>
          </cell>
          <cell r="M44">
            <v>2.8726239093062675</v>
          </cell>
          <cell r="O44">
            <v>3.4182573129078739</v>
          </cell>
          <cell r="Q44">
            <v>3.9597085440583326</v>
          </cell>
        </row>
        <row r="45">
          <cell r="B45" t="str">
            <v xml:space="preserve">   Prior</v>
          </cell>
          <cell r="C45">
            <v>0.60195636879300407</v>
          </cell>
          <cell r="E45">
            <v>0.82238565467856495</v>
          </cell>
          <cell r="F45">
            <v>0.36618814471146544</v>
          </cell>
          <cell r="H45">
            <v>0</v>
          </cell>
          <cell r="I45">
            <v>1.7230350353762618</v>
          </cell>
          <cell r="J45">
            <v>0</v>
          </cell>
          <cell r="K45">
            <v>2.5124428538629009</v>
          </cell>
          <cell r="M45">
            <v>3.1575521802291613</v>
          </cell>
          <cell r="O45">
            <v>3.6217186312474188</v>
          </cell>
          <cell r="Q45">
            <v>4.1138707857302448</v>
          </cell>
        </row>
        <row r="46">
          <cell r="B46" t="str">
            <v>Capital Expenditures</v>
          </cell>
          <cell r="R46" t="str">
            <v>2006 Guidance: $1.5B; expect decrease to ~$800 by 2010</v>
          </cell>
        </row>
        <row r="47">
          <cell r="B47" t="str">
            <v xml:space="preserve">   Current</v>
          </cell>
          <cell r="C47">
            <v>321.95</v>
          </cell>
          <cell r="D47">
            <v>649.85799999999995</v>
          </cell>
          <cell r="E47">
            <v>649.85799999999995</v>
          </cell>
          <cell r="F47">
            <v>1482.0585000000001</v>
          </cell>
          <cell r="G47">
            <v>1399.8240000000001</v>
          </cell>
          <cell r="H47">
            <v>1179.3767679991645</v>
          </cell>
          <cell r="I47">
            <v>1482.0585000000001</v>
          </cell>
          <cell r="J47">
            <v>828.35075659232984</v>
          </cell>
          <cell r="K47">
            <v>1579.0775170356521</v>
          </cell>
          <cell r="M47">
            <v>1179.3767679991645</v>
          </cell>
          <cell r="O47">
            <v>875.1623386749061</v>
          </cell>
          <cell r="Q47">
            <v>828.35075659232984</v>
          </cell>
        </row>
        <row r="48">
          <cell r="B48" t="str">
            <v xml:space="preserve">   Prior</v>
          </cell>
          <cell r="C48">
            <v>322</v>
          </cell>
          <cell r="E48">
            <v>649.85799999999995</v>
          </cell>
          <cell r="F48">
            <v>1073.9414548082564</v>
          </cell>
          <cell r="G48">
            <v>1399.8240000000001</v>
          </cell>
          <cell r="H48">
            <v>1217.7892784882793</v>
          </cell>
          <cell r="I48">
            <v>1472.375125</v>
          </cell>
          <cell r="J48">
            <v>829.65124502012111</v>
          </cell>
          <cell r="K48">
            <v>1630.9718856700899</v>
          </cell>
          <cell r="M48">
            <v>1217.7892784882793</v>
          </cell>
          <cell r="O48">
            <v>889.51032298316204</v>
          </cell>
          <cell r="Q48">
            <v>829.651245020121</v>
          </cell>
        </row>
        <row r="49">
          <cell r="B49" t="str">
            <v>Basic Shares Outstanding</v>
          </cell>
        </row>
        <row r="50">
          <cell r="B50" t="str">
            <v xml:space="preserve">   Current</v>
          </cell>
          <cell r="C50">
            <v>1034.4565</v>
          </cell>
          <cell r="D50">
            <v>-3.901749480143768E-3</v>
          </cell>
          <cell r="E50">
            <v>1055.165</v>
          </cell>
          <cell r="F50">
            <v>2.0018724808631427E-2</v>
          </cell>
          <cell r="G50">
            <v>1054.952</v>
          </cell>
          <cell r="H50">
            <v>-2.0186416342460323E-4</v>
          </cell>
          <cell r="I50">
            <v>1054</v>
          </cell>
          <cell r="J50">
            <v>-9.0241072579599901E-4</v>
          </cell>
          <cell r="K50">
            <v>1053.713</v>
          </cell>
          <cell r="M50">
            <v>1053.713</v>
          </cell>
          <cell r="O50">
            <v>1053.713</v>
          </cell>
          <cell r="Q50">
            <v>1053.713</v>
          </cell>
        </row>
        <row r="51">
          <cell r="B51" t="str">
            <v xml:space="preserve">   Prior</v>
          </cell>
          <cell r="C51">
            <v>1034.46</v>
          </cell>
          <cell r="E51">
            <v>1055.165</v>
          </cell>
          <cell r="F51">
            <v>2.0018724808631427E-2</v>
          </cell>
          <cell r="G51">
            <v>1054.952</v>
          </cell>
          <cell r="H51">
            <v>-2.0186416342460323E-4</v>
          </cell>
          <cell r="I51">
            <v>1054.7239999999999</v>
          </cell>
          <cell r="J51">
            <v>-2.1612357718647779E-4</v>
          </cell>
          <cell r="K51">
            <v>1053.713</v>
          </cell>
          <cell r="M51">
            <v>1053.713</v>
          </cell>
          <cell r="O51">
            <v>1053.713</v>
          </cell>
          <cell r="Q51">
            <v>1053.713</v>
          </cell>
        </row>
        <row r="52">
          <cell r="B52" t="str">
            <v>Diluted Shares Outstanding</v>
          </cell>
          <cell r="R52" t="str">
            <v xml:space="preserve">2006 Guidance: Flat YoY growth. </v>
          </cell>
        </row>
        <row r="53">
          <cell r="B53" t="str">
            <v xml:space="preserve">   Current</v>
          </cell>
          <cell r="C53">
            <v>1054.3219999999999</v>
          </cell>
          <cell r="D53">
            <v>5.1538922087179806E-3</v>
          </cell>
          <cell r="E53">
            <v>1079.2090000000001</v>
          </cell>
          <cell r="F53">
            <v>2.3604743142986884E-2</v>
          </cell>
          <cell r="G53">
            <v>1080.9490000000001</v>
          </cell>
          <cell r="H53">
            <v>1.6122919656897938E-3</v>
          </cell>
          <cell r="I53">
            <v>1075</v>
          </cell>
          <cell r="J53">
            <v>-5.5034973897936101E-3</v>
          </cell>
          <cell r="K53">
            <v>1071.7330926745205</v>
          </cell>
          <cell r="M53">
            <v>1069.8943150347914</v>
          </cell>
          <cell r="O53">
            <v>1065.6103953141094</v>
          </cell>
          <cell r="Q53">
            <v>1059.2113742072459</v>
          </cell>
        </row>
        <row r="54">
          <cell r="B54" t="str">
            <v xml:space="preserve">   Prior</v>
          </cell>
          <cell r="C54">
            <v>1054.32</v>
          </cell>
          <cell r="E54">
            <v>1079.2090000000001</v>
          </cell>
          <cell r="F54">
            <v>2.3604743142986884E-2</v>
          </cell>
          <cell r="G54">
            <v>1080.9490000000001</v>
          </cell>
          <cell r="H54">
            <v>1.6122919656897938E-3</v>
          </cell>
          <cell r="I54">
            <v>1077.7228731710002</v>
          </cell>
          <cell r="J54">
            <v>-2.9845319520160896E-3</v>
          </cell>
          <cell r="K54">
            <v>1071.7330926745205</v>
          </cell>
          <cell r="M54">
            <v>1069.8943150347914</v>
          </cell>
          <cell r="O54">
            <v>1065.6103953141094</v>
          </cell>
          <cell r="Q54">
            <v>1059.2113742072459</v>
          </cell>
        </row>
      </sheetData>
      <sheetData sheetId="5" refreshError="1">
        <row r="1">
          <cell r="B1" t="str">
            <v>Genentech Quarterly Income Statement</v>
          </cell>
          <cell r="BC1">
            <v>6.0159760359460801E-2</v>
          </cell>
          <cell r="BE1">
            <v>3.0609842241582363E-2</v>
          </cell>
        </row>
        <row r="2">
          <cell r="B2" t="str">
            <v>(Dollars in thousands except per-share data)</v>
          </cell>
          <cell r="BW2">
            <v>55</v>
          </cell>
        </row>
        <row r="3">
          <cell r="BW3">
            <v>0.11121852970795569</v>
          </cell>
        </row>
        <row r="4">
          <cell r="C4" t="str">
            <v>1Q99A</v>
          </cell>
          <cell r="E4" t="str">
            <v>2Q99A</v>
          </cell>
          <cell r="G4" t="str">
            <v>3Q99A</v>
          </cell>
          <cell r="I4" t="str">
            <v>4Q99A</v>
          </cell>
          <cell r="K4" t="str">
            <v>1999A</v>
          </cell>
          <cell r="M4" t="str">
            <v>1Q00A</v>
          </cell>
          <cell r="O4" t="str">
            <v>2Q00A</v>
          </cell>
          <cell r="Q4" t="str">
            <v>3Q00A</v>
          </cell>
          <cell r="S4" t="str">
            <v>4Q00A</v>
          </cell>
          <cell r="U4" t="str">
            <v>2000A</v>
          </cell>
          <cell r="W4" t="str">
            <v>1Q01A</v>
          </cell>
          <cell r="Y4" t="str">
            <v>2Q01A</v>
          </cell>
          <cell r="AA4" t="str">
            <v>3Q01A</v>
          </cell>
          <cell r="AC4" t="str">
            <v>4Q01A</v>
          </cell>
          <cell r="AE4" t="str">
            <v>2001A</v>
          </cell>
          <cell r="AG4" t="str">
            <v>1Q02A</v>
          </cell>
          <cell r="AI4" t="str">
            <v>2Q02A</v>
          </cell>
          <cell r="AK4" t="str">
            <v>3Q02A</v>
          </cell>
          <cell r="AM4" t="str">
            <v>4Q02A</v>
          </cell>
          <cell r="AO4" t="str">
            <v>2002A</v>
          </cell>
          <cell r="AQ4" t="str">
            <v>1Q03A</v>
          </cell>
          <cell r="AS4" t="str">
            <v>2Q03A</v>
          </cell>
          <cell r="AU4" t="str">
            <v>3Q03A</v>
          </cell>
          <cell r="AW4" t="str">
            <v>4Q03A</v>
          </cell>
          <cell r="AY4" t="str">
            <v>2003A</v>
          </cell>
          <cell r="BA4" t="str">
            <v>1Q04A</v>
          </cell>
          <cell r="BB4" t="str">
            <v>% chg</v>
          </cell>
          <cell r="BC4" t="str">
            <v>2Q04A</v>
          </cell>
          <cell r="BD4" t="str">
            <v>% chg</v>
          </cell>
          <cell r="BE4" t="str">
            <v>3Q04A</v>
          </cell>
          <cell r="BF4" t="str">
            <v>% chg</v>
          </cell>
          <cell r="BG4" t="str">
            <v>4Q04A</v>
          </cell>
          <cell r="BH4" t="str">
            <v>% chg</v>
          </cell>
          <cell r="BI4" t="str">
            <v>2004A</v>
          </cell>
          <cell r="BJ4" t="str">
            <v>% chg</v>
          </cell>
          <cell r="BL4" t="str">
            <v>1Q05A</v>
          </cell>
          <cell r="BM4" t="str">
            <v>% chg</v>
          </cell>
          <cell r="BN4" t="str">
            <v>2Q05A</v>
          </cell>
          <cell r="BO4" t="str">
            <v>% chg</v>
          </cell>
          <cell r="BP4" t="str">
            <v>3Q05A</v>
          </cell>
          <cell r="BQ4" t="str">
            <v>% chg</v>
          </cell>
          <cell r="BR4" t="str">
            <v>4Q05A</v>
          </cell>
          <cell r="BS4" t="str">
            <v>% chg</v>
          </cell>
          <cell r="BT4" t="str">
            <v>2005A</v>
          </cell>
          <cell r="BU4" t="str">
            <v>% chg</v>
          </cell>
          <cell r="BW4" t="str">
            <v>1Q06A</v>
          </cell>
          <cell r="BX4" t="str">
            <v>% chg</v>
          </cell>
          <cell r="BY4" t="str">
            <v>2Q06E</v>
          </cell>
          <cell r="BZ4" t="str">
            <v>% chg</v>
          </cell>
          <cell r="CA4" t="str">
            <v>3Q06E</v>
          </cell>
          <cell r="CB4" t="str">
            <v>% chg</v>
          </cell>
          <cell r="CC4" t="str">
            <v>4Q06E</v>
          </cell>
          <cell r="CD4" t="str">
            <v>% chg</v>
          </cell>
          <cell r="CE4" t="str">
            <v>2006E</v>
          </cell>
          <cell r="CF4" t="str">
            <v>% chg</v>
          </cell>
        </row>
        <row r="5">
          <cell r="B5" t="str">
            <v>Rituxan -US</v>
          </cell>
          <cell r="C5" t="str">
            <v>52</v>
          </cell>
          <cell r="E5" t="str">
            <v>68.3</v>
          </cell>
          <cell r="G5" t="str">
            <v>70.2</v>
          </cell>
          <cell r="I5" t="str">
            <v>72.2</v>
          </cell>
          <cell r="K5" t="str">
            <v>262.7</v>
          </cell>
          <cell r="M5" t="str">
            <v>78</v>
          </cell>
          <cell r="O5" t="str">
            <v>96.7</v>
          </cell>
          <cell r="Q5" t="str">
            <v>115.5</v>
          </cell>
          <cell r="S5" t="str">
            <v>134</v>
          </cell>
          <cell r="U5" t="str">
            <v>424.2</v>
          </cell>
          <cell r="W5" t="str">
            <v>168</v>
          </cell>
          <cell r="Y5" t="str">
            <v>180</v>
          </cell>
          <cell r="AA5" t="str">
            <v>205</v>
          </cell>
          <cell r="AC5" t="str">
            <v>226</v>
          </cell>
          <cell r="AE5" t="str">
            <v>779</v>
          </cell>
          <cell r="AG5" t="str">
            <v>235</v>
          </cell>
          <cell r="AI5" t="str">
            <v>257.4</v>
          </cell>
          <cell r="AK5" t="str">
            <v>269.6</v>
          </cell>
          <cell r="AM5" t="str">
            <v>318.2</v>
          </cell>
          <cell r="AO5" t="str">
            <v>1080.2</v>
          </cell>
          <cell r="AQ5" t="str">
            <v>310</v>
          </cell>
          <cell r="AS5" t="str">
            <v>328</v>
          </cell>
          <cell r="AU5" t="str">
            <v>353.6</v>
          </cell>
          <cell r="AW5" t="str">
            <v>368.6</v>
          </cell>
          <cell r="AY5">
            <v>1360.2</v>
          </cell>
          <cell r="BA5">
            <v>361.8</v>
          </cell>
          <cell r="BC5">
            <v>390</v>
          </cell>
          <cell r="BE5">
            <v>393</v>
          </cell>
          <cell r="BG5">
            <v>429.2</v>
          </cell>
          <cell r="BI5">
            <v>1574</v>
          </cell>
          <cell r="BJ5">
            <v>0.15718276724011182</v>
          </cell>
          <cell r="BL5">
            <v>440.55</v>
          </cell>
          <cell r="BN5">
            <v>450.3</v>
          </cell>
          <cell r="BP5">
            <v>456.22699999999998</v>
          </cell>
          <cell r="BR5">
            <v>484.404</v>
          </cell>
          <cell r="BT5">
            <v>1831.481</v>
          </cell>
          <cell r="BU5">
            <v>0.1635838627700128</v>
          </cell>
          <cell r="BW5">
            <v>477</v>
          </cell>
          <cell r="BY5">
            <v>520</v>
          </cell>
          <cell r="CA5">
            <v>540</v>
          </cell>
          <cell r="CC5">
            <v>560</v>
          </cell>
          <cell r="CE5">
            <v>2097</v>
          </cell>
          <cell r="CF5">
            <v>0.14497502294591103</v>
          </cell>
        </row>
        <row r="6">
          <cell r="B6" t="str">
            <v>Rituxan- Ex-US</v>
          </cell>
          <cell r="C6">
            <v>17</v>
          </cell>
          <cell r="E6" t="str">
            <v>20.3</v>
          </cell>
          <cell r="G6">
            <v>8</v>
          </cell>
          <cell r="I6" t="str">
            <v>10.3</v>
          </cell>
          <cell r="K6">
            <v>55.800000000000011</v>
          </cell>
          <cell r="M6">
            <v>31.696428571428569</v>
          </cell>
          <cell r="O6">
            <v>27.232142857142854</v>
          </cell>
          <cell r="Q6">
            <v>10.714285714285714</v>
          </cell>
          <cell r="S6">
            <v>19.196428571428569</v>
          </cell>
          <cell r="U6">
            <v>88.800000000000011</v>
          </cell>
          <cell r="W6">
            <v>24.500000000000028</v>
          </cell>
          <cell r="Y6">
            <v>51.28</v>
          </cell>
          <cell r="AA6">
            <v>56.370000000000005</v>
          </cell>
          <cell r="AC6">
            <v>54.5</v>
          </cell>
          <cell r="AE6">
            <v>186.65000000000003</v>
          </cell>
          <cell r="AG6">
            <v>106.90000000000003</v>
          </cell>
          <cell r="AI6">
            <v>94.760000000000048</v>
          </cell>
          <cell r="AK6">
            <v>119</v>
          </cell>
          <cell r="AM6">
            <v>129.24000000000007</v>
          </cell>
          <cell r="AO6">
            <v>449.90000000000015</v>
          </cell>
          <cell r="AQ6">
            <v>111.58999999999997</v>
          </cell>
          <cell r="AS6">
            <v>161.09999999999997</v>
          </cell>
          <cell r="AU6">
            <v>159.76</v>
          </cell>
          <cell r="AW6">
            <v>217.14999999999998</v>
          </cell>
          <cell r="AY6">
            <v>649.59999999999991</v>
          </cell>
          <cell r="BA6">
            <v>261</v>
          </cell>
          <cell r="BC6">
            <v>270</v>
          </cell>
          <cell r="BE6">
            <v>305</v>
          </cell>
          <cell r="BG6">
            <v>313</v>
          </cell>
          <cell r="BI6">
            <v>1149</v>
          </cell>
          <cell r="BL6">
            <v>330</v>
          </cell>
          <cell r="BM6">
            <v>0.2</v>
          </cell>
          <cell r="BN6">
            <v>361</v>
          </cell>
          <cell r="BO6">
            <v>0.18</v>
          </cell>
          <cell r="BP6">
            <v>350</v>
          </cell>
          <cell r="BQ6">
            <v>0.17</v>
          </cell>
          <cell r="BR6">
            <v>370</v>
          </cell>
          <cell r="BS6">
            <v>0.15</v>
          </cell>
          <cell r="BT6">
            <v>1411</v>
          </cell>
          <cell r="BU6">
            <v>0.22802436901653622</v>
          </cell>
          <cell r="BW6">
            <v>440</v>
          </cell>
          <cell r="BY6">
            <v>460</v>
          </cell>
          <cell r="CA6">
            <v>475</v>
          </cell>
          <cell r="CC6">
            <v>490</v>
          </cell>
          <cell r="CE6">
            <v>1865</v>
          </cell>
          <cell r="CF6">
            <v>0.32175761871013475</v>
          </cell>
        </row>
        <row r="7">
          <cell r="B7" t="str">
            <v xml:space="preserve">Rituxan - Transfer to Roche </v>
          </cell>
          <cell r="C7" t="str">
            <v>5.1</v>
          </cell>
          <cell r="E7" t="str">
            <v>6.1</v>
          </cell>
          <cell r="G7" t="str">
            <v>2.4</v>
          </cell>
          <cell r="I7" t="str">
            <v>3.1</v>
          </cell>
          <cell r="K7" t="str">
            <v>16.7</v>
          </cell>
          <cell r="M7" t="str">
            <v>7.1</v>
          </cell>
          <cell r="O7" t="str">
            <v>6.1</v>
          </cell>
          <cell r="Q7" t="str">
            <v>2.4</v>
          </cell>
          <cell r="S7" t="str">
            <v>4.3</v>
          </cell>
          <cell r="U7">
            <v>19.899999999999977</v>
          </cell>
          <cell r="W7" t="str">
            <v>4.1</v>
          </cell>
          <cell r="Y7" t="str">
            <v>7.7</v>
          </cell>
          <cell r="AA7" t="str">
            <v>7.8</v>
          </cell>
          <cell r="AC7" t="str">
            <v>20</v>
          </cell>
          <cell r="AE7" t="str">
            <v>39.6</v>
          </cell>
          <cell r="AG7" t="str">
            <v>12.5</v>
          </cell>
          <cell r="AI7" t="str">
            <v>17.5</v>
          </cell>
          <cell r="AK7" t="str">
            <v>24.3</v>
          </cell>
          <cell r="AM7" t="str">
            <v>28.4</v>
          </cell>
          <cell r="AO7" t="str">
            <v>82.7</v>
          </cell>
          <cell r="AQ7" t="str">
            <v>31</v>
          </cell>
          <cell r="AS7" t="str">
            <v>35.4</v>
          </cell>
          <cell r="AU7" t="str">
            <v>18.1</v>
          </cell>
          <cell r="AW7" t="str">
            <v>44.4</v>
          </cell>
          <cell r="AY7">
            <v>128.9</v>
          </cell>
          <cell r="BA7">
            <v>38.799999999999997</v>
          </cell>
          <cell r="BC7">
            <v>34.700000000000003</v>
          </cell>
          <cell r="BE7">
            <v>44.7</v>
          </cell>
          <cell r="BG7">
            <v>19</v>
          </cell>
          <cell r="BI7">
            <v>137.19999999999999</v>
          </cell>
          <cell r="BJ7">
            <v>6.4391000775795071E-2</v>
          </cell>
          <cell r="BL7">
            <v>33.049999999999997</v>
          </cell>
          <cell r="BN7">
            <v>32</v>
          </cell>
          <cell r="BP7">
            <v>45.7</v>
          </cell>
          <cell r="BR7">
            <v>47.2</v>
          </cell>
          <cell r="BT7">
            <v>157.94999999999999</v>
          </cell>
          <cell r="BU7">
            <v>0.15123906705539358</v>
          </cell>
          <cell r="BW7">
            <v>32</v>
          </cell>
          <cell r="BY7">
            <v>73.600000000000009</v>
          </cell>
          <cell r="CA7">
            <v>76</v>
          </cell>
          <cell r="CC7">
            <v>78.400000000000006</v>
          </cell>
          <cell r="CE7">
            <v>260</v>
          </cell>
          <cell r="CF7">
            <v>0.64609053497942392</v>
          </cell>
        </row>
        <row r="8">
          <cell r="B8" t="str">
            <v>Rituxan - US &amp; Sales to Roche</v>
          </cell>
          <cell r="C8">
            <v>57.1</v>
          </cell>
          <cell r="E8">
            <v>74.400000000000006</v>
          </cell>
          <cell r="G8">
            <v>72.599999999999994</v>
          </cell>
          <cell r="I8">
            <v>75.3</v>
          </cell>
          <cell r="K8">
            <v>279.39999999999998</v>
          </cell>
          <cell r="M8">
            <v>85.1</v>
          </cell>
          <cell r="O8">
            <v>102.8</v>
          </cell>
          <cell r="Q8">
            <v>117.9</v>
          </cell>
          <cell r="S8">
            <v>138.30000000000001</v>
          </cell>
          <cell r="U8">
            <v>444.09999999999997</v>
          </cell>
          <cell r="W8">
            <v>172.1</v>
          </cell>
          <cell r="Y8">
            <v>187.7</v>
          </cell>
          <cell r="AA8">
            <v>212.8</v>
          </cell>
          <cell r="AC8">
            <v>246</v>
          </cell>
          <cell r="AE8">
            <v>818.59999999999991</v>
          </cell>
          <cell r="AG8">
            <v>247.5</v>
          </cell>
          <cell r="AI8">
            <v>274.89999999999998</v>
          </cell>
          <cell r="AK8">
            <v>293.90000000000003</v>
          </cell>
          <cell r="AM8">
            <v>346.59999999999997</v>
          </cell>
          <cell r="AO8">
            <v>1162.8999999999999</v>
          </cell>
          <cell r="AQ8">
            <v>341</v>
          </cell>
          <cell r="AS8">
            <v>363.4</v>
          </cell>
          <cell r="AU8">
            <v>371.70000000000005</v>
          </cell>
          <cell r="AW8">
            <v>413</v>
          </cell>
          <cell r="AY8">
            <v>1489.1</v>
          </cell>
          <cell r="BA8">
            <v>400.6</v>
          </cell>
          <cell r="BB8">
            <v>0.17478005865102642</v>
          </cell>
          <cell r="BC8">
            <v>424.7</v>
          </cell>
          <cell r="BD8">
            <v>0.1686846450192625</v>
          </cell>
          <cell r="BE8">
            <v>437.7</v>
          </cell>
          <cell r="BF8">
            <v>0.17756255044390623</v>
          </cell>
          <cell r="BG8">
            <v>448.2</v>
          </cell>
          <cell r="BH8">
            <v>8.5230024213075017E-2</v>
          </cell>
          <cell r="BI8">
            <v>1711.2</v>
          </cell>
          <cell r="BJ8">
            <v>0.14915049358673027</v>
          </cell>
          <cell r="BL8">
            <v>473.6</v>
          </cell>
          <cell r="BM8">
            <v>0.18222666000998511</v>
          </cell>
          <cell r="BN8">
            <v>482.3</v>
          </cell>
          <cell r="BO8">
            <v>0.13562514716270324</v>
          </cell>
          <cell r="BP8">
            <v>501.92699999999996</v>
          </cell>
          <cell r="BQ8">
            <v>0.14673749143248793</v>
          </cell>
          <cell r="BR8">
            <v>531.60400000000004</v>
          </cell>
          <cell r="BS8">
            <v>0.18608656849620719</v>
          </cell>
          <cell r="BT8">
            <v>1989.431</v>
          </cell>
          <cell r="BU8">
            <v>0.16259408602150538</v>
          </cell>
          <cell r="BW8">
            <v>509</v>
          </cell>
          <cell r="BX8">
            <v>7.474662162162149E-2</v>
          </cell>
          <cell r="BY8">
            <v>593.6</v>
          </cell>
          <cell r="BZ8">
            <v>0.23076923076923084</v>
          </cell>
          <cell r="CA8">
            <v>616</v>
          </cell>
          <cell r="CB8">
            <v>0.22727010103062795</v>
          </cell>
          <cell r="CC8">
            <v>638.4</v>
          </cell>
          <cell r="CD8">
            <v>0.2008938984657751</v>
          </cell>
          <cell r="CE8">
            <v>2357</v>
          </cell>
          <cell r="CF8">
            <v>0.18476086881123299</v>
          </cell>
        </row>
        <row r="9">
          <cell r="B9" t="str">
            <v>Avastin - US</v>
          </cell>
          <cell r="BA9">
            <v>38.1</v>
          </cell>
          <cell r="BC9">
            <v>133</v>
          </cell>
          <cell r="BE9">
            <v>183</v>
          </cell>
          <cell r="BG9">
            <v>198.24</v>
          </cell>
          <cell r="BI9">
            <v>552.34</v>
          </cell>
          <cell r="BL9">
            <v>202.85499999999999</v>
          </cell>
          <cell r="BN9">
            <v>245.6</v>
          </cell>
          <cell r="BP9">
            <v>325.15600000000001</v>
          </cell>
          <cell r="BR9">
            <v>359.11</v>
          </cell>
          <cell r="BT9">
            <v>1132.721</v>
          </cell>
          <cell r="BW9">
            <v>398</v>
          </cell>
          <cell r="BY9">
            <v>442</v>
          </cell>
          <cell r="CA9">
            <v>486</v>
          </cell>
          <cell r="CC9">
            <v>550</v>
          </cell>
          <cell r="CE9">
            <v>1876</v>
          </cell>
        </row>
        <row r="10">
          <cell r="B10" t="str">
            <v>Avastin - Ex-US</v>
          </cell>
          <cell r="BA10">
            <v>0</v>
          </cell>
          <cell r="BC10">
            <v>0</v>
          </cell>
          <cell r="BE10">
            <v>0</v>
          </cell>
          <cell r="BG10">
            <v>10</v>
          </cell>
          <cell r="BI10">
            <v>10</v>
          </cell>
          <cell r="BL10">
            <v>16.899999999999999</v>
          </cell>
          <cell r="BN10">
            <v>38.200000000000003</v>
          </cell>
          <cell r="BP10">
            <v>60.6</v>
          </cell>
          <cell r="BR10">
            <v>75</v>
          </cell>
          <cell r="BT10">
            <v>190.7</v>
          </cell>
          <cell r="BW10">
            <v>105</v>
          </cell>
          <cell r="BY10">
            <v>130</v>
          </cell>
          <cell r="CA10">
            <v>150</v>
          </cell>
          <cell r="CC10">
            <v>180</v>
          </cell>
          <cell r="CE10">
            <v>565</v>
          </cell>
        </row>
        <row r="11">
          <cell r="B11" t="str">
            <v>Avastin - Transfer to Roche</v>
          </cell>
          <cell r="BG11">
            <v>2.16</v>
          </cell>
          <cell r="BI11">
            <v>2.16</v>
          </cell>
          <cell r="BL11">
            <v>11.632</v>
          </cell>
          <cell r="BN11">
            <v>3.6</v>
          </cell>
          <cell r="BP11">
            <v>35</v>
          </cell>
          <cell r="BR11">
            <v>33.799999999999997</v>
          </cell>
          <cell r="BT11">
            <v>84.031999999999996</v>
          </cell>
          <cell r="BW11">
            <v>18</v>
          </cell>
          <cell r="BY11">
            <v>28.08</v>
          </cell>
          <cell r="CA11">
            <v>32.4</v>
          </cell>
          <cell r="CC11">
            <v>38.879999999999995</v>
          </cell>
          <cell r="CE11">
            <v>117.35999999999999</v>
          </cell>
        </row>
        <row r="12">
          <cell r="B12" t="str">
            <v>Avastin -  US &amp; Sales to Roche</v>
          </cell>
          <cell r="BA12">
            <v>38.1</v>
          </cell>
          <cell r="BB12" t="str">
            <v>NM</v>
          </cell>
          <cell r="BC12">
            <v>133</v>
          </cell>
          <cell r="BD12" t="str">
            <v>NM</v>
          </cell>
          <cell r="BE12">
            <v>183</v>
          </cell>
          <cell r="BF12" t="str">
            <v>NM</v>
          </cell>
          <cell r="BG12">
            <v>200.4</v>
          </cell>
          <cell r="BH12" t="str">
            <v>NM</v>
          </cell>
          <cell r="BI12">
            <v>554.5</v>
          </cell>
          <cell r="BJ12" t="str">
            <v>NM</v>
          </cell>
          <cell r="BL12">
            <v>214.48699999999999</v>
          </cell>
          <cell r="BM12">
            <v>4.6295800524934378</v>
          </cell>
          <cell r="BN12">
            <v>249.2</v>
          </cell>
          <cell r="BO12">
            <v>0.87368421052631562</v>
          </cell>
          <cell r="BP12">
            <v>360.15600000000001</v>
          </cell>
          <cell r="BQ12">
            <v>0.96806557377049174</v>
          </cell>
          <cell r="BR12">
            <v>392.91</v>
          </cell>
          <cell r="BS12">
            <v>0.96062874251497021</v>
          </cell>
          <cell r="BT12">
            <v>1216.7530000000002</v>
          </cell>
          <cell r="BU12">
            <v>1.1943246167718669</v>
          </cell>
          <cell r="BW12">
            <v>416</v>
          </cell>
          <cell r="BX12">
            <v>0.93951148554457853</v>
          </cell>
          <cell r="BY12">
            <v>470.08</v>
          </cell>
          <cell r="BZ12">
            <v>0.88635634028892452</v>
          </cell>
          <cell r="CA12">
            <v>518.4</v>
          </cell>
          <cell r="CB12">
            <v>0.4393762702828774</v>
          </cell>
          <cell r="CC12">
            <v>588.88</v>
          </cell>
          <cell r="CD12">
            <v>0.49876562062558838</v>
          </cell>
          <cell r="CE12">
            <v>1993.3600000000001</v>
          </cell>
          <cell r="CF12">
            <v>0.63826183292747163</v>
          </cell>
        </row>
        <row r="13">
          <cell r="B13" t="str">
            <v>Herceptin - US</v>
          </cell>
          <cell r="C13">
            <v>39.200000000000003</v>
          </cell>
          <cell r="E13">
            <v>42.6</v>
          </cell>
          <cell r="G13">
            <v>47.5</v>
          </cell>
          <cell r="I13">
            <v>54.4</v>
          </cell>
          <cell r="K13">
            <v>183.70000000000002</v>
          </cell>
          <cell r="M13">
            <v>56.7</v>
          </cell>
          <cell r="O13">
            <v>62.6</v>
          </cell>
          <cell r="Q13">
            <v>64.099999999999994</v>
          </cell>
          <cell r="S13">
            <v>66.3</v>
          </cell>
          <cell r="U13">
            <v>249.7</v>
          </cell>
          <cell r="W13">
            <v>70.099999999999994</v>
          </cell>
          <cell r="Y13">
            <v>74.099999999999994</v>
          </cell>
          <cell r="AA13">
            <v>75.900000000000006</v>
          </cell>
          <cell r="AC13">
            <v>95.3</v>
          </cell>
          <cell r="AE13">
            <v>315.39999999999998</v>
          </cell>
          <cell r="AG13">
            <v>77.3</v>
          </cell>
          <cell r="AI13">
            <v>82.5</v>
          </cell>
          <cell r="AK13">
            <v>88.3</v>
          </cell>
          <cell r="AM13">
            <v>96.8</v>
          </cell>
          <cell r="AO13">
            <v>344.9</v>
          </cell>
          <cell r="AQ13">
            <v>93.7</v>
          </cell>
          <cell r="AS13">
            <v>99</v>
          </cell>
          <cell r="AU13">
            <v>106.2</v>
          </cell>
          <cell r="AW13">
            <v>107.1</v>
          </cell>
          <cell r="AY13">
            <v>406</v>
          </cell>
          <cell r="BA13">
            <v>108.7</v>
          </cell>
          <cell r="BC13">
            <v>110</v>
          </cell>
          <cell r="BE13">
            <v>122.7</v>
          </cell>
          <cell r="BG13">
            <v>125</v>
          </cell>
          <cell r="BI13">
            <v>466.4</v>
          </cell>
          <cell r="BJ13">
            <v>0.14876847290640383</v>
          </cell>
          <cell r="BL13">
            <v>129.63</v>
          </cell>
          <cell r="BM13">
            <v>0.19254829806807727</v>
          </cell>
          <cell r="BN13">
            <v>152.4</v>
          </cell>
          <cell r="BO13">
            <v>0.38545454545454549</v>
          </cell>
          <cell r="BP13">
            <v>215.148</v>
          </cell>
          <cell r="BQ13">
            <v>0.75344743276283621</v>
          </cell>
          <cell r="BR13">
            <v>250.06899999999999</v>
          </cell>
          <cell r="BS13">
            <v>1.0005519999999999</v>
          </cell>
          <cell r="BT13">
            <v>747.24699999999996</v>
          </cell>
          <cell r="BU13">
            <v>0.60215909090909081</v>
          </cell>
          <cell r="BW13">
            <v>290</v>
          </cell>
          <cell r="BX13">
            <v>1.2371364653243848</v>
          </cell>
          <cell r="BY13">
            <v>330</v>
          </cell>
          <cell r="BZ13">
            <v>1.1653543307086611</v>
          </cell>
          <cell r="CA13">
            <v>365</v>
          </cell>
          <cell r="CB13">
            <v>0.69650659081190636</v>
          </cell>
          <cell r="CC13">
            <v>390</v>
          </cell>
          <cell r="CD13">
            <v>0.55956955880177084</v>
          </cell>
          <cell r="CE13">
            <v>1375</v>
          </cell>
          <cell r="CF13">
            <v>0.84008768185084737</v>
          </cell>
        </row>
        <row r="14">
          <cell r="B14" t="str">
            <v xml:space="preserve">Herceptin - Ex-US </v>
          </cell>
          <cell r="K14">
            <v>0</v>
          </cell>
          <cell r="M14">
            <v>26.490066225165563</v>
          </cell>
          <cell r="O14">
            <v>9.0507726269315665</v>
          </cell>
          <cell r="Q14">
            <v>18.763796909492275</v>
          </cell>
          <cell r="S14">
            <v>3.7527593818984544</v>
          </cell>
          <cell r="U14">
            <v>58.099999999999966</v>
          </cell>
          <cell r="W14">
            <v>26.799999999999997</v>
          </cell>
          <cell r="Y14">
            <v>31.92</v>
          </cell>
          <cell r="AA14">
            <v>40.379999999999981</v>
          </cell>
          <cell r="AC14">
            <v>44.92</v>
          </cell>
          <cell r="AE14">
            <v>144.01999999999998</v>
          </cell>
          <cell r="AG14">
            <v>67.65000000000002</v>
          </cell>
          <cell r="AI14">
            <v>70.02000000000001</v>
          </cell>
          <cell r="AK14">
            <v>83.89</v>
          </cell>
          <cell r="AM14">
            <v>94.280000000000015</v>
          </cell>
          <cell r="AO14">
            <v>315.84000000000003</v>
          </cell>
          <cell r="AQ14">
            <v>89.149999999999991</v>
          </cell>
          <cell r="AS14">
            <v>109.78</v>
          </cell>
          <cell r="AU14">
            <v>117.71999999999998</v>
          </cell>
          <cell r="AW14">
            <v>129.15</v>
          </cell>
          <cell r="AY14">
            <v>445.79999999999995</v>
          </cell>
          <cell r="BA14">
            <v>147.13999999999999</v>
          </cell>
          <cell r="BC14">
            <v>145</v>
          </cell>
          <cell r="BE14">
            <v>148</v>
          </cell>
          <cell r="BG14">
            <v>150</v>
          </cell>
          <cell r="BI14">
            <v>590.14</v>
          </cell>
          <cell r="BL14">
            <v>201</v>
          </cell>
          <cell r="BM14">
            <v>0.36604594263966295</v>
          </cell>
          <cell r="BN14">
            <v>223</v>
          </cell>
          <cell r="BO14">
            <v>0.53793103448275859</v>
          </cell>
          <cell r="BP14">
            <v>252</v>
          </cell>
          <cell r="BQ14">
            <v>0.70270270270270263</v>
          </cell>
          <cell r="BR14">
            <v>272</v>
          </cell>
          <cell r="BS14">
            <v>0.81333333333333324</v>
          </cell>
          <cell r="BT14">
            <v>948</v>
          </cell>
          <cell r="BU14">
            <v>0.60639848171620292</v>
          </cell>
          <cell r="BW14">
            <v>255</v>
          </cell>
          <cell r="BX14">
            <v>0.26865671641791056</v>
          </cell>
          <cell r="BY14">
            <v>275</v>
          </cell>
          <cell r="BZ14">
            <v>0.23318385650224216</v>
          </cell>
          <cell r="CA14">
            <v>315</v>
          </cell>
          <cell r="CB14">
            <v>0.25</v>
          </cell>
          <cell r="CC14">
            <v>330</v>
          </cell>
          <cell r="CD14">
            <v>0.21323529411764697</v>
          </cell>
          <cell r="CE14">
            <v>1175</v>
          </cell>
          <cell r="CF14">
            <v>0.23945147679324896</v>
          </cell>
        </row>
        <row r="15">
          <cell r="B15" t="str">
            <v>Herceptin - Transfer to Roche</v>
          </cell>
          <cell r="C15">
            <v>0.7</v>
          </cell>
          <cell r="E15">
            <v>3.6</v>
          </cell>
          <cell r="G15">
            <v>0.4</v>
          </cell>
          <cell r="I15">
            <v>0</v>
          </cell>
          <cell r="K15">
            <v>4.7</v>
          </cell>
          <cell r="M15">
            <v>12</v>
          </cell>
          <cell r="O15">
            <v>4.0999999999999996</v>
          </cell>
          <cell r="Q15">
            <v>8.5</v>
          </cell>
          <cell r="S15">
            <v>1.7</v>
          </cell>
          <cell r="U15">
            <v>26.3</v>
          </cell>
          <cell r="W15">
            <v>11.3</v>
          </cell>
          <cell r="Y15">
            <v>4.7</v>
          </cell>
          <cell r="AA15">
            <v>7.9</v>
          </cell>
          <cell r="AC15">
            <v>7.4</v>
          </cell>
          <cell r="AE15">
            <v>31.299999999999997</v>
          </cell>
          <cell r="AG15">
            <v>9.5</v>
          </cell>
          <cell r="AI15">
            <v>12.6</v>
          </cell>
          <cell r="AK15">
            <v>8.4</v>
          </cell>
          <cell r="AM15">
            <v>9.8000000000000007</v>
          </cell>
          <cell r="AO15">
            <v>40.299999999999997</v>
          </cell>
          <cell r="AQ15">
            <v>0</v>
          </cell>
          <cell r="AS15">
            <v>10.1</v>
          </cell>
          <cell r="AU15">
            <v>1.5</v>
          </cell>
          <cell r="AW15">
            <v>7.2</v>
          </cell>
          <cell r="AY15">
            <v>18.8</v>
          </cell>
          <cell r="BA15">
            <v>4.8</v>
          </cell>
          <cell r="BC15">
            <v>3.625</v>
          </cell>
          <cell r="BE15">
            <v>3.7</v>
          </cell>
          <cell r="BG15">
            <v>3.75</v>
          </cell>
          <cell r="BI15">
            <v>15.875</v>
          </cell>
          <cell r="BJ15">
            <v>-0.15558510638297873</v>
          </cell>
          <cell r="BL15">
            <v>10.888</v>
          </cell>
          <cell r="BM15">
            <v>1.2683333333333335</v>
          </cell>
          <cell r="BN15">
            <v>-1.7669999999999999</v>
          </cell>
          <cell r="BO15">
            <v>-1.4874482758620688</v>
          </cell>
          <cell r="BP15">
            <v>5</v>
          </cell>
          <cell r="BQ15">
            <v>0.35135135135135132</v>
          </cell>
          <cell r="BR15">
            <v>2.5</v>
          </cell>
          <cell r="BS15">
            <v>-0.33333333333333337</v>
          </cell>
          <cell r="BT15">
            <v>16.621000000000002</v>
          </cell>
          <cell r="BU15">
            <v>4.6992125984252064E-2</v>
          </cell>
          <cell r="BW15">
            <v>5</v>
          </cell>
          <cell r="BX15">
            <v>-0.54077883908890523</v>
          </cell>
          <cell r="BY15">
            <v>0</v>
          </cell>
          <cell r="CA15">
            <v>0</v>
          </cell>
          <cell r="CC15">
            <v>0</v>
          </cell>
          <cell r="CE15">
            <v>5</v>
          </cell>
          <cell r="CF15">
            <v>-0.69917574153179718</v>
          </cell>
        </row>
        <row r="16">
          <cell r="B16" t="str">
            <v>Herceptin- US &amp; Sales to Roche</v>
          </cell>
          <cell r="C16">
            <v>39.899999999000009</v>
          </cell>
          <cell r="E16">
            <v>46.2</v>
          </cell>
          <cell r="G16">
            <v>47.900000000999995</v>
          </cell>
          <cell r="I16">
            <v>54.4</v>
          </cell>
          <cell r="K16">
            <v>188.4</v>
          </cell>
          <cell r="M16">
            <v>68.700000000999992</v>
          </cell>
          <cell r="O16">
            <v>66.700000000999992</v>
          </cell>
          <cell r="Q16">
            <v>72.599999999999994</v>
          </cell>
          <cell r="S16">
            <v>67.900000000000006</v>
          </cell>
          <cell r="U16">
            <v>275.90000000199996</v>
          </cell>
          <cell r="W16">
            <v>81.400000000000006</v>
          </cell>
          <cell r="Y16">
            <v>78.799999999000008</v>
          </cell>
          <cell r="AA16">
            <v>83.9</v>
          </cell>
          <cell r="AC16">
            <v>102.52497556000002</v>
          </cell>
          <cell r="AE16">
            <v>346.62497555900001</v>
          </cell>
          <cell r="AG16">
            <v>86.835243488000017</v>
          </cell>
          <cell r="AI16">
            <v>95.107865390720022</v>
          </cell>
          <cell r="AK16">
            <v>96.7</v>
          </cell>
          <cell r="AM16">
            <v>106.62597458240003</v>
          </cell>
          <cell r="AO16">
            <v>385.26908346112009</v>
          </cell>
          <cell r="AQ16">
            <v>93.7</v>
          </cell>
          <cell r="AS16">
            <v>109.1</v>
          </cell>
          <cell r="AU16">
            <v>107.7</v>
          </cell>
          <cell r="AW16">
            <v>114.3</v>
          </cell>
          <cell r="AY16">
            <v>424.8</v>
          </cell>
          <cell r="BA16">
            <v>113.5</v>
          </cell>
          <cell r="BB16">
            <v>0.21131270010672365</v>
          </cell>
          <cell r="BC16">
            <v>117.7</v>
          </cell>
          <cell r="BD16">
            <v>7.8826764436296992E-2</v>
          </cell>
          <cell r="BE16">
            <v>126</v>
          </cell>
          <cell r="BF16">
            <v>0.16991643454038985</v>
          </cell>
          <cell r="BG16">
            <v>126</v>
          </cell>
          <cell r="BH16">
            <v>0.10236220472440949</v>
          </cell>
          <cell r="BI16">
            <v>483.2</v>
          </cell>
          <cell r="BJ16">
            <v>0.1374764595103577</v>
          </cell>
          <cell r="BL16">
            <v>140.518</v>
          </cell>
          <cell r="BM16">
            <v>0.23804405286343622</v>
          </cell>
          <cell r="BN16">
            <v>150.63300000000001</v>
          </cell>
          <cell r="BO16">
            <v>0.27980458793542917</v>
          </cell>
          <cell r="BP16">
            <v>220.148</v>
          </cell>
          <cell r="BQ16">
            <v>0.74720634920634921</v>
          </cell>
          <cell r="BR16">
            <v>252.56899999999999</v>
          </cell>
          <cell r="BS16">
            <v>1.004515873015873</v>
          </cell>
          <cell r="BT16">
            <v>763.86799999999994</v>
          </cell>
          <cell r="BU16">
            <v>0.58085264900662237</v>
          </cell>
          <cell r="BW16">
            <v>295</v>
          </cell>
          <cell r="BX16">
            <v>1.0993751690174922</v>
          </cell>
          <cell r="BY16">
            <v>330</v>
          </cell>
          <cell r="BZ16">
            <v>1.1907550138415885</v>
          </cell>
          <cell r="CA16">
            <v>365</v>
          </cell>
          <cell r="CB16">
            <v>0.65797554372513045</v>
          </cell>
          <cell r="CC16">
            <v>390</v>
          </cell>
          <cell r="CD16">
            <v>0.54413249448665524</v>
          </cell>
          <cell r="CE16">
            <v>1380</v>
          </cell>
          <cell r="CF16">
            <v>0.8065948567029908</v>
          </cell>
        </row>
        <row r="17">
          <cell r="B17" t="str">
            <v>Xolair</v>
          </cell>
          <cell r="C17">
            <v>0</v>
          </cell>
          <cell r="E17">
            <v>0</v>
          </cell>
          <cell r="G17">
            <v>0</v>
          </cell>
          <cell r="I17">
            <v>0</v>
          </cell>
          <cell r="K17">
            <v>0</v>
          </cell>
          <cell r="M17">
            <v>0</v>
          </cell>
          <cell r="O17">
            <v>0</v>
          </cell>
          <cell r="Q17">
            <v>0</v>
          </cell>
          <cell r="S17">
            <v>0</v>
          </cell>
          <cell r="U17">
            <v>0</v>
          </cell>
          <cell r="W17">
            <v>0</v>
          </cell>
          <cell r="Y17">
            <v>0</v>
          </cell>
          <cell r="AA17">
            <v>0</v>
          </cell>
          <cell r="AC17">
            <v>0</v>
          </cell>
          <cell r="AE17">
            <v>0</v>
          </cell>
          <cell r="AG17">
            <v>0</v>
          </cell>
          <cell r="AI17">
            <v>0</v>
          </cell>
          <cell r="AK17">
            <v>0</v>
          </cell>
          <cell r="AM17">
            <v>0</v>
          </cell>
          <cell r="AO17">
            <v>0</v>
          </cell>
          <cell r="AQ17">
            <v>0</v>
          </cell>
          <cell r="AS17">
            <v>0</v>
          </cell>
          <cell r="AU17">
            <v>6.8</v>
          </cell>
          <cell r="AW17">
            <v>18.5</v>
          </cell>
          <cell r="AY17">
            <v>25.3</v>
          </cell>
          <cell r="BA17">
            <v>30</v>
          </cell>
          <cell r="BB17" t="str">
            <v>NM</v>
          </cell>
          <cell r="BC17">
            <v>43.7</v>
          </cell>
          <cell r="BE17">
            <v>53.9</v>
          </cell>
          <cell r="BG17">
            <v>60.9</v>
          </cell>
          <cell r="BH17">
            <v>2.291891891891892</v>
          </cell>
          <cell r="BI17">
            <v>188.5</v>
          </cell>
          <cell r="BJ17">
            <v>6.4505928853754941</v>
          </cell>
          <cell r="BL17">
            <v>68.597000000000008</v>
          </cell>
          <cell r="BM17">
            <v>1.2865666666666669</v>
          </cell>
          <cell r="BN17">
            <v>80.400000000000006</v>
          </cell>
          <cell r="BO17">
            <v>0.83981693363844401</v>
          </cell>
          <cell r="BP17">
            <v>81.55</v>
          </cell>
          <cell r="BQ17">
            <v>0.51298701298701288</v>
          </cell>
          <cell r="BR17">
            <v>93.25</v>
          </cell>
          <cell r="BS17">
            <v>0.53119868637110024</v>
          </cell>
          <cell r="BT17">
            <v>323.79700000000003</v>
          </cell>
          <cell r="BU17">
            <v>0.71775596816976139</v>
          </cell>
          <cell r="BW17">
            <v>95</v>
          </cell>
          <cell r="BX17">
            <v>0.3849002142950857</v>
          </cell>
          <cell r="BY17">
            <v>106</v>
          </cell>
          <cell r="BZ17">
            <v>0.31840796019900486</v>
          </cell>
          <cell r="CA17">
            <v>108</v>
          </cell>
          <cell r="CB17">
            <v>0.32434089515634579</v>
          </cell>
          <cell r="CC17">
            <v>114</v>
          </cell>
          <cell r="CD17">
            <v>0.22252010723860582</v>
          </cell>
          <cell r="CE17">
            <v>423</v>
          </cell>
          <cell r="CF17">
            <v>0.30637405534949358</v>
          </cell>
        </row>
        <row r="18">
          <cell r="B18" t="str">
            <v>Raptiva</v>
          </cell>
          <cell r="C18">
            <v>0</v>
          </cell>
          <cell r="E18">
            <v>0</v>
          </cell>
          <cell r="G18">
            <v>0</v>
          </cell>
          <cell r="I18">
            <v>0</v>
          </cell>
          <cell r="K18">
            <v>0</v>
          </cell>
          <cell r="M18">
            <v>0</v>
          </cell>
          <cell r="O18">
            <v>0</v>
          </cell>
          <cell r="Q18">
            <v>0</v>
          </cell>
          <cell r="S18">
            <v>0</v>
          </cell>
          <cell r="U18">
            <v>0</v>
          </cell>
          <cell r="W18">
            <v>0</v>
          </cell>
          <cell r="Y18">
            <v>0</v>
          </cell>
          <cell r="AA18">
            <v>0</v>
          </cell>
          <cell r="AC18">
            <v>0</v>
          </cell>
          <cell r="AE18">
            <v>0</v>
          </cell>
          <cell r="AG18">
            <v>0</v>
          </cell>
          <cell r="AI18">
            <v>0</v>
          </cell>
          <cell r="AK18">
            <v>0</v>
          </cell>
          <cell r="AM18">
            <v>0</v>
          </cell>
          <cell r="AO18">
            <v>0</v>
          </cell>
          <cell r="AQ18">
            <v>0</v>
          </cell>
          <cell r="AS18">
            <v>0</v>
          </cell>
          <cell r="AU18">
            <v>0</v>
          </cell>
          <cell r="AW18">
            <v>1.4</v>
          </cell>
          <cell r="AY18">
            <v>1.4</v>
          </cell>
          <cell r="BA18">
            <v>6.3</v>
          </cell>
          <cell r="BB18" t="str">
            <v>NM</v>
          </cell>
          <cell r="BC18">
            <v>13.4</v>
          </cell>
          <cell r="BD18" t="str">
            <v>NM</v>
          </cell>
          <cell r="BE18">
            <v>18</v>
          </cell>
          <cell r="BF18" t="str">
            <v>NM</v>
          </cell>
          <cell r="BG18">
            <v>18.600000000000001</v>
          </cell>
          <cell r="BH18" t="str">
            <v>NM</v>
          </cell>
          <cell r="BI18">
            <v>56.300000000000004</v>
          </cell>
          <cell r="BJ18" t="str">
            <v>NM</v>
          </cell>
          <cell r="BL18">
            <v>24.114999999999998</v>
          </cell>
          <cell r="BM18">
            <v>2.8277777777777775</v>
          </cell>
          <cell r="BN18">
            <v>21.3</v>
          </cell>
          <cell r="BO18">
            <v>0.58955223880597019</v>
          </cell>
          <cell r="BP18">
            <v>20.887</v>
          </cell>
          <cell r="BQ18">
            <v>0.16038888888888891</v>
          </cell>
          <cell r="BR18">
            <v>20.452999999999999</v>
          </cell>
          <cell r="BS18">
            <v>9.9623655913978482E-2</v>
          </cell>
          <cell r="BT18">
            <v>86.754999999999995</v>
          </cell>
          <cell r="BU18">
            <v>0.54094138543516856</v>
          </cell>
          <cell r="BW18">
            <v>21</v>
          </cell>
          <cell r="BX18">
            <v>-0.12917271407837438</v>
          </cell>
          <cell r="BY18">
            <v>23</v>
          </cell>
          <cell r="BZ18">
            <v>7.9812206572769995E-2</v>
          </cell>
          <cell r="CA18">
            <v>24</v>
          </cell>
          <cell r="CB18">
            <v>0.14904007277253783</v>
          </cell>
          <cell r="CC18">
            <v>25</v>
          </cell>
          <cell r="CD18">
            <v>0.22231457487899098</v>
          </cell>
          <cell r="CE18">
            <v>93</v>
          </cell>
          <cell r="CF18">
            <v>7.1984323670105432E-2</v>
          </cell>
        </row>
        <row r="19">
          <cell r="B19" t="str">
            <v>Tarceva - US</v>
          </cell>
          <cell r="BA19">
            <v>0</v>
          </cell>
          <cell r="BC19">
            <v>0</v>
          </cell>
          <cell r="BE19">
            <v>0</v>
          </cell>
          <cell r="BG19">
            <v>13.3</v>
          </cell>
          <cell r="BI19">
            <v>13.3</v>
          </cell>
          <cell r="BL19">
            <v>47.585000000000001</v>
          </cell>
          <cell r="BN19">
            <v>70.2</v>
          </cell>
          <cell r="BP19">
            <v>73.22</v>
          </cell>
          <cell r="BR19">
            <v>83.891000000000005</v>
          </cell>
          <cell r="BT19">
            <v>274.89600000000002</v>
          </cell>
          <cell r="BU19" t="str">
            <v>NM</v>
          </cell>
          <cell r="BW19">
            <v>93</v>
          </cell>
          <cell r="BY19">
            <v>102</v>
          </cell>
          <cell r="CA19">
            <v>109</v>
          </cell>
          <cell r="CC19">
            <v>120</v>
          </cell>
          <cell r="CE19">
            <v>424</v>
          </cell>
          <cell r="CF19" t="str">
            <v>NM</v>
          </cell>
        </row>
        <row r="20">
          <cell r="B20" t="str">
            <v>Lucentis - US</v>
          </cell>
          <cell r="BW20">
            <v>0</v>
          </cell>
          <cell r="BY20">
            <v>0</v>
          </cell>
          <cell r="CA20">
            <v>40</v>
          </cell>
          <cell r="CC20">
            <v>95</v>
          </cell>
          <cell r="CE20">
            <v>135</v>
          </cell>
        </row>
        <row r="21">
          <cell r="B21" t="str">
            <v>Growth Hormone Products</v>
          </cell>
          <cell r="C21">
            <v>56.2</v>
          </cell>
          <cell r="E21">
            <v>59.3</v>
          </cell>
          <cell r="G21">
            <v>59.900000000999995</v>
          </cell>
          <cell r="I21">
            <v>45.8</v>
          </cell>
          <cell r="K21">
            <v>221.20000000099998</v>
          </cell>
          <cell r="M21">
            <v>55.1</v>
          </cell>
          <cell r="O21">
            <v>49.9</v>
          </cell>
          <cell r="Q21">
            <v>61.1</v>
          </cell>
          <cell r="S21">
            <v>60.5</v>
          </cell>
          <cell r="U21">
            <v>226.6</v>
          </cell>
          <cell r="W21">
            <v>55.499999999000018</v>
          </cell>
          <cell r="Y21">
            <v>62.5</v>
          </cell>
          <cell r="AA21">
            <v>67.7</v>
          </cell>
          <cell r="AC21">
            <v>64.53</v>
          </cell>
          <cell r="AE21">
            <v>250.229999999</v>
          </cell>
          <cell r="AG21">
            <v>67.680000000000007</v>
          </cell>
          <cell r="AI21">
            <v>75.33</v>
          </cell>
          <cell r="AK21">
            <v>77.400000000000006</v>
          </cell>
          <cell r="AM21">
            <v>76.814999999999998</v>
          </cell>
          <cell r="AO21">
            <v>297.22500000000002</v>
          </cell>
          <cell r="AQ21">
            <v>76.7</v>
          </cell>
          <cell r="AS21">
            <v>81.599999999999994</v>
          </cell>
          <cell r="AU21">
            <v>80.599999999999994</v>
          </cell>
          <cell r="AW21">
            <v>83</v>
          </cell>
          <cell r="AY21">
            <v>321.89999999999998</v>
          </cell>
          <cell r="BA21">
            <v>85.5</v>
          </cell>
          <cell r="BB21">
            <v>0.11473272490221631</v>
          </cell>
          <cell r="BC21">
            <v>88.4</v>
          </cell>
          <cell r="BD21">
            <v>8.3333333333333481E-2</v>
          </cell>
          <cell r="BE21">
            <v>87.2</v>
          </cell>
          <cell r="BF21">
            <v>8.1885856079404684E-2</v>
          </cell>
          <cell r="BG21">
            <v>92.5</v>
          </cell>
          <cell r="BH21">
            <v>0.1144578313253013</v>
          </cell>
          <cell r="BI21">
            <v>353.6</v>
          </cell>
          <cell r="BJ21">
            <v>9.8477788132960598E-2</v>
          </cell>
          <cell r="BL21">
            <v>92.087999999999994</v>
          </cell>
          <cell r="BM21">
            <v>7.7052631578947262E-2</v>
          </cell>
          <cell r="BN21">
            <v>97.116</v>
          </cell>
          <cell r="BO21">
            <v>9.8597285067873131E-2</v>
          </cell>
          <cell r="BP21">
            <v>88.584999999999994</v>
          </cell>
          <cell r="BQ21">
            <v>1.5883027522935578E-2</v>
          </cell>
          <cell r="BR21">
            <v>94.891000000000005</v>
          </cell>
          <cell r="BS21">
            <v>2.5848648648648664E-2</v>
          </cell>
          <cell r="BT21">
            <v>372.68</v>
          </cell>
          <cell r="BU21">
            <v>5.3959276018099578E-2</v>
          </cell>
          <cell r="BW21">
            <v>87</v>
          </cell>
          <cell r="BX21">
            <v>-5.5251498566588397E-2</v>
          </cell>
          <cell r="BY21">
            <v>97</v>
          </cell>
          <cell r="BZ21">
            <v>-1.194447876765925E-3</v>
          </cell>
          <cell r="CA21">
            <v>97</v>
          </cell>
          <cell r="CB21">
            <v>9.4993509059095871E-2</v>
          </cell>
          <cell r="CC21">
            <v>97</v>
          </cell>
          <cell r="CD21">
            <v>2.2225500837803391E-2</v>
          </cell>
          <cell r="CE21">
            <v>378</v>
          </cell>
          <cell r="CF21">
            <v>1.427498121712989E-2</v>
          </cell>
        </row>
        <row r="22">
          <cell r="B22" t="str">
            <v>Thrombolytics</v>
          </cell>
          <cell r="C22">
            <v>51.999999999000003</v>
          </cell>
          <cell r="E22">
            <v>58.100000000999991</v>
          </cell>
          <cell r="G22">
            <v>59.2</v>
          </cell>
          <cell r="I22">
            <v>66.700000000999992</v>
          </cell>
          <cell r="K22">
            <v>236.00000000099999</v>
          </cell>
          <cell r="M22">
            <v>47.5</v>
          </cell>
          <cell r="O22">
            <v>56.8</v>
          </cell>
          <cell r="Q22">
            <v>50.7</v>
          </cell>
          <cell r="S22">
            <v>51.2</v>
          </cell>
          <cell r="U22">
            <v>206.2</v>
          </cell>
          <cell r="W22">
            <v>52.099999999000005</v>
          </cell>
          <cell r="Y22">
            <v>51.6</v>
          </cell>
          <cell r="AA22">
            <v>48.6</v>
          </cell>
          <cell r="AC22">
            <v>44.805593250000001</v>
          </cell>
          <cell r="AE22">
            <v>197.10559324899998</v>
          </cell>
          <cell r="AG22">
            <v>42.834863389724994</v>
          </cell>
          <cell r="AI22">
            <v>43.103975852272498</v>
          </cell>
          <cell r="AK22">
            <v>45.6</v>
          </cell>
          <cell r="AM22">
            <v>48.655636966529997</v>
          </cell>
          <cell r="AO22">
            <v>180.19447620852748</v>
          </cell>
          <cell r="AQ22">
            <v>47.5</v>
          </cell>
          <cell r="AS22">
            <v>47.6</v>
          </cell>
          <cell r="AU22">
            <v>46</v>
          </cell>
          <cell r="AW22">
            <v>44.1</v>
          </cell>
          <cell r="AY22">
            <v>185.2</v>
          </cell>
          <cell r="BA22">
            <v>46.3</v>
          </cell>
          <cell r="BB22">
            <v>-2.5263157894736876E-2</v>
          </cell>
          <cell r="BC22">
            <v>51.5</v>
          </cell>
          <cell r="BD22">
            <v>8.1932773109243628E-2</v>
          </cell>
          <cell r="BE22">
            <v>54</v>
          </cell>
          <cell r="BF22">
            <v>0.17391304347826098</v>
          </cell>
          <cell r="BG22">
            <v>48.2</v>
          </cell>
          <cell r="BH22">
            <v>9.2970521541950069E-2</v>
          </cell>
          <cell r="BI22">
            <v>200</v>
          </cell>
          <cell r="BJ22">
            <v>7.9913606911447221E-2</v>
          </cell>
          <cell r="BL22">
            <v>53.57</v>
          </cell>
          <cell r="BM22">
            <v>0.15701943844492439</v>
          </cell>
          <cell r="BN22">
            <v>51.6</v>
          </cell>
          <cell r="BO22">
            <v>1.9417475728156219E-3</v>
          </cell>
          <cell r="BP22">
            <v>57.902999999999999</v>
          </cell>
          <cell r="BQ22">
            <v>7.2277777777777663E-2</v>
          </cell>
          <cell r="BR22">
            <v>58.389000000000003</v>
          </cell>
          <cell r="BS22">
            <v>0.21139004149377594</v>
          </cell>
          <cell r="BT22">
            <v>221.46200000000002</v>
          </cell>
          <cell r="BU22">
            <v>0.10731000000000002</v>
          </cell>
          <cell r="BW22">
            <v>59</v>
          </cell>
          <cell r="BX22">
            <v>0.10136270300541339</v>
          </cell>
          <cell r="BY22">
            <v>60</v>
          </cell>
          <cell r="BZ22">
            <v>0.16279069767441867</v>
          </cell>
          <cell r="CA22">
            <v>60</v>
          </cell>
          <cell r="CB22">
            <v>3.6215740117092388E-2</v>
          </cell>
          <cell r="CC22">
            <v>60</v>
          </cell>
          <cell r="CD22">
            <v>2.7590813338128628E-2</v>
          </cell>
          <cell r="CE22">
            <v>239</v>
          </cell>
          <cell r="CF22">
            <v>7.91919155430727E-2</v>
          </cell>
        </row>
        <row r="23">
          <cell r="B23" t="str">
            <v>Pulmozyme</v>
          </cell>
          <cell r="C23">
            <v>28.199999999000003</v>
          </cell>
          <cell r="E23">
            <v>30.600000000999994</v>
          </cell>
          <cell r="G23">
            <v>26.999999999000003</v>
          </cell>
          <cell r="I23">
            <v>25.599999999000005</v>
          </cell>
          <cell r="K23">
            <v>111.399999998</v>
          </cell>
          <cell r="M23">
            <v>26.8</v>
          </cell>
          <cell r="O23">
            <v>32.300000000999994</v>
          </cell>
          <cell r="Q23">
            <v>29.999999999000003</v>
          </cell>
          <cell r="S23">
            <v>32.700000000999992</v>
          </cell>
          <cell r="U23">
            <v>121.80000000099999</v>
          </cell>
          <cell r="W23">
            <v>29.899999999000006</v>
          </cell>
          <cell r="Y23">
            <v>28.1</v>
          </cell>
          <cell r="AA23">
            <v>32.799999999999997</v>
          </cell>
          <cell r="AC23">
            <v>32.077500000000001</v>
          </cell>
          <cell r="AE23">
            <v>122.87749999900001</v>
          </cell>
          <cell r="AG23">
            <v>31.6875</v>
          </cell>
          <cell r="AI23">
            <v>35.1</v>
          </cell>
          <cell r="AK23">
            <v>38.200000000000003</v>
          </cell>
          <cell r="AM23">
            <v>33.052500000000002</v>
          </cell>
          <cell r="AO23">
            <v>138.04</v>
          </cell>
          <cell r="AQ23">
            <v>39.6</v>
          </cell>
          <cell r="AS23">
            <v>42.6</v>
          </cell>
          <cell r="AU23">
            <v>40.4</v>
          </cell>
          <cell r="AW23">
            <v>44.6</v>
          </cell>
          <cell r="AY23">
            <v>167.2</v>
          </cell>
          <cell r="BA23">
            <v>43.4</v>
          </cell>
          <cell r="BB23">
            <v>9.59595959595958E-2</v>
          </cell>
          <cell r="BC23">
            <v>41</v>
          </cell>
          <cell r="BD23">
            <v>-3.7558685446009377E-2</v>
          </cell>
          <cell r="BE23">
            <v>45.7</v>
          </cell>
          <cell r="BF23">
            <v>0.1311881188118813</v>
          </cell>
          <cell r="BG23">
            <v>47.6</v>
          </cell>
          <cell r="BH23">
            <v>6.7264573991031362E-2</v>
          </cell>
          <cell r="BI23">
            <v>177.70000000000002</v>
          </cell>
          <cell r="BJ23">
            <v>6.2799043062201187E-2</v>
          </cell>
          <cell r="BL23">
            <v>51.745999999999995</v>
          </cell>
          <cell r="BM23">
            <v>0.19230414746543767</v>
          </cell>
          <cell r="BN23">
            <v>46.9</v>
          </cell>
          <cell r="BO23">
            <v>0.14390243902439015</v>
          </cell>
          <cell r="BP23">
            <v>46.593000000000004</v>
          </cell>
          <cell r="BQ23">
            <v>1.9540481400437626E-2</v>
          </cell>
          <cell r="BR23">
            <v>49.008000000000003</v>
          </cell>
          <cell r="BS23">
            <v>2.9579831932773137E-2</v>
          </cell>
          <cell r="BT23">
            <v>194.24699999999999</v>
          </cell>
          <cell r="BU23">
            <v>9.3117613956105627E-2</v>
          </cell>
          <cell r="BW23">
            <v>49</v>
          </cell>
          <cell r="BX23">
            <v>-5.3066903722026715E-2</v>
          </cell>
          <cell r="BY23">
            <v>52</v>
          </cell>
          <cell r="BZ23">
            <v>0.10874200426439229</v>
          </cell>
          <cell r="CA23">
            <v>52</v>
          </cell>
          <cell r="CB23">
            <v>0.11604747494258794</v>
          </cell>
          <cell r="CC23">
            <v>52</v>
          </cell>
          <cell r="CD23">
            <v>6.1051256937642684E-2</v>
          </cell>
          <cell r="CE23">
            <v>205</v>
          </cell>
          <cell r="CF23">
            <v>5.5357354296334149E-2</v>
          </cell>
        </row>
        <row r="24">
          <cell r="B24" t="str">
            <v>Actimmune</v>
          </cell>
          <cell r="C24">
            <v>0.7</v>
          </cell>
          <cell r="E24">
            <v>0.7</v>
          </cell>
          <cell r="G24">
            <v>0.4</v>
          </cell>
          <cell r="I24">
            <v>0.9</v>
          </cell>
          <cell r="K24">
            <v>2.6999999999999997</v>
          </cell>
          <cell r="M24">
            <v>0</v>
          </cell>
          <cell r="O24">
            <v>0.9</v>
          </cell>
          <cell r="Q24">
            <v>1.9</v>
          </cell>
          <cell r="S24">
            <v>0.9</v>
          </cell>
          <cell r="U24">
            <v>3.6999999999999997</v>
          </cell>
          <cell r="W24">
            <v>0.9</v>
          </cell>
          <cell r="Y24">
            <v>1.6</v>
          </cell>
          <cell r="AA24">
            <v>2.9</v>
          </cell>
          <cell r="AC24">
            <v>1.5</v>
          </cell>
          <cell r="AE24">
            <v>6.9</v>
          </cell>
          <cell r="AG24">
            <v>0</v>
          </cell>
          <cell r="AI24">
            <v>0</v>
          </cell>
          <cell r="AK24">
            <v>0</v>
          </cell>
          <cell r="AM24">
            <v>0</v>
          </cell>
          <cell r="AO24">
            <v>0</v>
          </cell>
          <cell r="AQ24">
            <v>0</v>
          </cell>
          <cell r="AS24">
            <v>0</v>
          </cell>
          <cell r="AU24">
            <v>0</v>
          </cell>
          <cell r="AW24">
            <v>0</v>
          </cell>
          <cell r="AY24">
            <v>0</v>
          </cell>
          <cell r="BA24">
            <v>0</v>
          </cell>
          <cell r="BC24">
            <v>0</v>
          </cell>
          <cell r="BE24">
            <v>0</v>
          </cell>
          <cell r="BG24">
            <v>0</v>
          </cell>
          <cell r="BI24">
            <v>0</v>
          </cell>
          <cell r="BL24">
            <v>0</v>
          </cell>
          <cell r="BN24">
            <v>0</v>
          </cell>
          <cell r="BP24">
            <v>0</v>
          </cell>
          <cell r="BR24">
            <v>0</v>
          </cell>
          <cell r="BT24">
            <v>0</v>
          </cell>
          <cell r="BW24">
            <v>0</v>
          </cell>
          <cell r="BY24">
            <v>0</v>
          </cell>
          <cell r="CA24">
            <v>0</v>
          </cell>
          <cell r="CC24">
            <v>0</v>
          </cell>
          <cell r="CE24">
            <v>0</v>
          </cell>
        </row>
        <row r="25">
          <cell r="B25" t="str">
            <v>Other</v>
          </cell>
          <cell r="AU25">
            <v>1.7220000000000937</v>
          </cell>
          <cell r="AW25">
            <v>4.9000000000000004</v>
          </cell>
          <cell r="AY25">
            <v>6.622000000000094</v>
          </cell>
          <cell r="BA25">
            <v>0</v>
          </cell>
          <cell r="BC25">
            <v>0</v>
          </cell>
          <cell r="BE25">
            <v>0</v>
          </cell>
          <cell r="BG25">
            <v>10.6</v>
          </cell>
          <cell r="BI25">
            <v>10.6</v>
          </cell>
          <cell r="BL25">
            <v>19.696000000000002</v>
          </cell>
          <cell r="BN25">
            <v>24.5</v>
          </cell>
          <cell r="BP25">
            <v>0</v>
          </cell>
          <cell r="BR25">
            <v>0</v>
          </cell>
          <cell r="BT25">
            <v>44.195999999999998</v>
          </cell>
          <cell r="BW25">
            <v>20</v>
          </cell>
          <cell r="BY25">
            <v>0</v>
          </cell>
          <cell r="CA25">
            <v>0</v>
          </cell>
          <cell r="CC25">
            <v>0</v>
          </cell>
          <cell r="CE25">
            <v>20</v>
          </cell>
        </row>
        <row r="26">
          <cell r="B26" t="str">
            <v>Product Sales</v>
          </cell>
          <cell r="C26">
            <v>273.99999999700003</v>
          </cell>
          <cell r="E26">
            <v>315.50000000200004</v>
          </cell>
          <cell r="G26">
            <v>314.90000000099997</v>
          </cell>
          <cell r="I26">
            <v>323.09999999999991</v>
          </cell>
          <cell r="K26">
            <v>1227.5000000000002</v>
          </cell>
          <cell r="M26">
            <v>378.39006622616557</v>
          </cell>
          <cell r="O26">
            <v>385.15077262893152</v>
          </cell>
          <cell r="Q26">
            <v>425.56379690849229</v>
          </cell>
          <cell r="S26">
            <v>423.25275938289838</v>
          </cell>
          <cell r="U26">
            <v>1612.3573951464878</v>
          </cell>
          <cell r="W26">
            <v>500.09999999700005</v>
          </cell>
          <cell r="Y26">
            <v>521.01999999899999</v>
          </cell>
          <cell r="AA26">
            <v>572.87999999999988</v>
          </cell>
          <cell r="AC26">
            <v>639.05806881000001</v>
          </cell>
          <cell r="AE26">
            <v>2233.0580688059999</v>
          </cell>
          <cell r="AG26">
            <v>476.53760687772501</v>
          </cell>
          <cell r="AI26">
            <v>523.54184124299252</v>
          </cell>
          <cell r="AK26">
            <v>551.80000000000007</v>
          </cell>
          <cell r="AM26">
            <v>611.74911154892993</v>
          </cell>
          <cell r="AO26">
            <v>2163.6285596696475</v>
          </cell>
          <cell r="AQ26">
            <v>598.5</v>
          </cell>
          <cell r="AS26">
            <v>644.29999999999995</v>
          </cell>
          <cell r="AU26">
            <v>654.92200000000014</v>
          </cell>
          <cell r="AW26">
            <v>723.8</v>
          </cell>
          <cell r="AY26">
            <v>2621.5219999999999</v>
          </cell>
          <cell r="BA26">
            <v>763.7</v>
          </cell>
          <cell r="BB26">
            <v>0.27602339181286561</v>
          </cell>
          <cell r="BC26">
            <v>913.36599999999999</v>
          </cell>
          <cell r="BD26">
            <v>0.41760980909514211</v>
          </cell>
          <cell r="BE26">
            <v>1005.5</v>
          </cell>
          <cell r="BF26">
            <v>0.53529733311753125</v>
          </cell>
          <cell r="BG26">
            <v>1066.3000000000002</v>
          </cell>
          <cell r="BH26">
            <v>0.47319701575020767</v>
          </cell>
          <cell r="BI26">
            <v>3748.9</v>
          </cell>
          <cell r="BJ26">
            <v>0.43004712529591593</v>
          </cell>
          <cell r="BL26">
            <v>1186.0020000000002</v>
          </cell>
          <cell r="BM26">
            <v>0.55296844310593185</v>
          </cell>
          <cell r="BN26">
            <v>1274.1490000000001</v>
          </cell>
          <cell r="BO26">
            <v>0.39500375534013754</v>
          </cell>
          <cell r="BP26">
            <v>1450.9689999999998</v>
          </cell>
          <cell r="BQ26">
            <v>0.44303232222774724</v>
          </cell>
          <cell r="BR26">
            <v>1576.9650000000001</v>
          </cell>
          <cell r="BS26">
            <v>0.47891306386570376</v>
          </cell>
          <cell r="BT26">
            <v>5488.085</v>
          </cell>
          <cell r="BU26">
            <v>0.46391874949985334</v>
          </cell>
          <cell r="BW26">
            <v>1644</v>
          </cell>
          <cell r="BX26">
            <v>0.38616966919111406</v>
          </cell>
          <cell r="BY26">
            <v>1833.6799999999998</v>
          </cell>
          <cell r="BZ26">
            <v>0.43914094819365679</v>
          </cell>
          <cell r="CA26">
            <v>1989.4</v>
          </cell>
          <cell r="CB26">
            <v>0.37108373783313109</v>
          </cell>
          <cell r="CC26">
            <v>2180.2800000000002</v>
          </cell>
          <cell r="CD26">
            <v>0.38257982897527842</v>
          </cell>
          <cell r="CE26">
            <v>7647.3600000000006</v>
          </cell>
          <cell r="CF26">
            <v>0.39344780556423609</v>
          </cell>
        </row>
        <row r="27">
          <cell r="B27" t="str">
            <v>Royalties</v>
          </cell>
          <cell r="C27">
            <v>46.618000000000002</v>
          </cell>
          <cell r="E27">
            <v>45.985999999999997</v>
          </cell>
          <cell r="G27">
            <v>46.128</v>
          </cell>
          <cell r="I27">
            <v>50.537999999999997</v>
          </cell>
          <cell r="K27">
            <v>189.26999999999998</v>
          </cell>
          <cell r="M27">
            <v>47.344000000000001</v>
          </cell>
          <cell r="O27">
            <v>49.643000000000001</v>
          </cell>
          <cell r="Q27">
            <v>51.817999999999998</v>
          </cell>
          <cell r="S27">
            <v>58.436</v>
          </cell>
          <cell r="U27">
            <v>207.24100000000001</v>
          </cell>
          <cell r="W27">
            <v>74.631</v>
          </cell>
          <cell r="Y27">
            <v>52.445999999999998</v>
          </cell>
          <cell r="AA27">
            <v>66.051000000000002</v>
          </cell>
          <cell r="AC27">
            <v>71.346000000000004</v>
          </cell>
          <cell r="AE27">
            <v>264.47399999999999</v>
          </cell>
          <cell r="AG27">
            <v>81.843000000000004</v>
          </cell>
          <cell r="AI27">
            <v>85.534999999999997</v>
          </cell>
          <cell r="AK27">
            <v>85.081999999999994</v>
          </cell>
          <cell r="AM27">
            <v>113.09</v>
          </cell>
          <cell r="AO27">
            <v>365.54999999999995</v>
          </cell>
          <cell r="AQ27">
            <v>113.27500000000001</v>
          </cell>
          <cell r="AS27">
            <v>122.786</v>
          </cell>
          <cell r="AU27">
            <v>116.5</v>
          </cell>
          <cell r="AW27">
            <v>148.30699999999999</v>
          </cell>
          <cell r="AY27">
            <v>500.86800000000005</v>
          </cell>
          <cell r="BA27">
            <v>154.09700000000001</v>
          </cell>
          <cell r="BB27">
            <v>0.36037960715073947</v>
          </cell>
          <cell r="BC27">
            <v>151.86000000000001</v>
          </cell>
          <cell r="BD27">
            <v>0.23678595279592152</v>
          </cell>
          <cell r="BE27">
            <v>153.9</v>
          </cell>
          <cell r="BF27">
            <v>0.32103004291845494</v>
          </cell>
          <cell r="BG27">
            <v>181.24300000000002</v>
          </cell>
          <cell r="BH27">
            <v>0.2220798748541879</v>
          </cell>
          <cell r="BI27">
            <v>641.1</v>
          </cell>
          <cell r="BJ27">
            <v>0.27997795826445282</v>
          </cell>
          <cell r="BL27">
            <v>231.9</v>
          </cell>
          <cell r="BM27">
            <v>0.50489626663724785</v>
          </cell>
          <cell r="BN27">
            <v>200.321</v>
          </cell>
          <cell r="BO27">
            <v>0.31911629132095332</v>
          </cell>
          <cell r="BP27">
            <v>237.77699999999999</v>
          </cell>
          <cell r="BQ27">
            <v>0.54500974658869383</v>
          </cell>
          <cell r="BR27">
            <v>265.09899999999999</v>
          </cell>
          <cell r="BS27">
            <v>0.46267166180211072</v>
          </cell>
          <cell r="BT27">
            <v>935.09699999999998</v>
          </cell>
          <cell r="BU27">
            <v>0.45858212447356106</v>
          </cell>
          <cell r="BW27">
            <v>286</v>
          </cell>
          <cell r="BX27">
            <v>0.23329021129797334</v>
          </cell>
          <cell r="BY27">
            <v>299.89999999999998</v>
          </cell>
          <cell r="BZ27">
            <v>0.49709715905970908</v>
          </cell>
          <cell r="CA27">
            <v>325.3</v>
          </cell>
          <cell r="CB27">
            <v>0.36808858720565918</v>
          </cell>
          <cell r="CC27">
            <v>346.8</v>
          </cell>
          <cell r="CD27">
            <v>0.30819052504913258</v>
          </cell>
          <cell r="CE27">
            <v>1258</v>
          </cell>
          <cell r="CF27">
            <v>0.34531497801832334</v>
          </cell>
        </row>
        <row r="28">
          <cell r="B28" t="str">
            <v>Contract and Other</v>
          </cell>
          <cell r="C28">
            <v>19.265999999999998</v>
          </cell>
          <cell r="E28">
            <v>37.578000000000003</v>
          </cell>
          <cell r="G28">
            <v>7.5030000000000001</v>
          </cell>
          <cell r="I28">
            <v>18.895</v>
          </cell>
          <cell r="K28">
            <v>83.242000000000004</v>
          </cell>
          <cell r="M28">
            <v>33.695999999999998</v>
          </cell>
          <cell r="O28">
            <v>32.348999999999997</v>
          </cell>
          <cell r="Q28">
            <v>33.478999999999999</v>
          </cell>
          <cell r="S28">
            <v>54.363999999999997</v>
          </cell>
          <cell r="U28">
            <v>151.72999999999999</v>
          </cell>
          <cell r="W28">
            <v>28.478999999999999</v>
          </cell>
          <cell r="Y28">
            <v>20.934999999999999</v>
          </cell>
          <cell r="AA28">
            <v>8.9410000000000007</v>
          </cell>
          <cell r="AC28">
            <v>6.0019999999999998</v>
          </cell>
          <cell r="AE28">
            <v>62.198999999999998</v>
          </cell>
          <cell r="AG28">
            <v>9.6999999999999993</v>
          </cell>
          <cell r="AI28">
            <v>13.2</v>
          </cell>
          <cell r="AK28">
            <v>13.22</v>
          </cell>
          <cell r="AM28">
            <v>18.3</v>
          </cell>
          <cell r="AO28">
            <v>54.42</v>
          </cell>
          <cell r="AQ28">
            <v>37.914999999999999</v>
          </cell>
          <cell r="AS28">
            <v>32.601999999999997</v>
          </cell>
          <cell r="AU28">
            <v>45.6</v>
          </cell>
          <cell r="AW28">
            <v>61.756</v>
          </cell>
          <cell r="AY28">
            <v>177.87299999999999</v>
          </cell>
          <cell r="BA28">
            <v>57.338000000000001</v>
          </cell>
          <cell r="BB28">
            <v>0.51227746274561525</v>
          </cell>
          <cell r="BC28">
            <v>62.851999999999997</v>
          </cell>
          <cell r="BD28">
            <v>0.92785718667566419</v>
          </cell>
          <cell r="BE28">
            <v>43.2</v>
          </cell>
          <cell r="BF28">
            <v>-5.2631578947368363E-2</v>
          </cell>
          <cell r="BG28">
            <v>67.809999999999988</v>
          </cell>
          <cell r="BH28">
            <v>9.8030960554439828E-2</v>
          </cell>
          <cell r="BI28">
            <v>231.2</v>
          </cell>
          <cell r="BJ28">
            <v>0.29980379259359213</v>
          </cell>
          <cell r="BL28">
            <v>43.7</v>
          </cell>
          <cell r="BM28">
            <v>-0.23785273291708808</v>
          </cell>
          <cell r="BN28">
            <v>52.442999999999998</v>
          </cell>
          <cell r="BO28">
            <v>-0.16561127728632341</v>
          </cell>
          <cell r="BP28">
            <v>63.066000000000003</v>
          </cell>
          <cell r="BQ28">
            <v>0.45986111111111105</v>
          </cell>
          <cell r="BR28">
            <v>51.031999999999996</v>
          </cell>
          <cell r="BS28">
            <v>-0.24742663323993508</v>
          </cell>
          <cell r="BT28">
            <v>210.24099999999999</v>
          </cell>
          <cell r="BU28">
            <v>-9.065311418685118E-2</v>
          </cell>
          <cell r="BW28">
            <v>56</v>
          </cell>
          <cell r="BX28">
            <v>0.28146453089244838</v>
          </cell>
          <cell r="BY28">
            <v>52</v>
          </cell>
          <cell r="BZ28">
            <v>-8.4472665560703097E-3</v>
          </cell>
          <cell r="CA28">
            <v>52</v>
          </cell>
          <cell r="CB28">
            <v>-0.17546697110963116</v>
          </cell>
          <cell r="CC28">
            <v>55</v>
          </cell>
          <cell r="CD28">
            <v>7.7755134033547613E-2</v>
          </cell>
          <cell r="CE28">
            <v>215</v>
          </cell>
          <cell r="CF28">
            <v>2.2635927340528328E-2</v>
          </cell>
        </row>
        <row r="29">
          <cell r="B29" t="str">
            <v>Total Operating Revenue</v>
          </cell>
          <cell r="C29">
            <v>339.88399999700005</v>
          </cell>
          <cell r="E29">
            <v>399.06400000200006</v>
          </cell>
          <cell r="G29">
            <v>368.53100000099994</v>
          </cell>
          <cell r="I29">
            <v>392.5329999999999</v>
          </cell>
          <cell r="K29">
            <v>1500.0120000000002</v>
          </cell>
          <cell r="M29">
            <v>459.43006622616554</v>
          </cell>
          <cell r="O29">
            <v>467.14277262893148</v>
          </cell>
          <cell r="Q29">
            <v>510.86079690849226</v>
          </cell>
          <cell r="S29">
            <v>536.05275938289833</v>
          </cell>
          <cell r="U29">
            <v>1973.4863951464877</v>
          </cell>
          <cell r="W29">
            <v>603.20999999700007</v>
          </cell>
          <cell r="Y29">
            <v>594.40099999899996</v>
          </cell>
          <cell r="AA29">
            <v>647.87199999999996</v>
          </cell>
          <cell r="AC29">
            <v>716.40606880999997</v>
          </cell>
          <cell r="AE29">
            <v>2561.8890688059996</v>
          </cell>
          <cell r="AG29">
            <v>568.08060687772502</v>
          </cell>
          <cell r="AI29">
            <v>622.27684124299253</v>
          </cell>
          <cell r="AK29">
            <v>650.10200000000009</v>
          </cell>
          <cell r="AM29">
            <v>743.13911154892992</v>
          </cell>
          <cell r="AO29">
            <v>2583.5985596696473</v>
          </cell>
          <cell r="AQ29">
            <v>749.68999999999994</v>
          </cell>
          <cell r="AS29">
            <v>799.68799999999999</v>
          </cell>
          <cell r="AU29">
            <v>817.02200000000016</v>
          </cell>
          <cell r="AW29">
            <v>933.86299999999994</v>
          </cell>
          <cell r="AY29">
            <v>3300.2629999999999</v>
          </cell>
          <cell r="BA29">
            <v>975.13499999999999</v>
          </cell>
          <cell r="BB29">
            <v>0.30071762995371421</v>
          </cell>
          <cell r="BC29">
            <v>1128.0780000000002</v>
          </cell>
          <cell r="BD29">
            <v>0.41064765258450819</v>
          </cell>
          <cell r="BE29">
            <v>1202.6000000000001</v>
          </cell>
          <cell r="BF29">
            <v>0.47193098839443715</v>
          </cell>
          <cell r="BG29">
            <v>1315.3530000000001</v>
          </cell>
          <cell r="BH29">
            <v>0.40850745773202291</v>
          </cell>
          <cell r="BI29">
            <v>4621.2</v>
          </cell>
          <cell r="BJ29">
            <v>0.40025204051919494</v>
          </cell>
          <cell r="BL29">
            <v>1461.6020000000003</v>
          </cell>
          <cell r="BM29">
            <v>0.49887143831366965</v>
          </cell>
          <cell r="BN29">
            <v>1526.913</v>
          </cell>
          <cell r="BO29">
            <v>0.35355267986788119</v>
          </cell>
          <cell r="BP29">
            <v>1751.8119999999999</v>
          </cell>
          <cell r="BQ29">
            <v>0.45668717778147316</v>
          </cell>
          <cell r="BR29">
            <v>1893.096</v>
          </cell>
          <cell r="BS29">
            <v>0.43923038150215188</v>
          </cell>
          <cell r="BT29">
            <v>6633.4230000000007</v>
          </cell>
          <cell r="BU29">
            <v>0.43543300441443811</v>
          </cell>
          <cell r="BW29">
            <v>1986</v>
          </cell>
          <cell r="BX29">
            <v>0.35878303395862865</v>
          </cell>
          <cell r="BY29">
            <v>2185.58</v>
          </cell>
          <cell r="BZ29">
            <v>0.43137166295656648</v>
          </cell>
          <cell r="CA29">
            <v>2366.7000000000003</v>
          </cell>
          <cell r="CB29">
            <v>0.35100113482496997</v>
          </cell>
          <cell r="CC29">
            <v>2582.0800000000004</v>
          </cell>
          <cell r="CD29">
            <v>0.36394562135253583</v>
          </cell>
          <cell r="CE29">
            <v>9120.36</v>
          </cell>
          <cell r="CF29">
            <v>0.37491005774846564</v>
          </cell>
        </row>
        <row r="30">
          <cell r="B30" t="str">
            <v>Cost of Sales</v>
          </cell>
          <cell r="C30">
            <v>45.722999999999999</v>
          </cell>
          <cell r="E30">
            <v>52.680999999999997</v>
          </cell>
          <cell r="G30">
            <v>45.936</v>
          </cell>
          <cell r="I30">
            <v>47.850999999999999</v>
          </cell>
          <cell r="K30">
            <v>192.191</v>
          </cell>
          <cell r="M30">
            <v>62.856999999999999</v>
          </cell>
          <cell r="O30">
            <v>66.283000000000001</v>
          </cell>
          <cell r="Q30">
            <v>75.584000000000003</v>
          </cell>
          <cell r="S30">
            <v>67.343999999999994</v>
          </cell>
          <cell r="U30">
            <v>272.06799999999998</v>
          </cell>
          <cell r="W30">
            <v>83.796000000000006</v>
          </cell>
          <cell r="Y30">
            <v>76.188000000000002</v>
          </cell>
          <cell r="AA30">
            <v>96.03</v>
          </cell>
          <cell r="AC30">
            <v>98.427999999999997</v>
          </cell>
          <cell r="AE30">
            <v>354.44200000000001</v>
          </cell>
          <cell r="AG30">
            <v>102.444</v>
          </cell>
          <cell r="AI30">
            <v>106.867</v>
          </cell>
          <cell r="AK30">
            <v>112.48099999999999</v>
          </cell>
          <cell r="AM30">
            <v>119.83799999999999</v>
          </cell>
          <cell r="AO30">
            <v>441.63</v>
          </cell>
          <cell r="AQ30">
            <v>114.842</v>
          </cell>
          <cell r="AS30">
            <v>123.407</v>
          </cell>
          <cell r="AU30">
            <v>115.7</v>
          </cell>
          <cell r="AW30">
            <v>126.202</v>
          </cell>
          <cell r="AY30">
            <v>480.15100000000001</v>
          </cell>
          <cell r="BA30">
            <v>114.48</v>
          </cell>
          <cell r="BB30">
            <v>-3.152156876404022E-3</v>
          </cell>
          <cell r="BC30">
            <v>186.68299999999999</v>
          </cell>
          <cell r="BD30">
            <v>0.51274238900548585</v>
          </cell>
          <cell r="BE30">
            <v>165.99</v>
          </cell>
          <cell r="BF30">
            <v>0.43465859982713928</v>
          </cell>
          <cell r="BG30">
            <v>205.34699999999998</v>
          </cell>
          <cell r="BH30">
            <v>0.62712952251152898</v>
          </cell>
          <cell r="BI30">
            <v>672.5</v>
          </cell>
          <cell r="BJ30">
            <v>0.40060106091625336</v>
          </cell>
          <cell r="BL30">
            <v>251.041</v>
          </cell>
          <cell r="BM30">
            <v>1.1928808525506636</v>
          </cell>
          <cell r="BN30">
            <v>269.48099999999999</v>
          </cell>
          <cell r="BO30">
            <v>0.44352190611892883</v>
          </cell>
          <cell r="BP30">
            <v>245.62700000000001</v>
          </cell>
          <cell r="BQ30">
            <v>0.47976986565455748</v>
          </cell>
          <cell r="BR30">
            <v>244.91399999999999</v>
          </cell>
          <cell r="BS30">
            <v>0.19268360385104244</v>
          </cell>
          <cell r="BT30">
            <v>1011.0629999999999</v>
          </cell>
          <cell r="BU30">
            <v>0.50343940520446084</v>
          </cell>
          <cell r="BW30">
            <v>262</v>
          </cell>
          <cell r="BX30">
            <v>4.3654223812046755E-2</v>
          </cell>
          <cell r="BY30">
            <v>293.3888</v>
          </cell>
          <cell r="BZ30">
            <v>8.8717943008969069E-2</v>
          </cell>
          <cell r="CA30">
            <v>318.30400000000003</v>
          </cell>
          <cell r="CB30">
            <v>0.29588359585876156</v>
          </cell>
          <cell r="CC30">
            <v>348.84480000000002</v>
          </cell>
          <cell r="CD30">
            <v>0.42435630466204488</v>
          </cell>
          <cell r="CE30">
            <v>1222.5376000000001</v>
          </cell>
          <cell r="CF30">
            <v>0.20916065566636322</v>
          </cell>
        </row>
        <row r="31">
          <cell r="B31" t="str">
            <v>% of Product Sales</v>
          </cell>
          <cell r="C31">
            <v>0.19589974293310924</v>
          </cell>
          <cell r="E31">
            <v>0.19613179448848747</v>
          </cell>
          <cell r="G31">
            <v>0.17230307576829593</v>
          </cell>
          <cell r="I31">
            <v>0.17868185212845411</v>
          </cell>
          <cell r="K31">
            <v>0.18544094944037051</v>
          </cell>
          <cell r="M31">
            <v>0.22195268361503551</v>
          </cell>
          <cell r="O31">
            <v>0.21485575364528459</v>
          </cell>
          <cell r="Q31">
            <v>0.22745711706357946</v>
          </cell>
          <cell r="S31">
            <v>0.19208214489391873</v>
          </cell>
          <cell r="U31">
            <v>0.21345363251165828</v>
          </cell>
          <cell r="W31">
            <v>0.2143120204620024</v>
          </cell>
          <cell r="Y31">
            <v>0.18641546366573625</v>
          </cell>
          <cell r="AA31">
            <v>0.21541049798115744</v>
          </cell>
          <cell r="AC31">
            <v>0.20089886103170068</v>
          </cell>
          <cell r="AE31">
            <v>0.20423776933962265</v>
          </cell>
          <cell r="AG31">
            <v>0.21497568821737537</v>
          </cell>
          <cell r="AI31">
            <v>0.20412313129792353</v>
          </cell>
          <cell r="AK31">
            <v>0.20384378397970276</v>
          </cell>
          <cell r="AM31">
            <v>0.1958940319448505</v>
          </cell>
          <cell r="AO31">
            <v>0.2041154421013143</v>
          </cell>
          <cell r="AQ31">
            <v>0.19188304093567252</v>
          </cell>
          <cell r="AS31">
            <v>0.19153655129598013</v>
          </cell>
          <cell r="AT31" t="e">
            <v>#DIV/0!</v>
          </cell>
          <cell r="AU31">
            <v>0.17666225901710431</v>
          </cell>
          <cell r="AW31">
            <v>0.1743603205305333</v>
          </cell>
          <cell r="AY31">
            <v>0.18315734142227302</v>
          </cell>
          <cell r="BA31">
            <v>0.14990179389812752</v>
          </cell>
          <cell r="BC31">
            <v>0.20439013495137764</v>
          </cell>
          <cell r="BE31">
            <v>0.16508204873197416</v>
          </cell>
          <cell r="BG31">
            <v>0.19257901153521517</v>
          </cell>
          <cell r="BI31">
            <v>0.17938595321294246</v>
          </cell>
          <cell r="BL31">
            <v>0.21166996345705991</v>
          </cell>
          <cell r="BN31">
            <v>0.21149881214834371</v>
          </cell>
          <cell r="BP31">
            <v>0.16928480208743263</v>
          </cell>
          <cell r="BR31">
            <v>0.15530718817475339</v>
          </cell>
          <cell r="BT31">
            <v>0.18422874281283907</v>
          </cell>
          <cell r="BW31">
            <v>0.15936739659367397</v>
          </cell>
          <cell r="BY31">
            <v>0.16</v>
          </cell>
          <cell r="CA31">
            <v>0.16</v>
          </cell>
          <cell r="CC31">
            <v>0.16</v>
          </cell>
          <cell r="CE31">
            <v>0.15986400535609674</v>
          </cell>
        </row>
        <row r="32">
          <cell r="B32" t="str">
            <v>Research and Development</v>
          </cell>
          <cell r="C32">
            <v>90.74</v>
          </cell>
          <cell r="E32">
            <v>94.210999999999999</v>
          </cell>
          <cell r="G32">
            <v>84.629000000000005</v>
          </cell>
          <cell r="I32">
            <v>96.572999999999993</v>
          </cell>
          <cell r="K32">
            <v>367.29099999999994</v>
          </cell>
          <cell r="M32">
            <v>111.40600000000001</v>
          </cell>
          <cell r="O32">
            <v>115.563</v>
          </cell>
          <cell r="Q32">
            <v>113.636</v>
          </cell>
          <cell r="S32">
            <v>149.274</v>
          </cell>
          <cell r="U32">
            <v>489.87900000000002</v>
          </cell>
          <cell r="W32">
            <v>136.34</v>
          </cell>
          <cell r="Y32">
            <v>123.44799999999999</v>
          </cell>
          <cell r="AA32">
            <v>128.19499999999999</v>
          </cell>
          <cell r="AC32">
            <v>138.24700000000001</v>
          </cell>
          <cell r="AE32">
            <v>526.23</v>
          </cell>
          <cell r="AG32">
            <v>146.691</v>
          </cell>
          <cell r="AI32">
            <v>147.922</v>
          </cell>
          <cell r="AK32">
            <v>143.65899999999999</v>
          </cell>
          <cell r="AM32">
            <v>185.21</v>
          </cell>
          <cell r="AO32">
            <v>623.48199999999997</v>
          </cell>
          <cell r="AQ32">
            <v>157.43299999999999</v>
          </cell>
          <cell r="AS32">
            <v>180.203</v>
          </cell>
          <cell r="AU32">
            <v>168.7</v>
          </cell>
          <cell r="AW32">
            <v>215.62700000000001</v>
          </cell>
          <cell r="AY32">
            <v>721.96299999999997</v>
          </cell>
          <cell r="BA32">
            <v>190.345</v>
          </cell>
          <cell r="BB32">
            <v>0.2090540102773879</v>
          </cell>
          <cell r="BC32">
            <v>212.886</v>
          </cell>
          <cell r="BD32">
            <v>0.18136767978335544</v>
          </cell>
          <cell r="BE32">
            <v>234.08600000000001</v>
          </cell>
          <cell r="BF32">
            <v>0.38758743331357448</v>
          </cell>
          <cell r="BG32">
            <v>310.18299999999999</v>
          </cell>
          <cell r="BH32">
            <v>0.43851651231061028</v>
          </cell>
          <cell r="BI32">
            <v>947.5</v>
          </cell>
          <cell r="BJ32">
            <v>0.3123941254607232</v>
          </cell>
          <cell r="BL32">
            <v>243.24</v>
          </cell>
          <cell r="BM32">
            <v>0.27789014683863522</v>
          </cell>
          <cell r="BN32">
            <v>278.12400000000002</v>
          </cell>
          <cell r="BO32">
            <v>0.30644570333417898</v>
          </cell>
          <cell r="BP32">
            <v>328.85</v>
          </cell>
          <cell r="BQ32">
            <v>0.40482557692471999</v>
          </cell>
          <cell r="BR32">
            <v>411.61</v>
          </cell>
          <cell r="BS32">
            <v>0.32699084089070007</v>
          </cell>
          <cell r="BT32">
            <v>1261.8240000000001</v>
          </cell>
          <cell r="BU32">
            <v>0.33174036939314</v>
          </cell>
          <cell r="BW32">
            <v>341</v>
          </cell>
          <cell r="BX32">
            <v>0.40190758098996859</v>
          </cell>
          <cell r="BY32">
            <v>399.96114</v>
          </cell>
          <cell r="BZ32">
            <v>0.438067696423178</v>
          </cell>
          <cell r="CA32">
            <v>437.83950000000004</v>
          </cell>
          <cell r="CB32">
            <v>0.33142618214991648</v>
          </cell>
          <cell r="CC32">
            <v>498.34144000000009</v>
          </cell>
          <cell r="CD32">
            <v>0.21071266490124163</v>
          </cell>
          <cell r="CE32">
            <v>1677.1420800000001</v>
          </cell>
          <cell r="CF32">
            <v>0.3291410529519172</v>
          </cell>
        </row>
        <row r="33">
          <cell r="BA33">
            <v>0.19519861352530676</v>
          </cell>
          <cell r="BC33">
            <v>0.215</v>
          </cell>
          <cell r="BE33">
            <v>0.22</v>
          </cell>
          <cell r="BG33">
            <v>0.24</v>
          </cell>
          <cell r="BI33">
            <v>0.20503332467757293</v>
          </cell>
          <cell r="BL33">
            <v>0.16642013352472149</v>
          </cell>
          <cell r="BN33">
            <v>0.18214790233628245</v>
          </cell>
          <cell r="BP33">
            <v>0.18771991515071254</v>
          </cell>
          <cell r="BR33">
            <v>0.21742690280894367</v>
          </cell>
          <cell r="BT33">
            <v>0.19022215227341902</v>
          </cell>
          <cell r="BW33">
            <v>0.17170191339375629</v>
          </cell>
          <cell r="BY33">
            <v>0.183</v>
          </cell>
          <cell r="CA33">
            <v>0.185</v>
          </cell>
          <cell r="CC33">
            <v>0.193</v>
          </cell>
          <cell r="CE33">
            <v>0.18388989908293094</v>
          </cell>
        </row>
        <row r="34">
          <cell r="B34" t="str">
            <v>Selling, General &amp; Administrative</v>
          </cell>
          <cell r="C34">
            <v>97.200999999999993</v>
          </cell>
          <cell r="E34">
            <v>117.372</v>
          </cell>
          <cell r="G34">
            <v>113.613</v>
          </cell>
          <cell r="I34">
            <v>140.928</v>
          </cell>
          <cell r="K34">
            <v>467.94299999999998</v>
          </cell>
          <cell r="M34">
            <v>101.946</v>
          </cell>
          <cell r="O34">
            <v>117.15600000000001</v>
          </cell>
          <cell r="Q34">
            <v>131.726</v>
          </cell>
          <cell r="S34">
            <v>146.208</v>
          </cell>
          <cell r="U34">
            <v>497.03599999999994</v>
          </cell>
          <cell r="W34">
            <v>127.92</v>
          </cell>
          <cell r="Y34">
            <v>107.8</v>
          </cell>
          <cell r="AA34">
            <v>109.36499999999999</v>
          </cell>
          <cell r="AC34">
            <v>129.32499999999999</v>
          </cell>
          <cell r="AE34">
            <v>474.40999999999997</v>
          </cell>
          <cell r="AG34">
            <v>115.4</v>
          </cell>
          <cell r="AI34">
            <v>125.7</v>
          </cell>
          <cell r="AK34">
            <v>135.55000000000001</v>
          </cell>
          <cell r="AM34">
            <v>169.6</v>
          </cell>
          <cell r="AO34">
            <v>546.25</v>
          </cell>
          <cell r="AQ34">
            <v>137.22200000000001</v>
          </cell>
          <cell r="AS34">
            <v>184.25800000000001</v>
          </cell>
          <cell r="AU34">
            <v>209.9</v>
          </cell>
          <cell r="AW34">
            <v>263.505</v>
          </cell>
          <cell r="AY34">
            <v>794.88499999999999</v>
          </cell>
          <cell r="BA34">
            <v>247.31399999999999</v>
          </cell>
          <cell r="BB34">
            <v>0.80229117779947812</v>
          </cell>
          <cell r="BC34">
            <v>276.654</v>
          </cell>
          <cell r="BD34">
            <v>0.50144905512922078</v>
          </cell>
          <cell r="BE34">
            <v>264.64800000000002</v>
          </cell>
          <cell r="BF34">
            <v>0.26082896617436879</v>
          </cell>
          <cell r="BG34">
            <v>299.58400000000006</v>
          </cell>
          <cell r="BH34">
            <v>0.13691960304358575</v>
          </cell>
          <cell r="BI34">
            <v>1088.2</v>
          </cell>
          <cell r="BJ34">
            <v>0.36900306333620603</v>
          </cell>
          <cell r="BL34">
            <v>315.214</v>
          </cell>
          <cell r="BM34">
            <v>0.27454976264991071</v>
          </cell>
          <cell r="BN34">
            <v>356.63799999999998</v>
          </cell>
          <cell r="BO34">
            <v>0.28911203163518318</v>
          </cell>
          <cell r="BP34">
            <v>333.82299999999998</v>
          </cell>
          <cell r="BQ34">
            <v>0.2613849339500014</v>
          </cell>
          <cell r="BR34">
            <v>429.35700000000003</v>
          </cell>
          <cell r="BS34">
            <v>0.43317733924375124</v>
          </cell>
          <cell r="BT34">
            <v>1435.0319999999999</v>
          </cell>
          <cell r="BU34">
            <v>0.31872082337805541</v>
          </cell>
          <cell r="BW34">
            <v>400</v>
          </cell>
          <cell r="BX34">
            <v>0.26897916970692926</v>
          </cell>
          <cell r="BY34">
            <v>475.36365000000001</v>
          </cell>
          <cell r="BZ34">
            <v>0.33290241084797478</v>
          </cell>
          <cell r="CA34">
            <v>491.09025000000003</v>
          </cell>
          <cell r="CB34">
            <v>0.47110968986558754</v>
          </cell>
          <cell r="CC34">
            <v>561.6024000000001</v>
          </cell>
          <cell r="CD34">
            <v>0.30800802129696292</v>
          </cell>
          <cell r="CE34">
            <v>1928.0563000000002</v>
          </cell>
          <cell r="CF34">
            <v>0.34356327942512799</v>
          </cell>
        </row>
        <row r="35">
          <cell r="BA35">
            <v>0.25362026796289744</v>
          </cell>
          <cell r="BC35">
            <v>0.24</v>
          </cell>
          <cell r="BE35">
            <v>0.23300000000000001</v>
          </cell>
          <cell r="BG35">
            <v>0.24</v>
          </cell>
          <cell r="BI35">
            <v>0.23547996191465423</v>
          </cell>
          <cell r="BL35">
            <v>0.21566336116124632</v>
          </cell>
          <cell r="BN35">
            <v>0.23356798979378654</v>
          </cell>
          <cell r="BP35">
            <v>0.19055869008774914</v>
          </cell>
          <cell r="BR35">
            <v>0.22680149342664083</v>
          </cell>
          <cell r="BT35">
            <v>0.2163335581041643</v>
          </cell>
          <cell r="BW35">
            <v>0.2014098690835851</v>
          </cell>
          <cell r="BY35">
            <v>0.2175</v>
          </cell>
          <cell r="CA35">
            <v>0.20749999999999999</v>
          </cell>
          <cell r="CC35">
            <v>0.2175</v>
          </cell>
          <cell r="CE35">
            <v>0.21140133722791646</v>
          </cell>
        </row>
        <row r="36">
          <cell r="B36" t="str">
            <v>Collaborative Profit Split</v>
          </cell>
          <cell r="C36">
            <v>0</v>
          </cell>
          <cell r="E36">
            <v>0</v>
          </cell>
          <cell r="G36">
            <v>0</v>
          </cell>
          <cell r="I36">
            <v>0</v>
          </cell>
          <cell r="K36">
            <v>0</v>
          </cell>
          <cell r="M36">
            <v>0</v>
          </cell>
          <cell r="O36">
            <v>0</v>
          </cell>
          <cell r="Q36">
            <v>0</v>
          </cell>
          <cell r="S36">
            <v>0</v>
          </cell>
          <cell r="U36">
            <v>0</v>
          </cell>
          <cell r="W36">
            <v>46.372999999999998</v>
          </cell>
          <cell r="Y36">
            <v>57.908000000000001</v>
          </cell>
          <cell r="AA36">
            <v>65.796000000000006</v>
          </cell>
          <cell r="AC36">
            <v>76.581000000000003</v>
          </cell>
          <cell r="AE36">
            <v>246.65800000000002</v>
          </cell>
          <cell r="AG36">
            <v>72.076999999999998</v>
          </cell>
          <cell r="AI36">
            <v>84.09</v>
          </cell>
          <cell r="AK36">
            <v>90.048000000000002</v>
          </cell>
          <cell r="AM36">
            <v>104.51</v>
          </cell>
          <cell r="AO36">
            <v>350.72500000000002</v>
          </cell>
          <cell r="AQ36">
            <v>96.6</v>
          </cell>
          <cell r="AS36">
            <v>107.307</v>
          </cell>
          <cell r="AU36">
            <v>119.7</v>
          </cell>
          <cell r="AW36">
            <v>133.92699999999999</v>
          </cell>
          <cell r="AY36">
            <v>457.53399999999999</v>
          </cell>
          <cell r="BA36">
            <v>126.43</v>
          </cell>
          <cell r="BB36">
            <v>0.30879917184265016</v>
          </cell>
          <cell r="BC36">
            <v>145.221</v>
          </cell>
          <cell r="BD36">
            <v>0.35332270960887913</v>
          </cell>
          <cell r="BE36">
            <v>151.89400000000001</v>
          </cell>
          <cell r="BF36">
            <v>0.26895572263993328</v>
          </cell>
          <cell r="BG36">
            <v>170.05500000000001</v>
          </cell>
          <cell r="BH36">
            <v>0.26975889850440926</v>
          </cell>
          <cell r="BI36">
            <v>593.6</v>
          </cell>
          <cell r="BJ36">
            <v>0.29738992074905912</v>
          </cell>
          <cell r="BL36">
            <v>176.27699999999999</v>
          </cell>
          <cell r="BM36">
            <v>0.39426560151862677</v>
          </cell>
          <cell r="BN36">
            <v>198.798</v>
          </cell>
          <cell r="BO36">
            <v>0.36893424504720396</v>
          </cell>
          <cell r="BP36">
            <v>219.59100000000001</v>
          </cell>
          <cell r="BQ36">
            <v>0.44568580720765794</v>
          </cell>
          <cell r="BR36">
            <v>228.417</v>
          </cell>
          <cell r="BS36">
            <v>0.34319484872541239</v>
          </cell>
          <cell r="BT36">
            <v>823.08299999999997</v>
          </cell>
          <cell r="BU36">
            <v>0.38659535040431248</v>
          </cell>
          <cell r="BW36">
            <v>226</v>
          </cell>
          <cell r="BX36">
            <v>0.28207310085830839</v>
          </cell>
          <cell r="BY36">
            <v>255</v>
          </cell>
          <cell r="BZ36">
            <v>0.28270908158029751</v>
          </cell>
          <cell r="CA36">
            <v>275</v>
          </cell>
          <cell r="CB36">
            <v>0.25232819195686518</v>
          </cell>
          <cell r="CC36">
            <v>285</v>
          </cell>
          <cell r="CD36">
            <v>0.24771798946663348</v>
          </cell>
          <cell r="CE36">
            <v>1041</v>
          </cell>
          <cell r="CF36">
            <v>0.26475701721454592</v>
          </cell>
        </row>
        <row r="37">
          <cell r="B37" t="str">
            <v>Total Operating Expenses</v>
          </cell>
          <cell r="C37">
            <v>233.66399999999999</v>
          </cell>
          <cell r="D37" t="e">
            <v>#REF!</v>
          </cell>
          <cell r="E37">
            <v>264.26400000000001</v>
          </cell>
          <cell r="F37" t="e">
            <v>#REF!</v>
          </cell>
          <cell r="G37">
            <v>244.17800000000003</v>
          </cell>
          <cell r="H37" t="e">
            <v>#REF!</v>
          </cell>
          <cell r="I37">
            <v>285.35199999999998</v>
          </cell>
          <cell r="J37" t="e">
            <v>#REF!</v>
          </cell>
          <cell r="K37">
            <v>1027.4580000000001</v>
          </cell>
          <cell r="M37">
            <v>276.209</v>
          </cell>
          <cell r="N37" t="e">
            <v>#REF!</v>
          </cell>
          <cell r="O37">
            <v>299.00200000000001</v>
          </cell>
          <cell r="P37" t="e">
            <v>#REF!</v>
          </cell>
          <cell r="Q37">
            <v>320.94600000000003</v>
          </cell>
          <cell r="R37" t="e">
            <v>#REF!</v>
          </cell>
          <cell r="S37">
            <v>362.82599999999996</v>
          </cell>
          <cell r="T37" t="e">
            <v>#REF!</v>
          </cell>
          <cell r="U37">
            <v>1258.9829999999999</v>
          </cell>
          <cell r="W37">
            <v>394.42900000000003</v>
          </cell>
          <cell r="X37" t="e">
            <v>#REF!</v>
          </cell>
          <cell r="Y37">
            <v>365.34399999999999</v>
          </cell>
          <cell r="Z37" t="e">
            <v>#REF!</v>
          </cell>
          <cell r="AA37">
            <v>399.38599999999997</v>
          </cell>
          <cell r="AB37" t="e">
            <v>#REF!</v>
          </cell>
          <cell r="AC37">
            <v>442.58100000000002</v>
          </cell>
          <cell r="AD37" t="e">
            <v>#REF!</v>
          </cell>
          <cell r="AE37">
            <v>1601.7400000000002</v>
          </cell>
          <cell r="AG37">
            <v>436.61200000000002</v>
          </cell>
          <cell r="AI37">
            <v>464.57900000000001</v>
          </cell>
          <cell r="AK37">
            <v>481.738</v>
          </cell>
          <cell r="AM37">
            <v>579.15800000000002</v>
          </cell>
          <cell r="AO37">
            <v>1962.087</v>
          </cell>
          <cell r="AQ37">
            <v>506.09699999999998</v>
          </cell>
          <cell r="AS37">
            <v>595.17500000000007</v>
          </cell>
          <cell r="AU37">
            <v>614</v>
          </cell>
          <cell r="AW37">
            <v>739.26099999999997</v>
          </cell>
          <cell r="AY37">
            <v>2454.7161573414223</v>
          </cell>
          <cell r="BA37">
            <v>678.56900000000007</v>
          </cell>
          <cell r="BB37">
            <v>0.34078842593415914</v>
          </cell>
          <cell r="BC37">
            <v>821.44399999999996</v>
          </cell>
          <cell r="BD37">
            <v>0.38017221825513481</v>
          </cell>
          <cell r="BE37">
            <v>816.61800000000005</v>
          </cell>
          <cell r="BF37">
            <v>0.32999674267100976</v>
          </cell>
          <cell r="BG37">
            <v>985.1690000000001</v>
          </cell>
          <cell r="BH37">
            <v>0.33264029889308389</v>
          </cell>
          <cell r="BI37">
            <v>3301.8</v>
          </cell>
          <cell r="BJ37">
            <v>0.34508423310987246</v>
          </cell>
          <cell r="BL37">
            <v>985.77200000000005</v>
          </cell>
          <cell r="BM37">
            <v>0.4527218307939207</v>
          </cell>
          <cell r="BN37">
            <v>1103.0409999999999</v>
          </cell>
          <cell r="BO37">
            <v>0.34280730031505491</v>
          </cell>
          <cell r="BP37">
            <v>1127.8910000000001</v>
          </cell>
          <cell r="BQ37">
            <v>0.38117332706357199</v>
          </cell>
          <cell r="BR37">
            <v>1314.298</v>
          </cell>
          <cell r="BS37">
            <v>0.33408379679019529</v>
          </cell>
          <cell r="BT37">
            <v>4531.0020000000004</v>
          </cell>
          <cell r="BU37">
            <v>0.37228239142286035</v>
          </cell>
          <cell r="BW37">
            <v>1229</v>
          </cell>
          <cell r="BX37">
            <v>0.24673859675462473</v>
          </cell>
          <cell r="BY37">
            <v>1423.7135900000001</v>
          </cell>
          <cell r="BZ37">
            <v>0.29071683645485535</v>
          </cell>
          <cell r="CA37">
            <v>1522.2337500000001</v>
          </cell>
          <cell r="CB37">
            <v>0.34962842154073392</v>
          </cell>
          <cell r="CC37">
            <v>1693.7886400000002</v>
          </cell>
          <cell r="CD37">
            <v>0.28874017916789052</v>
          </cell>
          <cell r="CE37">
            <v>5868.7359800000013</v>
          </cell>
          <cell r="CF37">
            <v>0.29524020956071095</v>
          </cell>
        </row>
        <row r="38">
          <cell r="B38" t="str">
            <v>Operating Income (Loss)</v>
          </cell>
          <cell r="C38">
            <v>106.21999999700006</v>
          </cell>
          <cell r="D38" t="e">
            <v>#REF!</v>
          </cell>
          <cell r="E38">
            <v>134.80000000200005</v>
          </cell>
          <cell r="F38" t="e">
            <v>#REF!</v>
          </cell>
          <cell r="G38">
            <v>124.35300000099991</v>
          </cell>
          <cell r="H38" t="e">
            <v>#REF!</v>
          </cell>
          <cell r="I38">
            <v>107.18099999999993</v>
          </cell>
          <cell r="J38" t="e">
            <v>#REF!</v>
          </cell>
          <cell r="K38">
            <v>472.55400000000009</v>
          </cell>
          <cell r="M38">
            <v>183.22106622616553</v>
          </cell>
          <cell r="N38" t="e">
            <v>#REF!</v>
          </cell>
          <cell r="O38">
            <v>168.14077262893147</v>
          </cell>
          <cell r="P38" t="e">
            <v>#REF!</v>
          </cell>
          <cell r="Q38">
            <v>189.91479690849224</v>
          </cell>
          <cell r="R38" t="e">
            <v>#REF!</v>
          </cell>
          <cell r="S38">
            <v>173.22675938289836</v>
          </cell>
          <cell r="T38" t="e">
            <v>#REF!</v>
          </cell>
          <cell r="U38">
            <v>714.50339514648749</v>
          </cell>
          <cell r="W38">
            <v>208.78099999700004</v>
          </cell>
          <cell r="X38" t="e">
            <v>#REF!</v>
          </cell>
          <cell r="Y38">
            <v>229.05699999899997</v>
          </cell>
          <cell r="Z38" t="e">
            <v>#REF!</v>
          </cell>
          <cell r="AA38">
            <v>248.48599999999999</v>
          </cell>
          <cell r="AB38" t="e">
            <v>#REF!</v>
          </cell>
          <cell r="AC38">
            <v>273.82506880999995</v>
          </cell>
          <cell r="AD38" t="e">
            <v>#REF!</v>
          </cell>
          <cell r="AE38">
            <v>960.14906880599995</v>
          </cell>
          <cell r="AG38">
            <v>131.46860687772499</v>
          </cell>
          <cell r="AI38">
            <v>157.69784124299252</v>
          </cell>
          <cell r="AK38">
            <v>168.36400000000009</v>
          </cell>
          <cell r="AM38">
            <v>163.9811115489299</v>
          </cell>
          <cell r="AO38">
            <v>621.51155966964757</v>
          </cell>
          <cell r="AQ38">
            <v>243.59299999999996</v>
          </cell>
          <cell r="AS38">
            <v>204.51299999999992</v>
          </cell>
          <cell r="AU38">
            <v>203.02200000000016</v>
          </cell>
          <cell r="AW38">
            <v>194.60199999999998</v>
          </cell>
          <cell r="AY38">
            <v>845.54684265857759</v>
          </cell>
          <cell r="BA38">
            <v>296.56599999999992</v>
          </cell>
          <cell r="BB38">
            <v>0.21746519809682541</v>
          </cell>
          <cell r="BC38">
            <v>306.63400000000024</v>
          </cell>
          <cell r="BD38">
            <v>0.49933745043102573</v>
          </cell>
          <cell r="BE38">
            <v>385.98200000000008</v>
          </cell>
          <cell r="BF38">
            <v>0.9011831230112981</v>
          </cell>
          <cell r="BG38">
            <v>330.18399999999997</v>
          </cell>
          <cell r="BH38">
            <v>0.69671431948284201</v>
          </cell>
          <cell r="BI38">
            <v>1319.3999999999996</v>
          </cell>
          <cell r="BJ38">
            <v>0.56041029714158452</v>
          </cell>
          <cell r="BL38">
            <v>475.83000000000027</v>
          </cell>
          <cell r="BM38">
            <v>0.60446578501918768</v>
          </cell>
          <cell r="BN38">
            <v>423.87200000000007</v>
          </cell>
          <cell r="BO38">
            <v>0.38233855345460621</v>
          </cell>
          <cell r="BP38">
            <v>623.92099999999982</v>
          </cell>
          <cell r="BQ38">
            <v>0.61645102621365688</v>
          </cell>
          <cell r="BR38">
            <v>578.798</v>
          </cell>
          <cell r="BS38">
            <v>0.75295592760400276</v>
          </cell>
          <cell r="BT38">
            <v>2102.4210000000003</v>
          </cell>
          <cell r="BU38">
            <v>0.59346748522055548</v>
          </cell>
          <cell r="BW38">
            <v>757</v>
          </cell>
          <cell r="BX38">
            <v>0.59090431456612569</v>
          </cell>
          <cell r="BY38">
            <v>761.86640999999986</v>
          </cell>
          <cell r="BZ38">
            <v>0.79739735108711995</v>
          </cell>
          <cell r="CA38">
            <v>844.46625000000017</v>
          </cell>
          <cell r="CB38">
            <v>0.35348265245119248</v>
          </cell>
          <cell r="CC38">
            <v>888.29136000000017</v>
          </cell>
          <cell r="CD38">
            <v>0.53471739708844912</v>
          </cell>
          <cell r="CE38">
            <v>3251.6240200000002</v>
          </cell>
          <cell r="CF38">
            <v>0.54660937081583549</v>
          </cell>
        </row>
        <row r="39">
          <cell r="B39" t="str">
            <v>Interest and other Income net</v>
          </cell>
          <cell r="C39">
            <v>22.399000000000001</v>
          </cell>
          <cell r="E39">
            <v>21.986000000000001</v>
          </cell>
          <cell r="G39">
            <v>24.728999999999999</v>
          </cell>
          <cell r="I39">
            <v>20.32</v>
          </cell>
          <cell r="K39">
            <v>89.433999999999997</v>
          </cell>
          <cell r="M39">
            <v>21.474</v>
          </cell>
          <cell r="O39">
            <v>22.262</v>
          </cell>
          <cell r="Q39">
            <v>25.712</v>
          </cell>
          <cell r="S39">
            <v>20.96</v>
          </cell>
          <cell r="U39">
            <v>90.408000000000015</v>
          </cell>
          <cell r="W39">
            <v>35.064</v>
          </cell>
          <cell r="Y39">
            <v>32.234999999999999</v>
          </cell>
          <cell r="AA39">
            <v>32.472999999999999</v>
          </cell>
          <cell r="AC39">
            <v>30.771999999999998</v>
          </cell>
          <cell r="AE39">
            <v>130.54400000000001</v>
          </cell>
          <cell r="AG39">
            <v>36.4</v>
          </cell>
          <cell r="AI39">
            <v>28.8</v>
          </cell>
          <cell r="AK39">
            <v>15.2</v>
          </cell>
          <cell r="AM39">
            <v>27.4</v>
          </cell>
          <cell r="AO39">
            <v>107.80000000000001</v>
          </cell>
          <cell r="AQ39">
            <v>15.702999999999999</v>
          </cell>
          <cell r="AS39">
            <v>40.869999999999997</v>
          </cell>
          <cell r="AU39">
            <v>15.9</v>
          </cell>
          <cell r="AW39">
            <v>20.334</v>
          </cell>
          <cell r="AY39">
            <v>92.807000000000002</v>
          </cell>
          <cell r="BA39">
            <v>22.32</v>
          </cell>
          <cell r="BB39">
            <v>0.42138444883143356</v>
          </cell>
          <cell r="BC39">
            <v>15.444000000000001</v>
          </cell>
          <cell r="BD39">
            <v>-0.6221189136285783</v>
          </cell>
          <cell r="BE39">
            <v>23.51</v>
          </cell>
          <cell r="BF39">
            <v>0.47861635220125787</v>
          </cell>
          <cell r="BG39">
            <v>21.323</v>
          </cell>
          <cell r="BH39">
            <v>4.8637749581980971E-2</v>
          </cell>
          <cell r="BI39">
            <v>82.597000000000008</v>
          </cell>
          <cell r="BJ39">
            <v>-0.11001325331063383</v>
          </cell>
          <cell r="BL39">
            <v>16.396000000000001</v>
          </cell>
          <cell r="BM39">
            <v>-0.26541218637992825</v>
          </cell>
          <cell r="BN39">
            <v>31.501999999999999</v>
          </cell>
          <cell r="BO39">
            <v>1.0397565397565396</v>
          </cell>
          <cell r="BP39">
            <v>47.390999999999998</v>
          </cell>
          <cell r="BQ39">
            <v>1.0157805189281155</v>
          </cell>
          <cell r="BR39">
            <v>43.743000000000002</v>
          </cell>
          <cell r="BS39">
            <v>1.0514467945411061</v>
          </cell>
          <cell r="BT39">
            <v>140.9</v>
          </cell>
          <cell r="BU39">
            <v>0.70587309466445491</v>
          </cell>
          <cell r="BW39">
            <v>53</v>
          </cell>
          <cell r="BX39">
            <v>2.2324957306660158</v>
          </cell>
          <cell r="BY39">
            <v>80</v>
          </cell>
          <cell r="BZ39">
            <v>1.539521300234906</v>
          </cell>
          <cell r="CA39">
            <v>50</v>
          </cell>
          <cell r="CB39">
            <v>5.5052647127091792E-2</v>
          </cell>
          <cell r="CC39">
            <v>45</v>
          </cell>
          <cell r="CD39">
            <v>2.8736026335642206E-2</v>
          </cell>
          <cell r="CE39">
            <v>228</v>
          </cell>
          <cell r="CF39">
            <v>0.61816891412349184</v>
          </cell>
        </row>
        <row r="40">
          <cell r="B40" t="str">
            <v>Interest Expense</v>
          </cell>
          <cell r="C40">
            <v>-1.363</v>
          </cell>
          <cell r="E40">
            <v>-1.3560000000000001</v>
          </cell>
          <cell r="G40">
            <v>-1.3260000000000001</v>
          </cell>
          <cell r="I40">
            <v>-1.3149999999999999</v>
          </cell>
          <cell r="K40">
            <v>-5.3599999999999994</v>
          </cell>
          <cell r="M40">
            <v>-1.2869999999999999</v>
          </cell>
          <cell r="O40">
            <v>-1.24</v>
          </cell>
          <cell r="Q40">
            <v>-1.175</v>
          </cell>
          <cell r="S40">
            <v>-1.5760000000000001</v>
          </cell>
          <cell r="U40">
            <v>-5.2780000000000005</v>
          </cell>
          <cell r="W40">
            <v>-1.4910000000000001</v>
          </cell>
          <cell r="Y40">
            <v>-1.345</v>
          </cell>
          <cell r="AA40">
            <v>-1.7190000000000001</v>
          </cell>
          <cell r="AC40">
            <v>-1.1819999999999999</v>
          </cell>
          <cell r="AE40">
            <v>-5.7370000000000001</v>
          </cell>
          <cell r="AG40">
            <v>0</v>
          </cell>
          <cell r="AI40">
            <v>0</v>
          </cell>
          <cell r="AK40">
            <v>0</v>
          </cell>
          <cell r="AM40">
            <v>0</v>
          </cell>
          <cell r="AO40">
            <v>0</v>
          </cell>
          <cell r="AQ40">
            <v>0</v>
          </cell>
          <cell r="AS40">
            <v>0</v>
          </cell>
          <cell r="AU40">
            <v>0</v>
          </cell>
          <cell r="AW40">
            <v>0</v>
          </cell>
          <cell r="AY40">
            <v>0</v>
          </cell>
          <cell r="BA40">
            <v>0</v>
          </cell>
          <cell r="BB40" t="str">
            <v>NM</v>
          </cell>
          <cell r="BC40">
            <v>0</v>
          </cell>
          <cell r="BD40" t="str">
            <v>NM</v>
          </cell>
          <cell r="BE40">
            <v>0</v>
          </cell>
          <cell r="BF40" t="str">
            <v>NM</v>
          </cell>
          <cell r="BG40">
            <v>0</v>
          </cell>
          <cell r="BH40" t="str">
            <v>NM</v>
          </cell>
          <cell r="BI40">
            <v>0</v>
          </cell>
          <cell r="BJ40" t="str">
            <v>NM</v>
          </cell>
          <cell r="BL40">
            <v>0</v>
          </cell>
          <cell r="BM40" t="str">
            <v>NM</v>
          </cell>
          <cell r="BN40">
            <v>0</v>
          </cell>
          <cell r="BO40" t="str">
            <v>NM</v>
          </cell>
          <cell r="BP40">
            <v>-25</v>
          </cell>
          <cell r="BQ40" t="str">
            <v>NM</v>
          </cell>
          <cell r="BR40">
            <v>-23.035</v>
          </cell>
          <cell r="BS40" t="str">
            <v>NM</v>
          </cell>
          <cell r="BT40">
            <v>-49.9</v>
          </cell>
          <cell r="BU40" t="str">
            <v>NM</v>
          </cell>
          <cell r="BW40">
            <v>-19</v>
          </cell>
          <cell r="BX40" t="str">
            <v>NM</v>
          </cell>
          <cell r="BY40">
            <v>-24</v>
          </cell>
          <cell r="BZ40" t="str">
            <v>NM</v>
          </cell>
          <cell r="CA40">
            <v>-24</v>
          </cell>
          <cell r="CB40" t="str">
            <v>NM</v>
          </cell>
          <cell r="CC40">
            <v>-24</v>
          </cell>
          <cell r="CD40" t="str">
            <v>NM</v>
          </cell>
          <cell r="CE40">
            <v>-91</v>
          </cell>
          <cell r="CF40" t="str">
            <v>NM</v>
          </cell>
        </row>
        <row r="41">
          <cell r="B41" t="str">
            <v>Other</v>
          </cell>
          <cell r="C41">
            <v>-50</v>
          </cell>
          <cell r="E41">
            <v>0</v>
          </cell>
          <cell r="G41">
            <v>0</v>
          </cell>
          <cell r="I41">
            <v>0</v>
          </cell>
          <cell r="K41">
            <v>-50</v>
          </cell>
          <cell r="M41">
            <v>0</v>
          </cell>
          <cell r="O41">
            <v>0</v>
          </cell>
          <cell r="Q41">
            <v>0</v>
          </cell>
          <cell r="S41">
            <v>0</v>
          </cell>
          <cell r="U41">
            <v>0</v>
          </cell>
          <cell r="W41">
            <v>0</v>
          </cell>
          <cell r="Y41">
            <v>0</v>
          </cell>
          <cell r="AA41">
            <v>0</v>
          </cell>
          <cell r="AC41">
            <v>0</v>
          </cell>
          <cell r="AE41">
            <v>0</v>
          </cell>
          <cell r="AG41">
            <v>0</v>
          </cell>
          <cell r="AI41">
            <v>0</v>
          </cell>
          <cell r="AK41">
            <v>0</v>
          </cell>
          <cell r="AM41">
            <v>0</v>
          </cell>
          <cell r="AO41">
            <v>0</v>
          </cell>
          <cell r="AQ41">
            <v>0</v>
          </cell>
          <cell r="AS41">
            <v>0</v>
          </cell>
          <cell r="AU41">
            <v>0</v>
          </cell>
          <cell r="AW41">
            <v>0</v>
          </cell>
          <cell r="AY41">
            <v>0</v>
          </cell>
          <cell r="BA41">
            <v>0</v>
          </cell>
          <cell r="BB41" t="str">
            <v>NM</v>
          </cell>
          <cell r="BC41">
            <v>0</v>
          </cell>
          <cell r="BD41" t="str">
            <v>NM</v>
          </cell>
          <cell r="BE41">
            <v>0</v>
          </cell>
          <cell r="BF41" t="str">
            <v>NM</v>
          </cell>
          <cell r="BG41">
            <v>0</v>
          </cell>
          <cell r="BH41" t="str">
            <v>NM</v>
          </cell>
          <cell r="BI41">
            <v>0</v>
          </cell>
          <cell r="BJ41" t="str">
            <v>NM</v>
          </cell>
          <cell r="BL41">
            <v>0</v>
          </cell>
          <cell r="BM41" t="str">
            <v>NM</v>
          </cell>
          <cell r="BN41">
            <v>0</v>
          </cell>
          <cell r="BO41" t="str">
            <v>NM</v>
          </cell>
          <cell r="BP41">
            <v>0</v>
          </cell>
          <cell r="BQ41" t="str">
            <v>NM</v>
          </cell>
          <cell r="BR41">
            <v>0</v>
          </cell>
          <cell r="BS41" t="str">
            <v>NM</v>
          </cell>
          <cell r="BT41">
            <v>0</v>
          </cell>
          <cell r="BU41" t="str">
            <v>NM</v>
          </cell>
          <cell r="BW41">
            <v>0</v>
          </cell>
          <cell r="BX41" t="str">
            <v>NM</v>
          </cell>
          <cell r="BY41">
            <v>0</v>
          </cell>
          <cell r="BZ41" t="str">
            <v>NM</v>
          </cell>
          <cell r="CA41">
            <v>0</v>
          </cell>
          <cell r="CB41" t="str">
            <v>NM</v>
          </cell>
          <cell r="CC41">
            <v>0</v>
          </cell>
          <cell r="CD41" t="str">
            <v>NM</v>
          </cell>
          <cell r="CE41">
            <v>0</v>
          </cell>
          <cell r="CF41" t="str">
            <v>NM</v>
          </cell>
        </row>
        <row r="42">
          <cell r="B42" t="str">
            <v>Income (Loss) Before Taxes</v>
          </cell>
          <cell r="C42">
            <v>77.25599999700006</v>
          </cell>
          <cell r="D42" t="e">
            <v>#REF!</v>
          </cell>
          <cell r="E42">
            <v>155.43000000200004</v>
          </cell>
          <cell r="F42" t="e">
            <v>#REF!</v>
          </cell>
          <cell r="G42">
            <v>147.75600000099993</v>
          </cell>
          <cell r="H42" t="e">
            <v>#REF!</v>
          </cell>
          <cell r="I42">
            <v>126.18599999999992</v>
          </cell>
          <cell r="J42" t="e">
            <v>#REF!</v>
          </cell>
          <cell r="K42">
            <v>556.62800000000004</v>
          </cell>
          <cell r="M42">
            <v>203.40806622616552</v>
          </cell>
          <cell r="N42" t="e">
            <v>#REF!</v>
          </cell>
          <cell r="O42">
            <v>189.16277262893146</v>
          </cell>
          <cell r="P42" t="e">
            <v>#REF!</v>
          </cell>
          <cell r="Q42">
            <v>214.45179690849221</v>
          </cell>
          <cell r="R42" t="e">
            <v>#REF!</v>
          </cell>
          <cell r="S42">
            <v>192.61075938289838</v>
          </cell>
          <cell r="T42" t="e">
            <v>#REF!</v>
          </cell>
          <cell r="U42">
            <v>799.6333951464876</v>
          </cell>
          <cell r="W42">
            <v>242.35399999700002</v>
          </cell>
          <cell r="X42" t="e">
            <v>#REF!</v>
          </cell>
          <cell r="Y42">
            <v>259.94699999899996</v>
          </cell>
          <cell r="Z42" t="e">
            <v>#REF!</v>
          </cell>
          <cell r="AA42">
            <v>279.24</v>
          </cell>
          <cell r="AB42" t="e">
            <v>#REF!</v>
          </cell>
          <cell r="AC42">
            <v>303.41506880999992</v>
          </cell>
          <cell r="AD42" t="e">
            <v>#REF!</v>
          </cell>
          <cell r="AE42">
            <v>1084.9560688059998</v>
          </cell>
          <cell r="AG42">
            <v>167.868606877725</v>
          </cell>
          <cell r="AI42">
            <v>186.49784124299254</v>
          </cell>
          <cell r="AK42">
            <v>183.56400000000008</v>
          </cell>
          <cell r="AM42">
            <v>191.38111154892991</v>
          </cell>
          <cell r="AO42">
            <v>729.31155966964752</v>
          </cell>
          <cell r="AQ42">
            <v>259.29599999999994</v>
          </cell>
          <cell r="AS42">
            <v>245.38299999999992</v>
          </cell>
          <cell r="AU42">
            <v>218.92200000000017</v>
          </cell>
          <cell r="AW42">
            <v>214.93599999999998</v>
          </cell>
          <cell r="AY42">
            <v>938.35384265857761</v>
          </cell>
          <cell r="BA42">
            <v>318.88599999999991</v>
          </cell>
          <cell r="BB42">
            <v>0.2298145748488214</v>
          </cell>
          <cell r="BC42">
            <v>322.07800000000026</v>
          </cell>
          <cell r="BD42">
            <v>0.31255221429357527</v>
          </cell>
          <cell r="BE42">
            <v>409.49200000000008</v>
          </cell>
          <cell r="BF42">
            <v>0.8704926868930476</v>
          </cell>
          <cell r="BG42">
            <v>351.50699999999995</v>
          </cell>
          <cell r="BH42">
            <v>0.63540309673577244</v>
          </cell>
          <cell r="BI42">
            <v>1401.9969999999996</v>
          </cell>
          <cell r="BJ42">
            <v>0.4941026894799212</v>
          </cell>
          <cell r="BL42">
            <v>492.22600000000028</v>
          </cell>
          <cell r="BM42">
            <v>0.54357983730863202</v>
          </cell>
          <cell r="BN42">
            <v>455.37400000000008</v>
          </cell>
          <cell r="BO42">
            <v>0.41386248051714092</v>
          </cell>
          <cell r="BP42">
            <v>646.31199999999978</v>
          </cell>
          <cell r="BQ42">
            <v>0.57832631650923494</v>
          </cell>
          <cell r="BR42">
            <v>599.50600000000009</v>
          </cell>
          <cell r="BS42">
            <v>0.70553075756670625</v>
          </cell>
          <cell r="BT42">
            <v>2193.4180000000006</v>
          </cell>
          <cell r="BU42">
            <v>0.56449550177354246</v>
          </cell>
          <cell r="BW42">
            <v>791</v>
          </cell>
          <cell r="BX42">
            <v>0.60698540914132848</v>
          </cell>
          <cell r="BY42">
            <v>817.86640999999986</v>
          </cell>
          <cell r="BZ42">
            <v>0.79603229433388756</v>
          </cell>
          <cell r="CA42">
            <v>870.46625000000017</v>
          </cell>
          <cell r="CB42">
            <v>0.34682049845894936</v>
          </cell>
          <cell r="CC42">
            <v>909.29136000000017</v>
          </cell>
          <cell r="CD42">
            <v>0.51673437797119637</v>
          </cell>
          <cell r="CE42">
            <v>3388.6240200000002</v>
          </cell>
          <cell r="CF42">
            <v>0.54490572248426861</v>
          </cell>
        </row>
        <row r="43">
          <cell r="B43" t="str">
            <v>Income Tax (Benefit)</v>
          </cell>
          <cell r="C43">
            <v>22.91</v>
          </cell>
          <cell r="E43">
            <v>36.084000000000003</v>
          </cell>
          <cell r="G43">
            <v>32.942</v>
          </cell>
          <cell r="I43">
            <v>23.69</v>
          </cell>
          <cell r="K43">
            <v>121.56800000000001</v>
          </cell>
          <cell r="M43">
            <v>33.540999999999997</v>
          </cell>
          <cell r="O43">
            <v>35.161999999999999</v>
          </cell>
          <cell r="Q43">
            <v>38.149000000000001</v>
          </cell>
          <cell r="S43">
            <v>37.49</v>
          </cell>
          <cell r="U43">
            <v>143.67400000000001</v>
          </cell>
          <cell r="W43">
            <v>42.930999999999997</v>
          </cell>
          <cell r="Y43">
            <v>47.738999999999997</v>
          </cell>
          <cell r="AA43">
            <v>49.619</v>
          </cell>
          <cell r="AC43">
            <v>50.045000000000002</v>
          </cell>
          <cell r="AE43">
            <v>190.334</v>
          </cell>
          <cell r="AG43">
            <v>49.2</v>
          </cell>
          <cell r="AI43">
            <v>66.009</v>
          </cell>
          <cell r="AK43">
            <v>63.384999999999998</v>
          </cell>
          <cell r="AM43">
            <v>67.203000000000003</v>
          </cell>
          <cell r="AO43">
            <v>245.797</v>
          </cell>
          <cell r="AQ43">
            <v>76.762</v>
          </cell>
          <cell r="AS43">
            <v>81.891999999999996</v>
          </cell>
          <cell r="AU43">
            <v>75.099999999999994</v>
          </cell>
          <cell r="AW43">
            <v>69.944000000000003</v>
          </cell>
          <cell r="AY43">
            <v>303.69799999999998</v>
          </cell>
          <cell r="BA43">
            <v>111.33499999999999</v>
          </cell>
          <cell r="BB43">
            <v>0.45039212110158666</v>
          </cell>
          <cell r="BC43">
            <v>120.306</v>
          </cell>
          <cell r="BD43">
            <v>0.46908122893567139</v>
          </cell>
          <cell r="BE43">
            <v>149.88999999999999</v>
          </cell>
          <cell r="BF43">
            <v>0.99587217043941401</v>
          </cell>
          <cell r="BG43">
            <v>126.1</v>
          </cell>
          <cell r="BH43">
            <v>0.80287086812306963</v>
          </cell>
          <cell r="BI43">
            <v>507.63099999999997</v>
          </cell>
          <cell r="BJ43">
            <v>0.67149931840183341</v>
          </cell>
          <cell r="BL43">
            <v>180.58500000000001</v>
          </cell>
          <cell r="BM43">
            <v>0.62199667669645686</v>
          </cell>
          <cell r="BN43">
            <v>126.8</v>
          </cell>
          <cell r="BO43">
            <v>5.3979020165245251E-2</v>
          </cell>
          <cell r="BP43">
            <v>262.49099999999999</v>
          </cell>
          <cell r="BQ43">
            <v>0.75122423110280878</v>
          </cell>
          <cell r="BR43">
            <v>236.221</v>
          </cell>
          <cell r="BS43">
            <v>0.87328310864393344</v>
          </cell>
          <cell r="BT43">
            <v>806.09699999999998</v>
          </cell>
          <cell r="BU43">
            <v>0.5879585762098849</v>
          </cell>
          <cell r="BW43">
            <v>300</v>
          </cell>
          <cell r="BX43">
            <v>0.66126754713846658</v>
          </cell>
          <cell r="BY43">
            <v>303.42843810999995</v>
          </cell>
          <cell r="BZ43">
            <v>1.3929687548107252</v>
          </cell>
          <cell r="CA43">
            <v>322.94297875000007</v>
          </cell>
          <cell r="CB43">
            <v>0.23030114842032701</v>
          </cell>
          <cell r="CC43">
            <v>337.34709456000007</v>
          </cell>
          <cell r="CD43">
            <v>0.42809951088175935</v>
          </cell>
          <cell r="CE43">
            <v>1263.7185114200001</v>
          </cell>
          <cell r="CF43">
            <v>0.567700303338184</v>
          </cell>
        </row>
        <row r="44">
          <cell r="B44" t="str">
            <v>Tax Rate</v>
          </cell>
          <cell r="C44">
            <v>0.29654654655806179</v>
          </cell>
          <cell r="E44">
            <v>0.23215595444596077</v>
          </cell>
          <cell r="G44">
            <v>0.22294864506197423</v>
          </cell>
          <cell r="I44">
            <v>0.18773873488342618</v>
          </cell>
          <cell r="K44">
            <v>0.21840079909742235</v>
          </cell>
          <cell r="M44">
            <v>0.31057618156261746</v>
          </cell>
          <cell r="O44">
            <v>0.31062449585915947</v>
          </cell>
          <cell r="Q44">
            <v>0.31050325499576703</v>
          </cell>
          <cell r="S44">
            <v>0.31069126943984371</v>
          </cell>
          <cell r="U44">
            <v>0.17967483708416138</v>
          </cell>
          <cell r="W44">
            <v>0.320523684181443</v>
          </cell>
          <cell r="Y44">
            <v>0.32030716534990089</v>
          </cell>
          <cell r="AA44">
            <v>0.32044099205704007</v>
          </cell>
          <cell r="AC44">
            <v>0.32039990406928232</v>
          </cell>
          <cell r="AE44">
            <v>0.17543014456747877</v>
          </cell>
          <cell r="AG44">
            <v>0.29349894260372089</v>
          </cell>
          <cell r="AI44">
            <v>0.35428459719400968</v>
          </cell>
          <cell r="AK44">
            <v>0.345725382990834</v>
          </cell>
          <cell r="AM44">
            <v>0.35148524883632459</v>
          </cell>
          <cell r="AO44">
            <v>0.33702605798725771</v>
          </cell>
          <cell r="AQ44">
            <v>0.29619869560489492</v>
          </cell>
          <cell r="AS44">
            <v>0.33376329644768415</v>
          </cell>
          <cell r="AU44">
            <v>0.3432807897415317</v>
          </cell>
          <cell r="AW44">
            <v>0.32563596409549711</v>
          </cell>
          <cell r="AY44">
            <v>0.32364976429312847</v>
          </cell>
          <cell r="BA44">
            <v>0.34913730925785397</v>
          </cell>
          <cell r="BC44">
            <v>0.37353063543613629</v>
          </cell>
          <cell r="BE44">
            <v>0.3660388969747882</v>
          </cell>
          <cell r="BG44">
            <v>0.35874107770257779</v>
          </cell>
          <cell r="BI44">
            <v>0.36207709431617907</v>
          </cell>
          <cell r="BJ44">
            <v>0.11873121584679147</v>
          </cell>
          <cell r="BL44">
            <v>0.36687415943083035</v>
          </cell>
          <cell r="BN44">
            <v>0.27845243689802224</v>
          </cell>
          <cell r="BP44">
            <v>0.40613666464493942</v>
          </cell>
          <cell r="BR44">
            <v>0.39402608147374668</v>
          </cell>
          <cell r="BT44">
            <v>0.36750724212165659</v>
          </cell>
          <cell r="BU44">
            <v>1.4997214379807389E-2</v>
          </cell>
          <cell r="BW44">
            <v>0.37926675094816686</v>
          </cell>
          <cell r="BY44">
            <v>0.371</v>
          </cell>
          <cell r="CA44">
            <v>0.371</v>
          </cell>
          <cell r="CC44">
            <v>0.371</v>
          </cell>
          <cell r="CE44">
            <v>0.3729296918045219</v>
          </cell>
          <cell r="CF44">
            <v>1.4754674361139086E-2</v>
          </cell>
        </row>
        <row r="45">
          <cell r="B45" t="str">
            <v>Reported Net Income</v>
          </cell>
          <cell r="C45">
            <v>54.345999997000064</v>
          </cell>
          <cell r="D45" t="e">
            <v>#REF!</v>
          </cell>
          <cell r="E45">
            <v>119.34600000200004</v>
          </cell>
          <cell r="F45" t="e">
            <v>#REF!</v>
          </cell>
          <cell r="G45">
            <v>114.81400000099993</v>
          </cell>
          <cell r="H45" t="e">
            <v>#REF!</v>
          </cell>
          <cell r="I45">
            <v>102.49599999999992</v>
          </cell>
          <cell r="J45" t="e">
            <v>#REF!</v>
          </cell>
          <cell r="K45">
            <v>435.06000000000006</v>
          </cell>
          <cell r="M45">
            <v>169.86706622616552</v>
          </cell>
          <cell r="N45" t="e">
            <v>#REF!</v>
          </cell>
          <cell r="O45">
            <v>154.00077262893146</v>
          </cell>
          <cell r="P45" t="e">
            <v>#REF!</v>
          </cell>
          <cell r="Q45">
            <v>176.30279690849221</v>
          </cell>
          <cell r="R45" t="e">
            <v>#REF!</v>
          </cell>
          <cell r="S45">
            <v>155.12075938289837</v>
          </cell>
          <cell r="T45" t="e">
            <v>#REF!</v>
          </cell>
          <cell r="U45">
            <v>653.88039514648756</v>
          </cell>
          <cell r="W45">
            <v>199.42299999700003</v>
          </cell>
          <cell r="X45" t="e">
            <v>#REF!</v>
          </cell>
          <cell r="Y45">
            <v>212.20799999899995</v>
          </cell>
          <cell r="Z45" t="e">
            <v>#REF!</v>
          </cell>
          <cell r="AA45">
            <v>229.62100000000001</v>
          </cell>
          <cell r="AB45" t="e">
            <v>#REF!</v>
          </cell>
          <cell r="AC45">
            <v>253.37006880999991</v>
          </cell>
          <cell r="AD45" t="e">
            <v>#REF!</v>
          </cell>
          <cell r="AE45">
            <v>893.21106880599996</v>
          </cell>
          <cell r="AG45">
            <v>118.668606877725</v>
          </cell>
          <cell r="AI45">
            <v>120.48884124299254</v>
          </cell>
          <cell r="AK45">
            <v>120.17900000000009</v>
          </cell>
          <cell r="AM45">
            <v>124.17811154892991</v>
          </cell>
          <cell r="AO45">
            <v>483.5145596696475</v>
          </cell>
          <cell r="AQ45">
            <v>182.53399999999993</v>
          </cell>
          <cell r="AS45">
            <v>163.49099999999993</v>
          </cell>
          <cell r="AU45">
            <v>143.82200000000017</v>
          </cell>
          <cell r="AW45">
            <v>144.99199999999996</v>
          </cell>
          <cell r="AY45">
            <v>634.65584265857763</v>
          </cell>
          <cell r="BA45">
            <v>207.55099999999993</v>
          </cell>
          <cell r="BB45">
            <v>0.13705391872199146</v>
          </cell>
          <cell r="BC45">
            <v>201.77200000000028</v>
          </cell>
          <cell r="BD45">
            <v>0.23414744542513266</v>
          </cell>
          <cell r="BE45">
            <v>259.60200000000009</v>
          </cell>
          <cell r="BF45">
            <v>0.80502287549887908</v>
          </cell>
          <cell r="BG45">
            <v>225.40699999999995</v>
          </cell>
          <cell r="BH45">
            <v>0.55461680644449363</v>
          </cell>
          <cell r="BI45">
            <v>894.36599999999964</v>
          </cell>
          <cell r="BJ45">
            <v>0.4092141596829777</v>
          </cell>
          <cell r="BL45">
            <v>311.6410000000003</v>
          </cell>
          <cell r="BM45">
            <v>0.50151529021782792</v>
          </cell>
          <cell r="BN45">
            <v>328.57400000000007</v>
          </cell>
          <cell r="BO45">
            <v>0.6284420038459233</v>
          </cell>
          <cell r="BP45">
            <v>383.8209999999998</v>
          </cell>
          <cell r="BQ45">
            <v>0.47849785440789994</v>
          </cell>
          <cell r="BR45">
            <v>363.28500000000008</v>
          </cell>
          <cell r="BS45">
            <v>0.61168464155949076</v>
          </cell>
          <cell r="BT45">
            <v>1387.3210000000001</v>
          </cell>
          <cell r="BU45">
            <v>0.55117815301565654</v>
          </cell>
          <cell r="BW45">
            <v>491</v>
          </cell>
          <cell r="BX45">
            <v>0.57553081911558346</v>
          </cell>
          <cell r="BY45">
            <v>514.43797188999997</v>
          </cell>
          <cell r="BZ45">
            <v>0.56566853095497471</v>
          </cell>
          <cell r="CA45">
            <v>547.52327125000011</v>
          </cell>
          <cell r="CB45">
            <v>0.42650681242037414</v>
          </cell>
          <cell r="CC45">
            <v>571.94426544000009</v>
          </cell>
          <cell r="CD45">
            <v>0.57436796300425286</v>
          </cell>
          <cell r="CE45">
            <v>2124.9055085800001</v>
          </cell>
          <cell r="CF45">
            <v>0.53166102767852563</v>
          </cell>
        </row>
        <row r="46">
          <cell r="B46" t="str">
            <v>EPS, basic</v>
          </cell>
          <cell r="C46">
            <v>5.3195279706391409E-2</v>
          </cell>
          <cell r="D46" t="e">
            <v>#REF!</v>
          </cell>
          <cell r="E46">
            <v>0.1161134028662049</v>
          </cell>
          <cell r="F46" t="e">
            <v>#REF!</v>
          </cell>
          <cell r="G46">
            <v>0.11225174174395246</v>
          </cell>
          <cell r="H46" t="e">
            <v>#REF!</v>
          </cell>
          <cell r="I46">
            <v>9.9454483000867386E-2</v>
          </cell>
          <cell r="J46" t="e">
            <v>#REF!</v>
          </cell>
          <cell r="K46">
            <v>0.84830168077058077</v>
          </cell>
          <cell r="M46">
            <v>0.15719058841409891</v>
          </cell>
          <cell r="N46" t="e">
            <v>#REF!</v>
          </cell>
          <cell r="O46">
            <v>0.14772766505983081</v>
          </cell>
          <cell r="P46" t="e">
            <v>#REF!</v>
          </cell>
          <cell r="Q46">
            <v>0.16857272598569231</v>
          </cell>
          <cell r="R46" t="e">
            <v>#REF!</v>
          </cell>
          <cell r="S46">
            <v>0.14771576793625393</v>
          </cell>
          <cell r="T46" t="e">
            <v>#REF!</v>
          </cell>
          <cell r="U46">
            <v>0.62610751786886065</v>
          </cell>
          <cell r="W46">
            <v>0.18963949828069879</v>
          </cell>
          <cell r="X46" t="e">
            <v>#REF!</v>
          </cell>
          <cell r="Y46">
            <v>0.201336627462533</v>
          </cell>
          <cell r="Z46" t="e">
            <v>#REF!</v>
          </cell>
          <cell r="AA46">
            <v>0.21772122853328479</v>
          </cell>
          <cell r="AB46" t="e">
            <v>#REF!</v>
          </cell>
          <cell r="AC46">
            <v>0.23995422792662244</v>
          </cell>
          <cell r="AD46" t="e">
            <v>#REF!</v>
          </cell>
          <cell r="AE46">
            <v>0.84741827980205642</v>
          </cell>
          <cell r="AG46">
            <v>0.11262407288593676</v>
          </cell>
          <cell r="AI46">
            <v>0.11585443224435389</v>
          </cell>
          <cell r="AK46">
            <v>0.11644687757376106</v>
          </cell>
          <cell r="AM46">
            <v>0.12075917770961529</v>
          </cell>
          <cell r="AO46">
            <v>0.46558555820163972</v>
          </cell>
          <cell r="AQ46">
            <v>0.17828754720077195</v>
          </cell>
          <cell r="AS46">
            <v>0.15937622463243961</v>
          </cell>
          <cell r="AU46">
            <v>0.13818408916218311</v>
          </cell>
          <cell r="AW46">
            <v>0.13843172075349197</v>
          </cell>
          <cell r="AY46">
            <v>0.61351622099003444</v>
          </cell>
          <cell r="BA46">
            <v>0.19669389062526646</v>
          </cell>
          <cell r="BB46">
            <v>0.10323964692703358</v>
          </cell>
          <cell r="BC46">
            <v>0.19023985050239559</v>
          </cell>
          <cell r="BD46">
            <v>0.19365263508490682</v>
          </cell>
          <cell r="BE46">
            <v>0.24603559717193932</v>
          </cell>
          <cell r="BF46">
            <v>0.78049150711681192</v>
          </cell>
          <cell r="BG46">
            <v>0.21473468610079066</v>
          </cell>
          <cell r="BH46">
            <v>0.55119567200333264</v>
          </cell>
          <cell r="BI46">
            <v>0.84760772011960184</v>
          </cell>
          <cell r="BJ46">
            <v>0.38155714734292223</v>
          </cell>
          <cell r="BL46">
            <v>0.29769915325477275</v>
          </cell>
          <cell r="BM46">
            <v>0.51351499687368318</v>
          </cell>
          <cell r="BN46">
            <v>0.31068947127549734</v>
          </cell>
          <cell r="BO46">
            <v>0.6331461071642559</v>
          </cell>
          <cell r="BP46">
            <v>0.36191125456018103</v>
          </cell>
          <cell r="BQ46">
            <v>0.47097110629590433</v>
          </cell>
          <cell r="BR46">
            <v>0.3444360799602551</v>
          </cell>
          <cell r="BS46">
            <v>0.60400765341928087</v>
          </cell>
          <cell r="BT46">
            <v>1.3150560404644005</v>
          </cell>
          <cell r="BU46">
            <v>0.5514913435177764</v>
          </cell>
          <cell r="BW46">
            <v>0.46584440227703983</v>
          </cell>
          <cell r="BX46">
            <v>0.56481601369677836</v>
          </cell>
          <cell r="BY46">
            <v>0.48808156725806451</v>
          </cell>
          <cell r="BZ46">
            <v>0.57096268906154357</v>
          </cell>
          <cell r="CA46">
            <v>0.51947179435483881</v>
          </cell>
          <cell r="CB46">
            <v>0.43535683902987765</v>
          </cell>
          <cell r="CC46">
            <v>0.54264161806451627</v>
          </cell>
          <cell r="CD46">
            <v>0.57544940741147776</v>
          </cell>
          <cell r="CE46">
            <v>2.0160393819544593</v>
          </cell>
          <cell r="CF46">
            <v>0.53304446344546097</v>
          </cell>
        </row>
        <row r="47">
          <cell r="B47" t="str">
            <v>EPS, diluted</v>
          </cell>
          <cell r="C47">
            <v>5.1261300007734628E-2</v>
          </cell>
          <cell r="D47" t="e">
            <v>#REF!</v>
          </cell>
          <cell r="E47">
            <v>0.11182173883900132</v>
          </cell>
          <cell r="F47" t="e">
            <v>#REF!</v>
          </cell>
          <cell r="G47">
            <v>0.10948743622848416</v>
          </cell>
          <cell r="H47" t="e">
            <v>#REF!</v>
          </cell>
          <cell r="I47">
            <v>9.672335662963033E-2</v>
          </cell>
          <cell r="J47" t="e">
            <v>#REF!</v>
          </cell>
          <cell r="K47">
            <v>0.82168185466735921</v>
          </cell>
          <cell r="M47">
            <v>0.16360744536644534</v>
          </cell>
          <cell r="N47" t="e">
            <v>#REF!</v>
          </cell>
          <cell r="O47">
            <v>0.14302396905211939</v>
          </cell>
          <cell r="P47" t="e">
            <v>#REF!</v>
          </cell>
          <cell r="Q47">
            <v>0.16279624374956575</v>
          </cell>
          <cell r="R47" t="e">
            <v>#REF!</v>
          </cell>
          <cell r="S47">
            <v>0.1442675142833611</v>
          </cell>
          <cell r="T47" t="e">
            <v>#REF!</v>
          </cell>
          <cell r="U47">
            <v>0.60987544247047309</v>
          </cell>
          <cell r="W47">
            <v>0.18630385512668887</v>
          </cell>
          <cell r="X47" t="e">
            <v>#REF!</v>
          </cell>
          <cell r="Y47">
            <v>0.19827260801712437</v>
          </cell>
          <cell r="Z47" t="e">
            <v>#REF!</v>
          </cell>
          <cell r="AA47">
            <v>0.21513388423557631</v>
          </cell>
          <cell r="AB47" t="e">
            <v>#REF!</v>
          </cell>
          <cell r="AC47">
            <v>0.23597362148675347</v>
          </cell>
          <cell r="AD47" t="e">
            <v>#REF!</v>
          </cell>
          <cell r="AE47">
            <v>0.83443278873473636</v>
          </cell>
          <cell r="AG47">
            <v>0.11091602069521243</v>
          </cell>
          <cell r="AI47">
            <v>0.11486526747781373</v>
          </cell>
          <cell r="AK47">
            <v>0.11568376043694142</v>
          </cell>
          <cell r="AM47">
            <v>0.11963762442668824</v>
          </cell>
          <cell r="AO47">
            <v>0.46096594929398294</v>
          </cell>
          <cell r="AQ47">
            <v>0.17644113473531989</v>
          </cell>
          <cell r="AS47">
            <v>0.15632685298156096</v>
          </cell>
          <cell r="AU47">
            <v>0.13499342969776626</v>
          </cell>
          <cell r="AW47">
            <v>0.13531330959153653</v>
          </cell>
          <cell r="AY47">
            <v>0.60195636879300407</v>
          </cell>
          <cell r="BA47">
            <v>0.19188759906363365</v>
          </cell>
          <cell r="BB47">
            <v>8.7544575994056517E-2</v>
          </cell>
          <cell r="BC47">
            <v>0.1856079596205274</v>
          </cell>
          <cell r="BD47">
            <v>0.18730695386300766</v>
          </cell>
          <cell r="BE47">
            <v>0.24102097033403808</v>
          </cell>
          <cell r="BF47">
            <v>0.78542741579093511</v>
          </cell>
          <cell r="BG47">
            <v>0.21052144935874201</v>
          </cell>
          <cell r="BH47">
            <v>0.55580740722573774</v>
          </cell>
          <cell r="BI47">
            <v>0.82872362999196592</v>
          </cell>
          <cell r="BJ47">
            <v>0.37671710601493902</v>
          </cell>
          <cell r="BL47">
            <v>0.29205273126155645</v>
          </cell>
          <cell r="BM47">
            <v>0.52199898631649511</v>
          </cell>
          <cell r="BN47">
            <v>0.30315701288288605</v>
          </cell>
          <cell r="BO47">
            <v>0.63331903169824111</v>
          </cell>
          <cell r="BP47">
            <v>0.35311289058331263</v>
          </cell>
          <cell r="BQ47">
            <v>0.46507123464785272</v>
          </cell>
          <cell r="BR47">
            <v>0.33632766499529704</v>
          </cell>
          <cell r="BS47">
            <v>0.59759333796991476</v>
          </cell>
          <cell r="BT47">
            <v>1.2834287279048318</v>
          </cell>
          <cell r="BU47">
            <v>0.54868122671640718</v>
          </cell>
          <cell r="BW47">
            <v>0.45674418604651162</v>
          </cell>
          <cell r="BX47">
            <v>0.56390999691579968</v>
          </cell>
          <cell r="BY47">
            <v>0.4785469505953488</v>
          </cell>
          <cell r="BZ47">
            <v>0.57854488024071671</v>
          </cell>
          <cell r="CA47">
            <v>0.50932397325581402</v>
          </cell>
          <cell r="CB47">
            <v>0.44238283800530165</v>
          </cell>
          <cell r="CC47">
            <v>0.53204117715348842</v>
          </cell>
          <cell r="CD47">
            <v>0.58191321299997156</v>
          </cell>
          <cell r="CE47">
            <v>1.9766562870511628</v>
          </cell>
          <cell r="CF47">
            <v>0.54013716856565086</v>
          </cell>
        </row>
        <row r="49">
          <cell r="B49" t="str">
            <v>Option expense</v>
          </cell>
          <cell r="BW49">
            <v>74</v>
          </cell>
          <cell r="BY49">
            <v>78.304247450000005</v>
          </cell>
          <cell r="CA49">
            <v>83.722856250000007</v>
          </cell>
          <cell r="CC49">
            <v>93.158375200000009</v>
          </cell>
          <cell r="CE49">
            <v>329.18547890000002</v>
          </cell>
        </row>
        <row r="50">
          <cell r="B50" t="str">
            <v>Net Income (incl options exp)</v>
          </cell>
          <cell r="BW50">
            <v>417</v>
          </cell>
          <cell r="BY50">
            <v>436.13372443999998</v>
          </cell>
          <cell r="CA50">
            <v>463.8004150000001</v>
          </cell>
          <cell r="CC50">
            <v>478.78589024000007</v>
          </cell>
          <cell r="CE50">
            <v>1795.7200296800002</v>
          </cell>
        </row>
        <row r="52">
          <cell r="B52" t="str">
            <v>EPS, diluted (incl option exp)</v>
          </cell>
          <cell r="BW52">
            <v>0.38790697674418606</v>
          </cell>
          <cell r="BY52">
            <v>0.40570579017674419</v>
          </cell>
          <cell r="CA52">
            <v>0.43144224651162799</v>
          </cell>
          <cell r="CC52">
            <v>0.44538222347906986</v>
          </cell>
          <cell r="CE52">
            <v>1.670437236911628</v>
          </cell>
        </row>
        <row r="53">
          <cell r="B53" t="str">
            <v>EPS, GAAP, diluted (incl option exp)</v>
          </cell>
          <cell r="BW53">
            <v>0.39162790697674421</v>
          </cell>
          <cell r="BY53">
            <v>0.38464160413023252</v>
          </cell>
          <cell r="CA53">
            <v>0.41037806046511638</v>
          </cell>
          <cell r="CC53">
            <v>0.42431803743255819</v>
          </cell>
          <cell r="CE53">
            <v>1.6109656090046514</v>
          </cell>
        </row>
        <row r="54">
          <cell r="B54" t="str">
            <v>Shares Outstanding (Basic)</v>
          </cell>
          <cell r="C54">
            <v>1021.6319999999999</v>
          </cell>
          <cell r="D54">
            <v>0</v>
          </cell>
          <cell r="E54">
            <v>1027.8399999999999</v>
          </cell>
          <cell r="F54">
            <v>0</v>
          </cell>
          <cell r="G54">
            <v>1022.826</v>
          </cell>
          <cell r="H54">
            <v>0</v>
          </cell>
          <cell r="I54">
            <v>1030.5820000000001</v>
          </cell>
          <cell r="K54">
            <v>512.86</v>
          </cell>
          <cell r="M54">
            <v>1080.644</v>
          </cell>
          <cell r="N54">
            <v>0</v>
          </cell>
          <cell r="O54">
            <v>1042.4639999999999</v>
          </cell>
          <cell r="P54">
            <v>0</v>
          </cell>
          <cell r="Q54">
            <v>1045.856</v>
          </cell>
          <cell r="R54">
            <v>0</v>
          </cell>
          <cell r="S54">
            <v>1050.1300000000001</v>
          </cell>
          <cell r="T54">
            <v>0</v>
          </cell>
          <cell r="U54">
            <v>1044.3579999999999</v>
          </cell>
          <cell r="W54">
            <v>1051.5899999999999</v>
          </cell>
          <cell r="X54">
            <v>0</v>
          </cell>
          <cell r="Y54">
            <v>1053.9960000000001</v>
          </cell>
          <cell r="Z54">
            <v>0</v>
          </cell>
          <cell r="AA54">
            <v>1054.6559999999999</v>
          </cell>
          <cell r="AB54">
            <v>0</v>
          </cell>
          <cell r="AC54">
            <v>1055.9100000000001</v>
          </cell>
          <cell r="AD54">
            <v>0</v>
          </cell>
          <cell r="AE54">
            <v>1054.038</v>
          </cell>
          <cell r="AG54">
            <v>1053.67</v>
          </cell>
          <cell r="AH54">
            <v>0</v>
          </cell>
          <cell r="AI54">
            <v>1040.002</v>
          </cell>
          <cell r="AJ54">
            <v>0</v>
          </cell>
          <cell r="AK54">
            <v>1032.05</v>
          </cell>
          <cell r="AL54">
            <v>0</v>
          </cell>
          <cell r="AM54">
            <v>1028.3119999999999</v>
          </cell>
          <cell r="AN54">
            <v>0</v>
          </cell>
          <cell r="AO54">
            <v>1038.5084999999999</v>
          </cell>
          <cell r="AQ54">
            <v>1023.818</v>
          </cell>
          <cell r="AR54">
            <v>0</v>
          </cell>
          <cell r="AS54">
            <v>1025.818</v>
          </cell>
          <cell r="AT54">
            <v>0</v>
          </cell>
          <cell r="AU54">
            <v>1040.8</v>
          </cell>
          <cell r="AV54">
            <v>0</v>
          </cell>
          <cell r="AW54">
            <v>1047.3900000000001</v>
          </cell>
          <cell r="AY54">
            <v>1034.4565</v>
          </cell>
          <cell r="BA54">
            <v>1055.1980000000001</v>
          </cell>
          <cell r="BB54">
            <v>3.0649978804826672E-2</v>
          </cell>
          <cell r="BC54">
            <v>1060.6189999999999</v>
          </cell>
          <cell r="BD54">
            <v>3.392512122033331E-2</v>
          </cell>
          <cell r="BE54">
            <v>1055.1400000000001</v>
          </cell>
          <cell r="BF54">
            <v>1.3777863182167671E-2</v>
          </cell>
          <cell r="BG54">
            <v>1049.7</v>
          </cell>
          <cell r="BH54">
            <v>2.2054821986079443E-3</v>
          </cell>
          <cell r="BI54">
            <v>1055.165</v>
          </cell>
          <cell r="BJ54">
            <v>2.0018724808631427E-2</v>
          </cell>
          <cell r="BL54">
            <v>1046.8320000000001</v>
          </cell>
          <cell r="BM54">
            <v>-7.9283698414894799E-3</v>
          </cell>
          <cell r="BN54">
            <v>1057.5640000000001</v>
          </cell>
          <cell r="BO54">
            <v>-2.8803934306285139E-3</v>
          </cell>
          <cell r="BP54">
            <v>1060.539</v>
          </cell>
          <cell r="BQ54">
            <v>5.1168565308867819E-3</v>
          </cell>
          <cell r="BR54">
            <v>1054.7239999999999</v>
          </cell>
          <cell r="BS54">
            <v>4.7861293702962104E-3</v>
          </cell>
          <cell r="BT54">
            <v>1054.952</v>
          </cell>
          <cell r="BU54">
            <v>-2.0186416342460323E-4</v>
          </cell>
          <cell r="BW54">
            <v>1054</v>
          </cell>
          <cell r="BY54">
            <v>1054</v>
          </cell>
          <cell r="CA54">
            <v>1054</v>
          </cell>
          <cell r="CC54">
            <v>1054</v>
          </cell>
          <cell r="CE54">
            <v>1054</v>
          </cell>
          <cell r="CF54">
            <v>-9.0241072579599901E-4</v>
          </cell>
        </row>
        <row r="55">
          <cell r="B55" t="str">
            <v>Shares Outstanding (Diluted)</v>
          </cell>
          <cell r="C55">
            <v>1060.1759999999999</v>
          </cell>
          <cell r="D55">
            <v>0</v>
          </cell>
          <cell r="E55">
            <v>1067.288</v>
          </cell>
          <cell r="F55">
            <v>0</v>
          </cell>
          <cell r="G55">
            <v>1048.6500000000001</v>
          </cell>
          <cell r="H55">
            <v>0</v>
          </cell>
          <cell r="I55">
            <v>1059.682</v>
          </cell>
          <cell r="K55">
            <v>529.47500000000002</v>
          </cell>
          <cell r="M55">
            <v>1038.26</v>
          </cell>
          <cell r="N55">
            <v>0</v>
          </cell>
          <cell r="O55">
            <v>1076.748</v>
          </cell>
          <cell r="P55">
            <v>0</v>
          </cell>
          <cell r="Q55">
            <v>1082.9659999999999</v>
          </cell>
          <cell r="R55">
            <v>0</v>
          </cell>
          <cell r="S55">
            <v>1075.23</v>
          </cell>
          <cell r="T55">
            <v>0</v>
          </cell>
          <cell r="U55">
            <v>1072.154</v>
          </cell>
          <cell r="W55">
            <v>1070.4179999999999</v>
          </cell>
          <cell r="X55">
            <v>0</v>
          </cell>
          <cell r="Y55">
            <v>1070.2840000000001</v>
          </cell>
          <cell r="Z55">
            <v>0</v>
          </cell>
          <cell r="AA55">
            <v>1067.3399999999999</v>
          </cell>
          <cell r="AB55">
            <v>0</v>
          </cell>
          <cell r="AC55">
            <v>1073.722</v>
          </cell>
          <cell r="AD55">
            <v>0</v>
          </cell>
          <cell r="AE55">
            <v>1070.441</v>
          </cell>
          <cell r="AG55">
            <v>1069.896</v>
          </cell>
          <cell r="AH55">
            <v>0</v>
          </cell>
          <cell r="AI55">
            <v>1048.9580000000001</v>
          </cell>
          <cell r="AJ55">
            <v>0</v>
          </cell>
          <cell r="AK55">
            <v>1038.8579999999999</v>
          </cell>
          <cell r="AL55">
            <v>0</v>
          </cell>
          <cell r="AM55">
            <v>1037.952</v>
          </cell>
          <cell r="AN55">
            <v>0</v>
          </cell>
          <cell r="AO55">
            <v>1048.9160000000002</v>
          </cell>
          <cell r="AQ55">
            <v>1034.5319999999999</v>
          </cell>
          <cell r="AR55">
            <v>0</v>
          </cell>
          <cell r="AS55">
            <v>1045.828</v>
          </cell>
          <cell r="AT55">
            <v>0</v>
          </cell>
          <cell r="AU55">
            <v>1065.4000000000001</v>
          </cell>
          <cell r="AV55">
            <v>0</v>
          </cell>
          <cell r="AW55">
            <v>1071.528</v>
          </cell>
          <cell r="AY55">
            <v>1054.3219999999999</v>
          </cell>
          <cell r="BA55">
            <v>1081.6279999999999</v>
          </cell>
          <cell r="BB55">
            <v>4.5523966392533088E-2</v>
          </cell>
          <cell r="BC55">
            <v>1087.087</v>
          </cell>
          <cell r="BD55">
            <v>3.9451037837962E-2</v>
          </cell>
          <cell r="BE55">
            <v>1077.0930000000001</v>
          </cell>
          <cell r="BF55">
            <v>1.0975220574432232E-2</v>
          </cell>
          <cell r="BG55">
            <v>1070.7080000000001</v>
          </cell>
          <cell r="BH55">
            <v>-7.6526231699025615E-4</v>
          </cell>
          <cell r="BI55">
            <v>1079.2090000000001</v>
          </cell>
          <cell r="BJ55">
            <v>2.3604743142986884E-2</v>
          </cell>
          <cell r="BL55">
            <v>1067.0709999999999</v>
          </cell>
          <cell r="BM55">
            <v>-1.345841638714973E-2</v>
          </cell>
          <cell r="BN55">
            <v>1083.8409999999999</v>
          </cell>
          <cell r="BO55">
            <v>-2.9859615651738336E-3</v>
          </cell>
          <cell r="BP55">
            <v>1086.9639999999999</v>
          </cell>
          <cell r="BQ55">
            <v>9.1644825470036384E-3</v>
          </cell>
          <cell r="BR55">
            <v>1080.152</v>
          </cell>
          <cell r="BS55">
            <v>8.8203319672590652E-3</v>
          </cell>
          <cell r="BT55">
            <v>1080.9490000000001</v>
          </cell>
          <cell r="BU55">
            <v>1.6122919656897938E-3</v>
          </cell>
          <cell r="BW55">
            <v>1075</v>
          </cell>
          <cell r="BY55">
            <v>1075</v>
          </cell>
          <cell r="CA55">
            <v>1075</v>
          </cell>
          <cell r="CC55">
            <v>1075</v>
          </cell>
          <cell r="CE55">
            <v>1075</v>
          </cell>
          <cell r="CF55">
            <v>-5.5034973897936101E-3</v>
          </cell>
        </row>
        <row r="58">
          <cell r="B58" t="str">
            <v>GAAP Adjustments</v>
          </cell>
        </row>
        <row r="59">
          <cell r="B59" t="str">
            <v>Charges related to Redemption</v>
          </cell>
          <cell r="AG59">
            <v>-38.9</v>
          </cell>
          <cell r="AI59">
            <v>-38.9</v>
          </cell>
          <cell r="AK59">
            <v>-38.9</v>
          </cell>
          <cell r="AM59">
            <v>-38.9</v>
          </cell>
          <cell r="AO59">
            <v>-155.6</v>
          </cell>
          <cell r="AQ59">
            <v>-38.6</v>
          </cell>
          <cell r="AS59">
            <v>-38.6</v>
          </cell>
          <cell r="AU59">
            <v>-38.6</v>
          </cell>
          <cell r="BA59">
            <v>-38.209000000000003</v>
          </cell>
          <cell r="BC59">
            <v>-38.209000000000003</v>
          </cell>
          <cell r="BE59">
            <v>-30</v>
          </cell>
          <cell r="BG59">
            <v>-34.533999999999999</v>
          </cell>
          <cell r="BI59">
            <v>-140.952</v>
          </cell>
          <cell r="BL59">
            <v>-34.481999999999999</v>
          </cell>
          <cell r="BN59">
            <v>-34.481999999999999</v>
          </cell>
          <cell r="BP59">
            <v>-27.190999999999999</v>
          </cell>
          <cell r="BR59">
            <v>-25</v>
          </cell>
          <cell r="BT59">
            <v>-122.7</v>
          </cell>
          <cell r="BW59">
            <v>-26</v>
          </cell>
          <cell r="BY59">
            <v>-23</v>
          </cell>
          <cell r="CA59">
            <v>-23</v>
          </cell>
          <cell r="CC59">
            <v>-23</v>
          </cell>
          <cell r="CE59">
            <v>-95</v>
          </cell>
        </row>
        <row r="60">
          <cell r="B60" t="str">
            <v>Litigation related charges</v>
          </cell>
          <cell r="AG60">
            <v>0</v>
          </cell>
          <cell r="AI60">
            <v>-518</v>
          </cell>
          <cell r="AK60">
            <v>-12.5</v>
          </cell>
          <cell r="AM60">
            <v>-13.5</v>
          </cell>
          <cell r="AO60">
            <v>-544</v>
          </cell>
          <cell r="AQ60">
            <v>-13.2</v>
          </cell>
          <cell r="AS60">
            <v>-13.4</v>
          </cell>
          <cell r="AU60">
            <v>131.61699999999999</v>
          </cell>
          <cell r="BA60">
            <v>-13.398999999999999</v>
          </cell>
          <cell r="BC60">
            <v>-13.458</v>
          </cell>
          <cell r="BE60">
            <v>-13</v>
          </cell>
          <cell r="BG60">
            <v>3.1890000000000001</v>
          </cell>
          <cell r="BI60">
            <v>-36.667999999999999</v>
          </cell>
          <cell r="BL60">
            <v>-11.256</v>
          </cell>
          <cell r="BN60">
            <v>-19.527000000000001</v>
          </cell>
          <cell r="BP60">
            <v>-13.507</v>
          </cell>
          <cell r="BR60">
            <v>-13</v>
          </cell>
          <cell r="BT60">
            <v>-57.8</v>
          </cell>
          <cell r="BW60">
            <v>-13</v>
          </cell>
          <cell r="BY60">
            <v>-13</v>
          </cell>
          <cell r="CA60">
            <v>-13</v>
          </cell>
          <cell r="CC60">
            <v>-13</v>
          </cell>
          <cell r="CE60">
            <v>-52</v>
          </cell>
        </row>
        <row r="61">
          <cell r="B61" t="str">
            <v>Tax Effect</v>
          </cell>
          <cell r="AG61">
            <v>15.600000000000001</v>
          </cell>
          <cell r="AI61">
            <v>222.709</v>
          </cell>
          <cell r="AK61">
            <v>20.585000000000001</v>
          </cell>
          <cell r="AM61">
            <v>21.203000000000003</v>
          </cell>
          <cell r="AO61">
            <v>280.09699999999998</v>
          </cell>
          <cell r="AQ61">
            <v>20.762</v>
          </cell>
          <cell r="AS61">
            <v>20.791999999999994</v>
          </cell>
          <cell r="AU61">
            <v>-37.300000000000011</v>
          </cell>
          <cell r="BA61">
            <v>20.643999999999998</v>
          </cell>
          <cell r="BC61">
            <v>20.666</v>
          </cell>
          <cell r="BE61">
            <v>15.739672569915893</v>
          </cell>
          <cell r="BG61">
            <v>11.244739080587301</v>
          </cell>
          <cell r="BI61">
            <v>68.294411650503207</v>
          </cell>
          <cell r="BL61">
            <v>18.295000000000002</v>
          </cell>
          <cell r="BN61">
            <v>15.038937664425283</v>
          </cell>
          <cell r="BP61">
            <v>16.28</v>
          </cell>
          <cell r="BR61">
            <v>14.972991096002374</v>
          </cell>
          <cell r="BT61">
            <v>72.2</v>
          </cell>
          <cell r="BW61">
            <v>43</v>
          </cell>
          <cell r="BY61">
            <v>13.356</v>
          </cell>
          <cell r="CA61">
            <v>13.356</v>
          </cell>
          <cell r="CC61">
            <v>13.356</v>
          </cell>
          <cell r="CE61">
            <v>83.067999999999998</v>
          </cell>
        </row>
        <row r="62">
          <cell r="B62" t="str">
            <v>Total Adjustments</v>
          </cell>
          <cell r="AG62">
            <v>-23.299999999999997</v>
          </cell>
          <cell r="AI62">
            <v>-334.19099999999997</v>
          </cell>
          <cell r="AK62">
            <v>-30.814999999999998</v>
          </cell>
          <cell r="AM62">
            <v>-31.196999999999996</v>
          </cell>
          <cell r="AO62">
            <v>-419.50300000000004</v>
          </cell>
          <cell r="AQ62">
            <v>-31.037999999999997</v>
          </cell>
          <cell r="AS62">
            <v>-31.208000000000006</v>
          </cell>
          <cell r="AU62">
            <v>55.716999999999985</v>
          </cell>
          <cell r="BA62">
            <v>-30.964000000000006</v>
          </cell>
          <cell r="BC62">
            <v>-31.001000000000001</v>
          </cell>
          <cell r="BE62">
            <v>-27.260327430084107</v>
          </cell>
          <cell r="BG62">
            <v>-20.100260919412698</v>
          </cell>
          <cell r="BI62">
            <v>-109.3255883494968</v>
          </cell>
          <cell r="BL62">
            <v>-27.442999999999998</v>
          </cell>
          <cell r="BN62">
            <v>-38.970062335574717</v>
          </cell>
          <cell r="BP62">
            <v>-24.417999999999999</v>
          </cell>
          <cell r="BR62">
            <v>-23.027008903997626</v>
          </cell>
          <cell r="BT62">
            <v>-108.3</v>
          </cell>
          <cell r="BW62">
            <v>4</v>
          </cell>
          <cell r="BY62">
            <v>-22.643999999999998</v>
          </cell>
          <cell r="CA62">
            <v>-22.643999999999998</v>
          </cell>
          <cell r="CC62">
            <v>-22.643999999999998</v>
          </cell>
          <cell r="CE62">
            <v>-63.932000000000002</v>
          </cell>
        </row>
        <row r="63">
          <cell r="B63" t="str">
            <v>GAAP Net Income</v>
          </cell>
          <cell r="AG63">
            <v>95.368606877725</v>
          </cell>
          <cell r="AI63">
            <v>-213.70215875700745</v>
          </cell>
          <cell r="AK63">
            <v>89.36400000000009</v>
          </cell>
          <cell r="AM63">
            <v>92.981111548929903</v>
          </cell>
          <cell r="AO63">
            <v>64.011559669647454</v>
          </cell>
          <cell r="AQ63">
            <v>151.49599999999992</v>
          </cell>
          <cell r="AS63">
            <v>132.28299999999993</v>
          </cell>
          <cell r="AU63">
            <v>199.53900000000016</v>
          </cell>
          <cell r="BA63">
            <v>176.58699999999993</v>
          </cell>
          <cell r="BC63">
            <v>170.77100000000027</v>
          </cell>
          <cell r="BE63">
            <v>232.34167256991597</v>
          </cell>
          <cell r="BG63">
            <v>205.30673908058725</v>
          </cell>
          <cell r="BI63">
            <v>785.04041165050285</v>
          </cell>
          <cell r="BL63">
            <v>284.19800000000032</v>
          </cell>
          <cell r="BN63">
            <v>289.60393766442536</v>
          </cell>
          <cell r="BP63">
            <v>359.40299999999979</v>
          </cell>
          <cell r="BR63">
            <v>340.25799109600246</v>
          </cell>
          <cell r="BT63">
            <v>1279.0210000000002</v>
          </cell>
          <cell r="BW63">
            <v>421</v>
          </cell>
          <cell r="BY63">
            <v>413.48972443999997</v>
          </cell>
          <cell r="CA63">
            <v>441.1564150000001</v>
          </cell>
          <cell r="CC63">
            <v>456.14189024000007</v>
          </cell>
          <cell r="CE63">
            <v>1731.7880296800001</v>
          </cell>
        </row>
        <row r="64">
          <cell r="B64" t="str">
            <v>GAAP EPS - Basic</v>
          </cell>
          <cell r="AG64">
            <v>9.0510887543277296E-2</v>
          </cell>
          <cell r="AI64">
            <v>-0.20548244980010372</v>
          </cell>
          <cell r="AK64">
            <v>8.658882806065607E-2</v>
          </cell>
          <cell r="AM64">
            <v>9.042110910786795E-2</v>
          </cell>
          <cell r="AO64">
            <v>6.1637973757217641E-2</v>
          </cell>
          <cell r="AQ64">
            <v>0.14797161214200172</v>
          </cell>
          <cell r="AS64">
            <v>0.12895367404354371</v>
          </cell>
          <cell r="AU64">
            <v>0.19171694850115312</v>
          </cell>
          <cell r="BA64">
            <v>0.1673496348552593</v>
          </cell>
          <cell r="BC64">
            <v>0.1610106928124051</v>
          </cell>
          <cell r="BE64">
            <v>0.22019985269245404</v>
          </cell>
          <cell r="BG64">
            <v>0.19558610944135205</v>
          </cell>
          <cell r="BI64">
            <v>0.74399777442438186</v>
          </cell>
          <cell r="BL64">
            <v>0.27148386751646902</v>
          </cell>
          <cell r="BN64">
            <v>0.27384057859800953</v>
          </cell>
          <cell r="BP64">
            <v>0.33888711306232</v>
          </cell>
          <cell r="BR64">
            <v>0.32260381966846535</v>
          </cell>
          <cell r="BT64">
            <v>1.2123973413008367</v>
          </cell>
          <cell r="BW64">
            <v>0.39943074003795065</v>
          </cell>
          <cell r="BY64">
            <v>0.39230524140417455</v>
          </cell>
          <cell r="CA64">
            <v>0.41855447343453517</v>
          </cell>
          <cell r="CC64">
            <v>0.43277219187855792</v>
          </cell>
          <cell r="CE64">
            <v>1.6430626467552183</v>
          </cell>
        </row>
        <row r="65">
          <cell r="B65" t="str">
            <v>GAAP EPS - Diluted</v>
          </cell>
          <cell r="AG65">
            <v>8.9138203038169134E-2</v>
          </cell>
          <cell r="AI65">
            <v>-0.20372804131052666</v>
          </cell>
          <cell r="AK65">
            <v>8.6021381170477668E-2</v>
          </cell>
          <cell r="AM65">
            <v>8.9581321245038217E-2</v>
          </cell>
          <cell r="AO65">
            <v>6.1026392646930203E-2</v>
          </cell>
          <cell r="AQ65">
            <v>0.1464391628291826</v>
          </cell>
          <cell r="AS65">
            <v>0.1264863820819484</v>
          </cell>
          <cell r="AU65">
            <v>0.18729021963581766</v>
          </cell>
          <cell r="BA65">
            <v>0.16326038157296219</v>
          </cell>
          <cell r="BC65">
            <v>0.15709046286083844</v>
          </cell>
          <cell r="BE65">
            <v>0.21571180257407294</v>
          </cell>
          <cell r="BG65">
            <v>0.19174858045385598</v>
          </cell>
          <cell r="BI65">
            <v>0.72742203933668348</v>
          </cell>
          <cell r="BL65">
            <v>0.26633466751509538</v>
          </cell>
          <cell r="BN65">
            <v>0.26720149695797207</v>
          </cell>
          <cell r="BP65">
            <v>0.3306484851384221</v>
          </cell>
          <cell r="BR65">
            <v>0.31500936080848108</v>
          </cell>
          <cell r="BT65">
            <v>1.183238987223264</v>
          </cell>
          <cell r="BW65">
            <v>0.39162790697674421</v>
          </cell>
          <cell r="BY65">
            <v>0.38464160413023252</v>
          </cell>
          <cell r="CA65">
            <v>0.41037806046511638</v>
          </cell>
          <cell r="CC65">
            <v>0.42431803743255819</v>
          </cell>
          <cell r="CE65">
            <v>1.6109656090046514</v>
          </cell>
        </row>
      </sheetData>
      <sheetData sheetId="6" refreshError="1"/>
      <sheetData sheetId="7" refreshError="1">
        <row r="1">
          <cell r="B1" t="str">
            <v>Genentech Annual Income Statement</v>
          </cell>
          <cell r="AB1" t="str">
            <v>ElementName</v>
          </cell>
          <cell r="AC1" t="str">
            <v>ScaleOverride</v>
          </cell>
          <cell r="AD1" t="str">
            <v>UnitOverride</v>
          </cell>
          <cell r="AE1" t="str">
            <v>ReverseSign</v>
          </cell>
          <cell r="AF1" t="str">
            <v>IsDrivingAssumption</v>
          </cell>
          <cell r="AG1" t="str">
            <v>SegmentID</v>
          </cell>
        </row>
        <row r="2">
          <cell r="B2" t="str">
            <v>(Dollars in thousands except per-share data)</v>
          </cell>
        </row>
        <row r="3">
          <cell r="C3" t="str">
            <v>1999</v>
          </cell>
          <cell r="D3" t="str">
            <v>2000</v>
          </cell>
          <cell r="E3" t="str">
            <v>2001A</v>
          </cell>
          <cell r="F3" t="str">
            <v>2002A</v>
          </cell>
          <cell r="H3" t="str">
            <v>2003A</v>
          </cell>
          <cell r="I3" t="str">
            <v>% chg</v>
          </cell>
          <cell r="J3" t="str">
            <v>2004A</v>
          </cell>
          <cell r="K3" t="str">
            <v>% chg</v>
          </cell>
          <cell r="L3" t="str">
            <v>2005A</v>
          </cell>
          <cell r="M3" t="str">
            <v>% chg</v>
          </cell>
          <cell r="N3" t="str">
            <v>2006E</v>
          </cell>
          <cell r="O3" t="str">
            <v>% chg</v>
          </cell>
          <cell r="P3" t="str">
            <v>2007E</v>
          </cell>
          <cell r="Q3" t="str">
            <v>% chg</v>
          </cell>
          <cell r="R3" t="str">
            <v>2008E</v>
          </cell>
          <cell r="S3" t="str">
            <v>% chg</v>
          </cell>
          <cell r="T3" t="str">
            <v>2009E</v>
          </cell>
          <cell r="U3" t="str">
            <v>% chg</v>
          </cell>
          <cell r="V3" t="str">
            <v>2010E</v>
          </cell>
          <cell r="W3" t="str">
            <v>% chg</v>
          </cell>
        </row>
        <row r="4">
          <cell r="B4" t="str">
            <v>Rituxan - US</v>
          </cell>
          <cell r="C4">
            <v>262.7</v>
          </cell>
          <cell r="D4">
            <v>424.2</v>
          </cell>
          <cell r="E4">
            <v>779</v>
          </cell>
          <cell r="F4">
            <v>1080.2</v>
          </cell>
          <cell r="H4">
            <v>1360.2</v>
          </cell>
          <cell r="I4">
            <v>0.25921125717459725</v>
          </cell>
          <cell r="J4">
            <v>1574</v>
          </cell>
          <cell r="K4">
            <v>0.15718276724011182</v>
          </cell>
          <cell r="L4">
            <v>1831.481</v>
          </cell>
          <cell r="M4">
            <v>0.1635838627700128</v>
          </cell>
          <cell r="N4">
            <v>2097</v>
          </cell>
          <cell r="O4">
            <v>0.14497502294591103</v>
          </cell>
          <cell r="P4">
            <v>2430.2807564833265</v>
          </cell>
          <cell r="Q4">
            <v>0.15893216808933075</v>
          </cell>
          <cell r="R4">
            <v>2695.0166005063993</v>
          </cell>
          <cell r="S4">
            <v>0.10893220600822762</v>
          </cell>
          <cell r="T4">
            <v>2950.119381396431</v>
          </cell>
          <cell r="U4">
            <v>9.465722060565307E-2</v>
          </cell>
          <cell r="V4">
            <v>3220</v>
          </cell>
          <cell r="W4">
            <v>9.1481253370777837E-2</v>
          </cell>
        </row>
        <row r="5">
          <cell r="B5" t="str">
            <v>Rituxan - Ex-US</v>
          </cell>
          <cell r="F5">
            <v>449.90000000000015</v>
          </cell>
          <cell r="H5">
            <v>649.59999999999991</v>
          </cell>
          <cell r="I5">
            <v>0.44387641698155078</v>
          </cell>
          <cell r="J5">
            <v>1149</v>
          </cell>
          <cell r="K5">
            <v>0.76878078817734008</v>
          </cell>
          <cell r="L5">
            <v>1411</v>
          </cell>
          <cell r="M5">
            <v>0.22802436901653622</v>
          </cell>
          <cell r="N5">
            <v>1865</v>
          </cell>
          <cell r="O5">
            <v>0.15</v>
          </cell>
          <cell r="P5">
            <v>2144.75</v>
          </cell>
          <cell r="Q5">
            <v>0.15</v>
          </cell>
          <cell r="R5">
            <v>2316.33</v>
          </cell>
          <cell r="S5">
            <v>0.08</v>
          </cell>
          <cell r="T5">
            <v>2478.4731000000002</v>
          </cell>
          <cell r="U5">
            <v>7.0000000000000007E-2</v>
          </cell>
          <cell r="V5">
            <v>2627.1814860000004</v>
          </cell>
          <cell r="W5">
            <v>0.06</v>
          </cell>
        </row>
        <row r="6">
          <cell r="B6" t="str">
            <v xml:space="preserve">Rituxan - Transfer to Roche </v>
          </cell>
          <cell r="C6">
            <v>16.7</v>
          </cell>
          <cell r="D6">
            <v>19.899999999999999</v>
          </cell>
          <cell r="E6">
            <v>39.6</v>
          </cell>
          <cell r="F6">
            <v>82.7</v>
          </cell>
          <cell r="H6">
            <v>128.9</v>
          </cell>
          <cell r="I6">
            <v>0.55864570737605801</v>
          </cell>
          <cell r="J6">
            <v>137.19999999999999</v>
          </cell>
          <cell r="K6">
            <v>6.4391000775795071E-2</v>
          </cell>
          <cell r="L6">
            <v>157.94999999999999</v>
          </cell>
          <cell r="M6">
            <v>0.12</v>
          </cell>
          <cell r="N6">
            <v>260</v>
          </cell>
          <cell r="O6">
            <v>0.12</v>
          </cell>
          <cell r="P6">
            <v>280.8</v>
          </cell>
          <cell r="Q6">
            <v>0.08</v>
          </cell>
          <cell r="R6">
            <v>238.68</v>
          </cell>
          <cell r="S6">
            <v>-0.15</v>
          </cell>
          <cell r="T6">
            <v>159.91559999999998</v>
          </cell>
          <cell r="U6">
            <v>-0.33</v>
          </cell>
          <cell r="V6">
            <v>79.957799999999992</v>
          </cell>
          <cell r="W6">
            <v>-0.5</v>
          </cell>
        </row>
        <row r="7">
          <cell r="B7" t="str">
            <v>Rituxan - US &amp; Sales to Roche</v>
          </cell>
          <cell r="C7">
            <v>279.39999999999998</v>
          </cell>
          <cell r="D7">
            <v>444.09999999999997</v>
          </cell>
          <cell r="E7">
            <v>818.6</v>
          </cell>
          <cell r="F7">
            <v>1162.9000000000001</v>
          </cell>
          <cell r="H7">
            <v>1489.1000000000001</v>
          </cell>
          <cell r="I7">
            <v>0.28050563247054772</v>
          </cell>
          <cell r="J7">
            <v>1711.2</v>
          </cell>
          <cell r="K7">
            <v>0.14915049358673027</v>
          </cell>
          <cell r="L7">
            <v>1989.431</v>
          </cell>
          <cell r="M7">
            <v>0.16259408602150538</v>
          </cell>
          <cell r="N7">
            <v>2357</v>
          </cell>
          <cell r="O7">
            <v>0.18476086881123299</v>
          </cell>
          <cell r="P7">
            <v>2711.0807564833267</v>
          </cell>
          <cell r="Q7">
            <v>0.15022518306462729</v>
          </cell>
          <cell r="R7">
            <v>2933.6966005063991</v>
          </cell>
          <cell r="S7">
            <v>8.2113320855789595E-2</v>
          </cell>
          <cell r="T7">
            <v>3110.0349813964308</v>
          </cell>
          <cell r="U7">
            <v>6.0107913292599235E-2</v>
          </cell>
          <cell r="V7">
            <v>3299.9578000000001</v>
          </cell>
          <cell r="W7">
            <v>6.1067743526888707E-2</v>
          </cell>
        </row>
        <row r="8">
          <cell r="B8" t="str">
            <v>Avastin - US</v>
          </cell>
          <cell r="E8">
            <v>0</v>
          </cell>
          <cell r="F8">
            <v>0</v>
          </cell>
          <cell r="H8">
            <v>0</v>
          </cell>
          <cell r="J8">
            <v>552.34</v>
          </cell>
          <cell r="K8" t="str">
            <v>NM</v>
          </cell>
          <cell r="L8">
            <v>1132.721</v>
          </cell>
          <cell r="M8">
            <v>1.0507676431183688</v>
          </cell>
          <cell r="N8">
            <v>1876</v>
          </cell>
          <cell r="O8">
            <v>0.6561889467927231</v>
          </cell>
          <cell r="P8">
            <v>2817.9611602894643</v>
          </cell>
          <cell r="Q8">
            <v>0.50211149269161215</v>
          </cell>
          <cell r="R8">
            <v>3802.1294573955038</v>
          </cell>
          <cell r="S8">
            <v>0.34924835408481814</v>
          </cell>
          <cell r="T8">
            <v>4624.6783247655285</v>
          </cell>
          <cell r="U8">
            <v>0.21633899544637769</v>
          </cell>
          <cell r="V8">
            <v>5307.1770570587933</v>
          </cell>
          <cell r="W8">
            <v>0.14757755769486258</v>
          </cell>
        </row>
        <row r="9">
          <cell r="B9" t="str">
            <v>Avastin - Ex-US</v>
          </cell>
          <cell r="F9">
            <v>0</v>
          </cell>
          <cell r="H9">
            <v>0</v>
          </cell>
          <cell r="J9">
            <v>10</v>
          </cell>
          <cell r="K9" t="str">
            <v>NM</v>
          </cell>
          <cell r="L9">
            <v>200</v>
          </cell>
          <cell r="M9" t="str">
            <v>NM</v>
          </cell>
          <cell r="N9">
            <v>565</v>
          </cell>
          <cell r="O9">
            <v>1.8250000000000002</v>
          </cell>
          <cell r="P9">
            <v>1000</v>
          </cell>
          <cell r="Q9">
            <v>0.76991150442477885</v>
          </cell>
          <cell r="R9">
            <v>1850</v>
          </cell>
          <cell r="S9">
            <v>0.85000000000000009</v>
          </cell>
          <cell r="T9">
            <v>2500</v>
          </cell>
          <cell r="U9">
            <v>0.35135135135135132</v>
          </cell>
          <cell r="V9">
            <v>2900</v>
          </cell>
          <cell r="W9">
            <v>0.15999999999999992</v>
          </cell>
        </row>
        <row r="10">
          <cell r="B10" t="str">
            <v xml:space="preserve">Avastin - Transfer to Roche </v>
          </cell>
          <cell r="J10">
            <v>2.16</v>
          </cell>
          <cell r="K10" t="str">
            <v>NM</v>
          </cell>
          <cell r="L10">
            <v>84.031999999999996</v>
          </cell>
          <cell r="M10" t="str">
            <v>NM</v>
          </cell>
          <cell r="N10">
            <v>117.35999999999999</v>
          </cell>
          <cell r="O10">
            <v>0.3966108149276466</v>
          </cell>
          <cell r="P10">
            <v>108</v>
          </cell>
          <cell r="Q10">
            <v>-7.9754601226993738E-2</v>
          </cell>
          <cell r="R10">
            <v>79.92</v>
          </cell>
          <cell r="S10">
            <v>-0.26</v>
          </cell>
          <cell r="T10">
            <v>54</v>
          </cell>
          <cell r="U10">
            <v>-0.32432432432432434</v>
          </cell>
          <cell r="V10">
            <v>31.32</v>
          </cell>
          <cell r="W10">
            <v>-0.42000000000000004</v>
          </cell>
        </row>
        <row r="11">
          <cell r="B11" t="str">
            <v>Avastin -  US &amp; Sales to Roche</v>
          </cell>
          <cell r="F11">
            <v>0</v>
          </cell>
          <cell r="H11">
            <v>0</v>
          </cell>
          <cell r="I11" t="str">
            <v>NM</v>
          </cell>
          <cell r="J11">
            <v>554.5</v>
          </cell>
          <cell r="K11" t="str">
            <v>NM</v>
          </cell>
          <cell r="L11">
            <v>1216.7529999999999</v>
          </cell>
          <cell r="M11" t="str">
            <v>NM</v>
          </cell>
          <cell r="N11">
            <v>1993.36</v>
          </cell>
          <cell r="O11">
            <v>0.63826183292747163</v>
          </cell>
          <cell r="P11">
            <v>2925.9611602894643</v>
          </cell>
          <cell r="Q11">
            <v>0.46785385494314347</v>
          </cell>
          <cell r="R11">
            <v>3882.0494573955039</v>
          </cell>
          <cell r="S11">
            <v>0.32676041981755288</v>
          </cell>
          <cell r="T11">
            <v>4678.6783247655285</v>
          </cell>
          <cell r="U11">
            <v>0.20520832516762644</v>
          </cell>
          <cell r="V11">
            <v>5338.497057058793</v>
          </cell>
          <cell r="W11">
            <v>0.14102673586270353</v>
          </cell>
        </row>
        <row r="12">
          <cell r="B12" t="str">
            <v>Herceptin - US</v>
          </cell>
          <cell r="C12">
            <v>183.7</v>
          </cell>
          <cell r="D12">
            <v>249.7</v>
          </cell>
          <cell r="E12">
            <v>315.39999999999998</v>
          </cell>
          <cell r="F12">
            <v>344.9</v>
          </cell>
          <cell r="H12">
            <v>406</v>
          </cell>
          <cell r="I12">
            <v>0.17715279791243854</v>
          </cell>
          <cell r="J12">
            <v>466.4</v>
          </cell>
          <cell r="K12">
            <v>0.14876847290640383</v>
          </cell>
          <cell r="L12">
            <v>747.24699999999996</v>
          </cell>
          <cell r="M12">
            <v>0.60215909090909081</v>
          </cell>
          <cell r="N12">
            <v>1375</v>
          </cell>
          <cell r="O12">
            <v>0.84008768185084737</v>
          </cell>
          <cell r="P12">
            <v>1566.9607618585742</v>
          </cell>
          <cell r="Q12">
            <v>0.13960782680623574</v>
          </cell>
          <cell r="R12">
            <v>1676.8953104490511</v>
          </cell>
          <cell r="S12">
            <v>7.0157818412812878E-2</v>
          </cell>
          <cell r="T12">
            <v>1772.633441089682</v>
          </cell>
          <cell r="U12">
            <v>5.7092491131717438E-2</v>
          </cell>
          <cell r="V12">
            <v>1873.880898727371</v>
          </cell>
          <cell r="W12">
            <v>5.7116973701821561E-2</v>
          </cell>
        </row>
        <row r="13">
          <cell r="B13" t="str">
            <v>Herceptin - Ex-US</v>
          </cell>
          <cell r="F13">
            <v>315.84000000000003</v>
          </cell>
          <cell r="H13">
            <v>445.79999999999995</v>
          </cell>
          <cell r="I13">
            <v>0.41147416413373827</v>
          </cell>
          <cell r="J13">
            <v>590.14</v>
          </cell>
          <cell r="K13">
            <v>0.32377747868999562</v>
          </cell>
          <cell r="L13">
            <v>948</v>
          </cell>
          <cell r="M13">
            <v>0.60639848171620292</v>
          </cell>
          <cell r="N13">
            <v>1175</v>
          </cell>
          <cell r="O13">
            <v>0.2</v>
          </cell>
          <cell r="P13">
            <v>1468.75</v>
          </cell>
          <cell r="Q13">
            <v>0.25</v>
          </cell>
          <cell r="R13">
            <v>1586.25</v>
          </cell>
          <cell r="S13">
            <v>0.08</v>
          </cell>
          <cell r="T13">
            <v>1665.5625</v>
          </cell>
          <cell r="U13">
            <v>0.05</v>
          </cell>
          <cell r="V13">
            <v>1732.1849999999999</v>
          </cell>
          <cell r="W13">
            <v>0.04</v>
          </cell>
        </row>
        <row r="14">
          <cell r="B14" t="str">
            <v xml:space="preserve">Herceptin - Transfer to Roche </v>
          </cell>
          <cell r="C14">
            <v>4.7</v>
          </cell>
          <cell r="D14">
            <v>26.3</v>
          </cell>
          <cell r="E14">
            <v>31.3</v>
          </cell>
          <cell r="F14">
            <v>40.299999999999997</v>
          </cell>
          <cell r="H14">
            <v>18.8</v>
          </cell>
          <cell r="I14">
            <v>-0.53349875930521085</v>
          </cell>
          <cell r="J14">
            <v>15.875</v>
          </cell>
          <cell r="K14">
            <v>-0.15558510638297873</v>
          </cell>
          <cell r="L14">
            <v>16.621000000000002</v>
          </cell>
          <cell r="M14">
            <v>4.6992125984252064E-2</v>
          </cell>
          <cell r="N14">
            <v>5</v>
          </cell>
          <cell r="P14">
            <v>14.6875</v>
          </cell>
          <cell r="R14">
            <v>0</v>
          </cell>
          <cell r="T14">
            <v>0</v>
          </cell>
          <cell r="V14">
            <v>0</v>
          </cell>
        </row>
        <row r="15">
          <cell r="B15" t="str">
            <v>Herceptin- US &amp; Sales to Roche</v>
          </cell>
          <cell r="C15">
            <v>188.39999999999998</v>
          </cell>
          <cell r="D15">
            <v>276</v>
          </cell>
          <cell r="E15">
            <v>346.7</v>
          </cell>
          <cell r="F15">
            <v>385.2</v>
          </cell>
          <cell r="H15">
            <v>424.8</v>
          </cell>
          <cell r="I15">
            <v>0.10280373831775713</v>
          </cell>
          <cell r="J15">
            <v>482.27499999999998</v>
          </cell>
          <cell r="K15">
            <v>0.13529896421845566</v>
          </cell>
          <cell r="L15">
            <v>763.86799999999994</v>
          </cell>
          <cell r="M15">
            <v>0.58388471307863776</v>
          </cell>
          <cell r="N15">
            <v>1380</v>
          </cell>
          <cell r="O15">
            <v>0.8065948567029908</v>
          </cell>
          <cell r="P15">
            <v>1581.6482618585742</v>
          </cell>
          <cell r="Q15">
            <v>0.14612192888302467</v>
          </cell>
          <cell r="R15">
            <v>1676.8953104490511</v>
          </cell>
          <cell r="S15">
            <v>6.0220120293088097E-2</v>
          </cell>
          <cell r="T15">
            <v>1772.633441089682</v>
          </cell>
          <cell r="U15">
            <v>5.7092491131717438E-2</v>
          </cell>
          <cell r="V15">
            <v>1873.880898727371</v>
          </cell>
          <cell r="W15">
            <v>5.7116973701821561E-2</v>
          </cell>
        </row>
        <row r="16">
          <cell r="B16" t="str">
            <v>Xolair - US &amp; Sales to Novartis</v>
          </cell>
          <cell r="E16">
            <v>0</v>
          </cell>
          <cell r="F16">
            <v>0</v>
          </cell>
          <cell r="H16">
            <v>25.3</v>
          </cell>
          <cell r="I16" t="str">
            <v>NM</v>
          </cell>
          <cell r="J16">
            <v>188.5</v>
          </cell>
          <cell r="K16" t="str">
            <v>NM</v>
          </cell>
          <cell r="L16">
            <v>323.79700000000003</v>
          </cell>
          <cell r="M16">
            <v>0.71775596816976139</v>
          </cell>
          <cell r="N16">
            <v>423</v>
          </cell>
          <cell r="O16">
            <v>0.30637405534949358</v>
          </cell>
          <cell r="P16">
            <v>496.67639851943272</v>
          </cell>
          <cell r="Q16">
            <v>0.17417588302466358</v>
          </cell>
          <cell r="R16">
            <v>549.18117450569844</v>
          </cell>
          <cell r="S16">
            <v>0.10571224270527013</v>
          </cell>
          <cell r="T16">
            <v>609.0179751523707</v>
          </cell>
          <cell r="U16">
            <v>0.10895639440031712</v>
          </cell>
          <cell r="V16">
            <v>656.42413544863268</v>
          </cell>
          <cell r="W16">
            <v>7.7840330220797505E-2</v>
          </cell>
        </row>
        <row r="17">
          <cell r="B17" t="str">
            <v>Raptiva -US &amp; Sales to Serono</v>
          </cell>
          <cell r="E17">
            <v>0</v>
          </cell>
          <cell r="F17">
            <v>0</v>
          </cell>
          <cell r="H17">
            <v>1.4</v>
          </cell>
          <cell r="I17" t="str">
            <v>NM</v>
          </cell>
          <cell r="J17">
            <v>56.300000000000004</v>
          </cell>
          <cell r="K17" t="str">
            <v>NM</v>
          </cell>
          <cell r="L17">
            <v>86.754999999999995</v>
          </cell>
          <cell r="M17">
            <v>0.54094138543516856</v>
          </cell>
          <cell r="N17">
            <v>93</v>
          </cell>
          <cell r="O17">
            <v>7.1984323670105432E-2</v>
          </cell>
          <cell r="P17">
            <v>114.74883545485645</v>
          </cell>
          <cell r="Q17">
            <v>0.23385844575114456</v>
          </cell>
          <cell r="R17">
            <v>111.02507700089812</v>
          </cell>
          <cell r="S17">
            <v>-3.2451383399209277E-2</v>
          </cell>
          <cell r="T17">
            <v>116.64294589714356</v>
          </cell>
          <cell r="U17">
            <v>5.0599999999999978E-2</v>
          </cell>
          <cell r="V17">
            <v>122.54507895953904</v>
          </cell>
          <cell r="W17">
            <v>5.06000000000002E-2</v>
          </cell>
        </row>
        <row r="18">
          <cell r="B18" t="str">
            <v>Tarceva -US</v>
          </cell>
          <cell r="E18">
            <v>0</v>
          </cell>
          <cell r="F18">
            <v>0</v>
          </cell>
          <cell r="H18">
            <v>0</v>
          </cell>
          <cell r="I18" t="str">
            <v>NM</v>
          </cell>
          <cell r="J18">
            <v>13.3</v>
          </cell>
          <cell r="K18" t="str">
            <v>NM</v>
          </cell>
          <cell r="L18">
            <v>274.89600000000002</v>
          </cell>
          <cell r="M18" t="str">
            <v>NM</v>
          </cell>
          <cell r="N18">
            <v>424</v>
          </cell>
          <cell r="O18">
            <v>0.54240149001804316</v>
          </cell>
          <cell r="P18">
            <v>557.72266843795683</v>
          </cell>
          <cell r="Q18">
            <v>0.31538365197631335</v>
          </cell>
          <cell r="R18">
            <v>627.16500409829609</v>
          </cell>
          <cell r="S18">
            <v>0.12451051318181139</v>
          </cell>
          <cell r="T18">
            <v>709.46249058838214</v>
          </cell>
          <cell r="U18">
            <v>0.13122142650227886</v>
          </cell>
          <cell r="V18">
            <v>774.76330842001289</v>
          </cell>
          <cell r="W18">
            <v>9.2042664267528052E-2</v>
          </cell>
        </row>
        <row r="19">
          <cell r="B19" t="str">
            <v>Lucentis - US</v>
          </cell>
          <cell r="E19">
            <v>0</v>
          </cell>
          <cell r="F19">
            <v>0</v>
          </cell>
          <cell r="H19">
            <v>0</v>
          </cell>
          <cell r="I19" t="str">
            <v>NM</v>
          </cell>
          <cell r="J19">
            <v>0</v>
          </cell>
          <cell r="K19" t="str">
            <v>NM</v>
          </cell>
          <cell r="L19">
            <v>0</v>
          </cell>
          <cell r="M19" t="str">
            <v>NM</v>
          </cell>
          <cell r="N19">
            <v>135</v>
          </cell>
          <cell r="O19" t="str">
            <v>NM</v>
          </cell>
          <cell r="P19">
            <v>450</v>
          </cell>
          <cell r="Q19">
            <v>2.3333333333333335</v>
          </cell>
          <cell r="R19">
            <v>550</v>
          </cell>
          <cell r="S19">
            <v>0.22222222222222232</v>
          </cell>
          <cell r="T19">
            <v>600</v>
          </cell>
          <cell r="U19">
            <v>9.0909090909090828E-2</v>
          </cell>
          <cell r="V19">
            <v>650</v>
          </cell>
          <cell r="W19">
            <v>8.3333333333333259E-2</v>
          </cell>
        </row>
        <row r="20">
          <cell r="B20" t="str">
            <v>Lucentis - Ex-US</v>
          </cell>
          <cell r="F20">
            <v>0</v>
          </cell>
          <cell r="H20">
            <v>0</v>
          </cell>
          <cell r="I20" t="str">
            <v>NM</v>
          </cell>
          <cell r="J20">
            <v>0</v>
          </cell>
          <cell r="K20" t="str">
            <v>NM</v>
          </cell>
          <cell r="L20">
            <v>0</v>
          </cell>
          <cell r="M20" t="str">
            <v>NM</v>
          </cell>
          <cell r="N20">
            <v>0</v>
          </cell>
          <cell r="O20" t="str">
            <v>NM</v>
          </cell>
          <cell r="P20">
            <v>100</v>
          </cell>
          <cell r="Q20" t="str">
            <v>NM</v>
          </cell>
          <cell r="R20">
            <v>300</v>
          </cell>
          <cell r="S20">
            <v>2</v>
          </cell>
          <cell r="T20">
            <v>450</v>
          </cell>
          <cell r="U20">
            <v>0.5</v>
          </cell>
          <cell r="V20">
            <v>550</v>
          </cell>
          <cell r="W20">
            <v>0.22222222222222232</v>
          </cell>
        </row>
        <row r="21">
          <cell r="B21" t="str">
            <v>Growth Hormone Products</v>
          </cell>
          <cell r="C21">
            <v>221.20000000099998</v>
          </cell>
          <cell r="D21">
            <v>226.6</v>
          </cell>
          <cell r="E21">
            <v>250.229999999</v>
          </cell>
          <cell r="F21">
            <v>297.2</v>
          </cell>
          <cell r="H21">
            <v>321.89999999999998</v>
          </cell>
          <cell r="I21">
            <v>8.3109017496635129E-2</v>
          </cell>
          <cell r="J21">
            <v>353.6</v>
          </cell>
          <cell r="K21">
            <v>9.8477788132960598E-2</v>
          </cell>
          <cell r="L21">
            <v>372.68</v>
          </cell>
          <cell r="M21">
            <v>0.05</v>
          </cell>
          <cell r="N21">
            <v>378</v>
          </cell>
          <cell r="O21">
            <v>0.03</v>
          </cell>
          <cell r="P21">
            <v>378</v>
          </cell>
          <cell r="Q21">
            <v>0</v>
          </cell>
          <cell r="R21">
            <v>366.65999999999997</v>
          </cell>
          <cell r="S21">
            <v>-0.03</v>
          </cell>
          <cell r="T21">
            <v>348.32699999999994</v>
          </cell>
          <cell r="U21">
            <v>-0.05</v>
          </cell>
          <cell r="V21">
            <v>330.91064999999992</v>
          </cell>
          <cell r="W21">
            <v>-0.05</v>
          </cell>
        </row>
        <row r="22">
          <cell r="B22" t="str">
            <v>Thrombolytics</v>
          </cell>
          <cell r="C22">
            <v>236.00000000099999</v>
          </cell>
          <cell r="D22">
            <v>206.2</v>
          </cell>
          <cell r="E22">
            <v>197.10559324899998</v>
          </cell>
          <cell r="F22">
            <v>180.2</v>
          </cell>
          <cell r="H22">
            <v>185.2</v>
          </cell>
          <cell r="I22">
            <v>2.7746947835738167E-2</v>
          </cell>
          <cell r="J22">
            <v>200</v>
          </cell>
          <cell r="K22">
            <v>7.9913606911447221E-2</v>
          </cell>
          <cell r="L22">
            <v>221.46200000000002</v>
          </cell>
          <cell r="M22">
            <v>0.01</v>
          </cell>
          <cell r="N22">
            <v>239</v>
          </cell>
          <cell r="O22">
            <v>0.01</v>
          </cell>
          <cell r="P22">
            <v>241.39000000000001</v>
          </cell>
          <cell r="Q22">
            <v>0.01</v>
          </cell>
          <cell r="R22">
            <v>243.80390000000003</v>
          </cell>
          <cell r="S22">
            <v>0.01</v>
          </cell>
          <cell r="T22">
            <v>246.24193900000003</v>
          </cell>
          <cell r="U22">
            <v>0.01</v>
          </cell>
          <cell r="V22">
            <v>248.70435839000004</v>
          </cell>
          <cell r="W22">
            <v>0.01</v>
          </cell>
        </row>
        <row r="23">
          <cell r="B23" t="str">
            <v>Pulmozyme</v>
          </cell>
          <cell r="C23">
            <v>111.399999998</v>
          </cell>
          <cell r="D23">
            <v>121.80000000099999</v>
          </cell>
          <cell r="E23">
            <v>122.87749999900001</v>
          </cell>
          <cell r="F23">
            <v>138.1</v>
          </cell>
          <cell r="H23">
            <v>167.2</v>
          </cell>
          <cell r="I23">
            <v>0.21071687183200583</v>
          </cell>
          <cell r="J23">
            <v>177.70000000000002</v>
          </cell>
          <cell r="K23">
            <v>6.2799043062201187E-2</v>
          </cell>
          <cell r="L23">
            <v>194.24699999999999</v>
          </cell>
          <cell r="M23">
            <v>0.05</v>
          </cell>
          <cell r="N23">
            <v>205</v>
          </cell>
          <cell r="O23">
            <v>0.04</v>
          </cell>
          <cell r="P23">
            <v>211.15</v>
          </cell>
          <cell r="Q23">
            <v>0.03</v>
          </cell>
          <cell r="R23">
            <v>215.37300000000002</v>
          </cell>
          <cell r="S23">
            <v>0.02</v>
          </cell>
          <cell r="T23">
            <v>219.68046000000001</v>
          </cell>
          <cell r="U23">
            <v>0.02</v>
          </cell>
          <cell r="V23">
            <v>224.07406920000003</v>
          </cell>
          <cell r="W23">
            <v>0.02</v>
          </cell>
        </row>
        <row r="24">
          <cell r="B24" t="str">
            <v>Actimmune</v>
          </cell>
          <cell r="C24">
            <v>2.7</v>
          </cell>
          <cell r="D24">
            <v>3.7</v>
          </cell>
          <cell r="E24">
            <v>6.9</v>
          </cell>
          <cell r="F24">
            <v>0</v>
          </cell>
          <cell r="H24">
            <v>0</v>
          </cell>
          <cell r="I24" t="str">
            <v>NM</v>
          </cell>
          <cell r="J24">
            <v>0</v>
          </cell>
          <cell r="K24" t="str">
            <v>NM</v>
          </cell>
          <cell r="L24">
            <v>0</v>
          </cell>
          <cell r="N24">
            <v>0</v>
          </cell>
          <cell r="P24">
            <v>0</v>
          </cell>
          <cell r="R24">
            <v>0</v>
          </cell>
          <cell r="T24">
            <v>0</v>
          </cell>
          <cell r="V24">
            <v>0</v>
          </cell>
        </row>
        <row r="25">
          <cell r="B25" t="str">
            <v>Other</v>
          </cell>
          <cell r="E25">
            <v>0</v>
          </cell>
          <cell r="F25">
            <v>0</v>
          </cell>
          <cell r="H25">
            <v>6.622000000000094</v>
          </cell>
          <cell r="J25">
            <v>10.6</v>
          </cell>
          <cell r="K25" t="str">
            <v>NM</v>
          </cell>
          <cell r="L25">
            <v>44.195999999999998</v>
          </cell>
          <cell r="M25">
            <v>0</v>
          </cell>
          <cell r="N25">
            <v>20</v>
          </cell>
          <cell r="O25">
            <v>0</v>
          </cell>
          <cell r="P25">
            <v>20</v>
          </cell>
          <cell r="Q25">
            <v>0</v>
          </cell>
          <cell r="R25">
            <v>0</v>
          </cell>
          <cell r="S25">
            <v>0</v>
          </cell>
          <cell r="T25">
            <v>50</v>
          </cell>
          <cell r="U25">
            <v>0</v>
          </cell>
          <cell r="V25">
            <v>100</v>
          </cell>
          <cell r="W25">
            <v>0</v>
          </cell>
        </row>
        <row r="26">
          <cell r="B26" t="str">
            <v>Total Product Sales</v>
          </cell>
          <cell r="C26">
            <v>1039.1000000000001</v>
          </cell>
          <cell r="D26">
            <v>1278.4000000009999</v>
          </cell>
          <cell r="E26">
            <v>1742.8969999999999</v>
          </cell>
          <cell r="F26">
            <v>2163.6285596696475</v>
          </cell>
          <cell r="H26">
            <v>2621.5219999999999</v>
          </cell>
          <cell r="I26">
            <v>0.21163218533234085</v>
          </cell>
          <cell r="J26">
            <v>3748.9</v>
          </cell>
          <cell r="K26">
            <v>0.43004712529591593</v>
          </cell>
          <cell r="L26">
            <v>5488.0850000000009</v>
          </cell>
          <cell r="M26">
            <v>0.46391874949985357</v>
          </cell>
          <cell r="N26">
            <v>7647.36</v>
          </cell>
          <cell r="O26">
            <v>0.39344780556423564</v>
          </cell>
          <cell r="P26">
            <v>9688.378081043611</v>
          </cell>
          <cell r="Q26">
            <v>0.26689185301118434</v>
          </cell>
          <cell r="R26">
            <v>11155.849523955847</v>
          </cell>
          <cell r="S26">
            <v>0.15146719405836429</v>
          </cell>
          <cell r="T26">
            <v>12460.719557889535</v>
          </cell>
          <cell r="U26">
            <v>0.11696733907459378</v>
          </cell>
          <cell r="V26">
            <v>13619.757356204351</v>
          </cell>
          <cell r="W26">
            <v>9.3015318491857624E-2</v>
          </cell>
        </row>
        <row r="27">
          <cell r="B27" t="str">
            <v>Royalties</v>
          </cell>
          <cell r="C27">
            <v>189.27</v>
          </cell>
          <cell r="D27">
            <v>207.24100000000001</v>
          </cell>
          <cell r="E27">
            <v>264.47500000000002</v>
          </cell>
          <cell r="F27">
            <v>365.55</v>
          </cell>
          <cell r="H27">
            <v>500.86800000000005</v>
          </cell>
          <cell r="I27">
            <v>0.37017644645055414</v>
          </cell>
          <cell r="J27">
            <v>641.1</v>
          </cell>
          <cell r="K27">
            <v>0.27997795826445282</v>
          </cell>
          <cell r="L27">
            <v>935.09699999999998</v>
          </cell>
          <cell r="M27">
            <v>0.45858212447356106</v>
          </cell>
          <cell r="N27">
            <v>1258</v>
          </cell>
          <cell r="O27">
            <v>0.34531497801832334</v>
          </cell>
          <cell r="P27">
            <v>1354.247040639616</v>
          </cell>
          <cell r="Q27">
            <v>7.6507981430537386E-2</v>
          </cell>
          <cell r="R27">
            <v>1688.1867871459806</v>
          </cell>
          <cell r="S27">
            <v>0.24658702325732507</v>
          </cell>
          <cell r="T27">
            <v>1891.1844200255673</v>
          </cell>
          <cell r="U27">
            <v>0.12024595526113013</v>
          </cell>
          <cell r="V27">
            <v>1947.6307931733611</v>
          </cell>
          <cell r="W27">
            <v>2.9847101398514431E-2</v>
          </cell>
        </row>
        <row r="28">
          <cell r="B28" t="str">
            <v>Contract and Other</v>
          </cell>
          <cell r="C28">
            <v>83.242000000000004</v>
          </cell>
          <cell r="D28">
            <v>151.72999999999999</v>
          </cell>
          <cell r="E28">
            <v>36.659999999999997</v>
          </cell>
          <cell r="F28">
            <v>54.442999999999998</v>
          </cell>
          <cell r="H28">
            <v>177.87299999999999</v>
          </cell>
          <cell r="I28">
            <v>2.2671417813125654</v>
          </cell>
          <cell r="J28">
            <v>231.2</v>
          </cell>
          <cell r="K28">
            <v>0.29980379259359213</v>
          </cell>
          <cell r="L28">
            <v>210.24099999999999</v>
          </cell>
          <cell r="M28">
            <v>-9.0653114186851236E-2</v>
          </cell>
          <cell r="N28">
            <v>215</v>
          </cell>
          <cell r="O28">
            <v>0.12</v>
          </cell>
          <cell r="P28">
            <v>236.50000000000003</v>
          </cell>
          <cell r="Q28">
            <v>0.1</v>
          </cell>
          <cell r="R28">
            <v>260.15000000000003</v>
          </cell>
          <cell r="S28">
            <v>0.1</v>
          </cell>
          <cell r="T28">
            <v>234.13500000000005</v>
          </cell>
          <cell r="U28">
            <v>-0.1</v>
          </cell>
          <cell r="V28">
            <v>210.72150000000005</v>
          </cell>
          <cell r="W28">
            <v>-0.1</v>
          </cell>
        </row>
        <row r="29">
          <cell r="B29" t="str">
            <v>Total Revenues</v>
          </cell>
          <cell r="C29">
            <v>1311.6120000000001</v>
          </cell>
          <cell r="D29">
            <v>1637.3710000009999</v>
          </cell>
          <cell r="E29">
            <v>2044.0319999999999</v>
          </cell>
          <cell r="F29">
            <v>2583.6215596696479</v>
          </cell>
          <cell r="H29">
            <v>3300.2629999999999</v>
          </cell>
          <cell r="I29">
            <v>0.27737864225826647</v>
          </cell>
          <cell r="J29">
            <v>4621.2</v>
          </cell>
          <cell r="K29">
            <v>0.40025204051919494</v>
          </cell>
          <cell r="L29">
            <v>6633.4230000000007</v>
          </cell>
          <cell r="M29">
            <v>0.43543300441443811</v>
          </cell>
          <cell r="N29">
            <v>9120.36</v>
          </cell>
          <cell r="O29">
            <v>0.37491005774846564</v>
          </cell>
          <cell r="P29">
            <v>11279.125121683228</v>
          </cell>
          <cell r="Q29">
            <v>0.23669735862216257</v>
          </cell>
          <cell r="R29">
            <v>13104.186311101828</v>
          </cell>
          <cell r="S29">
            <v>0.16180875464445954</v>
          </cell>
          <cell r="T29">
            <v>14586.038977915103</v>
          </cell>
          <cell r="U29">
            <v>0.11308238692835526</v>
          </cell>
          <cell r="V29">
            <v>15778.109649377711</v>
          </cell>
          <cell r="W29">
            <v>8.1726826129255414E-2</v>
          </cell>
          <cell r="AB29" t="str">
            <v>mstag:revenueNet</v>
          </cell>
          <cell r="AC29">
            <v>6</v>
          </cell>
          <cell r="AD29" t="str">
            <v>ISO4217:USD</v>
          </cell>
          <cell r="AE29" t="b">
            <v>0</v>
          </cell>
          <cell r="AF29" t="b">
            <v>0</v>
          </cell>
        </row>
        <row r="30">
          <cell r="B30" t="str">
            <v>Operating Expenses:</v>
          </cell>
        </row>
        <row r="31">
          <cell r="B31" t="str">
            <v xml:space="preserve">   Cost of Sales</v>
          </cell>
          <cell r="C31">
            <v>192.191</v>
          </cell>
          <cell r="D31">
            <v>272.06799999999998</v>
          </cell>
          <cell r="E31">
            <v>354.44200000000001</v>
          </cell>
          <cell r="F31">
            <v>441.63</v>
          </cell>
          <cell r="H31">
            <v>480.15100000000001</v>
          </cell>
          <cell r="I31">
            <v>8.7224599778094714E-2</v>
          </cell>
          <cell r="J31">
            <v>672.5</v>
          </cell>
          <cell r="K31">
            <v>0.40060106091625336</v>
          </cell>
          <cell r="L31">
            <v>1011.0629999999999</v>
          </cell>
          <cell r="M31">
            <v>0.50343940520446084</v>
          </cell>
          <cell r="N31">
            <v>1222.5376000000001</v>
          </cell>
          <cell r="O31">
            <v>0.20916065566636322</v>
          </cell>
          <cell r="P31">
            <v>1506.7599287814626</v>
          </cell>
          <cell r="Q31">
            <v>0.23248555200385046</v>
          </cell>
          <cell r="R31">
            <v>1619.0699996815897</v>
          </cell>
          <cell r="S31">
            <v>7.453746861383137E-2</v>
          </cell>
          <cell r="T31">
            <v>1702.8029601920346</v>
          </cell>
          <cell r="U31">
            <v>5.1716701888684158E-2</v>
          </cell>
          <cell r="V31">
            <v>1774.5598005138277</v>
          </cell>
          <cell r="W31">
            <v>4.2140424934251186E-2</v>
          </cell>
          <cell r="AB31" t="str">
            <v>mstag:costOfSalesWithDepreciation</v>
          </cell>
          <cell r="AC31">
            <v>6</v>
          </cell>
          <cell r="AD31" t="str">
            <v>ISO4217:USD</v>
          </cell>
          <cell r="AE31" t="b">
            <v>0</v>
          </cell>
          <cell r="AF31" t="b">
            <v>0</v>
          </cell>
        </row>
        <row r="32">
          <cell r="B32" t="str">
            <v xml:space="preserve">   % of Total Product Sales</v>
          </cell>
          <cell r="C32">
            <v>0.18544094944037054</v>
          </cell>
          <cell r="D32">
            <v>0.21343688711052525</v>
          </cell>
          <cell r="E32">
            <v>0.20422894035150643</v>
          </cell>
          <cell r="F32">
            <v>0.20411813643926785</v>
          </cell>
          <cell r="H32">
            <v>0.18315734142227302</v>
          </cell>
          <cell r="J32">
            <v>0.17938595321294246</v>
          </cell>
          <cell r="L32">
            <v>0.18422874281283902</v>
          </cell>
          <cell r="N32">
            <v>0.15986400535609677</v>
          </cell>
          <cell r="P32">
            <v>0.15552241212898224</v>
          </cell>
          <cell r="R32">
            <v>0.1575</v>
          </cell>
          <cell r="T32">
            <v>0.158</v>
          </cell>
          <cell r="V32">
            <v>0.16</v>
          </cell>
        </row>
        <row r="33">
          <cell r="B33" t="str">
            <v xml:space="preserve">   R&amp;D</v>
          </cell>
          <cell r="C33">
            <v>367.29099999999994</v>
          </cell>
          <cell r="D33">
            <v>489.87900000000002</v>
          </cell>
          <cell r="E33">
            <v>526.23</v>
          </cell>
          <cell r="F33">
            <v>623.48199999999997</v>
          </cell>
          <cell r="H33">
            <v>721.96299999999997</v>
          </cell>
          <cell r="I33">
            <v>0.15795323682159235</v>
          </cell>
          <cell r="J33">
            <v>947.5</v>
          </cell>
          <cell r="K33">
            <v>0.3123941254607232</v>
          </cell>
          <cell r="L33">
            <v>1261.8240000000001</v>
          </cell>
          <cell r="M33">
            <v>0.33174036939314</v>
          </cell>
          <cell r="N33">
            <v>1677.1420800000001</v>
          </cell>
          <cell r="O33">
            <v>0.3291410529519172</v>
          </cell>
          <cell r="P33">
            <v>2058.4403347071889</v>
          </cell>
          <cell r="Q33">
            <v>0.22735000168094799</v>
          </cell>
          <cell r="R33">
            <v>2384.9619086205325</v>
          </cell>
          <cell r="S33">
            <v>0.15862571696050209</v>
          </cell>
          <cell r="T33">
            <v>2654.6590939805487</v>
          </cell>
          <cell r="U33">
            <v>0.11308238692835548</v>
          </cell>
          <cell r="V33">
            <v>2871.6159561867435</v>
          </cell>
          <cell r="W33">
            <v>8.1726826129255414E-2</v>
          </cell>
          <cell r="AB33" t="str">
            <v>mstag:researchAndDevelopment</v>
          </cell>
          <cell r="AC33">
            <v>6</v>
          </cell>
          <cell r="AD33" t="str">
            <v>ISO4217:USD</v>
          </cell>
          <cell r="AE33" t="b">
            <v>0</v>
          </cell>
          <cell r="AF33" t="b">
            <v>0</v>
          </cell>
        </row>
        <row r="34">
          <cell r="B34" t="str">
            <v xml:space="preserve">   % of Revenue</v>
          </cell>
          <cell r="C34">
            <v>0.28003022235234193</v>
          </cell>
          <cell r="D34">
            <v>0.29918631757842351</v>
          </cell>
          <cell r="E34">
            <v>0.25744704583881273</v>
          </cell>
          <cell r="F34">
            <v>0.24132094643138094</v>
          </cell>
          <cell r="H34">
            <v>0.21875923221876559</v>
          </cell>
          <cell r="J34">
            <v>0.20503332467757293</v>
          </cell>
          <cell r="L34">
            <v>0.19022215227341902</v>
          </cell>
          <cell r="N34">
            <v>0.18388989908293094</v>
          </cell>
          <cell r="P34">
            <v>0.1825</v>
          </cell>
          <cell r="R34">
            <v>0.182</v>
          </cell>
          <cell r="T34">
            <v>0.182</v>
          </cell>
          <cell r="V34">
            <v>0.182</v>
          </cell>
        </row>
        <row r="35">
          <cell r="B35" t="str">
            <v xml:space="preserve">   SG&amp;A</v>
          </cell>
          <cell r="C35">
            <v>467.94299999999998</v>
          </cell>
          <cell r="D35">
            <v>497.03599999999994</v>
          </cell>
          <cell r="E35">
            <v>446.90600000000001</v>
          </cell>
          <cell r="F35">
            <v>546.27599999999995</v>
          </cell>
          <cell r="H35">
            <v>794.88499999999999</v>
          </cell>
          <cell r="I35">
            <v>0.45509778939583656</v>
          </cell>
          <cell r="J35">
            <v>1088.2</v>
          </cell>
          <cell r="K35">
            <v>0.36900306333620603</v>
          </cell>
          <cell r="L35">
            <v>1435.0319999999999</v>
          </cell>
          <cell r="M35">
            <v>0.31872082337805541</v>
          </cell>
          <cell r="N35">
            <v>1928.0563000000002</v>
          </cell>
          <cell r="O35">
            <v>0.34356327942512799</v>
          </cell>
          <cell r="P35">
            <v>2114.835960315605</v>
          </cell>
          <cell r="Q35">
            <v>9.6874588317573895E-2</v>
          </cell>
          <cell r="R35">
            <v>2293.2326044428196</v>
          </cell>
          <cell r="S35">
            <v>8.4354837668162208E-2</v>
          </cell>
          <cell r="T35">
            <v>2406.696431355992</v>
          </cell>
          <cell r="U35">
            <v>4.9477679103878014E-2</v>
          </cell>
          <cell r="V35">
            <v>2406.1617215301007</v>
          </cell>
          <cell r="W35">
            <v>-2.2217585023387443E-4</v>
          </cell>
          <cell r="AB35" t="str">
            <v>mstag:sellingGeneralAndAdministrativeExpenses</v>
          </cell>
          <cell r="AC35">
            <v>6</v>
          </cell>
          <cell r="AD35" t="str">
            <v>ISO4217:USD</v>
          </cell>
          <cell r="AE35" t="b">
            <v>0</v>
          </cell>
          <cell r="AF35" t="b">
            <v>0</v>
          </cell>
        </row>
        <row r="36">
          <cell r="B36" t="str">
            <v xml:space="preserve">   % of Sales</v>
          </cell>
          <cell r="C36">
            <v>0.35676937996907621</v>
          </cell>
          <cell r="D36">
            <v>0.30355734894516662</v>
          </cell>
          <cell r="E36">
            <v>0.21863943421629409</v>
          </cell>
          <cell r="F36">
            <v>0.21143808695800206</v>
          </cell>
          <cell r="H36">
            <v>0.24085504700685975</v>
          </cell>
          <cell r="J36">
            <v>0.23547996191465423</v>
          </cell>
          <cell r="L36">
            <v>0.2163335581041643</v>
          </cell>
          <cell r="N36">
            <v>0.21140133722791646</v>
          </cell>
          <cell r="P36">
            <v>0.1875</v>
          </cell>
          <cell r="R36">
            <v>0.17499999999999999</v>
          </cell>
          <cell r="T36">
            <v>0.16500000000000001</v>
          </cell>
          <cell r="V36">
            <v>0.1525</v>
          </cell>
        </row>
        <row r="37">
          <cell r="B37" t="str">
            <v xml:space="preserve">  Collaborative payments</v>
          </cell>
          <cell r="C37">
            <v>0</v>
          </cell>
          <cell r="D37">
            <v>0</v>
          </cell>
          <cell r="E37">
            <v>246.65700000000001</v>
          </cell>
          <cell r="F37">
            <v>350.72500000000002</v>
          </cell>
          <cell r="H37">
            <v>457.53399999999999</v>
          </cell>
          <cell r="I37">
            <v>0.30453774324613292</v>
          </cell>
          <cell r="J37">
            <v>593.6</v>
          </cell>
          <cell r="K37">
            <v>0.29738992074905912</v>
          </cell>
          <cell r="L37">
            <v>823.08299999999997</v>
          </cell>
          <cell r="M37">
            <v>0.38659535040431248</v>
          </cell>
          <cell r="N37">
            <v>1041</v>
          </cell>
          <cell r="O37">
            <v>0.26475701721454592</v>
          </cell>
          <cell r="P37">
            <v>1191.2653338930295</v>
          </cell>
          <cell r="Q37">
            <v>0.14434710268302542</v>
          </cell>
          <cell r="R37">
            <v>1349.1657134442321</v>
          </cell>
          <cell r="S37">
            <v>0.1325484550408158</v>
          </cell>
          <cell r="T37">
            <v>1488.0617722997738</v>
          </cell>
          <cell r="U37">
            <v>0.1029495913448315</v>
          </cell>
          <cell r="V37">
            <v>1622.2236210060237</v>
          </cell>
          <cell r="W37">
            <v>9.0158789912938353E-2</v>
          </cell>
          <cell r="AB37" t="str">
            <v>mstag:otherOperatingExpense</v>
          </cell>
          <cell r="AC37">
            <v>6</v>
          </cell>
          <cell r="AD37" t="str">
            <v>ISO4217:USD</v>
          </cell>
          <cell r="AE37" t="b">
            <v>0</v>
          </cell>
          <cell r="AF37" t="b">
            <v>0</v>
          </cell>
        </row>
        <row r="38">
          <cell r="B38" t="str">
            <v>Total Operating Expenses</v>
          </cell>
          <cell r="C38">
            <v>1027.425</v>
          </cell>
          <cell r="D38">
            <v>1258.9829999999999</v>
          </cell>
          <cell r="E38">
            <v>1574.2349999999999</v>
          </cell>
          <cell r="F38">
            <v>1962.1129999999998</v>
          </cell>
          <cell r="H38">
            <v>2454.7161573414223</v>
          </cell>
          <cell r="I38">
            <v>0.25105748615977896</v>
          </cell>
          <cell r="J38">
            <v>3301.8</v>
          </cell>
          <cell r="K38">
            <v>0.34508423310987246</v>
          </cell>
          <cell r="L38">
            <v>4531.0019999999995</v>
          </cell>
          <cell r="M38">
            <v>0.37228239142286013</v>
          </cell>
          <cell r="N38">
            <v>5868.7359800000004</v>
          </cell>
          <cell r="O38">
            <v>0.29524020956071118</v>
          </cell>
          <cell r="P38">
            <v>6871.3015576972857</v>
          </cell>
          <cell r="Q38">
            <v>0.17083160345156401</v>
          </cell>
          <cell r="R38">
            <v>7646.4302261891735</v>
          </cell>
          <cell r="S38">
            <v>0.11280667308562276</v>
          </cell>
          <cell r="T38">
            <v>8252.2202578283486</v>
          </cell>
          <cell r="U38">
            <v>7.9225208851619655E-2</v>
          </cell>
          <cell r="V38">
            <v>8674.5610992366965</v>
          </cell>
          <cell r="W38">
            <v>5.117905584351079E-2</v>
          </cell>
        </row>
        <row r="39">
          <cell r="B39" t="str">
            <v xml:space="preserve">Operating Income (Loss) </v>
          </cell>
          <cell r="C39">
            <v>284.18700000000013</v>
          </cell>
          <cell r="D39">
            <v>378.38800000099991</v>
          </cell>
          <cell r="E39">
            <v>469.79700000000003</v>
          </cell>
          <cell r="F39">
            <v>621.50855966964809</v>
          </cell>
          <cell r="H39">
            <v>845.54684265857759</v>
          </cell>
          <cell r="I39">
            <v>0.36047497577187526</v>
          </cell>
          <cell r="J39">
            <v>1319.3999999999996</v>
          </cell>
          <cell r="K39">
            <v>0.56041029714158452</v>
          </cell>
          <cell r="L39">
            <v>2102.4210000000012</v>
          </cell>
          <cell r="M39">
            <v>0.59346748522055615</v>
          </cell>
          <cell r="N39">
            <v>3251.6240200000002</v>
          </cell>
          <cell r="O39">
            <v>0.54660937081583483</v>
          </cell>
          <cell r="P39">
            <v>4407.8235639859422</v>
          </cell>
          <cell r="Q39">
            <v>0.35557602504915131</v>
          </cell>
          <cell r="R39">
            <v>5457.7560849126548</v>
          </cell>
          <cell r="S39">
            <v>0.23819749263676759</v>
          </cell>
          <cell r="T39">
            <v>6333.8187200867542</v>
          </cell>
          <cell r="U39">
            <v>0.16051700031004956</v>
          </cell>
          <cell r="V39">
            <v>7103.5485501410149</v>
          </cell>
          <cell r="W39">
            <v>0.12152697512689747</v>
          </cell>
        </row>
        <row r="40">
          <cell r="B40" t="str">
            <v xml:space="preserve">        Operating Margin</v>
          </cell>
          <cell r="D40">
            <v>0.23109484655632037</v>
          </cell>
          <cell r="E40">
            <v>0.22983837826413678</v>
          </cell>
          <cell r="F40">
            <v>0.24055711926676934</v>
          </cell>
          <cell r="H40">
            <v>0.25620589712352548</v>
          </cell>
          <cell r="J40">
            <v>0.28551025707608407</v>
          </cell>
          <cell r="L40">
            <v>0.31694360513418202</v>
          </cell>
          <cell r="N40">
            <v>0.35652364818932586</v>
          </cell>
          <cell r="P40">
            <v>0.39079481045141073</v>
          </cell>
          <cell r="R40">
            <v>0.41648950612743196</v>
          </cell>
          <cell r="T40">
            <v>0.43423843372946319</v>
          </cell>
          <cell r="V40">
            <v>0.45021543822400667</v>
          </cell>
        </row>
        <row r="41">
          <cell r="B41" t="str">
            <v xml:space="preserve">   Interest, Other Income</v>
          </cell>
          <cell r="C41">
            <v>89.433999999999997</v>
          </cell>
          <cell r="D41">
            <v>90.4</v>
          </cell>
          <cell r="E41">
            <v>135.005</v>
          </cell>
          <cell r="F41">
            <v>107.822</v>
          </cell>
          <cell r="H41">
            <v>92.807000000000002</v>
          </cell>
          <cell r="J41">
            <v>82.597000000000008</v>
          </cell>
          <cell r="L41">
            <v>140.9</v>
          </cell>
          <cell r="N41">
            <v>228</v>
          </cell>
          <cell r="P41">
            <v>158.27981570681379</v>
          </cell>
          <cell r="R41">
            <v>214.14721389467866</v>
          </cell>
          <cell r="T41">
            <v>298.9218808473185</v>
          </cell>
          <cell r="V41">
            <v>424.04459975088002</v>
          </cell>
          <cell r="AB41" t="str">
            <v>mstag:interestAndDividendIncome</v>
          </cell>
          <cell r="AC41">
            <v>6</v>
          </cell>
          <cell r="AD41" t="str">
            <v>ISO4217:USD</v>
          </cell>
          <cell r="AE41" t="b">
            <v>0</v>
          </cell>
          <cell r="AF41" t="b">
            <v>0</v>
          </cell>
        </row>
        <row r="42">
          <cell r="B42" t="str">
            <v xml:space="preserve">   Interest, Other Expense</v>
          </cell>
          <cell r="C42">
            <v>-5.36</v>
          </cell>
          <cell r="D42">
            <v>-5.2780000000000005</v>
          </cell>
          <cell r="E42">
            <v>0</v>
          </cell>
          <cell r="F42">
            <v>0</v>
          </cell>
          <cell r="H42">
            <v>0</v>
          </cell>
          <cell r="J42">
            <v>0</v>
          </cell>
          <cell r="L42">
            <v>-49.9</v>
          </cell>
          <cell r="N42">
            <v>-91</v>
          </cell>
          <cell r="P42">
            <v>-99.403055999999992</v>
          </cell>
          <cell r="R42">
            <v>-99.403055999999992</v>
          </cell>
          <cell r="T42">
            <v>-99.403055999999992</v>
          </cell>
          <cell r="V42">
            <v>-77.403055999999992</v>
          </cell>
          <cell r="AB42" t="str">
            <v>mstag:interestAndDividendIncome</v>
          </cell>
          <cell r="AC42">
            <v>6</v>
          </cell>
          <cell r="AD42" t="str">
            <v>ISO4217:USD</v>
          </cell>
          <cell r="AE42" t="b">
            <v>0</v>
          </cell>
          <cell r="AF42" t="b">
            <v>0</v>
          </cell>
        </row>
        <row r="43">
          <cell r="B43" t="str">
            <v xml:space="preserve">Pretax Income (Loss) </v>
          </cell>
          <cell r="C43">
            <v>368.26100000000008</v>
          </cell>
          <cell r="D43">
            <v>463.51000000099987</v>
          </cell>
          <cell r="E43">
            <v>604.80200000000002</v>
          </cell>
          <cell r="F43">
            <v>729.3305596696481</v>
          </cell>
          <cell r="H43">
            <v>938.35384265857761</v>
          </cell>
          <cell r="I43">
            <v>0.28659608488585353</v>
          </cell>
          <cell r="J43">
            <v>1401.9969999999996</v>
          </cell>
          <cell r="K43">
            <v>0.4941026894799212</v>
          </cell>
          <cell r="L43">
            <v>2193.4210000000012</v>
          </cell>
          <cell r="M43">
            <v>0.56449764157840687</v>
          </cell>
          <cell r="N43">
            <v>3388.6240200000002</v>
          </cell>
          <cell r="O43">
            <v>0.54490360947579064</v>
          </cell>
          <cell r="P43">
            <v>4466.7003236927558</v>
          </cell>
          <cell r="Q43">
            <v>0.31814574214484725</v>
          </cell>
          <cell r="R43">
            <v>5572.5002428073331</v>
          </cell>
          <cell r="S43">
            <v>0.24756528062764227</v>
          </cell>
          <cell r="T43">
            <v>6533.3375449340729</v>
          </cell>
          <cell r="U43">
            <v>0.17242481117285435</v>
          </cell>
          <cell r="V43">
            <v>7450.1900938918943</v>
          </cell>
          <cell r="W43">
            <v>0.1403344833558684</v>
          </cell>
        </row>
        <row r="44">
          <cell r="B44" t="str">
            <v xml:space="preserve">   Provision For Income Taxes</v>
          </cell>
          <cell r="C44">
            <v>121.56800000000001</v>
          </cell>
          <cell r="D44">
            <v>143.67400000000001</v>
          </cell>
          <cell r="E44">
            <v>127.11199999999999</v>
          </cell>
          <cell r="F44">
            <v>245.797</v>
          </cell>
          <cell r="H44">
            <v>303.69799999999998</v>
          </cell>
          <cell r="J44">
            <v>507.63099999999997</v>
          </cell>
          <cell r="L44">
            <v>806.09699999999998</v>
          </cell>
          <cell r="N44">
            <v>1263.7185114200001</v>
          </cell>
          <cell r="P44">
            <v>1666.0792207373979</v>
          </cell>
          <cell r="R44">
            <v>2078.542590567135</v>
          </cell>
          <cell r="T44">
            <v>2436.934904260409</v>
          </cell>
          <cell r="V44">
            <v>2778.9209050216764</v>
          </cell>
          <cell r="AB44" t="str">
            <v>mstag:taxExpenseIncome</v>
          </cell>
          <cell r="AC44">
            <v>6</v>
          </cell>
          <cell r="AD44" t="str">
            <v>ISO4217:USD</v>
          </cell>
          <cell r="AE44" t="b">
            <v>0</v>
          </cell>
          <cell r="AF44" t="b">
            <v>0</v>
          </cell>
        </row>
        <row r="45">
          <cell r="B45" t="str">
            <v xml:space="preserve">   Effective Tax Rate</v>
          </cell>
          <cell r="C45">
            <v>0.21840079909742235</v>
          </cell>
          <cell r="D45">
            <v>0.17967483708416138</v>
          </cell>
          <cell r="E45">
            <v>0.17543014456747877</v>
          </cell>
          <cell r="F45">
            <v>0.33702605798725771</v>
          </cell>
          <cell r="H45">
            <v>0.32364976429312847</v>
          </cell>
          <cell r="J45">
            <v>0.36207709431617907</v>
          </cell>
          <cell r="L45">
            <v>0.36750724212165659</v>
          </cell>
          <cell r="N45">
            <v>0.3729296918045219</v>
          </cell>
          <cell r="P45">
            <v>0.373</v>
          </cell>
          <cell r="R45">
            <v>0.373</v>
          </cell>
          <cell r="T45">
            <v>0.373</v>
          </cell>
          <cell r="V45">
            <v>0.373</v>
          </cell>
        </row>
        <row r="46">
          <cell r="B46" t="str">
            <v>Net Income (Loss)</v>
          </cell>
          <cell r="C46">
            <v>246.69300000000007</v>
          </cell>
          <cell r="D46">
            <v>319.83600000099989</v>
          </cell>
          <cell r="E46">
            <v>477.69000000000005</v>
          </cell>
          <cell r="F46">
            <v>483.53355966964807</v>
          </cell>
          <cell r="H46">
            <v>634.65584265857763</v>
          </cell>
          <cell r="I46">
            <v>0.31253732024758918</v>
          </cell>
          <cell r="J46">
            <v>894.36599999999964</v>
          </cell>
          <cell r="K46">
            <v>0.4092141596829777</v>
          </cell>
          <cell r="L46">
            <v>1387.3240000000012</v>
          </cell>
          <cell r="M46">
            <v>0.55118150734710603</v>
          </cell>
          <cell r="N46">
            <v>2124.9055085800001</v>
          </cell>
          <cell r="O46">
            <v>0.53165771555887331</v>
          </cell>
          <cell r="P46">
            <v>2800.6211029553579</v>
          </cell>
          <cell r="Q46">
            <v>0.31799794938971893</v>
          </cell>
          <cell r="R46">
            <v>3493.9576522401981</v>
          </cell>
          <cell r="S46">
            <v>0.24756528062764227</v>
          </cell>
          <cell r="T46">
            <v>4096.4026406736639</v>
          </cell>
          <cell r="U46">
            <v>0.17242481117285435</v>
          </cell>
          <cell r="V46">
            <v>4671.2691888702175</v>
          </cell>
          <cell r="W46">
            <v>0.1403344833558684</v>
          </cell>
        </row>
        <row r="48">
          <cell r="B48" t="str">
            <v>EPS, basic</v>
          </cell>
          <cell r="C48">
            <v>0.240507155948992</v>
          </cell>
          <cell r="D48">
            <v>0.30625130463021294</v>
          </cell>
          <cell r="E48">
            <v>0.84741827980205642</v>
          </cell>
          <cell r="F48">
            <v>0.46558555820163972</v>
          </cell>
          <cell r="H48">
            <v>0.61351622099003444</v>
          </cell>
          <cell r="I48">
            <v>0.31773035091506774</v>
          </cell>
          <cell r="J48">
            <v>0.84760772011960184</v>
          </cell>
          <cell r="K48">
            <v>0.38155714734292223</v>
          </cell>
          <cell r="L48">
            <v>1.3150588841956803</v>
          </cell>
          <cell r="M48">
            <v>0.55149469852648192</v>
          </cell>
          <cell r="N48">
            <v>2.0160393819544593</v>
          </cell>
          <cell r="O48">
            <v>0.53304114833421656</v>
          </cell>
          <cell r="P48">
            <v>2.6578594958545239</v>
          </cell>
          <cell r="Q48">
            <v>0.31835693272908627</v>
          </cell>
          <cell r="R48">
            <v>3.3158532278145931</v>
          </cell>
          <cell r="S48">
            <v>0.24756528062764227</v>
          </cell>
          <cell r="T48">
            <v>3.8875885944974238</v>
          </cell>
          <cell r="U48">
            <v>0.17242481117285435</v>
          </cell>
          <cell r="V48">
            <v>4.4331513314063864</v>
          </cell>
          <cell r="W48">
            <v>0.1403344833558684</v>
          </cell>
          <cell r="Y48" t="str">
            <v>Growth</v>
          </cell>
          <cell r="Z48" t="str">
            <v>3 year</v>
          </cell>
          <cell r="AA48" t="str">
            <v>4 year</v>
          </cell>
        </row>
        <row r="49">
          <cell r="B49" t="str">
            <v>EPS, diluted</v>
          </cell>
          <cell r="C49">
            <v>0.23296000755465324</v>
          </cell>
          <cell r="D49">
            <v>0.29831162314462278</v>
          </cell>
          <cell r="E49">
            <v>0.83443278873473636</v>
          </cell>
          <cell r="F49">
            <v>0.46096594929398294</v>
          </cell>
          <cell r="H49">
            <v>0.60195636879300407</v>
          </cell>
          <cell r="I49">
            <v>0.30585864252004424</v>
          </cell>
          <cell r="J49">
            <v>0.82872362999196592</v>
          </cell>
          <cell r="K49">
            <v>0.37671710601493902</v>
          </cell>
          <cell r="L49">
            <v>1.2834315032439099</v>
          </cell>
          <cell r="M49">
            <v>0.54868457564840067</v>
          </cell>
          <cell r="N49">
            <v>1.9766562870511628</v>
          </cell>
          <cell r="O49">
            <v>0.54013383811688231</v>
          </cell>
          <cell r="P49">
            <v>2.6131703146035923</v>
          </cell>
          <cell r="Q49">
            <v>0.32201553285826989</v>
          </cell>
          <cell r="R49">
            <v>3.2657035401917991</v>
          </cell>
          <cell r="S49">
            <v>0.24970941309931183</v>
          </cell>
          <cell r="T49">
            <v>3.8441841959191563</v>
          </cell>
          <cell r="U49">
            <v>0.17713814147789497</v>
          </cell>
          <cell r="V49">
            <v>4.4101388095141756</v>
          </cell>
          <cell r="W49">
            <v>0.14722359407122476</v>
          </cell>
          <cell r="Z49">
            <v>0.36521595109433186</v>
          </cell>
          <cell r="AA49">
            <v>0.28001751631721422</v>
          </cell>
          <cell r="AB49" t="str">
            <v>mstag:adjEpsForConsensus</v>
          </cell>
          <cell r="AC49">
            <v>0</v>
          </cell>
          <cell r="AD49" t="str">
            <v>ISO4217:USD</v>
          </cell>
          <cell r="AE49" t="b">
            <v>0</v>
          </cell>
          <cell r="AF49" t="b">
            <v>0</v>
          </cell>
        </row>
        <row r="51">
          <cell r="B51" t="str">
            <v xml:space="preserve">  Options expense</v>
          </cell>
          <cell r="N51">
            <v>329.18547890000002</v>
          </cell>
          <cell r="P51">
            <v>377.92158567335071</v>
          </cell>
          <cell r="R51">
            <v>420.55366244040454</v>
          </cell>
          <cell r="T51">
            <v>453.87211418055915</v>
          </cell>
          <cell r="V51">
            <v>477.1008604580183</v>
          </cell>
          <cell r="AB51" t="str">
            <v>mstag:stockCompensation</v>
          </cell>
          <cell r="AC51">
            <v>6</v>
          </cell>
          <cell r="AD51" t="str">
            <v>ISO4217:USD</v>
          </cell>
          <cell r="AE51" t="b">
            <v>0</v>
          </cell>
          <cell r="AF51" t="b">
            <v>0</v>
          </cell>
        </row>
        <row r="52">
          <cell r="B52" t="str">
            <v>Net Income (incl options exp)</v>
          </cell>
          <cell r="N52">
            <v>1795.7200296800002</v>
          </cell>
          <cell r="P52">
            <v>2422.699517282007</v>
          </cell>
          <cell r="R52">
            <v>3073.4039897997936</v>
          </cell>
          <cell r="T52">
            <v>3642.5305264931048</v>
          </cell>
          <cell r="V52">
            <v>4194.1683284121991</v>
          </cell>
        </row>
        <row r="54">
          <cell r="B54" t="str">
            <v>EPS, diluted (incl option exp)</v>
          </cell>
          <cell r="N54">
            <v>1.670437236911628</v>
          </cell>
          <cell r="P54">
            <v>2.2605437247777207</v>
          </cell>
          <cell r="R54">
            <v>2.8726239093062675</v>
          </cell>
          <cell r="T54">
            <v>3.4182573129078739</v>
          </cell>
          <cell r="V54">
            <v>3.9597085440583326</v>
          </cell>
          <cell r="AA54">
            <v>22.250639386189256</v>
          </cell>
        </row>
        <row r="55">
          <cell r="B55" t="str">
            <v>EPS, GAAP, Diluted (incl option exp)</v>
          </cell>
          <cell r="N55">
            <v>1.6109656090046514</v>
          </cell>
          <cell r="P55">
            <v>2.1891696107162537</v>
          </cell>
          <cell r="R55">
            <v>2.8134339509056185</v>
          </cell>
          <cell r="T55">
            <v>3.3588294016576903</v>
          </cell>
          <cell r="V55">
            <v>3.8999216105509422</v>
          </cell>
          <cell r="AA55">
            <v>19.727270219320825</v>
          </cell>
        </row>
        <row r="56">
          <cell r="B56" t="str">
            <v xml:space="preserve">Basic Shares Outstanding </v>
          </cell>
          <cell r="C56">
            <v>1025.72</v>
          </cell>
          <cell r="D56">
            <v>1044.3579999999999</v>
          </cell>
          <cell r="E56">
            <v>1054.038</v>
          </cell>
          <cell r="F56">
            <v>1038.5084999999999</v>
          </cell>
          <cell r="H56">
            <v>1034.4565</v>
          </cell>
          <cell r="I56">
            <v>-3.901749480143768E-3</v>
          </cell>
          <cell r="J56">
            <v>1055.165</v>
          </cell>
          <cell r="K56">
            <v>2.0018724808631427E-2</v>
          </cell>
          <cell r="L56">
            <v>1054.952</v>
          </cell>
          <cell r="M56">
            <v>-2.0186416342460323E-4</v>
          </cell>
          <cell r="N56">
            <v>1054</v>
          </cell>
          <cell r="O56">
            <v>-9.0241072579599901E-4</v>
          </cell>
          <cell r="P56">
            <v>1053.713</v>
          </cell>
          <cell r="Q56">
            <v>-2.7229601518030666E-4</v>
          </cell>
          <cell r="R56">
            <v>1053.713</v>
          </cell>
          <cell r="S56">
            <v>0</v>
          </cell>
          <cell r="T56">
            <v>1053.713</v>
          </cell>
          <cell r="U56">
            <v>0</v>
          </cell>
          <cell r="V56">
            <v>1053.713</v>
          </cell>
          <cell r="W56">
            <v>0</v>
          </cell>
          <cell r="AB56" t="str">
            <v>mstag:averageBasicSharesOutstanding</v>
          </cell>
          <cell r="AC56">
            <v>6</v>
          </cell>
          <cell r="AD56" t="str">
            <v>ms_eqr_gcim_Decimal:ms_eqr_gcim_decimal</v>
          </cell>
          <cell r="AE56" t="b">
            <v>0</v>
          </cell>
          <cell r="AF56" t="b">
            <v>0</v>
          </cell>
        </row>
        <row r="57">
          <cell r="B57" t="str">
            <v>Diluted Shares Outstanding</v>
          </cell>
          <cell r="C57">
            <v>1058.95</v>
          </cell>
          <cell r="D57">
            <v>1072.154</v>
          </cell>
          <cell r="E57">
            <v>1070.441</v>
          </cell>
          <cell r="F57">
            <v>1048.9160000000002</v>
          </cell>
          <cell r="H57">
            <v>1054.3219999999999</v>
          </cell>
          <cell r="I57">
            <v>5.1538922087179806E-3</v>
          </cell>
          <cell r="J57">
            <v>1079.2090000000001</v>
          </cell>
          <cell r="K57">
            <v>2.3604743142986884E-2</v>
          </cell>
          <cell r="L57">
            <v>1080.9490000000001</v>
          </cell>
          <cell r="M57">
            <v>1.6122919656897938E-3</v>
          </cell>
          <cell r="N57">
            <v>1075</v>
          </cell>
          <cell r="O57">
            <v>-5.5034973897936101E-3</v>
          </cell>
          <cell r="P57">
            <v>1071.7330926745205</v>
          </cell>
          <cell r="Q57">
            <v>-3.0389835585855618E-3</v>
          </cell>
          <cell r="R57">
            <v>1069.8943150347914</v>
          </cell>
          <cell r="S57">
            <v>-1.7157048264139219E-3</v>
          </cell>
          <cell r="T57">
            <v>1065.6103953141094</v>
          </cell>
          <cell r="U57">
            <v>-4.0040587752283585E-3</v>
          </cell>
          <cell r="V57">
            <v>1059.2113742072459</v>
          </cell>
          <cell r="W57">
            <v>-6.0050287938279157E-3</v>
          </cell>
          <cell r="AB57" t="str">
            <v>mstag:averageDilutedSharesOutstanding</v>
          </cell>
          <cell r="AC57">
            <v>6</v>
          </cell>
          <cell r="AD57" t="str">
            <v>ms_eqr_gcim_Decimal:ms_eqr_gcim_decimal</v>
          </cell>
          <cell r="AE57" t="b">
            <v>0</v>
          </cell>
          <cell r="AF57" t="b">
            <v>0</v>
          </cell>
        </row>
        <row r="59">
          <cell r="H59" t="str">
            <v>2003-FY</v>
          </cell>
          <cell r="J59" t="str">
            <v>2004-FY</v>
          </cell>
          <cell r="L59" t="str">
            <v>2005-FY</v>
          </cell>
          <cell r="N59" t="str">
            <v>2006-FY</v>
          </cell>
          <cell r="P59" t="str">
            <v>2007-FY</v>
          </cell>
          <cell r="R59" t="str">
            <v>2008-FY</v>
          </cell>
          <cell r="T59" t="str">
            <v>2009-FY</v>
          </cell>
          <cell r="V59" t="str">
            <v>2010-FY</v>
          </cell>
        </row>
        <row r="60">
          <cell r="B60" t="str">
            <v>Reconciliation to GAAP earnings/loss</v>
          </cell>
          <cell r="E60">
            <v>-3.0000000001564331E-3</v>
          </cell>
        </row>
        <row r="61">
          <cell r="B61" t="str">
            <v>Adjustments:</v>
          </cell>
        </row>
        <row r="62">
          <cell r="B62" t="str">
            <v xml:space="preserve">   Contract revenue</v>
          </cell>
          <cell r="C62">
            <v>-19.399999999999999</v>
          </cell>
          <cell r="D62">
            <v>-125.1</v>
          </cell>
          <cell r="E62">
            <v>0</v>
          </cell>
          <cell r="AB62" t="str">
            <v>mstag:otherProvisionsOneTimeGrossOfTax</v>
          </cell>
          <cell r="AC62">
            <v>6</v>
          </cell>
          <cell r="AD62" t="str">
            <v>ISO4217:USD</v>
          </cell>
          <cell r="AE62" t="b">
            <v>0</v>
          </cell>
          <cell r="AF62" t="b">
            <v>0</v>
          </cell>
        </row>
        <row r="63">
          <cell r="B63" t="str">
            <v xml:space="preserve">   Cost of sales</v>
          </cell>
          <cell r="C63">
            <v>93.4</v>
          </cell>
          <cell r="D63">
            <v>92.9</v>
          </cell>
          <cell r="AB63" t="str">
            <v>mstag:otherProvisionsOneTimeGrossOfTax</v>
          </cell>
          <cell r="AC63">
            <v>6</v>
          </cell>
          <cell r="AD63" t="str">
            <v>ISO4217:USD</v>
          </cell>
          <cell r="AE63" t="b">
            <v>0</v>
          </cell>
          <cell r="AF63" t="b">
            <v>0</v>
          </cell>
        </row>
        <row r="64">
          <cell r="B64" t="str">
            <v>Recurring charges related to redemption</v>
          </cell>
          <cell r="C64">
            <v>197.7</v>
          </cell>
          <cell r="D64">
            <v>375.3</v>
          </cell>
          <cell r="E64">
            <v>321.81599999999997</v>
          </cell>
          <cell r="F64">
            <v>155.71299999999999</v>
          </cell>
          <cell r="H64">
            <v>154.30000000000001</v>
          </cell>
          <cell r="J64">
            <v>145.48500000000001</v>
          </cell>
          <cell r="L64">
            <v>122.7</v>
          </cell>
          <cell r="N64">
            <v>95</v>
          </cell>
          <cell r="P64">
            <v>70</v>
          </cell>
          <cell r="R64">
            <v>49</v>
          </cell>
          <cell r="T64">
            <v>49</v>
          </cell>
          <cell r="V64">
            <v>49</v>
          </cell>
          <cell r="AB64" t="str">
            <v>mstag:amortizationOfIntangiblesAssumedToHaveIndefiniteLifeIncomeStatement</v>
          </cell>
          <cell r="AC64">
            <v>6</v>
          </cell>
          <cell r="AD64" t="str">
            <v>ISO4217:USD</v>
          </cell>
          <cell r="AE64" t="b">
            <v>0</v>
          </cell>
          <cell r="AF64" t="b">
            <v>0</v>
          </cell>
        </row>
        <row r="65">
          <cell r="B65" t="str">
            <v>Litagation and other charges</v>
          </cell>
          <cell r="C65">
            <v>1437.7</v>
          </cell>
          <cell r="D65">
            <v>0</v>
          </cell>
          <cell r="E65">
            <v>0</v>
          </cell>
          <cell r="F65">
            <v>543.90499999999997</v>
          </cell>
          <cell r="J65">
            <v>37.1</v>
          </cell>
          <cell r="L65">
            <v>57.8</v>
          </cell>
          <cell r="N65">
            <v>52</v>
          </cell>
          <cell r="P65">
            <v>52</v>
          </cell>
          <cell r="R65">
            <v>52</v>
          </cell>
          <cell r="T65">
            <v>52</v>
          </cell>
          <cell r="V65">
            <v>52</v>
          </cell>
          <cell r="AB65" t="str">
            <v>mstag:restructuringCostsOneTime</v>
          </cell>
          <cell r="AC65">
            <v>6</v>
          </cell>
          <cell r="AD65" t="str">
            <v>ISO4217:USD</v>
          </cell>
          <cell r="AE65" t="b">
            <v>0</v>
          </cell>
          <cell r="AF65" t="b">
            <v>0</v>
          </cell>
        </row>
        <row r="66">
          <cell r="B66" t="str">
            <v xml:space="preserve">   Other</v>
          </cell>
          <cell r="C66">
            <v>32.299999999999997</v>
          </cell>
          <cell r="D66">
            <v>4.9000000000000004</v>
          </cell>
          <cell r="E66">
            <v>0</v>
          </cell>
          <cell r="H66">
            <v>115.8</v>
          </cell>
          <cell r="AB66" t="str">
            <v>mstag:otherProvisionsOneTimeGrossOfTax</v>
          </cell>
          <cell r="AC66">
            <v>6</v>
          </cell>
          <cell r="AD66" t="str">
            <v>ISO4217:USD</v>
          </cell>
          <cell r="AE66" t="b">
            <v>1</v>
          </cell>
          <cell r="AF66" t="b">
            <v>0</v>
          </cell>
        </row>
        <row r="67">
          <cell r="B67" t="str">
            <v xml:space="preserve">   Other income, net (adjustment)</v>
          </cell>
          <cell r="C67">
            <v>-12.933999999999997</v>
          </cell>
          <cell r="D67">
            <v>125.69999999999999</v>
          </cell>
          <cell r="E67">
            <v>0</v>
          </cell>
          <cell r="H67">
            <v>0</v>
          </cell>
          <cell r="J67">
            <v>0</v>
          </cell>
          <cell r="L67">
            <v>0</v>
          </cell>
          <cell r="N67">
            <v>0</v>
          </cell>
          <cell r="P67">
            <v>0</v>
          </cell>
          <cell r="R67">
            <v>0</v>
          </cell>
          <cell r="T67">
            <v>0</v>
          </cell>
          <cell r="V67">
            <v>0</v>
          </cell>
          <cell r="AB67" t="str">
            <v>mstag:otherOperatingExpense</v>
          </cell>
          <cell r="AC67">
            <v>6</v>
          </cell>
          <cell r="AD67" t="str">
            <v>ISO4217:USD</v>
          </cell>
          <cell r="AE67" t="b">
            <v>1</v>
          </cell>
          <cell r="AF67" t="b">
            <v>0</v>
          </cell>
        </row>
        <row r="68">
          <cell r="B68" t="str">
            <v xml:space="preserve">   Income tax (benefit) provision adjustment</v>
          </cell>
          <cell r="C68">
            <v>324.60000000000002</v>
          </cell>
          <cell r="D68">
            <v>126.7</v>
          </cell>
          <cell r="E68">
            <v>0</v>
          </cell>
          <cell r="H68">
            <v>13.3</v>
          </cell>
          <cell r="J68">
            <v>73.031000000000006</v>
          </cell>
          <cell r="L68">
            <v>72.2</v>
          </cell>
          <cell r="N68">
            <v>83.067999999999998</v>
          </cell>
          <cell r="P68">
            <v>45.506</v>
          </cell>
          <cell r="R68">
            <v>37.673000000000002</v>
          </cell>
          <cell r="T68">
            <v>37.673000000000002</v>
          </cell>
          <cell r="V68">
            <v>37.673000000000002</v>
          </cell>
          <cell r="AB68" t="str">
            <v>mstag:taxOnOtherProvisionsOneTime</v>
          </cell>
          <cell r="AC68">
            <v>6</v>
          </cell>
          <cell r="AD68" t="str">
            <v>ISO4217:USD</v>
          </cell>
          <cell r="AE68" t="b">
            <v>0</v>
          </cell>
          <cell r="AF68" t="b">
            <v>0</v>
          </cell>
        </row>
        <row r="69">
          <cell r="B69" t="str">
            <v xml:space="preserve">   Effect of accounting change</v>
          </cell>
          <cell r="C69">
            <v>0</v>
          </cell>
          <cell r="D69">
            <v>-57.8</v>
          </cell>
          <cell r="E69">
            <v>-5.6</v>
          </cell>
          <cell r="H69">
            <v>-47</v>
          </cell>
          <cell r="AB69" t="str">
            <v>mstag:cumulativeEffectOfChangeInAccountingPrincipleNetOfTax</v>
          </cell>
          <cell r="AC69">
            <v>6</v>
          </cell>
          <cell r="AD69" t="str">
            <v>ISO4217:USD</v>
          </cell>
          <cell r="AE69" t="b">
            <v>0</v>
          </cell>
          <cell r="AF69" t="b">
            <v>0</v>
          </cell>
        </row>
        <row r="70">
          <cell r="B70" t="str">
            <v xml:space="preserve">  GAAP Net income (loss)</v>
          </cell>
          <cell r="C70">
            <v>-1157.5410000000002</v>
          </cell>
          <cell r="D70">
            <v>-73.963999999000151</v>
          </cell>
          <cell r="E70">
            <v>150.27400000000009</v>
          </cell>
          <cell r="F70">
            <v>-216.08444033035187</v>
          </cell>
          <cell r="H70">
            <v>562.45584265857758</v>
          </cell>
          <cell r="J70">
            <v>784.81199999999967</v>
          </cell>
          <cell r="L70">
            <v>1279.0240000000013</v>
          </cell>
          <cell r="N70">
            <v>1731.7880296800001</v>
          </cell>
          <cell r="P70">
            <v>2346.2055172820069</v>
          </cell>
          <cell r="R70">
            <v>3010.0769897997934</v>
          </cell>
          <cell r="T70">
            <v>3579.2035264931046</v>
          </cell>
          <cell r="V70">
            <v>4130.8413284121989</v>
          </cell>
        </row>
        <row r="71">
          <cell r="B71" t="str">
            <v>EARNINGS (LOSS) PER SHARE</v>
          </cell>
          <cell r="F71">
            <v>699.61799999999994</v>
          </cell>
          <cell r="H71">
            <v>457.53399999999999</v>
          </cell>
          <cell r="L71">
            <v>1139.4573944602898</v>
          </cell>
        </row>
        <row r="72">
          <cell r="B72" t="str">
            <v xml:space="preserve">   Basic</v>
          </cell>
          <cell r="C72">
            <v>-1.128515579300394</v>
          </cell>
          <cell r="D72">
            <v>-7.0822457432221667E-2</v>
          </cell>
          <cell r="E72">
            <v>0.14256981247355416</v>
          </cell>
          <cell r="F72">
            <v>-0.20807190343685381</v>
          </cell>
          <cell r="H72">
            <v>0.54372111602428674</v>
          </cell>
          <cell r="J72">
            <v>0.7437813043457655</v>
          </cell>
          <cell r="L72">
            <v>1.2124001850321164</v>
          </cell>
          <cell r="N72">
            <v>1.6430626467552183</v>
          </cell>
          <cell r="P72">
            <v>2.2266077359603678</v>
          </cell>
          <cell r="R72">
            <v>2.8566383728774283</v>
          </cell>
          <cell r="T72">
            <v>3.3967536952596245</v>
          </cell>
          <cell r="V72">
            <v>3.92027177078787</v>
          </cell>
        </row>
        <row r="73">
          <cell r="B73" t="str">
            <v xml:space="preserve">   Diluted</v>
          </cell>
          <cell r="C73">
            <v>-1.0931026016336938</v>
          </cell>
          <cell r="D73">
            <v>-6.898635830207242E-2</v>
          </cell>
          <cell r="E73">
            <v>0.14038513098806948</v>
          </cell>
          <cell r="F73">
            <v>-0.20600738317496523</v>
          </cell>
          <cell r="H73">
            <v>0.53347634086984586</v>
          </cell>
          <cell r="J73">
            <v>0.72721039205566262</v>
          </cell>
          <cell r="L73">
            <v>1.1832417625623421</v>
          </cell>
          <cell r="N73">
            <v>1.6109656090046514</v>
          </cell>
          <cell r="P73">
            <v>2.1891696107162537</v>
          </cell>
          <cell r="R73">
            <v>2.8134339509056185</v>
          </cell>
          <cell r="T73">
            <v>3.3588294016576903</v>
          </cell>
          <cell r="V73">
            <v>3.8999216105509422</v>
          </cell>
        </row>
        <row r="74">
          <cell r="B74" t="str">
            <v>Period End Basic Shares</v>
          </cell>
          <cell r="D74">
            <v>0</v>
          </cell>
          <cell r="E74">
            <v>527.79422299999999</v>
          </cell>
          <cell r="F74">
            <v>1025.155974</v>
          </cell>
          <cell r="H74">
            <v>1047.3900000000001</v>
          </cell>
          <cell r="J74">
            <v>1047.127</v>
          </cell>
          <cell r="L74">
            <v>1053.713</v>
          </cell>
          <cell r="N74">
            <v>1053.713</v>
          </cell>
          <cell r="P74">
            <v>1053.713</v>
          </cell>
          <cell r="R74">
            <v>1053.713</v>
          </cell>
          <cell r="T74">
            <v>1053.713</v>
          </cell>
          <cell r="V74">
            <v>0</v>
          </cell>
        </row>
        <row r="75">
          <cell r="B75" t="str">
            <v>Federal tax rate</v>
          </cell>
          <cell r="C75">
            <v>0.35</v>
          </cell>
          <cell r="D75">
            <v>0.35</v>
          </cell>
          <cell r="E75">
            <v>0.35</v>
          </cell>
          <cell r="F75">
            <v>0.35</v>
          </cell>
          <cell r="H75">
            <v>0.35</v>
          </cell>
          <cell r="J75">
            <v>0.35</v>
          </cell>
          <cell r="L75">
            <v>0.35</v>
          </cell>
          <cell r="N75">
            <v>0.35</v>
          </cell>
          <cell r="P75">
            <v>0.35</v>
          </cell>
          <cell r="R75">
            <v>0.35</v>
          </cell>
          <cell r="T75">
            <v>0.35</v>
          </cell>
          <cell r="V75">
            <v>0.35</v>
          </cell>
        </row>
        <row r="76">
          <cell r="B76" t="str">
            <v xml:space="preserve">     Federal taxes</v>
          </cell>
          <cell r="C76">
            <v>-527.51800000000003</v>
          </cell>
          <cell r="D76">
            <v>1.391</v>
          </cell>
          <cell r="E76">
            <v>99.045000000000002</v>
          </cell>
          <cell r="F76">
            <v>10.412000000000001</v>
          </cell>
        </row>
        <row r="77">
          <cell r="B77" t="str">
            <v>Statutory tax rate</v>
          </cell>
          <cell r="C77">
            <v>0.36520971796223067</v>
          </cell>
          <cell r="D77">
            <v>0.5913012221423436</v>
          </cell>
          <cell r="E77">
            <v>0.40731384724115299</v>
          </cell>
          <cell r="F77">
            <v>0.37813580484056852</v>
          </cell>
          <cell r="H77">
            <v>0.32364976429312847</v>
          </cell>
          <cell r="J77">
            <v>0.36207709431617907</v>
          </cell>
          <cell r="L77">
            <v>0.36750724212165659</v>
          </cell>
          <cell r="N77">
            <v>0.3729296918045219</v>
          </cell>
          <cell r="P77">
            <v>0.373</v>
          </cell>
          <cell r="R77">
            <v>0.373</v>
          </cell>
          <cell r="T77">
            <v>0.373</v>
          </cell>
          <cell r="V77">
            <v>0.373</v>
          </cell>
          <cell r="AB77" t="str">
            <v>mstag:statutoryTaxRate</v>
          </cell>
          <cell r="AC77">
            <v>0</v>
          </cell>
          <cell r="AD77" t="str">
            <v>ms_eqr_gcim_Decimal:ms_eqr_gcim_decimal</v>
          </cell>
          <cell r="AE77" t="b">
            <v>0</v>
          </cell>
          <cell r="AF77" t="b">
            <v>0</v>
          </cell>
        </row>
        <row r="78">
          <cell r="B78" t="str">
            <v xml:space="preserve">     State taxes</v>
          </cell>
          <cell r="C78">
            <v>-22.923999999999999</v>
          </cell>
          <cell r="D78">
            <v>0.95899999999999996</v>
          </cell>
          <cell r="E78">
            <v>16.219000000000001</v>
          </cell>
          <cell r="F78">
            <v>0.83699999999999997</v>
          </cell>
        </row>
        <row r="79">
          <cell r="B79" t="str">
            <v>Unrecorded Goodwill</v>
          </cell>
          <cell r="D79">
            <v>0</v>
          </cell>
          <cell r="E79">
            <v>0</v>
          </cell>
          <cell r="F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AB79" t="str">
            <v>mstag:unrecordedGoodwillFromPoolingAndAmortizedOrWrittenOffGoodwill</v>
          </cell>
          <cell r="AC79">
            <v>6</v>
          </cell>
          <cell r="AD79" t="str">
            <v>ISO4217:USD</v>
          </cell>
          <cell r="AE79" t="b">
            <v>0</v>
          </cell>
          <cell r="AF79" t="b">
            <v>0</v>
          </cell>
        </row>
        <row r="80">
          <cell r="B80" t="str">
            <v>Common Dividends</v>
          </cell>
          <cell r="D80">
            <v>0</v>
          </cell>
          <cell r="E80">
            <v>0</v>
          </cell>
          <cell r="F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AB80" t="str">
            <v>mstag:commonDividends</v>
          </cell>
          <cell r="AC80">
            <v>6</v>
          </cell>
          <cell r="AD80" t="str">
            <v>ISO4217:USD</v>
          </cell>
          <cell r="AE80" t="b">
            <v>0</v>
          </cell>
          <cell r="AF80" t="b">
            <v>0</v>
          </cell>
        </row>
        <row r="82">
          <cell r="B82" t="str">
            <v>ROYALTIES</v>
          </cell>
        </row>
        <row r="83">
          <cell r="B83" t="str">
            <v>Rituxan Ex-US Royalty ($M)</v>
          </cell>
          <cell r="N83">
            <v>186.5</v>
          </cell>
          <cell r="P83">
            <v>214.47500000000002</v>
          </cell>
          <cell r="R83">
            <v>231.63300000000001</v>
          </cell>
          <cell r="T83">
            <v>247.84731000000002</v>
          </cell>
          <cell r="V83">
            <v>315.26177832000002</v>
          </cell>
        </row>
        <row r="84">
          <cell r="B84" t="str">
            <v>Rituxan Royalty Rate (%)</v>
          </cell>
          <cell r="N84">
            <v>0.1</v>
          </cell>
          <cell r="P84">
            <v>0.1</v>
          </cell>
          <cell r="R84">
            <v>0.1</v>
          </cell>
          <cell r="T84">
            <v>0.1</v>
          </cell>
          <cell r="V84">
            <v>0.12</v>
          </cell>
        </row>
        <row r="85">
          <cell r="B85" t="str">
            <v>Avastin Ex-US Royalty ($M)</v>
          </cell>
          <cell r="N85">
            <v>84.75</v>
          </cell>
          <cell r="P85">
            <v>150</v>
          </cell>
          <cell r="R85">
            <v>277.5</v>
          </cell>
          <cell r="T85">
            <v>375</v>
          </cell>
          <cell r="V85">
            <v>435</v>
          </cell>
        </row>
        <row r="86">
          <cell r="B86" t="str">
            <v>Avastin Royalty Rate (%)</v>
          </cell>
          <cell r="N86">
            <v>0.15</v>
          </cell>
          <cell r="P86">
            <v>0.15</v>
          </cell>
          <cell r="R86">
            <v>0.15</v>
          </cell>
          <cell r="T86">
            <v>0.15</v>
          </cell>
          <cell r="V86">
            <v>0.15</v>
          </cell>
        </row>
        <row r="87">
          <cell r="B87" t="str">
            <v>Herceptin Ex-US Royalty ($M)</v>
          </cell>
          <cell r="N87">
            <v>341.875</v>
          </cell>
          <cell r="P87">
            <v>407.96875</v>
          </cell>
          <cell r="R87">
            <v>434.40625</v>
          </cell>
          <cell r="T87">
            <v>452.25156250000003</v>
          </cell>
          <cell r="V87">
            <v>467.241625</v>
          </cell>
        </row>
        <row r="88">
          <cell r="B88" t="str">
            <v>Herceptin Ex-US Sales ($M)</v>
          </cell>
          <cell r="N88">
            <v>1175</v>
          </cell>
          <cell r="P88">
            <v>1468.75</v>
          </cell>
          <cell r="R88">
            <v>1586.25</v>
          </cell>
          <cell r="T88">
            <v>1665.5625</v>
          </cell>
          <cell r="V88">
            <v>1732.1849999999999</v>
          </cell>
        </row>
        <row r="89">
          <cell r="B89" t="str">
            <v>Royalty - $500M</v>
          </cell>
          <cell r="N89">
            <v>100</v>
          </cell>
          <cell r="P89">
            <v>100</v>
          </cell>
          <cell r="R89">
            <v>100</v>
          </cell>
          <cell r="T89">
            <v>100</v>
          </cell>
          <cell r="V89">
            <v>100</v>
          </cell>
        </row>
        <row r="90">
          <cell r="B90" t="str">
            <v>Royalty rate (%)</v>
          </cell>
          <cell r="N90">
            <v>0.2</v>
          </cell>
          <cell r="P90">
            <v>0.2</v>
          </cell>
          <cell r="R90">
            <v>0.2</v>
          </cell>
          <cell r="T90">
            <v>0.2</v>
          </cell>
          <cell r="V90">
            <v>0.2</v>
          </cell>
        </row>
        <row r="91">
          <cell r="B91" t="str">
            <v>Royalty - After $500M</v>
          </cell>
          <cell r="N91">
            <v>241.875</v>
          </cell>
          <cell r="P91">
            <v>307.96875</v>
          </cell>
          <cell r="R91">
            <v>334.40625</v>
          </cell>
          <cell r="T91">
            <v>352.25156250000003</v>
          </cell>
          <cell r="V91">
            <v>367.241625</v>
          </cell>
        </row>
        <row r="92">
          <cell r="B92" t="str">
            <v>Royalty rate (%)</v>
          </cell>
          <cell r="N92">
            <v>0.22500000000000001</v>
          </cell>
          <cell r="P92">
            <v>0.22500000000000001</v>
          </cell>
          <cell r="R92">
            <v>0.22500000000000001</v>
          </cell>
          <cell r="T92">
            <v>0.22500000000000001</v>
          </cell>
          <cell r="V92">
            <v>0.22500000000000001</v>
          </cell>
        </row>
        <row r="93">
          <cell r="B93" t="str">
            <v>Lucentis Ex-US Royalty ($M)</v>
          </cell>
          <cell r="N93">
            <v>0</v>
          </cell>
          <cell r="P93">
            <v>25</v>
          </cell>
          <cell r="R93">
            <v>75</v>
          </cell>
          <cell r="T93">
            <v>112.5</v>
          </cell>
          <cell r="V93">
            <v>137.5</v>
          </cell>
        </row>
        <row r="94">
          <cell r="B94" t="str">
            <v>Lucentis COGS (%)</v>
          </cell>
          <cell r="N94">
            <v>0.25</v>
          </cell>
          <cell r="P94">
            <v>0.25</v>
          </cell>
          <cell r="R94">
            <v>0.25</v>
          </cell>
          <cell r="T94">
            <v>0.25</v>
          </cell>
          <cell r="V94">
            <v>0.25</v>
          </cell>
        </row>
        <row r="95">
          <cell r="B95" t="str">
            <v>Raptiva Ex-US Royalty ($M)</v>
          </cell>
          <cell r="N95">
            <v>6.4756240620749992</v>
          </cell>
          <cell r="P95">
            <v>6.8032906396159953</v>
          </cell>
          <cell r="R95">
            <v>7.1475371459805652</v>
          </cell>
          <cell r="T95">
            <v>7.5092025255671828</v>
          </cell>
          <cell r="V95">
            <v>7.8891681733608801</v>
          </cell>
        </row>
        <row r="96">
          <cell r="B96" t="str">
            <v>Cabilly Royalty ($M)</v>
          </cell>
          <cell r="L96">
            <v>70</v>
          </cell>
          <cell r="N96">
            <v>80.5</v>
          </cell>
          <cell r="O96">
            <v>0.15</v>
          </cell>
          <cell r="P96">
            <v>92.574999999999989</v>
          </cell>
          <cell r="Q96">
            <v>0.15</v>
          </cell>
          <cell r="R96">
            <v>109.23849999999999</v>
          </cell>
          <cell r="S96">
            <v>0.18</v>
          </cell>
          <cell r="T96">
            <v>131.08619999999999</v>
          </cell>
          <cell r="U96">
            <v>0.2</v>
          </cell>
          <cell r="V96">
            <v>163.85774999999998</v>
          </cell>
          <cell r="W96">
            <v>0.25</v>
          </cell>
        </row>
        <row r="97">
          <cell r="B97" t="str">
            <v>Other Royalties ($M)</v>
          </cell>
          <cell r="N97">
            <v>440</v>
          </cell>
          <cell r="P97">
            <v>484.00000000000006</v>
          </cell>
          <cell r="Q97">
            <v>0.1</v>
          </cell>
          <cell r="R97">
            <v>532.40000000000009</v>
          </cell>
          <cell r="S97">
            <v>0.1</v>
          </cell>
          <cell r="T97">
            <v>585.6400000000001</v>
          </cell>
          <cell r="U97">
            <v>0.1</v>
          </cell>
          <cell r="V97">
            <v>644.20400000000018</v>
          </cell>
          <cell r="W97">
            <v>0.1</v>
          </cell>
        </row>
        <row r="98">
          <cell r="B98" t="str">
            <v>TOTAL ROYALTIES</v>
          </cell>
          <cell r="N98">
            <v>1140.100624062075</v>
          </cell>
          <cell r="P98">
            <v>1380.8220406396158</v>
          </cell>
          <cell r="R98">
            <v>1667.3252871459806</v>
          </cell>
          <cell r="T98">
            <v>1911.8342750255674</v>
          </cell>
          <cell r="V98">
            <v>2170.954321493361</v>
          </cell>
        </row>
        <row r="100">
          <cell r="B100" t="str">
            <v>COGS</v>
          </cell>
        </row>
        <row r="101">
          <cell r="B101" t="str">
            <v>Rituxan US COGS ($M)</v>
          </cell>
          <cell r="P101">
            <v>297.70939266920749</v>
          </cell>
          <cell r="R101">
            <v>330.13953356203393</v>
          </cell>
          <cell r="T101">
            <v>361.38962422106277</v>
          </cell>
          <cell r="V101">
            <v>394.45</v>
          </cell>
        </row>
        <row r="102">
          <cell r="B102" t="str">
            <v>Rituxan US COGS (%)</v>
          </cell>
          <cell r="P102">
            <v>0.1225</v>
          </cell>
          <cell r="R102">
            <v>0.1225</v>
          </cell>
          <cell r="T102">
            <v>0.1225</v>
          </cell>
          <cell r="V102">
            <v>0.1225</v>
          </cell>
        </row>
        <row r="103">
          <cell r="B103" t="str">
            <v>Avastin US COGS ($M)</v>
          </cell>
          <cell r="P103">
            <v>338.15533923473572</v>
          </cell>
          <cell r="R103">
            <v>456.25553488746044</v>
          </cell>
          <cell r="T103">
            <v>554.96139897186345</v>
          </cell>
          <cell r="V103">
            <v>636.86124684705521</v>
          </cell>
        </row>
        <row r="104">
          <cell r="B104" t="str">
            <v>Avastin US COGS (%)</v>
          </cell>
          <cell r="P104">
            <v>0.12</v>
          </cell>
          <cell r="R104">
            <v>0.12</v>
          </cell>
          <cell r="T104">
            <v>0.12</v>
          </cell>
          <cell r="V104">
            <v>0.12</v>
          </cell>
        </row>
        <row r="105">
          <cell r="B105" t="str">
            <v>Herceptin US COGS ($M)</v>
          </cell>
          <cell r="P105">
            <v>188.03529142302889</v>
          </cell>
          <cell r="R105">
            <v>201.22743725388611</v>
          </cell>
          <cell r="T105">
            <v>212.71601293076185</v>
          </cell>
          <cell r="V105">
            <v>224.86570784728451</v>
          </cell>
        </row>
        <row r="106">
          <cell r="B106" t="str">
            <v>Herceptin US COGS (%)</v>
          </cell>
          <cell r="P106">
            <v>0.12</v>
          </cell>
          <cell r="R106">
            <v>0.12</v>
          </cell>
          <cell r="T106">
            <v>0.12</v>
          </cell>
          <cell r="V106">
            <v>0.12</v>
          </cell>
        </row>
        <row r="107">
          <cell r="B107" t="str">
            <v>Lucentis COGS ($M)</v>
          </cell>
          <cell r="P107">
            <v>36</v>
          </cell>
          <cell r="R107">
            <v>44</v>
          </cell>
          <cell r="T107">
            <v>48</v>
          </cell>
          <cell r="V107">
            <v>52</v>
          </cell>
        </row>
        <row r="108">
          <cell r="B108" t="str">
            <v>Lucentis COGS (%)</v>
          </cell>
          <cell r="P108">
            <v>0.08</v>
          </cell>
          <cell r="R108">
            <v>0.08</v>
          </cell>
          <cell r="T108">
            <v>0.08</v>
          </cell>
          <cell r="V108">
            <v>0.08</v>
          </cell>
        </row>
        <row r="109">
          <cell r="B109" t="str">
            <v>Tarceva COGS ($M)</v>
          </cell>
          <cell r="P109">
            <v>27.886133421897846</v>
          </cell>
          <cell r="R109">
            <v>31.358250204914803</v>
          </cell>
          <cell r="T109">
            <v>35.47312452941911</v>
          </cell>
          <cell r="V109">
            <v>38.738165421000645</v>
          </cell>
        </row>
        <row r="110">
          <cell r="B110" t="str">
            <v>Xolair COGS ($M)</v>
          </cell>
          <cell r="P110">
            <v>162.55170346477431</v>
          </cell>
          <cell r="R110">
            <v>171.61265728377725</v>
          </cell>
          <cell r="T110">
            <v>183.38112754984081</v>
          </cell>
          <cell r="V110">
            <v>196.51930021468087</v>
          </cell>
        </row>
        <row r="111">
          <cell r="B111" t="str">
            <v>Xolair US COGS ($M))</v>
          </cell>
          <cell r="P111">
            <v>142.32963792903627</v>
          </cell>
          <cell r="R111">
            <v>145.82952372571125</v>
          </cell>
          <cell r="T111">
            <v>148.31606591087103</v>
          </cell>
          <cell r="V111">
            <v>151.8113466249944</v>
          </cell>
        </row>
        <row r="112">
          <cell r="B112" t="str">
            <v>Xolair EU COGS ($M))</v>
          </cell>
          <cell r="P112">
            <v>20.222065535738043</v>
          </cell>
          <cell r="R112">
            <v>25.783133558066002</v>
          </cell>
          <cell r="T112">
            <v>35.065061638969773</v>
          </cell>
          <cell r="V112">
            <v>44.707953589686461</v>
          </cell>
        </row>
        <row r="113">
          <cell r="B113" t="str">
            <v>Raptiva COGS ($M)</v>
          </cell>
          <cell r="P113">
            <v>31.567268567818218</v>
          </cell>
          <cell r="R113">
            <v>30.496158489517082</v>
          </cell>
          <cell r="T113">
            <v>32.039264109086645</v>
          </cell>
          <cell r="V113">
            <v>33.660450873006425</v>
          </cell>
        </row>
        <row r="114">
          <cell r="B114" t="str">
            <v>Raptiva US COGS ($M))</v>
          </cell>
          <cell r="P114">
            <v>17.960687288586225</v>
          </cell>
          <cell r="R114">
            <v>16.20108419755595</v>
          </cell>
          <cell r="T114">
            <v>17.020859057952279</v>
          </cell>
          <cell r="V114">
            <v>17.882114526284667</v>
          </cell>
        </row>
        <row r="115">
          <cell r="B115" t="str">
            <v>Raptiva EU COGS ($M))</v>
          </cell>
          <cell r="P115">
            <v>13.606581279231992</v>
          </cell>
          <cell r="R115">
            <v>14.295074291961132</v>
          </cell>
          <cell r="T115">
            <v>15.018405051134366</v>
          </cell>
          <cell r="V115">
            <v>15.778336346721762</v>
          </cell>
        </row>
        <row r="116">
          <cell r="B116" t="str">
            <v>Other Products COGS ($M)</v>
          </cell>
          <cell r="P116">
            <v>102.06479999999999</v>
          </cell>
          <cell r="R116">
            <v>99.100427999999994</v>
          </cell>
          <cell r="T116">
            <v>103.70992788</v>
          </cell>
          <cell r="V116">
            <v>108.44268931079999</v>
          </cell>
        </row>
        <row r="117">
          <cell r="B117" t="str">
            <v>Other Products COGS (%)</v>
          </cell>
          <cell r="P117">
            <v>0.12</v>
          </cell>
          <cell r="R117">
            <v>0.12</v>
          </cell>
          <cell r="T117">
            <v>0.12</v>
          </cell>
          <cell r="V117">
            <v>0.12</v>
          </cell>
        </row>
        <row r="118">
          <cell r="B118" t="str">
            <v>COGS on Roche Transfer ($M)</v>
          </cell>
          <cell r="P118">
            <v>322.79000000000002</v>
          </cell>
          <cell r="R118">
            <v>254.88000000000002</v>
          </cell>
          <cell r="T118">
            <v>171.13247999999999</v>
          </cell>
          <cell r="V118">
            <v>89.022239999999996</v>
          </cell>
        </row>
        <row r="119">
          <cell r="B119" t="str">
            <v>Roche Transfer COGS (%)</v>
          </cell>
          <cell r="P119">
            <v>0.8</v>
          </cell>
          <cell r="R119">
            <v>0.8</v>
          </cell>
          <cell r="T119">
            <v>0.8</v>
          </cell>
          <cell r="V119">
            <v>0.8</v>
          </cell>
        </row>
        <row r="120">
          <cell r="B120" t="str">
            <v>TOTAL COGS</v>
          </cell>
          <cell r="P120">
            <v>1506.7599287814626</v>
          </cell>
          <cell r="R120">
            <v>1619.0699996815897</v>
          </cell>
          <cell r="T120">
            <v>1702.8029601920346</v>
          </cell>
          <cell r="V120">
            <v>1774.5598005138277</v>
          </cell>
        </row>
        <row r="122">
          <cell r="B122" t="str">
            <v>COLLABORATIVE</v>
          </cell>
        </row>
        <row r="123">
          <cell r="B123" t="str">
            <v>Rituxan Payment ($M)</v>
          </cell>
          <cell r="P123">
            <v>777.68984207466451</v>
          </cell>
          <cell r="R123">
            <v>862.40531216204784</v>
          </cell>
          <cell r="T123">
            <v>944.03820204685792</v>
          </cell>
          <cell r="V123">
            <v>1030.4000000000001</v>
          </cell>
        </row>
        <row r="124">
          <cell r="B124" t="str">
            <v>Rituxan payment (%)</v>
          </cell>
          <cell r="P124">
            <v>0.32</v>
          </cell>
          <cell r="R124">
            <v>0.32</v>
          </cell>
          <cell r="T124">
            <v>0.32</v>
          </cell>
          <cell r="V124">
            <v>0.32</v>
          </cell>
        </row>
        <row r="125">
          <cell r="B125" t="str">
            <v>Tarceva Payment ($M)</v>
          </cell>
          <cell r="P125">
            <v>266.36815092992731</v>
          </cell>
          <cell r="R125">
            <v>327.82412715160547</v>
          </cell>
          <cell r="T125">
            <v>371.21780755890063</v>
          </cell>
          <cell r="V125">
            <v>409.91598848300674</v>
          </cell>
        </row>
        <row r="126">
          <cell r="B126" t="str">
            <v>Xolair Payment ($M)</v>
          </cell>
          <cell r="P126">
            <v>138.81661576624447</v>
          </cell>
          <cell r="R126">
            <v>148.69147088800673</v>
          </cell>
          <cell r="T126">
            <v>162.04257240736885</v>
          </cell>
          <cell r="V126">
            <v>170.5998248078663</v>
          </cell>
        </row>
        <row r="127">
          <cell r="B127" t="str">
            <v>Payment to Genentech ($M)</v>
          </cell>
          <cell r="P127">
            <v>147.07395919333749</v>
          </cell>
          <cell r="R127">
            <v>169.2664114673434</v>
          </cell>
          <cell r="T127">
            <v>193.95177849883135</v>
          </cell>
          <cell r="V127">
            <v>212.53588527499218</v>
          </cell>
        </row>
        <row r="128">
          <cell r="B128" t="str">
            <v>DNA Ex-US Profit ($M)</v>
          </cell>
          <cell r="P128">
            <v>-8.2573434270930335</v>
          </cell>
          <cell r="R128">
            <v>-20.574940579336669</v>
          </cell>
          <cell r="T128">
            <v>-31.909206091462487</v>
          </cell>
          <cell r="V128">
            <v>-41.936060467125898</v>
          </cell>
        </row>
        <row r="129">
          <cell r="B129" t="str">
            <v>Raptiva Payment ($M)</v>
          </cell>
          <cell r="P129">
            <v>8.3907251221930608</v>
          </cell>
          <cell r="R129">
            <v>10.244803242572145</v>
          </cell>
          <cell r="T129">
            <v>10.763190286646296</v>
          </cell>
          <cell r="V129">
            <v>11.307807715150599</v>
          </cell>
        </row>
        <row r="130">
          <cell r="B130" t="str">
            <v>TOTAL PAYMENTS</v>
          </cell>
          <cell r="P130">
            <v>1191.2653338930295</v>
          </cell>
          <cell r="R130">
            <v>1349.1657134442321</v>
          </cell>
          <cell r="T130">
            <v>1488.0617722997738</v>
          </cell>
          <cell r="V130">
            <v>1622.2236210060237</v>
          </cell>
        </row>
        <row r="132">
          <cell r="B132" t="str">
            <v>Current Basic Shares Outstanding</v>
          </cell>
          <cell r="H132">
            <v>1060.6189999999999</v>
          </cell>
          <cell r="AB132" t="str">
            <v>mstag:currentBasicSharesOutstanding</v>
          </cell>
          <cell r="AC132">
            <v>6</v>
          </cell>
          <cell r="AD132" t="str">
            <v>ms_eqr_gcim_Decimal:ms_eqr_gcim_decimal</v>
          </cell>
          <cell r="AE132" t="b">
            <v>0</v>
          </cell>
          <cell r="AF132" t="b">
            <v>0</v>
          </cell>
        </row>
        <row r="133">
          <cell r="B133" t="str">
            <v>Current Diluted Shares Outstanding</v>
          </cell>
          <cell r="H133">
            <v>1087.087</v>
          </cell>
          <cell r="AB133" t="str">
            <v>mstag:currentDilutedSharesOutstanding</v>
          </cell>
          <cell r="AC133">
            <v>6</v>
          </cell>
          <cell r="AD133" t="str">
            <v>ms_eqr_gcim_Decimal:ms_eqr_gcim_decimal</v>
          </cell>
          <cell r="AE133" t="b">
            <v>0</v>
          </cell>
          <cell r="AF133" t="b">
            <v>0</v>
          </cell>
        </row>
        <row r="134">
          <cell r="B134" t="str">
            <v>INTEREST CALCULATIONS</v>
          </cell>
        </row>
        <row r="135">
          <cell r="B135" t="str">
            <v>Cash and Equivalents</v>
          </cell>
          <cell r="E135">
            <v>2662.1325000000002</v>
          </cell>
          <cell r="F135">
            <v>2233.3744999999999</v>
          </cell>
          <cell r="H135">
            <v>2268.1279213292892</v>
          </cell>
          <cell r="J135">
            <v>2857.4149213292885</v>
          </cell>
          <cell r="L135">
            <v>3297.1620000000003</v>
          </cell>
          <cell r="N135">
            <v>3702.1018822259666</v>
          </cell>
          <cell r="P135">
            <v>3956.9953926703447</v>
          </cell>
          <cell r="R135">
            <v>5353.6803473669661</v>
          </cell>
          <cell r="T135">
            <v>7971.2501559284938</v>
          </cell>
          <cell r="V135">
            <v>11307.855993356801</v>
          </cell>
        </row>
        <row r="136">
          <cell r="B136" t="str">
            <v>Return on assets</v>
          </cell>
          <cell r="E136">
            <v>5.071310312315408E-2</v>
          </cell>
          <cell r="F136">
            <v>4.8277617569288091E-2</v>
          </cell>
          <cell r="H136">
            <v>4.0917886124169002E-2</v>
          </cell>
          <cell r="J136">
            <v>2.8906197480614865E-2</v>
          </cell>
          <cell r="L136">
            <v>4.2733720696768916E-2</v>
          </cell>
          <cell r="N136">
            <v>3.5000000000000003E-2</v>
          </cell>
          <cell r="P136">
            <v>0.04</v>
          </cell>
          <cell r="R136">
            <v>0.04</v>
          </cell>
          <cell r="T136">
            <v>3.7499999999999999E-2</v>
          </cell>
          <cell r="V136">
            <v>3.7499999999999999E-2</v>
          </cell>
        </row>
        <row r="137">
          <cell r="B137" t="str">
            <v>Interest Income</v>
          </cell>
          <cell r="E137">
            <v>135.005</v>
          </cell>
          <cell r="F137">
            <v>107.822</v>
          </cell>
          <cell r="H137">
            <v>92.807000000000002</v>
          </cell>
          <cell r="J137">
            <v>82.597000000000008</v>
          </cell>
          <cell r="L137">
            <v>140.9</v>
          </cell>
          <cell r="N137">
            <v>129.57356587790883</v>
          </cell>
          <cell r="P137">
            <v>158.27981570681379</v>
          </cell>
          <cell r="R137">
            <v>214.14721389467866</v>
          </cell>
          <cell r="T137">
            <v>298.9218808473185</v>
          </cell>
          <cell r="V137">
            <v>424.04459975088002</v>
          </cell>
        </row>
        <row r="138">
          <cell r="B138" t="str">
            <v>Test</v>
          </cell>
          <cell r="J138">
            <v>82.597000000000008</v>
          </cell>
          <cell r="L138">
            <v>140.9</v>
          </cell>
          <cell r="N138">
            <v>228</v>
          </cell>
          <cell r="P138">
            <v>158.27981570681379</v>
          </cell>
          <cell r="R138">
            <v>214.14721389467866</v>
          </cell>
          <cell r="T138">
            <v>298.9218808473185</v>
          </cell>
          <cell r="V138">
            <v>424.04459975088002</v>
          </cell>
        </row>
        <row r="140">
          <cell r="B140" t="str">
            <v>Interest Bearing Obligations</v>
          </cell>
          <cell r="F140">
            <v>0</v>
          </cell>
          <cell r="H140">
            <v>412.25</v>
          </cell>
          <cell r="J140">
            <v>412.25</v>
          </cell>
          <cell r="L140">
            <v>2083.0239999999999</v>
          </cell>
          <cell r="N140">
            <v>2083.0239999999999</v>
          </cell>
          <cell r="P140">
            <v>2083.0239999999999</v>
          </cell>
          <cell r="R140">
            <v>2083.0239999999999</v>
          </cell>
          <cell r="T140">
            <v>2083.0239999999999</v>
          </cell>
          <cell r="V140">
            <v>1583.0239999999999</v>
          </cell>
        </row>
        <row r="141">
          <cell r="B141" t="str">
            <v>Interest Rate</v>
          </cell>
          <cell r="F141">
            <v>9.3300000000000005E-5</v>
          </cell>
          <cell r="L141">
            <v>-4.7720552427624449E-2</v>
          </cell>
          <cell r="N141">
            <v>-4.7720552427624449E-2</v>
          </cell>
          <cell r="P141">
            <v>-4.7720552427624449E-2</v>
          </cell>
          <cell r="R141">
            <v>-4.7720552427624449E-2</v>
          </cell>
          <cell r="T141">
            <v>-4.7720552427624449E-2</v>
          </cell>
          <cell r="V141">
            <v>-4.8895693305976408E-2</v>
          </cell>
        </row>
        <row r="142">
          <cell r="B142" t="str">
            <v>Interest Expense</v>
          </cell>
          <cell r="F142">
            <v>0</v>
          </cell>
          <cell r="L142">
            <v>-99.403055999999992</v>
          </cell>
          <cell r="N142">
            <v>-99.403055999999992</v>
          </cell>
          <cell r="P142">
            <v>-99.403055999999992</v>
          </cell>
          <cell r="R142">
            <v>-99.403055999999992</v>
          </cell>
          <cell r="T142">
            <v>-99.403055999999992</v>
          </cell>
          <cell r="V142">
            <v>-77.403055999999992</v>
          </cell>
        </row>
        <row r="143">
          <cell r="B143" t="str">
            <v>Debt #1</v>
          </cell>
          <cell r="F143">
            <v>554.72799999999995</v>
          </cell>
          <cell r="H143">
            <v>623.29</v>
          </cell>
          <cell r="J143">
            <v>703.12</v>
          </cell>
          <cell r="L143">
            <v>583.02399999999989</v>
          </cell>
          <cell r="N143">
            <v>583.02399999999989</v>
          </cell>
          <cell r="P143">
            <v>583.02399999999989</v>
          </cell>
          <cell r="R143">
            <v>583.02399999999989</v>
          </cell>
          <cell r="T143">
            <v>583.02399999999989</v>
          </cell>
          <cell r="V143">
            <v>83.023999999999887</v>
          </cell>
        </row>
        <row r="144">
          <cell r="B144" t="str">
            <v>Interest Rate</v>
          </cell>
          <cell r="F144">
            <v>9.3300000000000005E-5</v>
          </cell>
          <cell r="H144">
            <v>9.3300000000000005E-5</v>
          </cell>
          <cell r="J144">
            <v>9.3300000000000005E-5</v>
          </cell>
          <cell r="L144">
            <v>4.3999999999999997E-2</v>
          </cell>
          <cell r="N144">
            <v>4.3999999999999997E-2</v>
          </cell>
          <cell r="P144">
            <v>4.3999999999999997E-2</v>
          </cell>
          <cell r="R144">
            <v>4.3999999999999997E-2</v>
          </cell>
          <cell r="T144">
            <v>4.3999999999999997E-2</v>
          </cell>
          <cell r="V144">
            <v>4.3999999999999997E-2</v>
          </cell>
        </row>
        <row r="145">
          <cell r="B145" t="str">
            <v>Interest Expense</v>
          </cell>
          <cell r="F145">
            <v>5.17561224E-2</v>
          </cell>
          <cell r="H145">
            <v>5.8152956999999998E-2</v>
          </cell>
          <cell r="J145">
            <v>6.5601095999999998E-2</v>
          </cell>
          <cell r="L145">
            <v>25.653055999999992</v>
          </cell>
          <cell r="N145">
            <v>25.653055999999992</v>
          </cell>
          <cell r="P145">
            <v>25.653055999999992</v>
          </cell>
          <cell r="R145">
            <v>25.653055999999992</v>
          </cell>
          <cell r="T145">
            <v>25.653055999999992</v>
          </cell>
          <cell r="V145">
            <v>3.653055999999995</v>
          </cell>
        </row>
        <row r="146">
          <cell r="B146" t="str">
            <v>Debt #2</v>
          </cell>
          <cell r="F146">
            <v>0</v>
          </cell>
          <cell r="H146">
            <v>0</v>
          </cell>
          <cell r="J146">
            <v>0</v>
          </cell>
          <cell r="L146">
            <v>1000</v>
          </cell>
          <cell r="N146">
            <v>1000</v>
          </cell>
          <cell r="P146">
            <v>1000</v>
          </cell>
          <cell r="R146">
            <v>1000</v>
          </cell>
          <cell r="T146">
            <v>1000</v>
          </cell>
          <cell r="V146">
            <v>1000</v>
          </cell>
        </row>
        <row r="147">
          <cell r="B147" t="str">
            <v>Interest Rate</v>
          </cell>
          <cell r="F147">
            <v>9.3300000000000005E-5</v>
          </cell>
          <cell r="H147">
            <v>0</v>
          </cell>
          <cell r="J147">
            <v>0</v>
          </cell>
          <cell r="L147">
            <v>4.7500000000000001E-2</v>
          </cell>
          <cell r="N147">
            <v>4.7500000000000001E-2</v>
          </cell>
          <cell r="P147">
            <v>4.7500000000000001E-2</v>
          </cell>
          <cell r="R147">
            <v>4.7500000000000001E-2</v>
          </cell>
          <cell r="T147">
            <v>4.7500000000000001E-2</v>
          </cell>
          <cell r="V147">
            <v>4.7500000000000001E-2</v>
          </cell>
        </row>
        <row r="148">
          <cell r="B148" t="str">
            <v>Interest Expense</v>
          </cell>
          <cell r="F148">
            <v>0</v>
          </cell>
          <cell r="H148">
            <v>0</v>
          </cell>
          <cell r="J148">
            <v>0</v>
          </cell>
          <cell r="L148">
            <v>47.5</v>
          </cell>
          <cell r="N148">
            <v>47.5</v>
          </cell>
          <cell r="P148">
            <v>47.5</v>
          </cell>
          <cell r="R148">
            <v>47.5</v>
          </cell>
          <cell r="T148">
            <v>47.5</v>
          </cell>
          <cell r="V148">
            <v>47.5</v>
          </cell>
        </row>
        <row r="149">
          <cell r="B149" t="str">
            <v>Debt #3</v>
          </cell>
          <cell r="F149">
            <v>-1590.366</v>
          </cell>
          <cell r="H149">
            <v>0</v>
          </cell>
          <cell r="J149">
            <v>0</v>
          </cell>
          <cell r="L149">
            <v>500</v>
          </cell>
          <cell r="N149">
            <v>500</v>
          </cell>
          <cell r="P149">
            <v>500</v>
          </cell>
          <cell r="R149">
            <v>500</v>
          </cell>
          <cell r="T149">
            <v>500</v>
          </cell>
          <cell r="V149">
            <v>500</v>
          </cell>
        </row>
        <row r="150">
          <cell r="B150" t="str">
            <v>Interest Rate</v>
          </cell>
          <cell r="F150">
            <v>9.3300000000000005E-5</v>
          </cell>
          <cell r="H150">
            <v>0</v>
          </cell>
          <cell r="J150">
            <v>0</v>
          </cell>
          <cell r="L150">
            <v>5.2499999999999998E-2</v>
          </cell>
          <cell r="N150">
            <v>5.2499999999999998E-2</v>
          </cell>
          <cell r="P150">
            <v>5.2499999999999998E-2</v>
          </cell>
          <cell r="R150">
            <v>5.2499999999999998E-2</v>
          </cell>
          <cell r="T150">
            <v>5.2499999999999998E-2</v>
          </cell>
          <cell r="V150">
            <v>5.2499999999999998E-2</v>
          </cell>
        </row>
        <row r="151">
          <cell r="B151" t="str">
            <v>Interest Expense</v>
          </cell>
          <cell r="F151">
            <v>-0.1483811478</v>
          </cell>
          <cell r="H151">
            <v>0</v>
          </cell>
          <cell r="J151">
            <v>0</v>
          </cell>
          <cell r="L151">
            <v>26.25</v>
          </cell>
          <cell r="N151">
            <v>26.25</v>
          </cell>
          <cell r="P151">
            <v>26.25</v>
          </cell>
          <cell r="R151">
            <v>26.25</v>
          </cell>
          <cell r="T151">
            <v>26.25</v>
          </cell>
          <cell r="V151">
            <v>26.25</v>
          </cell>
        </row>
        <row r="152">
          <cell r="D152" t="str">
            <v>2000A</v>
          </cell>
          <cell r="E152" t="str">
            <v>2001A</v>
          </cell>
          <cell r="F152" t="str">
            <v>2002A</v>
          </cell>
          <cell r="H152" t="str">
            <v>2003A</v>
          </cell>
          <cell r="I152" t="str">
            <v>2004E</v>
          </cell>
          <cell r="J152" t="str">
            <v>2005E</v>
          </cell>
          <cell r="K152" t="str">
            <v>2006E</v>
          </cell>
          <cell r="L152" t="str">
            <v>2007E</v>
          </cell>
          <cell r="M152" t="str">
            <v>2008E</v>
          </cell>
          <cell r="N152" t="str">
            <v>2009E</v>
          </cell>
          <cell r="O152" t="str">
            <v>2010E</v>
          </cell>
        </row>
        <row r="153">
          <cell r="B153" t="str">
            <v>RNOA</v>
          </cell>
        </row>
        <row r="154">
          <cell r="B154" t="str">
            <v>ROE</v>
          </cell>
        </row>
        <row r="155">
          <cell r="B155" t="str">
            <v>Operating Margin</v>
          </cell>
          <cell r="D155">
            <v>0.23109484655632037</v>
          </cell>
          <cell r="E155">
            <v>0.22983837826413678</v>
          </cell>
          <cell r="F155">
            <v>0.24055711926676934</v>
          </cell>
          <cell r="H155">
            <v>0.25620589712352548</v>
          </cell>
          <cell r="I155">
            <v>0.28551025707608407</v>
          </cell>
          <cell r="J155">
            <v>0.31694360513418202</v>
          </cell>
          <cell r="K155">
            <v>0.35652364818932586</v>
          </cell>
          <cell r="L155">
            <v>0.39079481045141073</v>
          </cell>
          <cell r="M155">
            <v>0.41648950612743196</v>
          </cell>
          <cell r="N155">
            <v>0.43423843372946319</v>
          </cell>
          <cell r="O155">
            <v>0.45021543822400667</v>
          </cell>
        </row>
        <row r="193">
          <cell r="N193">
            <v>44.013721844271316</v>
          </cell>
          <cell r="P193">
            <v>33.29289312441832</v>
          </cell>
          <cell r="R193">
            <v>26.640507605564949</v>
          </cell>
          <cell r="T193">
            <v>22.631589842223477</v>
          </cell>
          <cell r="V193">
            <v>19.727270219320825</v>
          </cell>
        </row>
      </sheetData>
      <sheetData sheetId="8" refreshError="1">
        <row r="1">
          <cell r="B1" t="str">
            <v>Genentech Balance Sheet</v>
          </cell>
          <cell r="Y1" t="str">
            <v>ElementName</v>
          </cell>
          <cell r="Z1" t="str">
            <v>ScaleOverride</v>
          </cell>
          <cell r="AA1" t="str">
            <v>UnitOverride</v>
          </cell>
          <cell r="AB1" t="str">
            <v>ReverseSign</v>
          </cell>
          <cell r="AC1" t="str">
            <v>IsDrivingAssumption</v>
          </cell>
          <cell r="AD1" t="str">
            <v>SegmentID</v>
          </cell>
        </row>
        <row r="2">
          <cell r="B2" t="str">
            <v>(Dollars in millions)</v>
          </cell>
        </row>
        <row r="4">
          <cell r="C4" t="str">
            <v>1999A</v>
          </cell>
          <cell r="D4" t="str">
            <v>2000A</v>
          </cell>
          <cell r="E4" t="str">
            <v>2001A</v>
          </cell>
          <cell r="F4" t="str">
            <v>2002A</v>
          </cell>
          <cell r="H4" t="str">
            <v>2003A</v>
          </cell>
          <cell r="J4" t="str">
            <v>2004A</v>
          </cell>
          <cell r="L4" t="str">
            <v>2005A</v>
          </cell>
          <cell r="N4" t="str">
            <v>2006E</v>
          </cell>
          <cell r="P4" t="str">
            <v>2007E</v>
          </cell>
          <cell r="R4" t="str">
            <v>2008E</v>
          </cell>
          <cell r="T4" t="str">
            <v>2009E</v>
          </cell>
          <cell r="V4" t="str">
            <v>2010E</v>
          </cell>
        </row>
        <row r="6">
          <cell r="B6" t="str">
            <v>Cash and Equivalents</v>
          </cell>
          <cell r="D6">
            <v>551.38400000000001</v>
          </cell>
          <cell r="E6">
            <v>395.20299999999997</v>
          </cell>
          <cell r="F6">
            <v>208.13</v>
          </cell>
          <cell r="H6">
            <v>371.87784265857772</v>
          </cell>
          <cell r="J6">
            <v>270.12299999999999</v>
          </cell>
          <cell r="L6">
            <v>1225.511</v>
          </cell>
          <cell r="N6">
            <v>1001.9307644519329</v>
          </cell>
          <cell r="P6">
            <v>1235.2980208887568</v>
          </cell>
          <cell r="R6">
            <v>2295.300673845175</v>
          </cell>
          <cell r="T6">
            <v>3470.4376380118142</v>
          </cell>
          <cell r="V6">
            <v>4968.5123487017881</v>
          </cell>
          <cell r="Y6" t="str">
            <v>mstag:cashAndCashEquivalents</v>
          </cell>
          <cell r="Z6">
            <v>6</v>
          </cell>
          <cell r="AA6" t="str">
            <v>ISO4217:USD</v>
          </cell>
          <cell r="AB6" t="b">
            <v>0</v>
          </cell>
          <cell r="AC6" t="b">
            <v>0</v>
          </cell>
        </row>
        <row r="7">
          <cell r="B7" t="str">
            <v>Short-term investments</v>
          </cell>
          <cell r="D7">
            <v>642.47500000000002</v>
          </cell>
          <cell r="E7">
            <v>952.875</v>
          </cell>
          <cell r="F7">
            <v>826.44200000000001</v>
          </cell>
          <cell r="H7">
            <v>1139.6199999999999</v>
          </cell>
          <cell r="J7">
            <v>1394.982</v>
          </cell>
          <cell r="L7">
            <v>1139.6500000000001</v>
          </cell>
          <cell r="N7">
            <v>1139.6500000000001</v>
          </cell>
          <cell r="P7">
            <v>1264.6500000000001</v>
          </cell>
          <cell r="R7">
            <v>1514.65</v>
          </cell>
          <cell r="T7">
            <v>2014.65</v>
          </cell>
          <cell r="V7">
            <v>2514.65</v>
          </cell>
          <cell r="Y7" t="str">
            <v>mstag:shortTermInvestments</v>
          </cell>
          <cell r="Z7">
            <v>6</v>
          </cell>
          <cell r="AA7" t="str">
            <v>ISO4217:USD</v>
          </cell>
          <cell r="AB7" t="b">
            <v>0</v>
          </cell>
          <cell r="AC7" t="b">
            <v>0</v>
          </cell>
        </row>
        <row r="8">
          <cell r="B8" t="str">
            <v>Receivables, trade</v>
          </cell>
          <cell r="D8">
            <v>162.12100000000001</v>
          </cell>
          <cell r="E8">
            <v>193.203</v>
          </cell>
          <cell r="F8">
            <v>224.34299999999999</v>
          </cell>
          <cell r="H8">
            <v>299.10000000000002</v>
          </cell>
          <cell r="J8">
            <v>599.05200000000002</v>
          </cell>
          <cell r="L8">
            <v>554.45500000000004</v>
          </cell>
          <cell r="N8">
            <v>760.03000000000009</v>
          </cell>
          <cell r="P8">
            <v>939.92709347360233</v>
          </cell>
          <cell r="R8">
            <v>1092.0155259251524</v>
          </cell>
          <cell r="T8">
            <v>1122.0029983011618</v>
          </cell>
          <cell r="V8">
            <v>1051.8739766251808</v>
          </cell>
          <cell r="Y8" t="str">
            <v>mstag:tradeReceivables</v>
          </cell>
          <cell r="Z8">
            <v>6</v>
          </cell>
          <cell r="AA8" t="str">
            <v>ISO4217:USD</v>
          </cell>
          <cell r="AB8" t="b">
            <v>0</v>
          </cell>
          <cell r="AC8" t="b">
            <v>0</v>
          </cell>
        </row>
        <row r="9">
          <cell r="B9" t="str">
            <v>Receivables, other</v>
          </cell>
          <cell r="D9">
            <v>63.262</v>
          </cell>
          <cell r="E9">
            <v>77.837000000000003</v>
          </cell>
          <cell r="F9">
            <v>87.244</v>
          </cell>
          <cell r="H9">
            <v>73.400000000000006</v>
          </cell>
          <cell r="J9">
            <v>140.83799999999999</v>
          </cell>
          <cell r="L9">
            <v>232.297</v>
          </cell>
          <cell r="N9">
            <v>228.00900000000001</v>
          </cell>
          <cell r="P9">
            <v>281.9781280420807</v>
          </cell>
          <cell r="R9">
            <v>327.6046577775457</v>
          </cell>
          <cell r="T9">
            <v>336.60089949034852</v>
          </cell>
          <cell r="V9">
            <v>315.56219298755423</v>
          </cell>
          <cell r="Y9" t="str">
            <v>mstag:tradeReceivables</v>
          </cell>
          <cell r="Z9">
            <v>6</v>
          </cell>
          <cell r="AA9" t="str">
            <v>ISO4217:USD</v>
          </cell>
          <cell r="AB9" t="b">
            <v>0</v>
          </cell>
          <cell r="AC9" t="b">
            <v>0</v>
          </cell>
        </row>
        <row r="10">
          <cell r="B10" t="str">
            <v>Receivables, related party</v>
          </cell>
          <cell r="D10">
            <v>36.298999999999999</v>
          </cell>
          <cell r="E10">
            <v>66.867000000000004</v>
          </cell>
          <cell r="F10">
            <v>106.89400000000001</v>
          </cell>
          <cell r="H10">
            <v>201.6</v>
          </cell>
          <cell r="J10">
            <v>217.482</v>
          </cell>
          <cell r="L10">
            <v>296.66399999999999</v>
          </cell>
          <cell r="N10">
            <v>532.02100000000007</v>
          </cell>
          <cell r="P10">
            <v>657.94896543152163</v>
          </cell>
          <cell r="R10">
            <v>764.41086814760661</v>
          </cell>
          <cell r="T10">
            <v>785.40209881081319</v>
          </cell>
          <cell r="V10">
            <v>736.31178363762649</v>
          </cell>
          <cell r="Y10" t="str">
            <v>mstag:tradeReceivables</v>
          </cell>
          <cell r="Z10">
            <v>6</v>
          </cell>
          <cell r="AA10" t="str">
            <v>ISO4217:USD</v>
          </cell>
          <cell r="AB10" t="b">
            <v>0</v>
          </cell>
          <cell r="AC10" t="b">
            <v>0</v>
          </cell>
        </row>
        <row r="11">
          <cell r="B11" t="str">
            <v>Inventories</v>
          </cell>
          <cell r="D11">
            <v>265.83</v>
          </cell>
          <cell r="E11">
            <v>356.94600000000003</v>
          </cell>
          <cell r="F11">
            <v>393.54199999999997</v>
          </cell>
          <cell r="H11">
            <v>469.64</v>
          </cell>
          <cell r="J11">
            <v>590.34299999999996</v>
          </cell>
          <cell r="L11">
            <v>702.51499999999999</v>
          </cell>
          <cell r="N11">
            <v>905.58340740740744</v>
          </cell>
          <cell r="P11">
            <v>1076.257091986759</v>
          </cell>
          <cell r="R11">
            <v>1156.4785712011355</v>
          </cell>
          <cell r="T11">
            <v>1216.2878287085962</v>
          </cell>
          <cell r="V11">
            <v>1267.542714652734</v>
          </cell>
          <cell r="Y11" t="str">
            <v>mstag:inventories</v>
          </cell>
          <cell r="Z11">
            <v>6</v>
          </cell>
          <cell r="AA11" t="str">
            <v>ISO4217:USD</v>
          </cell>
          <cell r="AB11" t="b">
            <v>0</v>
          </cell>
          <cell r="AC11" t="b">
            <v>0</v>
          </cell>
        </row>
        <row r="12">
          <cell r="B12" t="str">
            <v>Deferred Tax assets, Net</v>
          </cell>
          <cell r="D12">
            <v>40.619</v>
          </cell>
          <cell r="E12">
            <v>139.56700000000001</v>
          </cell>
          <cell r="F12">
            <v>82.299000000000007</v>
          </cell>
          <cell r="H12">
            <v>121.88500000000001</v>
          </cell>
          <cell r="J12">
            <v>148.37</v>
          </cell>
          <cell r="L12">
            <v>166.56100000000001</v>
          </cell>
          <cell r="N12">
            <v>166.56100000000001</v>
          </cell>
          <cell r="P12">
            <v>166.56100000000001</v>
          </cell>
          <cell r="R12">
            <v>166.56100000000001</v>
          </cell>
          <cell r="T12">
            <v>166.56100000000001</v>
          </cell>
          <cell r="V12">
            <v>166.56100000000001</v>
          </cell>
          <cell r="Y12" t="str">
            <v>mstag:deferredTaxAssets</v>
          </cell>
          <cell r="Z12">
            <v>6</v>
          </cell>
          <cell r="AA12" t="str">
            <v>ISO4217:USD</v>
          </cell>
          <cell r="AB12" t="b">
            <v>0</v>
          </cell>
          <cell r="AC12" t="b">
            <v>0</v>
          </cell>
        </row>
        <row r="13">
          <cell r="B13" t="str">
            <v>Prepaid expenses and other current assets</v>
          </cell>
          <cell r="D13">
            <v>31.431999999999999</v>
          </cell>
          <cell r="E13">
            <v>38.896000000000001</v>
          </cell>
          <cell r="F13">
            <v>153.88999999999999</v>
          </cell>
          <cell r="H13">
            <v>79.44</v>
          </cell>
          <cell r="J13">
            <v>61.567</v>
          </cell>
          <cell r="L13">
            <v>101.126</v>
          </cell>
          <cell r="N13">
            <v>146.7183995</v>
          </cell>
          <cell r="P13">
            <v>206.13904673091855</v>
          </cell>
          <cell r="R13">
            <v>229.39290678567519</v>
          </cell>
          <cell r="T13">
            <v>247.56660773485044</v>
          </cell>
          <cell r="V13">
            <v>260.2368329771009</v>
          </cell>
          <cell r="Y13" t="str">
            <v>mstag:prepaidExpenses</v>
          </cell>
          <cell r="Z13">
            <v>6</v>
          </cell>
          <cell r="AA13" t="str">
            <v>ISO4217:USD</v>
          </cell>
          <cell r="AB13" t="b">
            <v>0</v>
          </cell>
          <cell r="AC13" t="b">
            <v>0</v>
          </cell>
        </row>
        <row r="14">
          <cell r="B14" t="str">
            <v>Total current assets</v>
          </cell>
          <cell r="D14">
            <v>1793.4219999999998</v>
          </cell>
          <cell r="E14">
            <v>2221.3940000000002</v>
          </cell>
          <cell r="F14">
            <v>2082.7840000000001</v>
          </cell>
          <cell r="H14">
            <v>2756.5628426585777</v>
          </cell>
          <cell r="J14">
            <v>3422.7570000000001</v>
          </cell>
          <cell r="L14">
            <v>4418.7790000000005</v>
          </cell>
          <cell r="N14">
            <v>4880.5035713593397</v>
          </cell>
          <cell r="P14">
            <v>5828.7593465536384</v>
          </cell>
          <cell r="R14">
            <v>7546.4142036822905</v>
          </cell>
          <cell r="T14">
            <v>9359.5090710575842</v>
          </cell>
          <cell r="V14">
            <v>11281.250849581984</v>
          </cell>
        </row>
        <row r="16">
          <cell r="B16" t="str">
            <v>Long-term marketable securities</v>
          </cell>
          <cell r="D16">
            <v>1265.5150000000001</v>
          </cell>
          <cell r="E16">
            <v>1516.8130000000001</v>
          </cell>
          <cell r="F16">
            <v>567.28599999999994</v>
          </cell>
          <cell r="H16">
            <v>1422.9</v>
          </cell>
          <cell r="J16">
            <v>1115.327</v>
          </cell>
          <cell r="L16">
            <v>1448.731</v>
          </cell>
          <cell r="N16">
            <v>1448.731</v>
          </cell>
          <cell r="P16">
            <v>1823.731</v>
          </cell>
          <cell r="R16">
            <v>2573.7309999999998</v>
          </cell>
          <cell r="T16">
            <v>4073.7309999999998</v>
          </cell>
          <cell r="V16">
            <v>5573.7309999999998</v>
          </cell>
          <cell r="Y16" t="str">
            <v>mstag:longTermInvestmentsNonOperating</v>
          </cell>
          <cell r="Z16">
            <v>6</v>
          </cell>
          <cell r="AA16" t="str">
            <v>ISO4217:USD</v>
          </cell>
          <cell r="AB16" t="b">
            <v>0</v>
          </cell>
          <cell r="AC16" t="b">
            <v>0</v>
          </cell>
        </row>
        <row r="17">
          <cell r="B17" t="str">
            <v>Property, Plant &amp; Equipment, Net</v>
          </cell>
          <cell r="D17">
            <v>752.89200000000005</v>
          </cell>
          <cell r="E17">
            <v>865.66800000000001</v>
          </cell>
          <cell r="F17">
            <v>1068.7339999999999</v>
          </cell>
          <cell r="H17">
            <v>1617.9</v>
          </cell>
          <cell r="J17">
            <v>2091.404</v>
          </cell>
          <cell r="L17">
            <v>3349.3519999999999</v>
          </cell>
          <cell r="N17">
            <v>4554.0653750000001</v>
          </cell>
          <cell r="P17">
            <v>5783.2955411838693</v>
          </cell>
          <cell r="R17">
            <v>6559.6626049312927</v>
          </cell>
          <cell r="T17">
            <v>6993.2829589207122</v>
          </cell>
          <cell r="V17">
            <v>7343.3774458479393</v>
          </cell>
          <cell r="Y17" t="str">
            <v>mstag:propertyPlantAndEquipmentNet</v>
          </cell>
          <cell r="Z17">
            <v>6</v>
          </cell>
          <cell r="AA17" t="str">
            <v>ISO4217:USD</v>
          </cell>
          <cell r="AB17" t="b">
            <v>0</v>
          </cell>
          <cell r="AC17" t="b">
            <v>0</v>
          </cell>
        </row>
        <row r="18">
          <cell r="B18" t="str">
            <v>Goodwill</v>
          </cell>
          <cell r="D18">
            <v>1280.3589999999999</v>
          </cell>
          <cell r="E18">
            <v>1302.4929999999999</v>
          </cell>
          <cell r="F18">
            <v>1315.09</v>
          </cell>
          <cell r="H18">
            <v>1315.09</v>
          </cell>
          <cell r="J18">
            <v>1315.019</v>
          </cell>
          <cell r="L18">
            <v>1315.019</v>
          </cell>
          <cell r="N18">
            <v>1315.019</v>
          </cell>
          <cell r="P18">
            <v>1315.019</v>
          </cell>
          <cell r="R18">
            <v>1315.019</v>
          </cell>
          <cell r="T18">
            <v>1315.019</v>
          </cell>
          <cell r="V18">
            <v>1315.019</v>
          </cell>
          <cell r="Y18" t="str">
            <v>mstag:goodwill</v>
          </cell>
          <cell r="Z18">
            <v>6</v>
          </cell>
          <cell r="AA18" t="str">
            <v>ISO4217:USD</v>
          </cell>
          <cell r="AB18" t="b">
            <v>0</v>
          </cell>
          <cell r="AC18" t="b">
            <v>0</v>
          </cell>
        </row>
        <row r="19">
          <cell r="B19" t="str">
            <v>Intangible Assets, net</v>
          </cell>
          <cell r="D19">
            <v>1455.778</v>
          </cell>
          <cell r="E19">
            <v>1113.299</v>
          </cell>
          <cell r="F19">
            <v>927.5</v>
          </cell>
          <cell r="H19">
            <v>810.81</v>
          </cell>
          <cell r="J19">
            <v>668.39099999999996</v>
          </cell>
          <cell r="L19">
            <v>573.779</v>
          </cell>
          <cell r="N19">
            <v>452.07900000000001</v>
          </cell>
          <cell r="P19">
            <v>331.57900000000001</v>
          </cell>
          <cell r="R19">
            <v>213.07900000000001</v>
          </cell>
          <cell r="T19">
            <v>213.07900000000001</v>
          </cell>
          <cell r="V19">
            <v>213.07900000000001</v>
          </cell>
          <cell r="Y19" t="str">
            <v>mstag:otherIntangibleAssets</v>
          </cell>
          <cell r="Z19">
            <v>6</v>
          </cell>
          <cell r="AA19" t="str">
            <v>ISO4217:USD</v>
          </cell>
          <cell r="AB19" t="b">
            <v>0</v>
          </cell>
          <cell r="AC19" t="b">
            <v>0</v>
          </cell>
        </row>
        <row r="20">
          <cell r="B20" t="str">
            <v>Other assets</v>
          </cell>
          <cell r="D20">
            <v>168.458</v>
          </cell>
          <cell r="E20">
            <v>127.22200000000001</v>
          </cell>
          <cell r="F20">
            <v>796.65800000000002</v>
          </cell>
          <cell r="H20">
            <v>812.7</v>
          </cell>
          <cell r="J20">
            <v>790.49700000000007</v>
          </cell>
          <cell r="L20">
            <v>1041.2190000000001</v>
          </cell>
          <cell r="N20">
            <v>1041.2190000000001</v>
          </cell>
          <cell r="P20">
            <v>1041.2190000000001</v>
          </cell>
          <cell r="R20">
            <v>1041.2190000000001</v>
          </cell>
          <cell r="T20">
            <v>1041.2190000000001</v>
          </cell>
          <cell r="V20">
            <v>1041.2190000000001</v>
          </cell>
          <cell r="Y20" t="str">
            <v>mstag:otherAssetsNonOperating</v>
          </cell>
          <cell r="Z20">
            <v>6</v>
          </cell>
          <cell r="AA20" t="str">
            <v>ISO4217:USD</v>
          </cell>
          <cell r="AB20" t="b">
            <v>0</v>
          </cell>
          <cell r="AC20" t="b">
            <v>0</v>
          </cell>
        </row>
        <row r="21">
          <cell r="B21" t="str">
            <v>Total Non-current assets</v>
          </cell>
          <cell r="D21">
            <v>4923.0019999999995</v>
          </cell>
          <cell r="E21">
            <v>4925.4949999999999</v>
          </cell>
          <cell r="F21">
            <v>4675.268</v>
          </cell>
          <cell r="H21">
            <v>5979.4000000000005</v>
          </cell>
          <cell r="J21">
            <v>5980.6379999999999</v>
          </cell>
          <cell r="L21">
            <v>7728.0999999999995</v>
          </cell>
          <cell r="N21">
            <v>8811.1133750000008</v>
          </cell>
          <cell r="P21">
            <v>10294.843541183869</v>
          </cell>
          <cell r="R21">
            <v>11702.710604931293</v>
          </cell>
          <cell r="T21">
            <v>13636.330958920713</v>
          </cell>
          <cell r="V21">
            <v>15486.425445847937</v>
          </cell>
        </row>
        <row r="23">
          <cell r="B23" t="str">
            <v>Total assets</v>
          </cell>
          <cell r="D23">
            <v>6716.4239999999991</v>
          </cell>
          <cell r="E23">
            <v>7146.8890000000001</v>
          </cell>
          <cell r="F23">
            <v>6758.0519999999997</v>
          </cell>
          <cell r="H23">
            <v>8735.9628426585787</v>
          </cell>
          <cell r="J23">
            <v>9403.3950000000004</v>
          </cell>
          <cell r="L23">
            <v>12146.879000000001</v>
          </cell>
          <cell r="N23">
            <v>13691.61694635934</v>
          </cell>
          <cell r="P23">
            <v>16123.602887737507</v>
          </cell>
          <cell r="R23">
            <v>19249.124808613582</v>
          </cell>
          <cell r="T23">
            <v>22995.840029978295</v>
          </cell>
          <cell r="V23">
            <v>26767.676295429919</v>
          </cell>
        </row>
        <row r="25">
          <cell r="B25" t="str">
            <v>Accounts Payable</v>
          </cell>
          <cell r="D25">
            <v>39.113999999999997</v>
          </cell>
          <cell r="E25">
            <v>33.347999999999999</v>
          </cell>
          <cell r="F25">
            <v>51.38</v>
          </cell>
          <cell r="H25">
            <v>59.7</v>
          </cell>
          <cell r="J25">
            <v>104.83199999999999</v>
          </cell>
          <cell r="L25">
            <v>338.97800000000001</v>
          </cell>
          <cell r="N25">
            <v>407.51253333333335</v>
          </cell>
          <cell r="P25">
            <v>456.59391781256443</v>
          </cell>
          <cell r="R25">
            <v>490.62727263078477</v>
          </cell>
          <cell r="T25">
            <v>516.00089702788932</v>
          </cell>
          <cell r="V25">
            <v>537.7453940950993</v>
          </cell>
          <cell r="Y25" t="str">
            <v>mstag:tradeAndOtherPayables</v>
          </cell>
          <cell r="Z25">
            <v>6</v>
          </cell>
          <cell r="AA25" t="str">
            <v>ISO4217:USD</v>
          </cell>
          <cell r="AB25" t="b">
            <v>0</v>
          </cell>
          <cell r="AC25" t="b">
            <v>0</v>
          </cell>
        </row>
        <row r="26">
          <cell r="B26" t="str">
            <v>Accrued liabilities-related parties</v>
          </cell>
          <cell r="D26">
            <v>12.265000000000001</v>
          </cell>
          <cell r="E26">
            <v>45.259</v>
          </cell>
          <cell r="F26">
            <v>51.116</v>
          </cell>
          <cell r="H26">
            <v>58.1</v>
          </cell>
          <cell r="J26">
            <v>108.416</v>
          </cell>
          <cell r="L26">
            <v>131.774</v>
          </cell>
          <cell r="N26">
            <v>123.24345558</v>
          </cell>
          <cell r="P26">
            <v>137.42603115394573</v>
          </cell>
          <cell r="R26">
            <v>145.28217429759431</v>
          </cell>
          <cell r="T26">
            <v>148.53996464091026</v>
          </cell>
          <cell r="V26">
            <v>147.46753868702385</v>
          </cell>
          <cell r="Y26" t="str">
            <v>mstag:accruedExpenses</v>
          </cell>
          <cell r="Z26">
            <v>6</v>
          </cell>
          <cell r="AA26" t="str">
            <v>ISO4217:USD</v>
          </cell>
          <cell r="AB26" t="b">
            <v>0</v>
          </cell>
          <cell r="AC26" t="b">
            <v>0</v>
          </cell>
        </row>
        <row r="27">
          <cell r="B27" t="str">
            <v>Accrued Liabilities</v>
          </cell>
          <cell r="D27">
            <v>386.48</v>
          </cell>
          <cell r="E27">
            <v>415.95499999999998</v>
          </cell>
          <cell r="F27">
            <v>524.12</v>
          </cell>
          <cell r="H27">
            <v>707.75</v>
          </cell>
          <cell r="J27">
            <v>978.79300000000012</v>
          </cell>
          <cell r="L27">
            <v>1144.7530000000002</v>
          </cell>
          <cell r="N27">
            <v>1109.19110022</v>
          </cell>
          <cell r="P27">
            <v>1236.8342803855116</v>
          </cell>
          <cell r="R27">
            <v>1307.5395686783486</v>
          </cell>
          <cell r="T27">
            <v>1336.8596817681923</v>
          </cell>
          <cell r="V27">
            <v>1327.2078481832148</v>
          </cell>
          <cell r="Y27" t="str">
            <v>mstag:accruedExpenses</v>
          </cell>
          <cell r="Z27">
            <v>6</v>
          </cell>
          <cell r="AA27" t="str">
            <v>ISO4217:USD</v>
          </cell>
          <cell r="AB27" t="b">
            <v>0</v>
          </cell>
          <cell r="AC27" t="b">
            <v>0</v>
          </cell>
        </row>
        <row r="28">
          <cell r="B28" t="str">
            <v>Deferred Revenue</v>
          </cell>
          <cell r="D28">
            <v>15.433</v>
          </cell>
          <cell r="E28">
            <v>19.542999999999999</v>
          </cell>
          <cell r="F28">
            <v>20.044</v>
          </cell>
          <cell r="H28">
            <v>47.48</v>
          </cell>
          <cell r="J28">
            <v>45.988999999999997</v>
          </cell>
          <cell r="L28">
            <v>44.326999999999998</v>
          </cell>
          <cell r="N28">
            <v>68.402699999999996</v>
          </cell>
          <cell r="P28">
            <v>84.593438412624209</v>
          </cell>
          <cell r="R28">
            <v>98.281397333263726</v>
          </cell>
          <cell r="T28">
            <v>109.39529233436328</v>
          </cell>
          <cell r="V28">
            <v>118.33582237033283</v>
          </cell>
          <cell r="Y28" t="str">
            <v>mstag:deferredRevenue</v>
          </cell>
          <cell r="Z28">
            <v>6</v>
          </cell>
          <cell r="AA28" t="str">
            <v>ISO4217:USD</v>
          </cell>
          <cell r="AB28" t="b">
            <v>0</v>
          </cell>
          <cell r="AC28" t="b">
            <v>0</v>
          </cell>
        </row>
        <row r="29">
          <cell r="B29" t="str">
            <v>Total current liabilities</v>
          </cell>
          <cell r="D29">
            <v>453.29200000000003</v>
          </cell>
          <cell r="E29">
            <v>514.10500000000002</v>
          </cell>
          <cell r="F29">
            <v>646.66</v>
          </cell>
          <cell r="H29">
            <v>873.03</v>
          </cell>
          <cell r="J29">
            <v>1238.0300000000002</v>
          </cell>
          <cell r="L29">
            <v>1659.8320000000001</v>
          </cell>
          <cell r="N29">
            <v>1708.3497891333334</v>
          </cell>
          <cell r="P29">
            <v>1915.447667764646</v>
          </cell>
          <cell r="R29">
            <v>2041.7304129399913</v>
          </cell>
          <cell r="T29">
            <v>2110.7958357713551</v>
          </cell>
          <cell r="V29">
            <v>2130.7566033356707</v>
          </cell>
        </row>
        <row r="31">
          <cell r="B31" t="str">
            <v xml:space="preserve">Long-Term Debt </v>
          </cell>
          <cell r="D31">
            <v>149.69200000000001</v>
          </cell>
          <cell r="E31">
            <v>149.69200000000001</v>
          </cell>
          <cell r="F31">
            <v>0</v>
          </cell>
          <cell r="H31">
            <v>412.25</v>
          </cell>
          <cell r="J31">
            <v>412.25</v>
          </cell>
          <cell r="L31">
            <v>2083.0239999999999</v>
          </cell>
          <cell r="N31">
            <v>2083.0239999999999</v>
          </cell>
          <cell r="P31">
            <v>2083.0239999999999</v>
          </cell>
          <cell r="R31">
            <v>2083.0239999999999</v>
          </cell>
          <cell r="T31">
            <v>2083.0239999999999</v>
          </cell>
          <cell r="V31">
            <v>1583.0239999999999</v>
          </cell>
          <cell r="Y31" t="str">
            <v>mstag:longTermDebt</v>
          </cell>
          <cell r="Z31">
            <v>6</v>
          </cell>
          <cell r="AA31" t="str">
            <v>ISO4217:USD</v>
          </cell>
          <cell r="AB31" t="b">
            <v>0</v>
          </cell>
          <cell r="AC31" t="b">
            <v>0</v>
          </cell>
        </row>
        <row r="32">
          <cell r="B32" t="str">
            <v>Deferred Tax Liabilities</v>
          </cell>
          <cell r="D32">
            <v>349.84800000000001</v>
          </cell>
          <cell r="E32">
            <v>447.80900000000003</v>
          </cell>
          <cell r="F32">
            <v>148.24700000000001</v>
          </cell>
          <cell r="H32">
            <v>26.056000000000001</v>
          </cell>
          <cell r="J32">
            <v>0</v>
          </cell>
          <cell r="L32">
            <v>0</v>
          </cell>
          <cell r="N32">
            <v>0</v>
          </cell>
          <cell r="P32">
            <v>0</v>
          </cell>
          <cell r="R32">
            <v>0</v>
          </cell>
          <cell r="T32">
            <v>0</v>
          </cell>
          <cell r="V32">
            <v>0</v>
          </cell>
          <cell r="Y32" t="str">
            <v>mstag:deferredTaxLiabilities</v>
          </cell>
          <cell r="Z32">
            <v>6</v>
          </cell>
          <cell r="AA32" t="str">
            <v>ISO4217:USD</v>
          </cell>
          <cell r="AB32" t="b">
            <v>0</v>
          </cell>
          <cell r="AC32" t="b">
            <v>0</v>
          </cell>
        </row>
        <row r="33">
          <cell r="B33" t="str">
            <v>Deferred Revenue</v>
          </cell>
          <cell r="D33">
            <v>87.6</v>
          </cell>
          <cell r="E33">
            <v>68.033000000000001</v>
          </cell>
          <cell r="F33">
            <v>69.533000000000001</v>
          </cell>
          <cell r="H33">
            <v>281.2</v>
          </cell>
          <cell r="J33">
            <v>267.80500000000001</v>
          </cell>
          <cell r="L33">
            <v>220.09299999999999</v>
          </cell>
          <cell r="N33">
            <v>387.61529999999999</v>
          </cell>
          <cell r="P33">
            <v>479.36281767153719</v>
          </cell>
          <cell r="R33">
            <v>556.92791822182778</v>
          </cell>
          <cell r="T33">
            <v>619.90665656139197</v>
          </cell>
          <cell r="V33">
            <v>670.56966009855273</v>
          </cell>
          <cell r="Y33" t="str">
            <v>mstag:deferredRevenue</v>
          </cell>
          <cell r="Z33">
            <v>6</v>
          </cell>
          <cell r="AA33" t="str">
            <v>ISO4217:USD</v>
          </cell>
          <cell r="AB33" t="b">
            <v>0</v>
          </cell>
          <cell r="AC33" t="b">
            <v>0</v>
          </cell>
        </row>
        <row r="34">
          <cell r="B34" t="str">
            <v>Litigation related and other long-term liabilities</v>
          </cell>
          <cell r="D34">
            <v>1.7889999999999999</v>
          </cell>
          <cell r="E34">
            <v>47.430999999999997</v>
          </cell>
          <cell r="F34">
            <v>554.72799999999995</v>
          </cell>
          <cell r="H34">
            <v>623.29</v>
          </cell>
          <cell r="J34">
            <v>703.12</v>
          </cell>
          <cell r="L34">
            <v>714.346</v>
          </cell>
          <cell r="N34">
            <v>766.346</v>
          </cell>
          <cell r="P34">
            <v>818.346</v>
          </cell>
          <cell r="R34">
            <v>870.346</v>
          </cell>
          <cell r="T34">
            <v>922.346</v>
          </cell>
          <cell r="V34">
            <v>974.346</v>
          </cell>
          <cell r="Y34" t="str">
            <v>mstag:otherLiabilitiesNonOperating</v>
          </cell>
          <cell r="Z34">
            <v>6</v>
          </cell>
          <cell r="AA34" t="str">
            <v>ISO4217:USD</v>
          </cell>
          <cell r="AB34" t="b">
            <v>0</v>
          </cell>
          <cell r="AC34" t="b">
            <v>0</v>
          </cell>
        </row>
        <row r="35">
          <cell r="B35" t="str">
            <v>Total liabilities</v>
          </cell>
          <cell r="D35">
            <v>1042.221</v>
          </cell>
          <cell r="E35">
            <v>1227.07</v>
          </cell>
          <cell r="F35">
            <v>1419.1679999999999</v>
          </cell>
          <cell r="H35">
            <v>2215.826</v>
          </cell>
          <cell r="J35">
            <v>2621.2050000000004</v>
          </cell>
          <cell r="L35">
            <v>4677.2950000000001</v>
          </cell>
          <cell r="N35">
            <v>4945.3350891333339</v>
          </cell>
          <cell r="P35">
            <v>5296.1804854361835</v>
          </cell>
          <cell r="R35">
            <v>5552.0283311618186</v>
          </cell>
          <cell r="T35">
            <v>5736.0724923327471</v>
          </cell>
          <cell r="V35">
            <v>5358.6962634342235</v>
          </cell>
        </row>
        <row r="37">
          <cell r="B37" t="str">
            <v>Stockholders' equity:</v>
          </cell>
          <cell r="J37">
            <v>642.94200000000001</v>
          </cell>
        </row>
        <row r="38">
          <cell r="B38" t="str">
            <v xml:space="preserve">Common Stock </v>
          </cell>
          <cell r="D38">
            <v>10.51</v>
          </cell>
          <cell r="E38">
            <v>10.566000000000001</v>
          </cell>
          <cell r="F38">
            <v>10.256</v>
          </cell>
          <cell r="H38">
            <v>10.494999999999999</v>
          </cell>
          <cell r="J38">
            <v>20.943000000000001</v>
          </cell>
          <cell r="L38">
            <v>21.074000000000002</v>
          </cell>
          <cell r="N38">
            <v>21.074000000000002</v>
          </cell>
          <cell r="P38">
            <v>21.074000000000002</v>
          </cell>
          <cell r="R38">
            <v>21.074000000000002</v>
          </cell>
          <cell r="T38">
            <v>21.074000000000002</v>
          </cell>
          <cell r="V38">
            <v>21.074000000000002</v>
          </cell>
          <cell r="Y38" t="str">
            <v>mstag:commonStock</v>
          </cell>
          <cell r="Z38">
            <v>6</v>
          </cell>
          <cell r="AA38" t="str">
            <v>ISO4217:USD</v>
          </cell>
          <cell r="AB38" t="b">
            <v>0</v>
          </cell>
          <cell r="AC38" t="b">
            <v>0</v>
          </cell>
        </row>
        <row r="39">
          <cell r="B39" t="str">
            <v>APIC</v>
          </cell>
          <cell r="D39">
            <v>6651.4279999999999</v>
          </cell>
          <cell r="E39">
            <v>6794.8310000000001</v>
          </cell>
          <cell r="F39">
            <v>6650.3519999999999</v>
          </cell>
          <cell r="H39">
            <v>7370.26</v>
          </cell>
          <cell r="J39">
            <v>8002.7539999999999</v>
          </cell>
          <cell r="L39">
            <v>9262.6790000000001</v>
          </cell>
          <cell r="N39">
            <v>8807.5888275460075</v>
          </cell>
          <cell r="P39">
            <v>8542.5238553393174</v>
          </cell>
          <cell r="R39">
            <v>8402.1209406899634</v>
          </cell>
          <cell r="T39">
            <v>8385.5884743906445</v>
          </cell>
          <cell r="V39">
            <v>8403.9596403285959</v>
          </cell>
          <cell r="Y39" t="str">
            <v>mstag:additionalPaidInCapital</v>
          </cell>
          <cell r="Z39">
            <v>6</v>
          </cell>
          <cell r="AA39" t="str">
            <v>ISO4217:USD</v>
          </cell>
          <cell r="AB39" t="b">
            <v>0</v>
          </cell>
          <cell r="AC39" t="b">
            <v>0</v>
          </cell>
        </row>
        <row r="40">
          <cell r="B40" t="str">
            <v>(Accumulated Deficit) Retained Earnings</v>
          </cell>
          <cell r="D40">
            <v>-1319.3530000000001</v>
          </cell>
          <cell r="E40">
            <v>-1197.3</v>
          </cell>
          <cell r="F40">
            <v>-1590.366</v>
          </cell>
          <cell r="H40">
            <v>-1157.4680000000001</v>
          </cell>
          <cell r="J40">
            <v>-1532.4549999999999</v>
          </cell>
          <cell r="L40">
            <v>-2067.5909999999999</v>
          </cell>
          <cell r="N40">
            <v>-335.80297031999976</v>
          </cell>
          <cell r="P40">
            <v>2010.4025469620071</v>
          </cell>
          <cell r="R40">
            <v>5020.4795367618008</v>
          </cell>
          <cell r="T40">
            <v>8599.6830632549063</v>
          </cell>
          <cell r="V40">
            <v>12730.524391667106</v>
          </cell>
          <cell r="Y40" t="str">
            <v>mstag:retainedEarnings</v>
          </cell>
          <cell r="Z40">
            <v>6</v>
          </cell>
          <cell r="AA40" t="str">
            <v>ISO4217:USD</v>
          </cell>
          <cell r="AB40" t="b">
            <v>0</v>
          </cell>
          <cell r="AC40" t="b">
            <v>0</v>
          </cell>
        </row>
        <row r="41">
          <cell r="B41" t="str">
            <v>Accumulated Other Comprehensive Income</v>
          </cell>
          <cell r="D41">
            <v>331.61799999999999</v>
          </cell>
          <cell r="E41">
            <v>311.72199999999998</v>
          </cell>
          <cell r="F41">
            <v>268.642</v>
          </cell>
          <cell r="H41">
            <v>296.9026437</v>
          </cell>
          <cell r="J41">
            <v>290.94799999999998</v>
          </cell>
          <cell r="L41">
            <v>253.422</v>
          </cell>
          <cell r="N41">
            <v>253.422</v>
          </cell>
          <cell r="P41">
            <v>253.422</v>
          </cell>
          <cell r="R41">
            <v>253.422</v>
          </cell>
          <cell r="T41">
            <v>253.422</v>
          </cell>
          <cell r="V41">
            <v>253.422</v>
          </cell>
          <cell r="Y41" t="str">
            <v>mstag:accumulatedOtherComprehensiveIncomeLossAndReserves</v>
          </cell>
          <cell r="Z41">
            <v>6</v>
          </cell>
          <cell r="AA41" t="str">
            <v>ISO4217:USD</v>
          </cell>
          <cell r="AB41" t="b">
            <v>0</v>
          </cell>
          <cell r="AC41" t="b">
            <v>0</v>
          </cell>
        </row>
        <row r="42">
          <cell r="B42" t="str">
            <v>Total stockholders' equity</v>
          </cell>
          <cell r="D42">
            <v>5674.2030000000004</v>
          </cell>
          <cell r="E42">
            <v>5919.8189999999995</v>
          </cell>
          <cell r="F42">
            <v>5338.884</v>
          </cell>
          <cell r="H42">
            <v>6520.1896437000005</v>
          </cell>
          <cell r="J42">
            <v>6782.1900000000005</v>
          </cell>
          <cell r="L42">
            <v>7469.5839999999998</v>
          </cell>
          <cell r="N42">
            <v>8746.2818572260094</v>
          </cell>
          <cell r="P42">
            <v>10827.422402301325</v>
          </cell>
          <cell r="R42">
            <v>13697.096477451765</v>
          </cell>
          <cell r="T42">
            <v>17259.767537645552</v>
          </cell>
          <cell r="V42">
            <v>21408.980031995699</v>
          </cell>
        </row>
        <row r="44">
          <cell r="B44" t="str">
            <v>Total Liabilities and Equity</v>
          </cell>
          <cell r="D44">
            <v>6716.4240000000009</v>
          </cell>
          <cell r="E44">
            <v>7146.8889999999992</v>
          </cell>
          <cell r="F44">
            <v>6758.0519999999997</v>
          </cell>
          <cell r="H44">
            <v>8736.0156437000005</v>
          </cell>
          <cell r="J44">
            <v>9403.3950000000004</v>
          </cell>
          <cell r="L44">
            <v>12146.879000000001</v>
          </cell>
          <cell r="N44">
            <v>13691.616946359343</v>
          </cell>
          <cell r="P44">
            <v>16123.602887737508</v>
          </cell>
          <cell r="R44">
            <v>19249.124808613582</v>
          </cell>
          <cell r="T44">
            <v>22995.840029978299</v>
          </cell>
          <cell r="V44">
            <v>26767.676295429923</v>
          </cell>
        </row>
        <row r="45">
          <cell r="J45">
            <v>0</v>
          </cell>
          <cell r="L45">
            <v>0</v>
          </cell>
          <cell r="N45">
            <v>0</v>
          </cell>
          <cell r="P45">
            <v>0</v>
          </cell>
          <cell r="R45">
            <v>0</v>
          </cell>
          <cell r="T45">
            <v>0</v>
          </cell>
          <cell r="V45">
            <v>0</v>
          </cell>
        </row>
        <row r="46">
          <cell r="J46">
            <v>0</v>
          </cell>
          <cell r="L46">
            <v>0</v>
          </cell>
          <cell r="N46">
            <v>0</v>
          </cell>
          <cell r="P46">
            <v>0</v>
          </cell>
          <cell r="R46">
            <v>0</v>
          </cell>
          <cell r="T46">
            <v>0</v>
          </cell>
          <cell r="V46">
            <v>0</v>
          </cell>
        </row>
        <row r="48">
          <cell r="B48" t="str">
            <v>change in OCI</v>
          </cell>
          <cell r="E48">
            <v>-13.619999999999948</v>
          </cell>
          <cell r="F48">
            <v>-41.321999999999832</v>
          </cell>
          <cell r="H48">
            <v>28.549801041422199</v>
          </cell>
          <cell r="J48">
            <v>-6.5446836999998368</v>
          </cell>
          <cell r="L48">
            <v>-37.672239999998425</v>
          </cell>
          <cell r="N48">
            <v>0</v>
          </cell>
          <cell r="P48">
            <v>-5.6843418860808015E-13</v>
          </cell>
          <cell r="R48">
            <v>7.9580786405131221E-13</v>
          </cell>
          <cell r="T48">
            <v>-7.3896444519050419E-13</v>
          </cell>
          <cell r="V48">
            <v>-5.1159076974727213E-13</v>
          </cell>
        </row>
        <row r="49">
          <cell r="B49" t="str">
            <v>Related to Common Stock &amp; Apic</v>
          </cell>
          <cell r="H49">
            <v>129.84699999999998</v>
          </cell>
          <cell r="J49">
            <v>1159.2129600000001</v>
          </cell>
          <cell r="L49">
            <v>1813.9807600000015</v>
          </cell>
          <cell r="N49">
            <v>0</v>
          </cell>
          <cell r="P49">
            <v>-5.6843418860808015E-13</v>
          </cell>
          <cell r="R49">
            <v>7.9580786405131221E-13</v>
          </cell>
          <cell r="T49">
            <v>-7.3896444519050419E-13</v>
          </cell>
          <cell r="V49">
            <v>-5.1159076974727213E-13</v>
          </cell>
        </row>
        <row r="50">
          <cell r="B50" t="str">
            <v>Related to Retained Earnings</v>
          </cell>
          <cell r="H50">
            <v>-129.55784265857778</v>
          </cell>
          <cell r="J50">
            <v>-1159.8029999999999</v>
          </cell>
          <cell r="L50">
            <v>-1814.127</v>
          </cell>
          <cell r="N50">
            <v>0</v>
          </cell>
          <cell r="P50">
            <v>0</v>
          </cell>
          <cell r="R50">
            <v>0</v>
          </cell>
          <cell r="T50">
            <v>0</v>
          </cell>
          <cell r="V50">
            <v>0</v>
          </cell>
        </row>
        <row r="51">
          <cell r="B51" t="str">
            <v>Related to OCI</v>
          </cell>
          <cell r="H51">
            <v>28.260643700000003</v>
          </cell>
          <cell r="J51">
            <v>-5.9546437000000196</v>
          </cell>
          <cell r="L51">
            <v>-37.525999999999982</v>
          </cell>
          <cell r="N51">
            <v>0</v>
          </cell>
          <cell r="P51">
            <v>0</v>
          </cell>
          <cell r="R51">
            <v>0</v>
          </cell>
          <cell r="T51">
            <v>0</v>
          </cell>
          <cell r="V51">
            <v>0</v>
          </cell>
        </row>
        <row r="52">
          <cell r="E52" t="e">
            <v>#REF!</v>
          </cell>
        </row>
        <row r="53">
          <cell r="H53" t="str">
            <v>2003-FY</v>
          </cell>
          <cell r="J53" t="str">
            <v>2004-FY</v>
          </cell>
          <cell r="L53" t="str">
            <v>2005-FY</v>
          </cell>
          <cell r="N53" t="str">
            <v>2006-FY</v>
          </cell>
          <cell r="P53" t="str">
            <v>2007-FY</v>
          </cell>
          <cell r="R53" t="str">
            <v>2008-FY</v>
          </cell>
          <cell r="T53" t="str">
            <v>2009-FY</v>
          </cell>
          <cell r="V53" t="str">
            <v>2010-FY</v>
          </cell>
        </row>
        <row r="54">
          <cell r="B54" t="str">
            <v>CALCULATIONS</v>
          </cell>
          <cell r="D54">
            <v>5663.6930000000002</v>
          </cell>
          <cell r="E54">
            <v>5909.2529999999997</v>
          </cell>
          <cell r="F54">
            <v>5328.6279999999997</v>
          </cell>
        </row>
        <row r="55">
          <cell r="C55">
            <v>1999</v>
          </cell>
          <cell r="D55">
            <v>2000</v>
          </cell>
          <cell r="E55" t="str">
            <v>2001</v>
          </cell>
          <cell r="F55" t="str">
            <v>2002</v>
          </cell>
          <cell r="H55" t="str">
            <v>2003A</v>
          </cell>
          <cell r="J55" t="str">
            <v>2004A</v>
          </cell>
          <cell r="L55" t="str">
            <v>2005E</v>
          </cell>
          <cell r="N55" t="str">
            <v>2006E</v>
          </cell>
          <cell r="P55" t="str">
            <v>2007E</v>
          </cell>
          <cell r="R55" t="str">
            <v>2008E</v>
          </cell>
          <cell r="T55" t="str">
            <v>2009E</v>
          </cell>
          <cell r="V55" t="str">
            <v>2010E</v>
          </cell>
        </row>
        <row r="56">
          <cell r="B56" t="str">
            <v>Revenues</v>
          </cell>
          <cell r="D56">
            <v>1637.3710000009999</v>
          </cell>
          <cell r="E56">
            <v>2044.0319999999999</v>
          </cell>
          <cell r="F56">
            <v>2583.6215596696479</v>
          </cell>
          <cell r="H56">
            <v>3300.2629999999999</v>
          </cell>
          <cell r="J56">
            <v>4621.2</v>
          </cell>
          <cell r="L56">
            <v>6633.4230000000007</v>
          </cell>
          <cell r="N56">
            <v>9120.36</v>
          </cell>
          <cell r="P56">
            <v>11279.125121683228</v>
          </cell>
          <cell r="R56">
            <v>13104.186311101828</v>
          </cell>
          <cell r="T56">
            <v>14586.038977915103</v>
          </cell>
          <cell r="V56">
            <v>15778.109649377711</v>
          </cell>
        </row>
        <row r="57">
          <cell r="B57" t="str">
            <v>Operating expenses</v>
          </cell>
          <cell r="D57">
            <v>1258.9829999999999</v>
          </cell>
          <cell r="E57">
            <v>1574.2349999999999</v>
          </cell>
          <cell r="F57">
            <v>1962.1129999999998</v>
          </cell>
          <cell r="H57">
            <v>2454.7161573414223</v>
          </cell>
          <cell r="J57">
            <v>3301.8</v>
          </cell>
          <cell r="L57">
            <v>4531.0019999999995</v>
          </cell>
          <cell r="N57">
            <v>5868.7359800000004</v>
          </cell>
          <cell r="P57">
            <v>6871.3015576972857</v>
          </cell>
          <cell r="R57">
            <v>7646.4302261891735</v>
          </cell>
          <cell r="T57">
            <v>8252.2202578283486</v>
          </cell>
          <cell r="V57">
            <v>8674.5610992366965</v>
          </cell>
        </row>
        <row r="58">
          <cell r="B58" t="str">
            <v>COGS</v>
          </cell>
          <cell r="D58">
            <v>272.06799999999998</v>
          </cell>
          <cell r="E58">
            <v>354.44200000000001</v>
          </cell>
          <cell r="F58">
            <v>441.63</v>
          </cell>
          <cell r="H58">
            <v>480.15100000000001</v>
          </cell>
          <cell r="J58">
            <v>672.5</v>
          </cell>
          <cell r="L58">
            <v>1011.0629999999999</v>
          </cell>
          <cell r="N58">
            <v>1222.5376000000001</v>
          </cell>
          <cell r="P58">
            <v>1506.7599287814626</v>
          </cell>
          <cell r="R58">
            <v>1619.0699996815897</v>
          </cell>
          <cell r="T58">
            <v>1702.8029601920346</v>
          </cell>
          <cell r="V58">
            <v>1774.5598005138277</v>
          </cell>
        </row>
        <row r="59">
          <cell r="B59" t="str">
            <v>Interest and other income</v>
          </cell>
          <cell r="D59">
            <v>90.4</v>
          </cell>
          <cell r="E59">
            <v>135.005</v>
          </cell>
          <cell r="F59">
            <v>107.822</v>
          </cell>
          <cell r="H59">
            <v>92.807000000000002</v>
          </cell>
          <cell r="J59">
            <v>82.597000000000008</v>
          </cell>
          <cell r="L59">
            <v>140.9</v>
          </cell>
          <cell r="N59">
            <v>228</v>
          </cell>
          <cell r="P59">
            <v>158.27981570681379</v>
          </cell>
          <cell r="R59">
            <v>214.14721389467866</v>
          </cell>
          <cell r="T59">
            <v>298.9218808473185</v>
          </cell>
          <cell r="V59">
            <v>424.04459975088002</v>
          </cell>
        </row>
        <row r="61">
          <cell r="B61" t="str">
            <v>Depreciation and Amortization from</v>
          </cell>
        </row>
        <row r="62">
          <cell r="A62" t="str">
            <v xml:space="preserve">Existing PP&amp;E </v>
          </cell>
          <cell r="D62">
            <v>463.00400000000002</v>
          </cell>
          <cell r="E62">
            <v>428.09100000000001</v>
          </cell>
          <cell r="F62">
            <v>88.5</v>
          </cell>
          <cell r="H62">
            <v>88.5</v>
          </cell>
          <cell r="J62">
            <v>79.650000000000006</v>
          </cell>
          <cell r="L62">
            <v>71.685000000000002</v>
          </cell>
          <cell r="N62">
            <v>64.516500000000008</v>
          </cell>
          <cell r="P62">
            <v>58.064850000000007</v>
          </cell>
          <cell r="R62">
            <v>52.258365000000005</v>
          </cell>
          <cell r="T62">
            <v>47.032528500000005</v>
          </cell>
          <cell r="V62">
            <v>42.329275650000007</v>
          </cell>
        </row>
        <row r="63">
          <cell r="A63" t="str">
            <v>2002 capital expenditures</v>
          </cell>
          <cell r="F63">
            <v>16.1416</v>
          </cell>
          <cell r="H63">
            <v>16.1416</v>
          </cell>
          <cell r="J63">
            <v>16.1416</v>
          </cell>
          <cell r="L63">
            <v>16.1416</v>
          </cell>
          <cell r="N63">
            <v>16.1416</v>
          </cell>
          <cell r="P63">
            <v>16.1416</v>
          </cell>
          <cell r="R63">
            <v>16.1416</v>
          </cell>
          <cell r="T63">
            <v>16.1416</v>
          </cell>
          <cell r="V63">
            <v>16.1416</v>
          </cell>
          <cell r="X63">
            <v>20</v>
          </cell>
        </row>
        <row r="64">
          <cell r="A64" t="str">
            <v>2003 capital expenditures</v>
          </cell>
          <cell r="H64">
            <v>20.100000000000001</v>
          </cell>
          <cell r="J64">
            <v>20.100000000000001</v>
          </cell>
          <cell r="L64">
            <v>20.100000000000001</v>
          </cell>
          <cell r="N64">
            <v>20.100000000000001</v>
          </cell>
          <cell r="P64">
            <v>20.100000000000001</v>
          </cell>
          <cell r="R64">
            <v>20.100000000000001</v>
          </cell>
          <cell r="T64">
            <v>20.100000000000001</v>
          </cell>
          <cell r="V64">
            <v>20.100000000000001</v>
          </cell>
        </row>
        <row r="65">
          <cell r="A65" t="str">
            <v>2004 capital expenditures</v>
          </cell>
          <cell r="J65">
            <v>32.492899999999999</v>
          </cell>
          <cell r="L65">
            <v>32.492899999999999</v>
          </cell>
          <cell r="N65">
            <v>32.492899999999999</v>
          </cell>
          <cell r="P65">
            <v>32.492899999999999</v>
          </cell>
          <cell r="R65">
            <v>32.492899999999999</v>
          </cell>
          <cell r="T65">
            <v>32.492899999999999</v>
          </cell>
          <cell r="V65">
            <v>32.492899999999999</v>
          </cell>
        </row>
        <row r="66">
          <cell r="A66" t="str">
            <v>2005 capital expenditures</v>
          </cell>
          <cell r="L66">
            <v>69.991200000000006</v>
          </cell>
          <cell r="N66">
            <v>69.991200000000006</v>
          </cell>
          <cell r="P66">
            <v>69.991200000000006</v>
          </cell>
          <cell r="R66">
            <v>69.991200000000006</v>
          </cell>
          <cell r="T66">
            <v>69.991200000000006</v>
          </cell>
          <cell r="V66">
            <v>69.991200000000006</v>
          </cell>
        </row>
        <row r="67">
          <cell r="A67" t="str">
            <v>2006 capital expenditures</v>
          </cell>
          <cell r="N67">
            <v>74.102924999999999</v>
          </cell>
          <cell r="P67">
            <v>74.102924999999999</v>
          </cell>
          <cell r="R67">
            <v>74.102924999999999</v>
          </cell>
          <cell r="T67">
            <v>74.102924999999999</v>
          </cell>
          <cell r="V67">
            <v>74.102924999999999</v>
          </cell>
        </row>
        <row r="68">
          <cell r="A68" t="str">
            <v>2007 capital expenditures</v>
          </cell>
          <cell r="P68">
            <v>78.953875851782612</v>
          </cell>
          <cell r="R68">
            <v>78.953875851782612</v>
          </cell>
          <cell r="T68">
            <v>78.953875851782612</v>
          </cell>
          <cell r="V68">
            <v>78.953875851782612</v>
          </cell>
        </row>
        <row r="69">
          <cell r="A69" t="str">
            <v>2008 capital expenditures</v>
          </cell>
          <cell r="R69">
            <v>58.968838399958223</v>
          </cell>
          <cell r="T69">
            <v>58.968838399958223</v>
          </cell>
          <cell r="V69">
            <v>58.968838399958223</v>
          </cell>
        </row>
        <row r="70">
          <cell r="A70" t="str">
            <v>2009 capital expenditures</v>
          </cell>
          <cell r="T70">
            <v>43.758116933745306</v>
          </cell>
          <cell r="V70">
            <v>43.758116933745306</v>
          </cell>
        </row>
        <row r="71">
          <cell r="A71" t="str">
            <v>2010 capital expenditures</v>
          </cell>
          <cell r="V71">
            <v>41.417537829616492</v>
          </cell>
        </row>
        <row r="72">
          <cell r="A72" t="str">
            <v>Total depreciation</v>
          </cell>
          <cell r="F72">
            <v>104.55499999999998</v>
          </cell>
          <cell r="H72">
            <v>125</v>
          </cell>
          <cell r="J72">
            <v>171.221</v>
          </cell>
          <cell r="L72">
            <v>210.41070000000002</v>
          </cell>
          <cell r="N72">
            <v>277.34512500000005</v>
          </cell>
          <cell r="P72">
            <v>349.84735085178261</v>
          </cell>
          <cell r="R72">
            <v>403.00970425174086</v>
          </cell>
          <cell r="T72">
            <v>441.54198468548617</v>
          </cell>
          <cell r="V72">
            <v>478.25626966510265</v>
          </cell>
        </row>
        <row r="73">
          <cell r="A73" t="str">
            <v>Amortization of intangibles</v>
          </cell>
          <cell r="F73">
            <v>170.4</v>
          </cell>
          <cell r="H73">
            <v>170.4</v>
          </cell>
          <cell r="J73">
            <v>182</v>
          </cell>
          <cell r="L73">
            <v>159.75529999999998</v>
          </cell>
          <cell r="N73">
            <v>121.7</v>
          </cell>
          <cell r="P73">
            <v>120.5</v>
          </cell>
          <cell r="R73">
            <v>118.5</v>
          </cell>
          <cell r="T73">
            <v>0</v>
          </cell>
          <cell r="V73">
            <v>0</v>
          </cell>
        </row>
        <row r="74">
          <cell r="A74" t="str">
            <v>Total depreciation and amortization</v>
          </cell>
          <cell r="C74" t="e">
            <v>#REF!</v>
          </cell>
          <cell r="D74">
            <v>463.00400000000002</v>
          </cell>
          <cell r="E74">
            <v>428.09100000000001</v>
          </cell>
          <cell r="F74">
            <v>274.95499999999998</v>
          </cell>
          <cell r="H74">
            <v>295.39999999999998</v>
          </cell>
          <cell r="J74">
            <v>353.221</v>
          </cell>
          <cell r="L74">
            <v>370.166</v>
          </cell>
          <cell r="N74">
            <v>399.04512500000004</v>
          </cell>
          <cell r="P74">
            <v>470.34735085178261</v>
          </cell>
          <cell r="R74">
            <v>521.50970425174091</v>
          </cell>
          <cell r="T74">
            <v>441.54198468548617</v>
          </cell>
          <cell r="V74">
            <v>478.25626966510265</v>
          </cell>
        </row>
        <row r="75">
          <cell r="A75" t="str">
            <v xml:space="preserve">     Depreciation as % operating expenses</v>
          </cell>
          <cell r="F75">
            <v>5.3286941170054926E-2</v>
          </cell>
          <cell r="H75">
            <v>5.0922384498980573E-2</v>
          </cell>
          <cell r="J75">
            <v>5.1856865951905022E-2</v>
          </cell>
          <cell r="L75">
            <v>4.6438006427717324E-2</v>
          </cell>
          <cell r="N75">
            <v>4.7258068167517063E-2</v>
          </cell>
          <cell r="P75">
            <v>5.0914276998930558E-2</v>
          </cell>
          <cell r="R75">
            <v>5.27056014807308E-2</v>
          </cell>
          <cell r="T75">
            <v>5.3505840960391696E-2</v>
          </cell>
          <cell r="V75">
            <v>5.513319512006043E-2</v>
          </cell>
        </row>
        <row r="76">
          <cell r="A76" t="str">
            <v xml:space="preserve">    Amortization as % of operating expenses</v>
          </cell>
          <cell r="F76">
            <v>8.6845151120246392E-2</v>
          </cell>
          <cell r="H76">
            <v>6.9417394549010317E-2</v>
          </cell>
          <cell r="J76">
            <v>5.5121448906656975E-2</v>
          </cell>
          <cell r="L76">
            <v>3.5258271790654695E-2</v>
          </cell>
          <cell r="N76">
            <v>2.0737003745736744E-2</v>
          </cell>
          <cell r="P76">
            <v>1.7536706690599972E-2</v>
          </cell>
          <cell r="R76">
            <v>1.5497427753167115E-2</v>
          </cell>
          <cell r="T76">
            <v>0</v>
          </cell>
          <cell r="V76">
            <v>0</v>
          </cell>
        </row>
        <row r="78">
          <cell r="A78" t="str">
            <v>Working Capital</v>
          </cell>
        </row>
        <row r="79">
          <cell r="A79" t="str">
            <v>Receivables and other current assets</v>
          </cell>
          <cell r="D79">
            <v>333.73300000000006</v>
          </cell>
          <cell r="E79">
            <v>516.37</v>
          </cell>
          <cell r="F79">
            <v>418.48099999999999</v>
          </cell>
          <cell r="H79">
            <v>574.1</v>
          </cell>
          <cell r="J79">
            <v>957.37199999999996</v>
          </cell>
          <cell r="L79">
            <v>1083.4160000000002</v>
          </cell>
          <cell r="N79">
            <v>1520.0600000000002</v>
          </cell>
          <cell r="P79">
            <v>1879.8541869472047</v>
          </cell>
          <cell r="R79">
            <v>2184.0310518503047</v>
          </cell>
          <cell r="T79">
            <v>2244.0059966023236</v>
          </cell>
          <cell r="V79">
            <v>2103.7479532503617</v>
          </cell>
        </row>
        <row r="80">
          <cell r="A80" t="str">
            <v>% revenue</v>
          </cell>
          <cell r="D80">
            <v>0.20382246906766779</v>
          </cell>
          <cell r="E80">
            <v>0.25262324660279295</v>
          </cell>
          <cell r="F80">
            <v>0.16197457341759783</v>
          </cell>
          <cell r="H80">
            <v>0.17395583321692848</v>
          </cell>
          <cell r="J80">
            <v>0.20716956634640354</v>
          </cell>
          <cell r="L80">
            <v>0.16332683744124263</v>
          </cell>
          <cell r="N80">
            <v>0.16666666666666669</v>
          </cell>
          <cell r="P80">
            <v>0.16666666666666666</v>
          </cell>
          <cell r="R80">
            <v>0.16666666666666666</v>
          </cell>
          <cell r="T80">
            <v>0.15384615384615385</v>
          </cell>
          <cell r="V80">
            <v>0.13333333333333333</v>
          </cell>
        </row>
        <row r="81">
          <cell r="A81" t="str">
            <v>Days receivables outstanding (CHECK)</v>
          </cell>
          <cell r="D81">
            <v>74.39520120969874</v>
          </cell>
          <cell r="E81">
            <v>92.207485010019411</v>
          </cell>
          <cell r="F81">
            <v>59.120719297423214</v>
          </cell>
          <cell r="H81">
            <v>63.493879124178889</v>
          </cell>
          <cell r="J81">
            <v>75.61689171643728</v>
          </cell>
          <cell r="L81">
            <v>59.614295666053565</v>
          </cell>
          <cell r="N81">
            <v>60.833333333333336</v>
          </cell>
          <cell r="P81">
            <v>60.833333333333336</v>
          </cell>
          <cell r="R81">
            <v>60.833333333333336</v>
          </cell>
          <cell r="T81">
            <v>56.153846153846153</v>
          </cell>
          <cell r="V81">
            <v>48.666666666666671</v>
          </cell>
        </row>
        <row r="82">
          <cell r="A82" t="str">
            <v>Accounts receivable turnover</v>
          </cell>
          <cell r="D82">
            <v>4.906230429717767</v>
          </cell>
          <cell r="E82">
            <v>3.958463892170343</v>
          </cell>
          <cell r="F82">
            <v>6.1738085114250056</v>
          </cell>
          <cell r="H82">
            <v>5.748585612262672</v>
          </cell>
          <cell r="J82">
            <v>4.8269638134392903</v>
          </cell>
          <cell r="L82">
            <v>6.1226924837735455</v>
          </cell>
          <cell r="N82">
            <v>6</v>
          </cell>
          <cell r="P82">
            <v>6</v>
          </cell>
          <cell r="R82">
            <v>6</v>
          </cell>
          <cell r="T82">
            <v>6.5</v>
          </cell>
          <cell r="V82">
            <v>7.5</v>
          </cell>
        </row>
        <row r="83">
          <cell r="A83" t="str">
            <v>Prepaid Expenses and Other</v>
          </cell>
          <cell r="D83">
            <v>31.431999999999999</v>
          </cell>
          <cell r="E83">
            <v>38.896000000000001</v>
          </cell>
          <cell r="F83">
            <v>153.88999999999999</v>
          </cell>
          <cell r="H83">
            <v>79.44</v>
          </cell>
          <cell r="J83">
            <v>61.567</v>
          </cell>
          <cell r="L83">
            <v>101.126</v>
          </cell>
          <cell r="N83">
            <v>146.7183995</v>
          </cell>
          <cell r="P83">
            <v>206.13904673091855</v>
          </cell>
          <cell r="R83">
            <v>229.39290678567519</v>
          </cell>
          <cell r="T83">
            <v>247.56660773485044</v>
          </cell>
          <cell r="V83">
            <v>260.2368329771009</v>
          </cell>
        </row>
        <row r="84">
          <cell r="A84" t="str">
            <v>% operating expenses</v>
          </cell>
          <cell r="D84">
            <v>2.496618302232834E-2</v>
          </cell>
          <cell r="E84">
            <v>2.4707873983236303E-2</v>
          </cell>
          <cell r="F84">
            <v>7.8430752968865702E-2</v>
          </cell>
          <cell r="H84">
            <v>3.236219379679213E-2</v>
          </cell>
          <cell r="J84">
            <v>1.8646495850748075E-2</v>
          </cell>
          <cell r="L84">
            <v>2.2318683593606892E-2</v>
          </cell>
          <cell r="N84">
            <v>2.5000000000000001E-2</v>
          </cell>
          <cell r="P84">
            <v>0.03</v>
          </cell>
          <cell r="R84">
            <v>0.03</v>
          </cell>
          <cell r="T84">
            <v>0.03</v>
          </cell>
          <cell r="V84">
            <v>0.03</v>
          </cell>
        </row>
        <row r="85">
          <cell r="A85" t="str">
            <v>Inventories</v>
          </cell>
          <cell r="D85">
            <v>265.83</v>
          </cell>
          <cell r="E85">
            <v>356.94600000000003</v>
          </cell>
          <cell r="F85">
            <v>393.54199999999997</v>
          </cell>
          <cell r="H85">
            <v>469.64</v>
          </cell>
          <cell r="J85">
            <v>590.34299999999996</v>
          </cell>
          <cell r="L85">
            <v>702.51499999999999</v>
          </cell>
          <cell r="N85">
            <v>905.58340740740744</v>
          </cell>
          <cell r="P85">
            <v>1076.257091986759</v>
          </cell>
          <cell r="R85">
            <v>1156.4785712011355</v>
          </cell>
          <cell r="T85">
            <v>1216.2878287085962</v>
          </cell>
          <cell r="V85">
            <v>1267.542714652734</v>
          </cell>
        </row>
        <row r="86">
          <cell r="A86" t="str">
            <v>% revenue</v>
          </cell>
          <cell r="D86">
            <v>0.16235172114312374</v>
          </cell>
          <cell r="E86">
            <v>0.17462838155175656</v>
          </cell>
          <cell r="F86">
            <v>0.15232184393534778</v>
          </cell>
          <cell r="H86">
            <v>0.14230381033269165</v>
          </cell>
          <cell r="J86">
            <v>0.12774668917164372</v>
          </cell>
          <cell r="L86">
            <v>0.10590535233468451</v>
          </cell>
          <cell r="N86">
            <v>9.9292506809753933E-2</v>
          </cell>
          <cell r="P86">
            <v>9.5420263573257086E-2</v>
          </cell>
          <cell r="R86">
            <v>8.8252604453690514E-2</v>
          </cell>
          <cell r="T86">
            <v>8.3387123162785473E-2</v>
          </cell>
          <cell r="V86">
            <v>8.033552452227545E-2</v>
          </cell>
        </row>
        <row r="87">
          <cell r="A87" t="str">
            <v>Days inventory outstanding (CHECK)</v>
          </cell>
          <cell r="D87">
            <v>356.63124660011465</v>
          </cell>
          <cell r="E87">
            <v>367.57858831628306</v>
          </cell>
          <cell r="F87">
            <v>325.25605144578043</v>
          </cell>
          <cell r="H87">
            <v>357.00977400859313</v>
          </cell>
          <cell r="J87">
            <v>320.4092118959108</v>
          </cell>
          <cell r="L87">
            <v>253.61226253952526</v>
          </cell>
          <cell r="N87">
            <v>270.37037037037038</v>
          </cell>
          <cell r="P87">
            <v>260.71428571428567</v>
          </cell>
          <cell r="R87">
            <v>260.71428571428572</v>
          </cell>
          <cell r="T87">
            <v>260.71428571428572</v>
          </cell>
          <cell r="V87">
            <v>260.71428571428572</v>
          </cell>
        </row>
        <row r="88">
          <cell r="A88" t="str">
            <v>Inventory Turnover</v>
          </cell>
          <cell r="D88">
            <v>1.0234661249670842</v>
          </cell>
          <cell r="E88">
            <v>0.9929849332952323</v>
          </cell>
          <cell r="F88">
            <v>1.1221928028012258</v>
          </cell>
          <cell r="H88">
            <v>1.0223809726599098</v>
          </cell>
          <cell r="J88">
            <v>1.1391682462568371</v>
          </cell>
          <cell r="L88">
            <v>1.4392048568357969</v>
          </cell>
          <cell r="N88">
            <v>1.35</v>
          </cell>
          <cell r="P88">
            <v>1.4</v>
          </cell>
          <cell r="R88">
            <v>1.4</v>
          </cell>
          <cell r="T88">
            <v>1.4</v>
          </cell>
          <cell r="V88">
            <v>1.4</v>
          </cell>
        </row>
        <row r="89">
          <cell r="A89" t="str">
            <v>Accounts payable</v>
          </cell>
          <cell r="D89">
            <v>39.113999999999997</v>
          </cell>
          <cell r="E89">
            <v>33.347999999999999</v>
          </cell>
          <cell r="F89">
            <v>51.38</v>
          </cell>
          <cell r="H89">
            <v>59.7</v>
          </cell>
          <cell r="J89">
            <v>104.83199999999999</v>
          </cell>
          <cell r="L89">
            <v>338.97800000000001</v>
          </cell>
          <cell r="N89">
            <v>407.51253333333335</v>
          </cell>
          <cell r="P89">
            <v>456.59391781256443</v>
          </cell>
          <cell r="R89">
            <v>490.62727263078477</v>
          </cell>
          <cell r="T89">
            <v>516.00089702788932</v>
          </cell>
          <cell r="V89">
            <v>537.7453940950993</v>
          </cell>
        </row>
        <row r="90">
          <cell r="A90" t="str">
            <v>% operating expenses</v>
          </cell>
          <cell r="D90">
            <v>3.1067933403389879E-2</v>
          </cell>
          <cell r="E90">
            <v>2.1183622521415164E-2</v>
          </cell>
          <cell r="F90">
            <v>2.6186055543182277E-2</v>
          </cell>
          <cell r="H90">
            <v>2.4320530836713122E-2</v>
          </cell>
          <cell r="J90">
            <v>3.1749954570234412E-2</v>
          </cell>
          <cell r="L90">
            <v>7.4813032525697418E-2</v>
          </cell>
          <cell r="N90">
            <v>6.943787124213642E-2</v>
          </cell>
          <cell r="P90">
            <v>6.6449407580007072E-2</v>
          </cell>
          <cell r="R90">
            <v>6.4164225412059184E-2</v>
          </cell>
          <cell r="T90">
            <v>6.2528735407709535E-2</v>
          </cell>
          <cell r="V90">
            <v>6.1991078043408712E-2</v>
          </cell>
        </row>
        <row r="91">
          <cell r="A91" t="str">
            <v>Days payable outstanding (CHECK)</v>
          </cell>
          <cell r="D91">
            <v>52.47441816016584</v>
          </cell>
          <cell r="E91">
            <v>34.34135909401256</v>
          </cell>
          <cell r="F91">
            <v>42.46473292122365</v>
          </cell>
          <cell r="H91">
            <v>45.382598390922858</v>
          </cell>
          <cell r="J91">
            <v>56.897665427509295</v>
          </cell>
          <cell r="L91">
            <v>122.37315577763206</v>
          </cell>
          <cell r="N91">
            <v>121.66666666666667</v>
          </cell>
          <cell r="P91">
            <v>110.60606060606061</v>
          </cell>
          <cell r="R91">
            <v>110.60606060606061</v>
          </cell>
          <cell r="T91">
            <v>110.60606060606061</v>
          </cell>
          <cell r="V91">
            <v>110.60606060606061</v>
          </cell>
        </row>
        <row r="92">
          <cell r="A92" t="str">
            <v>Accounts payable turnover</v>
          </cell>
          <cell r="D92">
            <v>5.1847740201630499</v>
          </cell>
          <cell r="E92">
            <v>10.32114072799749</v>
          </cell>
          <cell r="F92">
            <v>10.399924116307714</v>
          </cell>
          <cell r="H92">
            <v>10.580068506964043</v>
          </cell>
          <cell r="J92">
            <v>11.819465613344038</v>
          </cell>
          <cell r="L92">
            <v>8.2621306411124422</v>
          </cell>
          <cell r="N92">
            <v>3</v>
          </cell>
          <cell r="P92">
            <v>3.3</v>
          </cell>
          <cell r="R92">
            <v>3.3</v>
          </cell>
          <cell r="S92">
            <v>3</v>
          </cell>
          <cell r="T92">
            <v>3.3</v>
          </cell>
          <cell r="V92">
            <v>3.3</v>
          </cell>
        </row>
        <row r="93">
          <cell r="A93" t="str">
            <v>Accrued Liabilites and Other</v>
          </cell>
          <cell r="D93">
            <v>398.745</v>
          </cell>
          <cell r="E93">
            <v>461.214</v>
          </cell>
          <cell r="F93">
            <v>575.23599999999999</v>
          </cell>
          <cell r="H93">
            <v>765.85</v>
          </cell>
          <cell r="J93">
            <v>1087.2090000000001</v>
          </cell>
          <cell r="L93">
            <v>1276.527</v>
          </cell>
          <cell r="N93">
            <v>1232.4345558</v>
          </cell>
          <cell r="P93">
            <v>1374.2603115394572</v>
          </cell>
          <cell r="R93">
            <v>1452.8217429759429</v>
          </cell>
          <cell r="T93">
            <v>1485.3996464091026</v>
          </cell>
          <cell r="V93">
            <v>1474.6753868702385</v>
          </cell>
        </row>
        <row r="94">
          <cell r="A94" t="str">
            <v>% operating expenses</v>
          </cell>
          <cell r="D94">
            <v>0.31671992393860759</v>
          </cell>
          <cell r="E94">
            <v>0.29297658862876258</v>
          </cell>
          <cell r="F94">
            <v>0.29317169806224208</v>
          </cell>
          <cell r="H94">
            <v>0.3119912653483542</v>
          </cell>
          <cell r="J94">
            <v>0.32927766672723968</v>
          </cell>
          <cell r="L94">
            <v>0.28173172291691778</v>
          </cell>
          <cell r="N94">
            <v>0.21</v>
          </cell>
          <cell r="P94">
            <v>0.2</v>
          </cell>
          <cell r="R94">
            <v>0.19</v>
          </cell>
          <cell r="T94">
            <v>0.18</v>
          </cell>
          <cell r="V94">
            <v>0.17</v>
          </cell>
        </row>
        <row r="95">
          <cell r="A95" t="str">
            <v>Deferred Revenues</v>
          </cell>
          <cell r="D95">
            <v>468.72500000000002</v>
          </cell>
          <cell r="E95">
            <v>87.575999999999993</v>
          </cell>
          <cell r="F95">
            <v>89.576999999999998</v>
          </cell>
          <cell r="H95">
            <v>328.68</v>
          </cell>
          <cell r="J95">
            <v>313.79399999999998</v>
          </cell>
          <cell r="L95">
            <v>264.41999999999996</v>
          </cell>
          <cell r="N95">
            <v>456.01800000000003</v>
          </cell>
          <cell r="P95">
            <v>563.9562560841614</v>
          </cell>
          <cell r="R95">
            <v>655.20931555509151</v>
          </cell>
          <cell r="T95">
            <v>729.30194889575523</v>
          </cell>
          <cell r="V95">
            <v>788.90548246888557</v>
          </cell>
        </row>
        <row r="96">
          <cell r="A96" t="str">
            <v>% operating expenses</v>
          </cell>
          <cell r="D96">
            <v>5.185011061946903</v>
          </cell>
          <cell r="E96">
            <v>4.2844730415179409E-2</v>
          </cell>
          <cell r="F96">
            <v>3.4671099435883972E-2</v>
          </cell>
          <cell r="H96">
            <v>9.959206281438783E-2</v>
          </cell>
          <cell r="J96">
            <v>6.7903142041028305E-2</v>
          </cell>
          <cell r="L96">
            <v>3.9861772722770722E-2</v>
          </cell>
          <cell r="N96">
            <v>0.05</v>
          </cell>
          <cell r="P96">
            <v>0.05</v>
          </cell>
          <cell r="R96">
            <v>0.05</v>
          </cell>
          <cell r="T96">
            <v>0.05</v>
          </cell>
          <cell r="V96">
            <v>0.05</v>
          </cell>
        </row>
        <row r="101">
          <cell r="A101" t="str">
            <v>Property and Equipment, Net</v>
          </cell>
        </row>
        <row r="102">
          <cell r="A102" t="str">
            <v>Beginning balance</v>
          </cell>
          <cell r="F102">
            <v>865.66800000000001</v>
          </cell>
          <cell r="H102">
            <v>1068.7339999999999</v>
          </cell>
          <cell r="J102">
            <v>1617.9</v>
          </cell>
          <cell r="L102">
            <v>2091.404</v>
          </cell>
          <cell r="N102">
            <v>3349.3519999999999</v>
          </cell>
          <cell r="P102">
            <v>4554.0653750000001</v>
          </cell>
          <cell r="R102">
            <v>5783.2955411838693</v>
          </cell>
          <cell r="T102">
            <v>6559.6626049312927</v>
          </cell>
          <cell r="V102">
            <v>6993.2829589207122</v>
          </cell>
        </row>
        <row r="103">
          <cell r="A103" t="str">
            <v>Capital expenditures</v>
          </cell>
          <cell r="D103">
            <v>112.681</v>
          </cell>
          <cell r="E103">
            <v>213.351</v>
          </cell>
          <cell r="F103">
            <v>322.83199999999999</v>
          </cell>
          <cell r="H103">
            <v>321.95</v>
          </cell>
          <cell r="J103">
            <v>649.85799999999995</v>
          </cell>
          <cell r="L103">
            <v>1399.8240000000001</v>
          </cell>
          <cell r="N103">
            <v>1482.0585000000001</v>
          </cell>
          <cell r="P103">
            <v>1579.0775170356521</v>
          </cell>
          <cell r="R103">
            <v>1179.3767679991645</v>
          </cell>
          <cell r="T103">
            <v>875.1623386749061</v>
          </cell>
          <cell r="V103">
            <v>828.35075659232984</v>
          </cell>
        </row>
        <row r="104">
          <cell r="A104" t="str">
            <v>% revenue</v>
          </cell>
          <cell r="D104">
            <v>6.8818245834286293E-2</v>
          </cell>
          <cell r="E104">
            <v>0.10437752442231825</v>
          </cell>
          <cell r="F104">
            <v>0.12495328458293194</v>
          </cell>
          <cell r="H104">
            <v>9.7552831395558467E-2</v>
          </cell>
          <cell r="J104">
            <v>0.14062537868951785</v>
          </cell>
          <cell r="L104">
            <v>0.22190900773092165</v>
          </cell>
          <cell r="N104">
            <v>0.16250000000000001</v>
          </cell>
          <cell r="P104">
            <v>0.14000000000000001</v>
          </cell>
          <cell r="R104">
            <v>0.09</v>
          </cell>
          <cell r="T104">
            <v>0.06</v>
          </cell>
          <cell r="V104">
            <v>5.2499999999999998E-2</v>
          </cell>
        </row>
        <row r="105">
          <cell r="A105" t="str">
            <v>Depreciation</v>
          </cell>
          <cell r="F105">
            <v>-104.55499999999998</v>
          </cell>
          <cell r="H105">
            <v>-125</v>
          </cell>
          <cell r="J105">
            <v>-171.221</v>
          </cell>
          <cell r="L105">
            <v>-210.41070000000002</v>
          </cell>
          <cell r="N105">
            <v>-277.34512500000005</v>
          </cell>
          <cell r="P105">
            <v>-349.84735085178261</v>
          </cell>
          <cell r="R105">
            <v>-403.00970425174086</v>
          </cell>
          <cell r="T105">
            <v>-441.54198468548617</v>
          </cell>
          <cell r="V105">
            <v>-478.25626966510265</v>
          </cell>
        </row>
        <row r="106">
          <cell r="A106" t="str">
            <v>Ending balance</v>
          </cell>
          <cell r="E106">
            <v>865.66800000000001</v>
          </cell>
          <cell r="F106">
            <v>1068.7339999999999</v>
          </cell>
          <cell r="H106">
            <v>1617.9</v>
          </cell>
          <cell r="J106">
            <v>2091.404</v>
          </cell>
          <cell r="L106">
            <v>3349.3519999999999</v>
          </cell>
          <cell r="N106">
            <v>4554.0653750000001</v>
          </cell>
          <cell r="P106">
            <v>5783.2955411838693</v>
          </cell>
          <cell r="R106">
            <v>6559.6626049312927</v>
          </cell>
          <cell r="T106">
            <v>6993.2829589207122</v>
          </cell>
          <cell r="V106">
            <v>7343.3774458479393</v>
          </cell>
        </row>
        <row r="108">
          <cell r="A108" t="str">
            <v>Fixed Asset Turnover (CHECK)</v>
          </cell>
          <cell r="E108">
            <v>2.361219312715729</v>
          </cell>
          <cell r="F108">
            <v>2.6712354098782445</v>
          </cell>
          <cell r="H108">
            <v>2.4568013357978793</v>
          </cell>
          <cell r="J108">
            <v>2.4916803799311138</v>
          </cell>
          <cell r="L108">
            <v>2.4384195872779451</v>
          </cell>
          <cell r="N108">
            <v>2.3079535262428172</v>
          </cell>
          <cell r="P108">
            <v>2.1822059253101944</v>
          </cell>
          <cell r="R108">
            <v>2.2658683475164985</v>
          </cell>
          <cell r="T108">
            <v>2.2235959158859635</v>
          </cell>
          <cell r="V108">
            <v>2.2561806439207457</v>
          </cell>
        </row>
        <row r="109">
          <cell r="A109" t="str">
            <v>Employee Stock Option Analysis</v>
          </cell>
        </row>
        <row r="110">
          <cell r="C110">
            <v>1999</v>
          </cell>
          <cell r="D110">
            <v>2000</v>
          </cell>
          <cell r="E110" t="str">
            <v>2001</v>
          </cell>
          <cell r="F110" t="str">
            <v>2002</v>
          </cell>
          <cell r="H110" t="str">
            <v>2003E</v>
          </cell>
          <cell r="J110" t="str">
            <v>2004A</v>
          </cell>
          <cell r="L110" t="str">
            <v>2005A</v>
          </cell>
          <cell r="N110" t="str">
            <v>2006E</v>
          </cell>
          <cell r="P110" t="str">
            <v>2007E</v>
          </cell>
          <cell r="R110" t="str">
            <v>2008E</v>
          </cell>
          <cell r="T110" t="str">
            <v>2009E</v>
          </cell>
          <cell r="V110" t="str">
            <v>2010E</v>
          </cell>
        </row>
        <row r="111">
          <cell r="A111" t="str">
            <v xml:space="preserve">Stock Price (average) </v>
          </cell>
          <cell r="E111">
            <v>81.5</v>
          </cell>
          <cell r="F111">
            <v>33.159999999999997</v>
          </cell>
          <cell r="H111">
            <v>38</v>
          </cell>
          <cell r="J111">
            <v>52.85</v>
          </cell>
          <cell r="L111">
            <v>76.13</v>
          </cell>
          <cell r="N111">
            <v>85</v>
          </cell>
          <cell r="P111">
            <v>92.31</v>
          </cell>
          <cell r="R111">
            <v>100.24866000000002</v>
          </cell>
          <cell r="T111">
            <v>108.87004476000003</v>
          </cell>
          <cell r="V111">
            <v>118.23286860936004</v>
          </cell>
          <cell r="X111">
            <v>8.5999999999999993E-2</v>
          </cell>
        </row>
        <row r="112">
          <cell r="A112" t="str">
            <v>Option Balance (Beginning Year)</v>
          </cell>
          <cell r="E112">
            <v>40.945</v>
          </cell>
          <cell r="F112">
            <v>93.28</v>
          </cell>
          <cell r="H112">
            <v>98.182999999999993</v>
          </cell>
          <cell r="J112">
            <v>96.126000000000005</v>
          </cell>
          <cell r="L112">
            <v>93.766000000000005</v>
          </cell>
          <cell r="N112">
            <v>82.804000000000002</v>
          </cell>
          <cell r="P112">
            <v>74.523600000000002</v>
          </cell>
          <cell r="R112">
            <v>70.052184000000011</v>
          </cell>
          <cell r="T112">
            <v>67.950618480000003</v>
          </cell>
          <cell r="V112">
            <v>67.950618480000003</v>
          </cell>
        </row>
        <row r="113">
          <cell r="A113" t="str">
            <v xml:space="preserve"> Average Options "in the money"</v>
          </cell>
          <cell r="H113">
            <v>38.799999999999997</v>
          </cell>
          <cell r="J113">
            <v>46.338999999999999</v>
          </cell>
          <cell r="L113">
            <v>37.451000000000001</v>
          </cell>
          <cell r="N113">
            <v>39.331900000000005</v>
          </cell>
          <cell r="P113">
            <v>36.143946</v>
          </cell>
          <cell r="R113">
            <v>34.500700620000003</v>
          </cell>
          <cell r="T113">
            <v>27.180247392000002</v>
          </cell>
          <cell r="V113">
            <v>13.590123696000001</v>
          </cell>
        </row>
        <row r="114">
          <cell r="A114" t="str">
            <v xml:space="preserve">   % "in the money"</v>
          </cell>
          <cell r="F114">
            <v>0</v>
          </cell>
          <cell r="H114">
            <v>0.39936389976789544</v>
          </cell>
          <cell r="J114">
            <v>0.48206520608368181</v>
          </cell>
          <cell r="L114">
            <v>0.39940916750207961</v>
          </cell>
          <cell r="N114">
            <v>0.5</v>
          </cell>
          <cell r="P114">
            <v>0.5</v>
          </cell>
          <cell r="R114">
            <v>0.5</v>
          </cell>
          <cell r="T114">
            <v>0.4</v>
          </cell>
          <cell r="V114">
            <v>0.4</v>
          </cell>
        </row>
        <row r="115">
          <cell r="A115" t="str">
            <v>Weighted Average Exercise Price</v>
          </cell>
          <cell r="H115">
            <v>21.418882283745745</v>
          </cell>
          <cell r="J115">
            <v>25</v>
          </cell>
          <cell r="L115">
            <v>35</v>
          </cell>
          <cell r="N115">
            <v>40.25</v>
          </cell>
          <cell r="P115">
            <v>46.287499999999994</v>
          </cell>
          <cell r="R115">
            <v>53.230624999999989</v>
          </cell>
          <cell r="T115">
            <v>61.215218749999984</v>
          </cell>
          <cell r="V115">
            <v>70.397501562499983</v>
          </cell>
          <cell r="X115">
            <v>0.15</v>
          </cell>
        </row>
        <row r="116">
          <cell r="A116" t="str">
            <v>Options Cancelled</v>
          </cell>
          <cell r="E116">
            <v>2.15</v>
          </cell>
          <cell r="F116">
            <v>4.4059999999999997</v>
          </cell>
          <cell r="H116">
            <v>4.4139999999999997</v>
          </cell>
          <cell r="J116">
            <v>1.843</v>
          </cell>
          <cell r="L116">
            <v>1.8140000000000001</v>
          </cell>
          <cell r="N116">
            <v>3.31216</v>
          </cell>
          <cell r="P116">
            <v>2.980944</v>
          </cell>
          <cell r="R116">
            <v>2.8020873600000007</v>
          </cell>
          <cell r="T116">
            <v>2.7180247392000001</v>
          </cell>
          <cell r="V116">
            <v>2.7180247392000001</v>
          </cell>
        </row>
        <row r="117">
          <cell r="A117" t="str">
            <v xml:space="preserve">   % Cancelled </v>
          </cell>
          <cell r="E117">
            <v>5.2509463915007937E-2</v>
          </cell>
          <cell r="F117">
            <v>4.7234133790737563E-2</v>
          </cell>
          <cell r="H117">
            <v>4.4956866259943169E-2</v>
          </cell>
          <cell r="J117">
            <v>0.04</v>
          </cell>
          <cell r="L117">
            <v>0.04</v>
          </cell>
          <cell r="N117">
            <v>0.04</v>
          </cell>
          <cell r="P117">
            <v>0.04</v>
          </cell>
          <cell r="R117">
            <v>0.04</v>
          </cell>
          <cell r="T117">
            <v>0.04</v>
          </cell>
          <cell r="V117">
            <v>0.04</v>
          </cell>
        </row>
        <row r="118">
          <cell r="A118" t="str">
            <v>Options Exercised</v>
          </cell>
          <cell r="E118">
            <v>2.899</v>
          </cell>
          <cell r="F118">
            <v>3.3460000000000001</v>
          </cell>
          <cell r="H118">
            <v>32.078000000000003</v>
          </cell>
          <cell r="J118">
            <v>21.484000000000002</v>
          </cell>
          <cell r="L118">
            <v>28.823</v>
          </cell>
          <cell r="N118">
            <v>23.185120000000001</v>
          </cell>
          <cell r="P118">
            <v>18.6309</v>
          </cell>
          <cell r="R118">
            <v>16.112002320000002</v>
          </cell>
          <cell r="T118">
            <v>13.590123696000001</v>
          </cell>
          <cell r="V118">
            <v>13.590123696000001</v>
          </cell>
        </row>
        <row r="119">
          <cell r="A119" t="str">
            <v xml:space="preserve">     % of Outstanding Options</v>
          </cell>
          <cell r="E119">
            <v>7.080229576260838E-2</v>
          </cell>
          <cell r="F119">
            <v>3.5870497427101203E-2</v>
          </cell>
          <cell r="H119">
            <v>0.32671643767250957</v>
          </cell>
          <cell r="J119">
            <v>0.35</v>
          </cell>
          <cell r="L119">
            <v>0.3</v>
          </cell>
          <cell r="N119">
            <v>0.28000000000000003</v>
          </cell>
          <cell r="P119">
            <v>0.25</v>
          </cell>
          <cell r="R119">
            <v>0.23</v>
          </cell>
          <cell r="T119">
            <v>0.2</v>
          </cell>
          <cell r="V119">
            <v>0.2</v>
          </cell>
        </row>
        <row r="120">
          <cell r="A120" t="str">
            <v>Weighted Average Exercise Price of exercised</v>
          </cell>
          <cell r="E120">
            <v>24.69</v>
          </cell>
          <cell r="F120">
            <v>11.715</v>
          </cell>
          <cell r="H120">
            <v>34.134999999999998</v>
          </cell>
          <cell r="J120">
            <v>20.81</v>
          </cell>
          <cell r="L120">
            <v>25.88</v>
          </cell>
          <cell r="N120">
            <v>31.055999999999997</v>
          </cell>
          <cell r="P120">
            <v>37.267199999999995</v>
          </cell>
          <cell r="R120">
            <v>44.720639999999996</v>
          </cell>
          <cell r="T120">
            <v>53.664767999999995</v>
          </cell>
          <cell r="V120">
            <v>64.397721599999997</v>
          </cell>
          <cell r="X120">
            <v>0.2</v>
          </cell>
        </row>
        <row r="121">
          <cell r="A121" t="str">
            <v xml:space="preserve">     Tax rate</v>
          </cell>
          <cell r="E121">
            <v>0.17543014456747877</v>
          </cell>
          <cell r="F121">
            <v>0.33702605798725771</v>
          </cell>
          <cell r="H121">
            <v>0.32364976429312847</v>
          </cell>
          <cell r="J121">
            <v>0.36207709431617907</v>
          </cell>
          <cell r="L121">
            <v>0.36750724212165659</v>
          </cell>
          <cell r="N121">
            <v>0.3729296918045219</v>
          </cell>
          <cell r="P121">
            <v>0.373</v>
          </cell>
          <cell r="R121">
            <v>0.373</v>
          </cell>
          <cell r="T121">
            <v>0.373</v>
          </cell>
          <cell r="V121">
            <v>0.373</v>
          </cell>
        </row>
        <row r="122">
          <cell r="A122" t="str">
            <v>Proceeds from option</v>
          </cell>
          <cell r="H122">
            <v>1094.98253</v>
          </cell>
          <cell r="J122">
            <v>447.08204000000001</v>
          </cell>
          <cell r="L122">
            <v>745.93923999999993</v>
          </cell>
          <cell r="N122">
            <v>720.03708671999993</v>
          </cell>
          <cell r="P122">
            <v>694.32147647999989</v>
          </cell>
          <cell r="R122">
            <v>720.53905543188478</v>
          </cell>
          <cell r="T122">
            <v>729.31083523714256</v>
          </cell>
          <cell r="V122">
            <v>875.173002284571</v>
          </cell>
        </row>
        <row r="123">
          <cell r="A123" t="str">
            <v>Tax Benefit from Options</v>
          </cell>
          <cell r="H123">
            <v>40.126573542215603</v>
          </cell>
          <cell r="J123">
            <v>329.47</v>
          </cell>
          <cell r="L123">
            <v>641.34799999999996</v>
          </cell>
          <cell r="N123">
            <v>466.42246192600749</v>
          </cell>
          <cell r="P123">
            <v>382.51034463996001</v>
          </cell>
          <cell r="R123">
            <v>333.71100997524758</v>
          </cell>
          <cell r="T123">
            <v>279.84195936043733</v>
          </cell>
          <cell r="V123">
            <v>272.89661252948122</v>
          </cell>
        </row>
        <row r="124">
          <cell r="A124" t="str">
            <v>Options Granted</v>
          </cell>
          <cell r="E124">
            <v>10.74</v>
          </cell>
          <cell r="F124">
            <v>12.654999999999999</v>
          </cell>
          <cell r="H124">
            <v>10.89</v>
          </cell>
          <cell r="J124">
            <v>20.966999999999999</v>
          </cell>
          <cell r="L124">
            <v>19.675000000000001</v>
          </cell>
          <cell r="N124">
            <v>18.21688</v>
          </cell>
          <cell r="P124">
            <v>17.140428</v>
          </cell>
          <cell r="R124">
            <v>16.812524160000002</v>
          </cell>
          <cell r="T124">
            <v>16.3081484352</v>
          </cell>
          <cell r="V124">
            <v>16.3081484352</v>
          </cell>
        </row>
        <row r="125">
          <cell r="A125" t="str">
            <v xml:space="preserve">     % of Outstanding Options</v>
          </cell>
          <cell r="E125">
            <v>0.26230308951031872</v>
          </cell>
          <cell r="F125">
            <v>0.13566680960548885</v>
          </cell>
          <cell r="H125">
            <v>0.11091533157471255</v>
          </cell>
          <cell r="J125">
            <v>0.21811996754260032</v>
          </cell>
          <cell r="L125">
            <v>0.20983085553398886</v>
          </cell>
          <cell r="N125">
            <v>0.22</v>
          </cell>
          <cell r="P125">
            <v>0.23</v>
          </cell>
          <cell r="R125">
            <v>0.24</v>
          </cell>
          <cell r="T125">
            <v>0.24</v>
          </cell>
          <cell r="V125">
            <v>0.24</v>
          </cell>
        </row>
        <row r="126">
          <cell r="A126" t="str">
            <v>Shares Issued</v>
          </cell>
          <cell r="D126">
            <v>0</v>
          </cell>
          <cell r="E126">
            <v>0.83799999999999997</v>
          </cell>
          <cell r="F126">
            <v>2.1320000000000001</v>
          </cell>
          <cell r="H126">
            <v>2.8</v>
          </cell>
          <cell r="J126">
            <v>2.5</v>
          </cell>
          <cell r="L126">
            <v>0.9812163404702483</v>
          </cell>
          <cell r="N126">
            <v>0</v>
          </cell>
          <cell r="P126">
            <v>0</v>
          </cell>
          <cell r="R126">
            <v>0</v>
          </cell>
          <cell r="T126">
            <v>0</v>
          </cell>
          <cell r="V126">
            <v>0</v>
          </cell>
        </row>
        <row r="127">
          <cell r="A127" t="str">
            <v>Proceeds from share issuance</v>
          </cell>
          <cell r="D127">
            <v>0</v>
          </cell>
          <cell r="E127">
            <v>0</v>
          </cell>
          <cell r="F127">
            <v>0</v>
          </cell>
          <cell r="H127">
            <v>0</v>
          </cell>
          <cell r="J127">
            <v>58.86</v>
          </cell>
          <cell r="L127">
            <v>74.7</v>
          </cell>
          <cell r="N127">
            <v>0</v>
          </cell>
          <cell r="P127">
            <v>0</v>
          </cell>
          <cell r="R127">
            <v>0</v>
          </cell>
          <cell r="T127">
            <v>0</v>
          </cell>
          <cell r="V127">
            <v>0</v>
          </cell>
        </row>
        <row r="128">
          <cell r="A128" t="str">
            <v>Shares Repurchased (mm)</v>
          </cell>
          <cell r="E128">
            <v>0.9</v>
          </cell>
          <cell r="F128">
            <v>36.4</v>
          </cell>
          <cell r="H128">
            <v>11</v>
          </cell>
          <cell r="J128">
            <v>25.6</v>
          </cell>
          <cell r="L128">
            <v>26.479863391567058</v>
          </cell>
          <cell r="N128">
            <v>23.185120000000001</v>
          </cell>
          <cell r="P128">
            <v>18.6309</v>
          </cell>
          <cell r="R128">
            <v>16.112002320000002</v>
          </cell>
          <cell r="T128">
            <v>13.590123696000001</v>
          </cell>
          <cell r="V128">
            <v>13.590123696000001</v>
          </cell>
        </row>
        <row r="129">
          <cell r="A129" t="str">
            <v>Share Repurchase Cost</v>
          </cell>
          <cell r="E129">
            <v>39.700000000000003</v>
          </cell>
          <cell r="F129">
            <v>692.8</v>
          </cell>
          <cell r="H129">
            <v>201.34</v>
          </cell>
          <cell r="J129">
            <v>1351.683</v>
          </cell>
          <cell r="L129">
            <v>2015.912</v>
          </cell>
          <cell r="N129">
            <v>1970.7352000000001</v>
          </cell>
          <cell r="P129">
            <v>1719.818379</v>
          </cell>
          <cell r="R129">
            <v>1615.2066424968916</v>
          </cell>
          <cell r="T129">
            <v>1479.5573750774572</v>
          </cell>
          <cell r="V129">
            <v>1606.7993093341186</v>
          </cell>
        </row>
        <row r="130">
          <cell r="B130" t="str">
            <v>Allocated to APIC</v>
          </cell>
          <cell r="F130">
            <v>235.5</v>
          </cell>
          <cell r="H130">
            <v>71.584000000000003</v>
          </cell>
          <cell r="J130">
            <v>191.042</v>
          </cell>
          <cell r="L130">
            <v>806.36480000000006</v>
          </cell>
          <cell r="N130">
            <v>788.29408000000012</v>
          </cell>
          <cell r="P130">
            <v>687.92735160000007</v>
          </cell>
          <cell r="R130">
            <v>646.08265699875665</v>
          </cell>
          <cell r="T130">
            <v>591.82295003098295</v>
          </cell>
          <cell r="V130">
            <v>642.71972373364747</v>
          </cell>
        </row>
        <row r="131">
          <cell r="B131" t="str">
            <v>Allocated to Retained Earnings</v>
          </cell>
          <cell r="F131">
            <v>457.29999999999995</v>
          </cell>
          <cell r="H131">
            <v>129.756</v>
          </cell>
          <cell r="J131">
            <v>1160.6410000000001</v>
          </cell>
          <cell r="L131">
            <v>1209.5472</v>
          </cell>
          <cell r="N131">
            <v>1182.44112</v>
          </cell>
          <cell r="P131">
            <v>1031.8910274</v>
          </cell>
          <cell r="R131">
            <v>969.12398549813497</v>
          </cell>
          <cell r="T131">
            <v>887.73442504647426</v>
          </cell>
          <cell r="V131">
            <v>964.07958560047109</v>
          </cell>
        </row>
        <row r="132">
          <cell r="A132" t="str">
            <v>Stock options expense</v>
          </cell>
          <cell r="N132">
            <v>329.18547890000002</v>
          </cell>
          <cell r="P132">
            <v>377.92158567335071</v>
          </cell>
          <cell r="R132">
            <v>420.55366244040454</v>
          </cell>
          <cell r="T132">
            <v>453.87211418055915</v>
          </cell>
          <cell r="V132">
            <v>477.1008604580183</v>
          </cell>
        </row>
        <row r="133">
          <cell r="A133" t="str">
            <v>Total Change in APIC</v>
          </cell>
          <cell r="D133">
            <v>0</v>
          </cell>
          <cell r="E133">
            <v>109</v>
          </cell>
          <cell r="F133">
            <v>-603.4</v>
          </cell>
          <cell r="H133">
            <v>590.29999999999995</v>
          </cell>
          <cell r="J133">
            <v>-516.27096000000006</v>
          </cell>
          <cell r="L133">
            <v>-553.92476000000011</v>
          </cell>
          <cell r="N133">
            <v>-455.09017245399264</v>
          </cell>
          <cell r="P133">
            <v>-265.0649722066895</v>
          </cell>
          <cell r="R133">
            <v>-140.40291464935478</v>
          </cell>
          <cell r="T133">
            <v>-16.532466299318173</v>
          </cell>
          <cell r="V133">
            <v>18.371165937951957</v>
          </cell>
          <cell r="Y133" t="str">
            <v>mstag:netIssuanceRepurchaseOfCommonStock</v>
          </cell>
          <cell r="Z133">
            <v>6</v>
          </cell>
          <cell r="AA133" t="str">
            <v>ISO4217:USD</v>
          </cell>
          <cell r="AB133" t="b">
            <v>0</v>
          </cell>
          <cell r="AC133" t="b">
            <v>0</v>
          </cell>
        </row>
        <row r="134">
          <cell r="A134" t="str">
            <v>Beginning Period Shares</v>
          </cell>
          <cell r="H134">
            <v>1025.155974</v>
          </cell>
          <cell r="J134">
            <v>1049.5</v>
          </cell>
          <cell r="L134">
            <v>1047.127</v>
          </cell>
          <cell r="N134">
            <v>1053.713</v>
          </cell>
          <cell r="P134">
            <v>1053.713</v>
          </cell>
          <cell r="R134">
            <v>1053.713</v>
          </cell>
          <cell r="T134">
            <v>1053.713</v>
          </cell>
          <cell r="V134">
            <v>1053.713</v>
          </cell>
        </row>
        <row r="135">
          <cell r="A135" t="str">
            <v>End of Period Shares</v>
          </cell>
          <cell r="D135">
            <v>0</v>
          </cell>
          <cell r="E135">
            <v>527.79422299999999</v>
          </cell>
          <cell r="F135">
            <v>1025.155974</v>
          </cell>
          <cell r="H135">
            <v>1047.3900000000001</v>
          </cell>
          <cell r="J135">
            <v>1047.127</v>
          </cell>
          <cell r="L135">
            <v>1053.713</v>
          </cell>
          <cell r="N135">
            <v>1053.713</v>
          </cell>
          <cell r="P135">
            <v>1053.713</v>
          </cell>
          <cell r="R135">
            <v>1053.713</v>
          </cell>
          <cell r="T135">
            <v>1053.713</v>
          </cell>
          <cell r="V135">
            <v>1053.713</v>
          </cell>
          <cell r="Y135" t="str">
            <v>mstag:periodEndBasicSharesOutstanding</v>
          </cell>
          <cell r="Z135">
            <v>6</v>
          </cell>
          <cell r="AA135" t="str">
            <v>ms_eqr_gcim_Decimal:ms_eqr_gcim_decimal</v>
          </cell>
          <cell r="AB135" t="b">
            <v>0</v>
          </cell>
          <cell r="AC135" t="b">
            <v>0</v>
          </cell>
        </row>
        <row r="136">
          <cell r="A136" t="str">
            <v xml:space="preserve">Average Shares Outstanding-basic </v>
          </cell>
          <cell r="D136">
            <v>0</v>
          </cell>
          <cell r="E136">
            <v>1054.038</v>
          </cell>
          <cell r="F136">
            <v>1038.5084999999999</v>
          </cell>
          <cell r="H136">
            <v>1034.4565</v>
          </cell>
          <cell r="J136">
            <v>1055.165</v>
          </cell>
          <cell r="L136">
            <v>1054.952</v>
          </cell>
          <cell r="N136">
            <v>1053.713</v>
          </cell>
          <cell r="P136">
            <v>1053.713</v>
          </cell>
          <cell r="R136">
            <v>1053.713</v>
          </cell>
          <cell r="T136">
            <v>1053.713</v>
          </cell>
          <cell r="V136">
            <v>1053.713</v>
          </cell>
        </row>
        <row r="137">
          <cell r="A137" t="str">
            <v>Average Shares Outstanding-diluted</v>
          </cell>
          <cell r="D137">
            <v>0</v>
          </cell>
          <cell r="E137">
            <v>1070.441</v>
          </cell>
          <cell r="F137">
            <v>1048.9160000000002</v>
          </cell>
          <cell r="H137">
            <v>1054.3219999999999</v>
          </cell>
          <cell r="J137">
            <v>1079.2090000000001</v>
          </cell>
          <cell r="L137">
            <v>1080.9490000000001</v>
          </cell>
          <cell r="N137">
            <v>1074.4200885294117</v>
          </cell>
          <cell r="P137">
            <v>1071.7330926745205</v>
          </cell>
          <cell r="R137">
            <v>1069.8943150347914</v>
          </cell>
          <cell r="T137">
            <v>1065.6103953141094</v>
          </cell>
          <cell r="V137">
            <v>1059.2113742072459</v>
          </cell>
        </row>
        <row r="139">
          <cell r="A139" t="str">
            <v>Option Expense (cash repurchase)</v>
          </cell>
          <cell r="H139">
            <v>-83.854896457784662</v>
          </cell>
          <cell r="J139">
            <v>-688.34736000000021</v>
          </cell>
          <cell r="L139">
            <v>-1448.3557499999999</v>
          </cell>
          <cell r="N139">
            <v>-1250.6981132800001</v>
          </cell>
          <cell r="P139">
            <v>-1025.4969025200003</v>
          </cell>
          <cell r="R139">
            <v>-894.66758706500684</v>
          </cell>
          <cell r="T139">
            <v>-750.24653984031465</v>
          </cell>
          <cell r="V139">
            <v>-731.62630704954756</v>
          </cell>
        </row>
      </sheetData>
      <sheetData sheetId="9" refreshError="1">
        <row r="1">
          <cell r="B1" t="str">
            <v>Genentech Cash Flow Statements</v>
          </cell>
          <cell r="X1" t="str">
            <v>ElementName</v>
          </cell>
          <cell r="Y1" t="str">
            <v>ScaleOverride</v>
          </cell>
          <cell r="Z1" t="str">
            <v>UnitOverride</v>
          </cell>
          <cell r="AA1" t="str">
            <v>ReverseSign</v>
          </cell>
          <cell r="AB1" t="str">
            <v>IsDrivingAssumption</v>
          </cell>
          <cell r="AC1" t="str">
            <v>SegmentID</v>
          </cell>
        </row>
        <row r="2">
          <cell r="B2" t="str">
            <v>(Dollars in thousands)</v>
          </cell>
        </row>
        <row r="3">
          <cell r="C3" t="str">
            <v>2000A</v>
          </cell>
          <cell r="D3" t="str">
            <v>2001A</v>
          </cell>
          <cell r="E3" t="str">
            <v>2002A</v>
          </cell>
          <cell r="G3" t="str">
            <v>2003A</v>
          </cell>
          <cell r="I3" t="str">
            <v>2004A</v>
          </cell>
          <cell r="K3" t="str">
            <v>2005A</v>
          </cell>
          <cell r="M3" t="str">
            <v>2006E</v>
          </cell>
          <cell r="O3" t="str">
            <v>2007E</v>
          </cell>
          <cell r="Q3" t="str">
            <v>2008E</v>
          </cell>
          <cell r="S3" t="str">
            <v>2009E</v>
          </cell>
          <cell r="U3" t="str">
            <v>2010E</v>
          </cell>
        </row>
        <row r="4">
          <cell r="B4" t="str">
            <v>CASH FLOWS FROM OPERATING ACTIVITIES</v>
          </cell>
        </row>
        <row r="5">
          <cell r="B5" t="str">
            <v>Net Income (Loss)</v>
          </cell>
          <cell r="C5">
            <v>-74.241</v>
          </cell>
          <cell r="D5">
            <v>150.23599999999999</v>
          </cell>
          <cell r="E5">
            <v>63.786999999999999</v>
          </cell>
          <cell r="G5">
            <v>562.45584265857758</v>
          </cell>
          <cell r="I5">
            <v>784.81600000000003</v>
          </cell>
          <cell r="K5">
            <v>1278.991</v>
          </cell>
          <cell r="M5">
            <v>1731.7880296800001</v>
          </cell>
          <cell r="O5">
            <v>2346.2055172820069</v>
          </cell>
          <cell r="Q5">
            <v>3010.0769897997934</v>
          </cell>
          <cell r="S5">
            <v>3579.2035264931046</v>
          </cell>
          <cell r="U5">
            <v>4130.8413284121989</v>
          </cell>
          <cell r="X5" t="str">
            <v>mstag:netIncomeReported</v>
          </cell>
          <cell r="Y5">
            <v>6</v>
          </cell>
          <cell r="Z5" t="str">
            <v>ISO4217:USD</v>
          </cell>
          <cell r="AA5" t="b">
            <v>0</v>
          </cell>
          <cell r="AB5" t="b">
            <v>0</v>
          </cell>
        </row>
        <row r="6">
          <cell r="B6" t="str">
            <v>Effect of Acconting Change</v>
          </cell>
          <cell r="C6">
            <v>0</v>
          </cell>
          <cell r="D6">
            <v>5.6</v>
          </cell>
          <cell r="E6">
            <v>0</v>
          </cell>
          <cell r="G6">
            <v>47.655000000000001</v>
          </cell>
          <cell r="I6">
            <v>0</v>
          </cell>
          <cell r="K6">
            <v>0</v>
          </cell>
          <cell r="M6">
            <v>0</v>
          </cell>
          <cell r="O6">
            <v>0</v>
          </cell>
          <cell r="Q6">
            <v>0</v>
          </cell>
          <cell r="S6">
            <v>0</v>
          </cell>
          <cell r="U6">
            <v>0</v>
          </cell>
          <cell r="X6" t="str">
            <v>mstag:otherCashFlow</v>
          </cell>
          <cell r="Y6">
            <v>6</v>
          </cell>
          <cell r="Z6" t="str">
            <v>ISO4217:USD</v>
          </cell>
          <cell r="AA6" t="b">
            <v>0</v>
          </cell>
          <cell r="AB6" t="b">
            <v>0</v>
          </cell>
        </row>
        <row r="7">
          <cell r="B7" t="str">
            <v>Depreciation &amp; Amort.</v>
          </cell>
          <cell r="C7">
            <v>463.00400000000002</v>
          </cell>
          <cell r="D7">
            <v>428.09100000000001</v>
          </cell>
          <cell r="E7">
            <v>274.95499999999998</v>
          </cell>
          <cell r="G7">
            <v>295.39999999999998</v>
          </cell>
          <cell r="I7">
            <v>353.221</v>
          </cell>
          <cell r="K7">
            <v>370.166</v>
          </cell>
          <cell r="M7">
            <v>399.04512500000004</v>
          </cell>
          <cell r="O7">
            <v>470.34735085178261</v>
          </cell>
          <cell r="Q7">
            <v>521.50970425174091</v>
          </cell>
          <cell r="S7">
            <v>441.54198468548617</v>
          </cell>
          <cell r="U7">
            <v>478.25626966510265</v>
          </cell>
        </row>
        <row r="8">
          <cell r="B8" t="str">
            <v xml:space="preserve">     Depreciation</v>
          </cell>
          <cell r="C8">
            <v>0</v>
          </cell>
          <cell r="D8">
            <v>428.09100000000001</v>
          </cell>
          <cell r="E8">
            <v>104.55499999999998</v>
          </cell>
          <cell r="G8">
            <v>125</v>
          </cell>
          <cell r="I8">
            <v>171.221</v>
          </cell>
          <cell r="K8">
            <v>210.41070000000002</v>
          </cell>
          <cell r="M8">
            <v>277.34512500000005</v>
          </cell>
          <cell r="O8">
            <v>349.84735085178261</v>
          </cell>
          <cell r="Q8">
            <v>403.00970425174086</v>
          </cell>
          <cell r="S8">
            <v>441.54198468548617</v>
          </cell>
          <cell r="U8">
            <v>478.25626966510265</v>
          </cell>
          <cell r="X8" t="str">
            <v>mstag:depreciation</v>
          </cell>
          <cell r="Y8">
            <v>6</v>
          </cell>
          <cell r="Z8" t="str">
            <v>ISO4217:USD</v>
          </cell>
          <cell r="AA8" t="b">
            <v>0</v>
          </cell>
          <cell r="AB8" t="b">
            <v>0</v>
          </cell>
        </row>
        <row r="9">
          <cell r="B9" t="str">
            <v xml:space="preserve">     Amortization</v>
          </cell>
          <cell r="C9">
            <v>0</v>
          </cell>
          <cell r="D9">
            <v>0</v>
          </cell>
          <cell r="E9">
            <v>170.4</v>
          </cell>
          <cell r="G9">
            <v>170.4</v>
          </cell>
          <cell r="I9">
            <v>182</v>
          </cell>
          <cell r="K9">
            <v>159.75529999999998</v>
          </cell>
          <cell r="M9">
            <v>121.7</v>
          </cell>
          <cell r="O9">
            <v>120.5</v>
          </cell>
          <cell r="Q9">
            <v>118.5</v>
          </cell>
          <cell r="S9">
            <v>0</v>
          </cell>
          <cell r="U9">
            <v>0</v>
          </cell>
          <cell r="X9" t="str">
            <v>mstag:amortizationOfIntangiblesAssumedToHaveIndefiniteLife</v>
          </cell>
          <cell r="Y9">
            <v>6</v>
          </cell>
          <cell r="Z9" t="str">
            <v>ISO4217:USD</v>
          </cell>
          <cell r="AA9" t="b">
            <v>0</v>
          </cell>
          <cell r="AB9" t="b">
            <v>0</v>
          </cell>
        </row>
        <row r="10">
          <cell r="B10" t="str">
            <v>Tax Benefits Related to Employee Stock Options</v>
          </cell>
          <cell r="C10">
            <v>0</v>
          </cell>
          <cell r="D10">
            <v>0</v>
          </cell>
          <cell r="E10">
            <v>0</v>
          </cell>
          <cell r="G10">
            <v>0</v>
          </cell>
          <cell r="I10">
            <v>329.47</v>
          </cell>
          <cell r="K10">
            <v>632.29999999999995</v>
          </cell>
          <cell r="M10">
            <v>0</v>
          </cell>
          <cell r="O10">
            <v>0</v>
          </cell>
          <cell r="Q10">
            <v>0</v>
          </cell>
          <cell r="S10">
            <v>0</v>
          </cell>
          <cell r="U10">
            <v>0</v>
          </cell>
          <cell r="X10" t="str">
            <v>mstag:taxBenefitFromExerciseOfEsosCashFlowStatement</v>
          </cell>
          <cell r="Y10">
            <v>6</v>
          </cell>
          <cell r="Z10" t="str">
            <v>ISO4217:USD</v>
          </cell>
          <cell r="AA10" t="b">
            <v>0</v>
          </cell>
          <cell r="AB10" t="b">
            <v>0</v>
          </cell>
        </row>
        <row r="11">
          <cell r="B11" t="str">
            <v>Stock Options Expense (add back)</v>
          </cell>
          <cell r="M11">
            <v>329.18547890000002</v>
          </cell>
          <cell r="O11">
            <v>377.92158567335071</v>
          </cell>
          <cell r="Q11">
            <v>420.55366244040454</v>
          </cell>
          <cell r="S11">
            <v>453.87211418055915</v>
          </cell>
          <cell r="U11">
            <v>477.1008604580183</v>
          </cell>
          <cell r="X11" t="str">
            <v>mstag:otherCashFlow</v>
          </cell>
          <cell r="Y11">
            <v>6</v>
          </cell>
          <cell r="Z11" t="str">
            <v>ISO4217:USD</v>
          </cell>
          <cell r="AA11" t="b">
            <v>0</v>
          </cell>
          <cell r="AB11" t="b">
            <v>0</v>
          </cell>
        </row>
        <row r="12">
          <cell r="B12" t="str">
            <v>Write-Off Of In-Process Research and Development</v>
          </cell>
          <cell r="C12">
            <v>0</v>
          </cell>
          <cell r="D12">
            <v>0</v>
          </cell>
          <cell r="E12">
            <v>0</v>
          </cell>
          <cell r="G12">
            <v>0</v>
          </cell>
          <cell r="I12">
            <v>0</v>
          </cell>
          <cell r="K12">
            <v>0</v>
          </cell>
          <cell r="M12">
            <v>0</v>
          </cell>
          <cell r="O12">
            <v>0</v>
          </cell>
          <cell r="Q12">
            <v>0</v>
          </cell>
          <cell r="S12">
            <v>0</v>
          </cell>
          <cell r="U12">
            <v>0</v>
          </cell>
          <cell r="X12" t="str">
            <v>mstag:acquiredInProcessRAndD</v>
          </cell>
          <cell r="Y12">
            <v>6</v>
          </cell>
          <cell r="Z12" t="str">
            <v>ISO4217:USD</v>
          </cell>
          <cell r="AA12" t="b">
            <v>0</v>
          </cell>
          <cell r="AB12" t="b">
            <v>0</v>
          </cell>
        </row>
        <row r="13">
          <cell r="B13" t="str">
            <v>Deferred Income Taxes</v>
          </cell>
          <cell r="C13">
            <v>-235.315</v>
          </cell>
          <cell r="D13">
            <v>29.356999999999999</v>
          </cell>
          <cell r="E13">
            <v>-196.64400000000001</v>
          </cell>
          <cell r="G13">
            <v>-149</v>
          </cell>
          <cell r="I13">
            <v>-73.584999999999994</v>
          </cell>
          <cell r="K13">
            <v>-109.69499999999999</v>
          </cell>
          <cell r="M13">
            <v>0</v>
          </cell>
          <cell r="O13">
            <v>0</v>
          </cell>
          <cell r="Q13">
            <v>0</v>
          </cell>
          <cell r="S13">
            <v>0</v>
          </cell>
          <cell r="U13">
            <v>0</v>
          </cell>
          <cell r="X13" t="str">
            <v>mstag:deferredTax</v>
          </cell>
          <cell r="Y13">
            <v>6</v>
          </cell>
          <cell r="Z13" t="str">
            <v>ISO4217:USD</v>
          </cell>
          <cell r="AA13" t="b">
            <v>0</v>
          </cell>
          <cell r="AB13" t="b">
            <v>0</v>
          </cell>
        </row>
        <row r="14">
          <cell r="B14" t="str">
            <v xml:space="preserve">        Gain on sales of securities available for-sale</v>
          </cell>
          <cell r="C14">
            <v>-132.30699999999999</v>
          </cell>
          <cell r="D14">
            <v>-39.4</v>
          </cell>
          <cell r="E14">
            <v>-53.71</v>
          </cell>
          <cell r="G14">
            <v>-23.1</v>
          </cell>
          <cell r="I14">
            <v>-13.577</v>
          </cell>
          <cell r="K14">
            <v>-11.606</v>
          </cell>
          <cell r="M14">
            <v>0</v>
          </cell>
          <cell r="O14">
            <v>0</v>
          </cell>
          <cell r="Q14">
            <v>0</v>
          </cell>
          <cell r="S14">
            <v>0</v>
          </cell>
          <cell r="U14">
            <v>0</v>
          </cell>
          <cell r="X14" t="str">
            <v>mstag:gainsLossesFromSaleOfOperatingAssetsOneTime</v>
          </cell>
          <cell r="Y14">
            <v>6</v>
          </cell>
          <cell r="Z14" t="str">
            <v>ISO4217:USD</v>
          </cell>
          <cell r="AA14" t="b">
            <v>1</v>
          </cell>
          <cell r="AB14" t="b">
            <v>0</v>
          </cell>
        </row>
        <row r="15">
          <cell r="B15" t="str">
            <v xml:space="preserve">        Loss on sales of securities available for-sale</v>
          </cell>
          <cell r="C15">
            <v>3.9569999999999999</v>
          </cell>
          <cell r="D15">
            <v>2.0110000000000001</v>
          </cell>
          <cell r="E15">
            <v>5.8680000000000003</v>
          </cell>
          <cell r="G15">
            <v>3.1</v>
          </cell>
          <cell r="I15">
            <v>1.839</v>
          </cell>
          <cell r="K15">
            <v>3.1640000000000001</v>
          </cell>
          <cell r="M15">
            <v>0</v>
          </cell>
          <cell r="O15">
            <v>0</v>
          </cell>
          <cell r="Q15">
            <v>0</v>
          </cell>
          <cell r="S15">
            <v>0</v>
          </cell>
          <cell r="U15">
            <v>0</v>
          </cell>
          <cell r="X15" t="str">
            <v>mstag:gainsLossesFromSaleOfOperatingAssetsOneTime</v>
          </cell>
          <cell r="Y15">
            <v>6</v>
          </cell>
          <cell r="Z15" t="str">
            <v>ISO4217:USD</v>
          </cell>
          <cell r="AA15" t="b">
            <v>1</v>
          </cell>
          <cell r="AB15" t="b">
            <v>0</v>
          </cell>
        </row>
        <row r="16">
          <cell r="B16" t="str">
            <v xml:space="preserve">        Write-down of securities available for-sale</v>
          </cell>
          <cell r="C16">
            <v>4.8</v>
          </cell>
          <cell r="D16">
            <v>27.504000000000001</v>
          </cell>
          <cell r="E16">
            <v>40.759</v>
          </cell>
          <cell r="G16">
            <v>3.8</v>
          </cell>
          <cell r="I16">
            <v>12.34</v>
          </cell>
          <cell r="K16">
            <v>10.044</v>
          </cell>
          <cell r="M16">
            <v>0</v>
          </cell>
          <cell r="O16">
            <v>0</v>
          </cell>
          <cell r="Q16">
            <v>0</v>
          </cell>
          <cell r="S16">
            <v>0</v>
          </cell>
          <cell r="U16">
            <v>0</v>
          </cell>
          <cell r="X16" t="str">
            <v>mstag:assetImpairmentNonGoodwillOneTime</v>
          </cell>
          <cell r="Y16">
            <v>6</v>
          </cell>
          <cell r="Z16" t="str">
            <v>ISO4217:USD</v>
          </cell>
          <cell r="AA16" t="b">
            <v>0</v>
          </cell>
          <cell r="AB16" t="b">
            <v>0</v>
          </cell>
        </row>
        <row r="17">
          <cell r="B17" t="str">
            <v xml:space="preserve">        Write-down of nonmarketable securities</v>
          </cell>
          <cell r="C17">
            <v>0</v>
          </cell>
          <cell r="D17">
            <v>0</v>
          </cell>
          <cell r="E17">
            <v>0</v>
          </cell>
          <cell r="G17">
            <v>0</v>
          </cell>
          <cell r="I17">
            <v>0</v>
          </cell>
          <cell r="K17">
            <v>0</v>
          </cell>
          <cell r="M17">
            <v>0</v>
          </cell>
          <cell r="O17">
            <v>0</v>
          </cell>
          <cell r="Q17">
            <v>0</v>
          </cell>
          <cell r="S17">
            <v>0</v>
          </cell>
          <cell r="U17">
            <v>0</v>
          </cell>
          <cell r="X17" t="str">
            <v>mstag:assetImpairmentNonGoodwillOneTime</v>
          </cell>
          <cell r="Y17">
            <v>6</v>
          </cell>
          <cell r="Z17" t="str">
            <v>ISO4217:USD</v>
          </cell>
          <cell r="AA17" t="b">
            <v>0</v>
          </cell>
          <cell r="AB17" t="b">
            <v>0</v>
          </cell>
        </row>
        <row r="18">
          <cell r="B18" t="str">
            <v xml:space="preserve">        Loss (gain) on fixed asset dispositions</v>
          </cell>
          <cell r="C18">
            <v>1.123</v>
          </cell>
          <cell r="D18">
            <v>4.2110000000000003</v>
          </cell>
          <cell r="E18">
            <v>15.882999999999999</v>
          </cell>
          <cell r="G18">
            <v>10.76</v>
          </cell>
          <cell r="I18">
            <v>5.1150000000000002</v>
          </cell>
          <cell r="K18">
            <v>9.65</v>
          </cell>
          <cell r="M18">
            <v>0</v>
          </cell>
          <cell r="O18">
            <v>0</v>
          </cell>
          <cell r="Q18">
            <v>0</v>
          </cell>
          <cell r="S18">
            <v>0</v>
          </cell>
          <cell r="U18">
            <v>0</v>
          </cell>
          <cell r="X18" t="str">
            <v>mstag:gainsLossesFromSaleOfOperatingAssetsRecurring</v>
          </cell>
          <cell r="Y18">
            <v>6</v>
          </cell>
          <cell r="Z18" t="str">
            <v>ISO4217:USD</v>
          </cell>
          <cell r="AA18" t="b">
            <v>1</v>
          </cell>
          <cell r="AB18" t="b">
            <v>0</v>
          </cell>
        </row>
        <row r="19">
          <cell r="B19" t="str">
            <v>Changes in operating assets and liabilities</v>
          </cell>
        </row>
        <row r="20">
          <cell r="B20" t="str">
            <v xml:space="preserve">           Litigation related liability</v>
          </cell>
          <cell r="C20">
            <v>0</v>
          </cell>
          <cell r="D20">
            <v>0</v>
          </cell>
          <cell r="E20">
            <v>552.18499999999995</v>
          </cell>
          <cell r="G20">
            <v>56.1</v>
          </cell>
          <cell r="I20">
            <v>34.722000000000001</v>
          </cell>
          <cell r="K20">
            <v>51.423999999999999</v>
          </cell>
          <cell r="M20">
            <v>52</v>
          </cell>
          <cell r="O20">
            <v>52</v>
          </cell>
          <cell r="Q20">
            <v>52</v>
          </cell>
          <cell r="S20">
            <v>52</v>
          </cell>
          <cell r="U20">
            <v>52</v>
          </cell>
          <cell r="X20" t="str">
            <v>mstag:netIncreaseInOtherLiabilitiesNonOperating</v>
          </cell>
          <cell r="Y20">
            <v>6</v>
          </cell>
          <cell r="Z20" t="str">
            <v>ISO4217:USD</v>
          </cell>
          <cell r="AA20" t="b">
            <v>0</v>
          </cell>
          <cell r="AB20" t="b">
            <v>0</v>
          </cell>
        </row>
        <row r="21">
          <cell r="B21" t="str">
            <v xml:space="preserve">            Receivables and other current assets</v>
          </cell>
          <cell r="C21">
            <v>-65.33</v>
          </cell>
          <cell r="D21">
            <v>-59.5</v>
          </cell>
          <cell r="E21">
            <v>-107.483</v>
          </cell>
          <cell r="G21">
            <v>-146.1</v>
          </cell>
          <cell r="I21">
            <v>-363.80500000000001</v>
          </cell>
          <cell r="K21">
            <v>-129.11799999999999</v>
          </cell>
          <cell r="M21">
            <v>-482.23639950000012</v>
          </cell>
          <cell r="O21">
            <v>-419.21483417812306</v>
          </cell>
          <cell r="Q21">
            <v>-327.43072495785668</v>
          </cell>
          <cell r="S21">
            <v>-78.148645701194113</v>
          </cell>
          <cell r="U21">
            <v>127.58781810971152</v>
          </cell>
          <cell r="X21" t="str">
            <v>mstag:netDecreaseInTradeReceivables</v>
          </cell>
          <cell r="Y21">
            <v>6</v>
          </cell>
          <cell r="Z21" t="str">
            <v>ISO4217:USD</v>
          </cell>
          <cell r="AA21" t="b">
            <v>0</v>
          </cell>
          <cell r="AB21" t="b">
            <v>0</v>
          </cell>
        </row>
        <row r="22">
          <cell r="B22" t="str">
            <v xml:space="preserve">            Inventories, including write-up effects</v>
          </cell>
          <cell r="C22">
            <v>9.4149999999999991</v>
          </cell>
          <cell r="D22">
            <v>-91.116</v>
          </cell>
          <cell r="E22">
            <v>-36.595999999999997</v>
          </cell>
          <cell r="G22">
            <v>-93.26</v>
          </cell>
          <cell r="I22">
            <v>-120.703</v>
          </cell>
          <cell r="K22">
            <v>-112.172</v>
          </cell>
          <cell r="M22">
            <v>-203.06840740740745</v>
          </cell>
          <cell r="O22">
            <v>-170.67368457935152</v>
          </cell>
          <cell r="Q22">
            <v>-80.221479214376586</v>
          </cell>
          <cell r="S22">
            <v>-59.809257507460643</v>
          </cell>
          <cell r="U22">
            <v>-51.254885944137868</v>
          </cell>
          <cell r="X22" t="str">
            <v>mstag:netDecreaseInInventories</v>
          </cell>
          <cell r="Y22">
            <v>6</v>
          </cell>
          <cell r="Z22" t="str">
            <v>ISO4217:USD</v>
          </cell>
          <cell r="AA22" t="b">
            <v>0</v>
          </cell>
          <cell r="AB22" t="b">
            <v>0</v>
          </cell>
        </row>
        <row r="23">
          <cell r="B23" t="str">
            <v xml:space="preserve">            Deferred Revenue</v>
          </cell>
          <cell r="C23">
            <v>0</v>
          </cell>
          <cell r="D23">
            <v>-15.497</v>
          </cell>
          <cell r="E23">
            <v>2</v>
          </cell>
          <cell r="G23">
            <v>239.14500000000001</v>
          </cell>
          <cell r="I23">
            <v>-14.927</v>
          </cell>
          <cell r="K23">
            <v>-49.375</v>
          </cell>
          <cell r="M23">
            <v>191.59800000000001</v>
          </cell>
          <cell r="O23">
            <v>107.93825608416142</v>
          </cell>
          <cell r="Q23">
            <v>91.253059470930111</v>
          </cell>
          <cell r="S23">
            <v>74.092633340663724</v>
          </cell>
          <cell r="U23">
            <v>59.603533573130335</v>
          </cell>
          <cell r="X23" t="str">
            <v>mstag:netIncreaseInDeferredRevenue</v>
          </cell>
          <cell r="Y23">
            <v>6</v>
          </cell>
          <cell r="Z23" t="str">
            <v>ISO4217:USD</v>
          </cell>
          <cell r="AA23" t="b">
            <v>0</v>
          </cell>
          <cell r="AB23" t="b">
            <v>0</v>
          </cell>
        </row>
        <row r="24">
          <cell r="B24" t="str">
            <v xml:space="preserve">            Accounts payable, and other liabilities </v>
          </cell>
          <cell r="C24">
            <v>239.38800000000001</v>
          </cell>
          <cell r="D24">
            <v>124.77</v>
          </cell>
          <cell r="E24">
            <v>148.68199999999999</v>
          </cell>
          <cell r="G24">
            <v>463.6</v>
          </cell>
          <cell r="I24">
            <v>335.54199999999997</v>
          </cell>
          <cell r="K24">
            <v>437.54899999999998</v>
          </cell>
          <cell r="M24">
            <v>24.442089133333141</v>
          </cell>
          <cell r="O24">
            <v>190.90714021868848</v>
          </cell>
          <cell r="Q24">
            <v>112.59478625470587</v>
          </cell>
          <cell r="S24">
            <v>57.95152783026424</v>
          </cell>
          <cell r="U24">
            <v>11.020237528346001</v>
          </cell>
          <cell r="X24" t="str">
            <v>mstag:netIncreaseInTradeAndOtherPayables</v>
          </cell>
          <cell r="Y24">
            <v>6</v>
          </cell>
          <cell r="Z24" t="str">
            <v>ISO4217:USD</v>
          </cell>
          <cell r="AA24" t="b">
            <v>0</v>
          </cell>
          <cell r="AB24" t="b">
            <v>0</v>
          </cell>
        </row>
        <row r="25">
          <cell r="B25" t="str">
            <v>Net cash provided by (used in) operating activities</v>
          </cell>
          <cell r="C25">
            <v>214.49400000000006</v>
          </cell>
          <cell r="D25">
            <v>566.26700000000005</v>
          </cell>
          <cell r="E25">
            <v>709.68599999999981</v>
          </cell>
          <cell r="G25">
            <v>1270.5558426585776</v>
          </cell>
          <cell r="I25">
            <v>1270.4680000000001</v>
          </cell>
          <cell r="K25">
            <v>2381.3220000000001</v>
          </cell>
          <cell r="M25">
            <v>2042.7539158059255</v>
          </cell>
          <cell r="O25">
            <v>2955.4313313525158</v>
          </cell>
          <cell r="Q25">
            <v>3800.3359980453415</v>
          </cell>
          <cell r="S25">
            <v>4520.7038833214228</v>
          </cell>
          <cell r="U25">
            <v>5285.1551618023705</v>
          </cell>
        </row>
        <row r="26">
          <cell r="B26" t="str">
            <v>CASH FLOWS FROM INVESTING ACTIVITIES</v>
          </cell>
        </row>
        <row r="27">
          <cell r="B27" t="str">
            <v xml:space="preserve">       Investment in marketable securities, net of sales</v>
          </cell>
          <cell r="C27">
            <v>-12.960000000000036</v>
          </cell>
          <cell r="D27">
            <v>-566.21399999999994</v>
          </cell>
          <cell r="E27">
            <v>811.46400000000017</v>
          </cell>
          <cell r="G27">
            <v>-1054.1300000000001</v>
          </cell>
          <cell r="I27">
            <v>177.0250000000002</v>
          </cell>
          <cell r="K27">
            <v>-297.928</v>
          </cell>
          <cell r="M27">
            <v>0</v>
          </cell>
          <cell r="O27">
            <v>-500</v>
          </cell>
          <cell r="Q27">
            <v>-1000</v>
          </cell>
          <cell r="S27">
            <v>-2000</v>
          </cell>
          <cell r="U27">
            <v>-2000</v>
          </cell>
          <cell r="X27" t="str">
            <v>mstag:netDecreaseInOtherAssets</v>
          </cell>
          <cell r="Y27">
            <v>6</v>
          </cell>
          <cell r="Z27" t="str">
            <v>ISO4217:USD</v>
          </cell>
          <cell r="AA27" t="b">
            <v>0</v>
          </cell>
          <cell r="AB27" t="b">
            <v>0</v>
          </cell>
        </row>
        <row r="28">
          <cell r="B28" t="str">
            <v xml:space="preserve">        Capital expenditures</v>
          </cell>
          <cell r="C28">
            <v>-112.681</v>
          </cell>
          <cell r="D28">
            <v>-213.351</v>
          </cell>
          <cell r="E28">
            <v>-322.83199999999999</v>
          </cell>
          <cell r="G28">
            <v>-321.95</v>
          </cell>
          <cell r="I28">
            <v>-649.85799999999995</v>
          </cell>
          <cell r="K28">
            <v>-1399.8240000000001</v>
          </cell>
          <cell r="M28">
            <v>-1482.0585000000001</v>
          </cell>
          <cell r="O28">
            <v>-1579.0775170356521</v>
          </cell>
          <cell r="Q28">
            <v>-1179.3767679991645</v>
          </cell>
          <cell r="S28">
            <v>-875.1623386749061</v>
          </cell>
          <cell r="U28">
            <v>-828.35075659232984</v>
          </cell>
          <cell r="X28" t="str">
            <v>mstag:capitalExpenditures</v>
          </cell>
          <cell r="Y28">
            <v>6</v>
          </cell>
          <cell r="Z28" t="str">
            <v>ISO4217:USD</v>
          </cell>
          <cell r="AA28" t="b">
            <v>1</v>
          </cell>
          <cell r="AB28" t="b">
            <v>0</v>
          </cell>
        </row>
        <row r="29">
          <cell r="B29" t="str">
            <v xml:space="preserve">        Change in other assets</v>
          </cell>
          <cell r="C29">
            <v>-55.603999999999999</v>
          </cell>
          <cell r="D29">
            <v>-10.105</v>
          </cell>
          <cell r="E29">
            <v>12.875</v>
          </cell>
          <cell r="G29">
            <v>-56.1</v>
          </cell>
          <cell r="I29">
            <v>-57.954999999999998</v>
          </cell>
          <cell r="K29">
            <v>-42.716000000000001</v>
          </cell>
          <cell r="M29">
            <v>0</v>
          </cell>
          <cell r="O29">
            <v>0</v>
          </cell>
          <cell r="Q29">
            <v>0</v>
          </cell>
          <cell r="S29">
            <v>0</v>
          </cell>
          <cell r="U29">
            <v>0</v>
          </cell>
          <cell r="X29" t="str">
            <v>mstag:netDecreaseInOtherAssets</v>
          </cell>
          <cell r="Y29">
            <v>6</v>
          </cell>
          <cell r="Z29" t="str">
            <v>ISO4217:USD</v>
          </cell>
          <cell r="AA29" t="b">
            <v>0</v>
          </cell>
          <cell r="AB29" t="b">
            <v>0</v>
          </cell>
        </row>
        <row r="30">
          <cell r="B30" t="str">
            <v xml:space="preserve">        Transfer of restricted cash included in other long-term assets</v>
          </cell>
          <cell r="C30">
            <v>0</v>
          </cell>
          <cell r="D30">
            <v>0</v>
          </cell>
          <cell r="E30">
            <v>-630</v>
          </cell>
          <cell r="G30">
            <v>0</v>
          </cell>
          <cell r="I30">
            <v>4.5999999999999996</v>
          </cell>
          <cell r="K30">
            <v>-53</v>
          </cell>
          <cell r="M30">
            <v>0</v>
          </cell>
          <cell r="O30">
            <v>0</v>
          </cell>
          <cell r="Q30">
            <v>0</v>
          </cell>
          <cell r="S30">
            <v>0</v>
          </cell>
          <cell r="U30">
            <v>0</v>
          </cell>
          <cell r="X30" t="str">
            <v>mstag:netDecreaseInOtherAssets</v>
          </cell>
          <cell r="Y30">
            <v>6</v>
          </cell>
          <cell r="Z30" t="str">
            <v>ISO4217:USD</v>
          </cell>
          <cell r="AA30" t="b">
            <v>0</v>
          </cell>
          <cell r="AB30" t="b">
            <v>0</v>
          </cell>
        </row>
        <row r="31">
          <cell r="B31" t="str">
            <v>Net cash used in investing activities</v>
          </cell>
          <cell r="C31">
            <v>-181.24500000000003</v>
          </cell>
          <cell r="D31">
            <v>-789.67</v>
          </cell>
          <cell r="E31">
            <v>-128.49299999999982</v>
          </cell>
          <cell r="G31">
            <v>-1432.18</v>
          </cell>
          <cell r="I31">
            <v>-526.18799999999976</v>
          </cell>
          <cell r="K31">
            <v>-1793.4679999999998</v>
          </cell>
          <cell r="M31">
            <v>-1482.0585000000001</v>
          </cell>
          <cell r="O31">
            <v>-2079.0775170356519</v>
          </cell>
          <cell r="Q31">
            <v>-2179.3767679991643</v>
          </cell>
          <cell r="S31">
            <v>-2875.1623386749061</v>
          </cell>
          <cell r="U31">
            <v>-2828.3507565923301</v>
          </cell>
        </row>
        <row r="32">
          <cell r="B32" t="str">
            <v>CASH FLOWS FROM FINANCING ACTIVITIES</v>
          </cell>
        </row>
        <row r="33">
          <cell r="B33" t="str">
            <v xml:space="preserve">        Stock issuances</v>
          </cell>
          <cell r="C33">
            <v>180.37899999999999</v>
          </cell>
          <cell r="D33">
            <v>106.866</v>
          </cell>
          <cell r="E33">
            <v>74.164000000000001</v>
          </cell>
          <cell r="G33">
            <v>526.86</v>
          </cell>
          <cell r="I33">
            <v>505.37400000000002</v>
          </cell>
          <cell r="K33">
            <v>820.49300000000005</v>
          </cell>
          <cell r="M33">
            <v>720.03708671999993</v>
          </cell>
          <cell r="O33">
            <v>694.32147647999989</v>
          </cell>
          <cell r="Q33">
            <v>720.53905543188478</v>
          </cell>
          <cell r="S33">
            <v>729.31083523714256</v>
          </cell>
          <cell r="U33">
            <v>875.173002284571</v>
          </cell>
          <cell r="X33" t="str">
            <v>mstag:proceedsFromIssuanceFundsUsedToRepurchaseCommonStock</v>
          </cell>
          <cell r="Y33">
            <v>6</v>
          </cell>
          <cell r="Z33" t="str">
            <v>ISO4217:USD</v>
          </cell>
          <cell r="AA33" t="b">
            <v>0</v>
          </cell>
          <cell r="AB33" t="b">
            <v>0</v>
          </cell>
        </row>
        <row r="34">
          <cell r="B34" t="str">
            <v xml:space="preserve">        Stock repurchases</v>
          </cell>
          <cell r="C34">
            <v>0</v>
          </cell>
          <cell r="D34">
            <v>-39.704000000000001</v>
          </cell>
          <cell r="E34">
            <v>-692.75199999999995</v>
          </cell>
          <cell r="G34">
            <v>-201.34</v>
          </cell>
          <cell r="I34">
            <v>-1351.683</v>
          </cell>
          <cell r="K34">
            <v>-2015.912</v>
          </cell>
          <cell r="M34">
            <v>-1970.7352000000001</v>
          </cell>
          <cell r="O34">
            <v>-1719.818379</v>
          </cell>
          <cell r="Q34">
            <v>-1615.2066424968916</v>
          </cell>
          <cell r="S34">
            <v>-1479.5573750774572</v>
          </cell>
          <cell r="U34">
            <v>-1606.7993093341186</v>
          </cell>
          <cell r="X34" t="str">
            <v>mstag:proceedsFromIssuanceFundsUsedToRepurchaseCommonStock</v>
          </cell>
          <cell r="Y34">
            <v>6</v>
          </cell>
          <cell r="Z34" t="str">
            <v>ISO4217:USD</v>
          </cell>
          <cell r="AA34" t="b">
            <v>0</v>
          </cell>
          <cell r="AB34" t="b">
            <v>0</v>
          </cell>
        </row>
        <row r="35">
          <cell r="B35" t="str">
            <v xml:space="preserve">        Tax benefits from stock options</v>
          </cell>
          <cell r="C35">
            <v>0</v>
          </cell>
          <cell r="D35">
            <v>0</v>
          </cell>
          <cell r="E35">
            <v>0</v>
          </cell>
          <cell r="M35">
            <v>466.42246192600749</v>
          </cell>
          <cell r="O35">
            <v>382.51034463996001</v>
          </cell>
          <cell r="Q35">
            <v>333.71100997524758</v>
          </cell>
          <cell r="S35">
            <v>279.84195936043733</v>
          </cell>
          <cell r="U35">
            <v>272.89661252948122</v>
          </cell>
          <cell r="X35" t="str">
            <v>mstag:taxBenefitFromExerciseOfEsosCashFlowStatement</v>
          </cell>
          <cell r="Y35">
            <v>6</v>
          </cell>
          <cell r="Z35" t="str">
            <v>ISO4217:USD</v>
          </cell>
          <cell r="AA35" t="b">
            <v>0</v>
          </cell>
          <cell r="AB35" t="b">
            <v>0</v>
          </cell>
        </row>
        <row r="36">
          <cell r="B36" t="str">
            <v xml:space="preserve">        Debt issuance</v>
          </cell>
          <cell r="C36">
            <v>0</v>
          </cell>
          <cell r="D36">
            <v>0</v>
          </cell>
          <cell r="E36">
            <v>-149.69200000000001</v>
          </cell>
          <cell r="G36">
            <v>0</v>
          </cell>
          <cell r="I36">
            <v>0</v>
          </cell>
          <cell r="K36">
            <v>1562.953</v>
          </cell>
          <cell r="M36">
            <v>0</v>
          </cell>
          <cell r="O36">
            <v>0</v>
          </cell>
          <cell r="Q36">
            <v>0</v>
          </cell>
          <cell r="S36">
            <v>0</v>
          </cell>
          <cell r="U36">
            <v>-500</v>
          </cell>
          <cell r="X36" t="str">
            <v>mstag:proceedsFromIssuanceAndCashUsedToRepayShortTermBorrowings</v>
          </cell>
          <cell r="Y36">
            <v>6</v>
          </cell>
          <cell r="Z36" t="str">
            <v>ISO4217:USD</v>
          </cell>
          <cell r="AA36" t="b">
            <v>0</v>
          </cell>
          <cell r="AB36" t="b">
            <v>0</v>
          </cell>
        </row>
        <row r="37">
          <cell r="B37" t="str">
            <v>Net cash provided by financing activities</v>
          </cell>
          <cell r="C37">
            <v>180.37899999999999</v>
          </cell>
          <cell r="D37">
            <v>67.162000000000006</v>
          </cell>
          <cell r="E37">
            <v>-768.28</v>
          </cell>
          <cell r="G37">
            <v>325.52</v>
          </cell>
          <cell r="I37">
            <v>-846.30899999999997</v>
          </cell>
          <cell r="K37">
            <v>367.53400000000011</v>
          </cell>
          <cell r="M37">
            <v>-784.27565135399266</v>
          </cell>
          <cell r="O37">
            <v>-642.98655788004021</v>
          </cell>
          <cell r="Q37">
            <v>-560.95657708975932</v>
          </cell>
          <cell r="S37">
            <v>-470.40458047987732</v>
          </cell>
          <cell r="U37">
            <v>-958.72969452006635</v>
          </cell>
        </row>
        <row r="38">
          <cell r="B38" t="str">
            <v xml:space="preserve">Change in cash </v>
          </cell>
          <cell r="C38">
            <v>213.62800000000001</v>
          </cell>
          <cell r="D38">
            <v>-156.24099999999987</v>
          </cell>
          <cell r="E38">
            <v>-187.08699999999999</v>
          </cell>
          <cell r="G38">
            <v>163.89584265857752</v>
          </cell>
          <cell r="I38">
            <v>-102.02899999999977</v>
          </cell>
          <cell r="K38">
            <v>955.38800000000037</v>
          </cell>
          <cell r="M38">
            <v>-223.58023554806709</v>
          </cell>
          <cell r="O38">
            <v>233.36725643682394</v>
          </cell>
          <cell r="Q38">
            <v>1060.0026529564179</v>
          </cell>
          <cell r="S38">
            <v>1175.1369641666392</v>
          </cell>
          <cell r="U38">
            <v>1498.0747106899739</v>
          </cell>
        </row>
        <row r="39">
          <cell r="B39" t="str">
            <v>Cash at beginning of year</v>
          </cell>
          <cell r="C39">
            <v>337.68200000000002</v>
          </cell>
          <cell r="D39">
            <v>551.31000000000006</v>
          </cell>
          <cell r="E39">
            <v>395.06900000000019</v>
          </cell>
          <cell r="G39">
            <v>207.9820000000002</v>
          </cell>
          <cell r="I39">
            <v>371.87784265857772</v>
          </cell>
          <cell r="K39">
            <v>270.12299999999999</v>
          </cell>
          <cell r="M39">
            <v>1225.5110000000004</v>
          </cell>
          <cell r="O39">
            <v>1001.9307644519333</v>
          </cell>
          <cell r="Q39">
            <v>1235.2980208887573</v>
          </cell>
          <cell r="S39">
            <v>2295.300673845175</v>
          </cell>
          <cell r="U39">
            <v>3470.4376380118142</v>
          </cell>
        </row>
        <row r="40">
          <cell r="B40" t="str">
            <v>Cash at end of year</v>
          </cell>
          <cell r="C40">
            <v>551.31000000000006</v>
          </cell>
          <cell r="D40">
            <v>395.06900000000019</v>
          </cell>
          <cell r="E40">
            <v>207.9820000000002</v>
          </cell>
          <cell r="G40">
            <v>371.87784265857772</v>
          </cell>
          <cell r="I40">
            <v>270.12299999999999</v>
          </cell>
          <cell r="K40">
            <v>1225.5110000000004</v>
          </cell>
          <cell r="M40">
            <v>1001.9307644519333</v>
          </cell>
          <cell r="O40">
            <v>1235.2980208887573</v>
          </cell>
          <cell r="Q40">
            <v>2295.300673845175</v>
          </cell>
          <cell r="S40">
            <v>3470.4376380118142</v>
          </cell>
          <cell r="U40">
            <v>4968.5123487017881</v>
          </cell>
        </row>
        <row r="41">
          <cell r="B41" t="str">
            <v>Cash and Marketable Securities at end of year</v>
          </cell>
          <cell r="G41">
            <v>2934.3978426585777</v>
          </cell>
          <cell r="I41">
            <v>2780.4319999999998</v>
          </cell>
          <cell r="K41">
            <v>3813.8920000000007</v>
          </cell>
          <cell r="M41">
            <v>3590.3117644519334</v>
          </cell>
          <cell r="O41">
            <v>4323.6790208887569</v>
          </cell>
          <cell r="Q41">
            <v>6383.6816738451744</v>
          </cell>
          <cell r="S41">
            <v>9558.8186380118132</v>
          </cell>
          <cell r="U41">
            <v>13056.893348701788</v>
          </cell>
        </row>
        <row r="45">
          <cell r="G45" t="str">
            <v>2003-FY</v>
          </cell>
          <cell r="I45" t="str">
            <v>2004-FY</v>
          </cell>
          <cell r="K45" t="str">
            <v>2005-FY</v>
          </cell>
          <cell r="M45" t="str">
            <v>2006-FY</v>
          </cell>
          <cell r="O45" t="str">
            <v>2007-FY</v>
          </cell>
          <cell r="Q45" t="str">
            <v>2008-FY</v>
          </cell>
          <cell r="S45" t="str">
            <v>2009-FY</v>
          </cell>
          <cell r="U45" t="str">
            <v>2010-FY</v>
          </cell>
        </row>
        <row r="47">
          <cell r="B47" t="str">
            <v>Free Cash Flow</v>
          </cell>
          <cell r="G47">
            <v>948.60584265857756</v>
          </cell>
          <cell r="I47">
            <v>620.61000000000013</v>
          </cell>
          <cell r="K47">
            <v>981.49800000000005</v>
          </cell>
          <cell r="M47">
            <v>1027.1178777319328</v>
          </cell>
          <cell r="O47">
            <v>1758.8641589568238</v>
          </cell>
          <cell r="Q47">
            <v>2954.6702400214249</v>
          </cell>
          <cell r="S47">
            <v>3925.3835040069539</v>
          </cell>
          <cell r="U47">
            <v>4729.7010177395214</v>
          </cell>
        </row>
      </sheetData>
      <sheetData sheetId="10" refreshError="1"/>
      <sheetData sheetId="11" refreshError="1"/>
      <sheetData sheetId="12" refreshError="1"/>
      <sheetData sheetId="13" refreshError="1"/>
      <sheetData sheetId="14" refreshError="1"/>
      <sheetData sheetId="15" refreshError="1">
        <row r="2">
          <cell r="C2" t="str">
            <v>Patient Growth Rate</v>
          </cell>
          <cell r="D2">
            <v>1.65E-3</v>
          </cell>
        </row>
        <row r="4">
          <cell r="B4" t="str">
            <v>Front - Line</v>
          </cell>
          <cell r="C4">
            <v>38047</v>
          </cell>
          <cell r="D4">
            <v>38078</v>
          </cell>
          <cell r="E4">
            <v>38108</v>
          </cell>
          <cell r="F4">
            <v>38139</v>
          </cell>
          <cell r="G4">
            <v>38169</v>
          </cell>
          <cell r="H4">
            <v>38200</v>
          </cell>
          <cell r="I4">
            <v>38231</v>
          </cell>
          <cell r="J4">
            <v>38261</v>
          </cell>
          <cell r="K4">
            <v>38292</v>
          </cell>
          <cell r="L4">
            <v>38322</v>
          </cell>
          <cell r="M4">
            <v>2004</v>
          </cell>
          <cell r="P4" t="str">
            <v>Front - Line</v>
          </cell>
          <cell r="Q4">
            <v>38353</v>
          </cell>
          <cell r="R4">
            <v>38384</v>
          </cell>
          <cell r="S4">
            <v>38412</v>
          </cell>
          <cell r="T4">
            <v>38443</v>
          </cell>
          <cell r="U4">
            <v>38473</v>
          </cell>
          <cell r="V4">
            <v>38504</v>
          </cell>
          <cell r="W4">
            <v>38534</v>
          </cell>
          <cell r="X4">
            <v>38565</v>
          </cell>
          <cell r="Y4">
            <v>38596</v>
          </cell>
          <cell r="Z4">
            <v>38626</v>
          </cell>
          <cell r="AA4">
            <v>38657</v>
          </cell>
          <cell r="AB4">
            <v>38687</v>
          </cell>
          <cell r="AC4">
            <v>2005</v>
          </cell>
        </row>
        <row r="5">
          <cell r="B5" t="str">
            <v>Previously Diagnosed Patients</v>
          </cell>
          <cell r="C5">
            <v>8000</v>
          </cell>
        </row>
        <row r="6">
          <cell r="B6" t="str">
            <v>New Stage III/IV Diagnoses Per Month</v>
          </cell>
          <cell r="C6">
            <v>3022</v>
          </cell>
          <cell r="D6">
            <v>3026.9862999999996</v>
          </cell>
          <cell r="E6">
            <v>3031.9808273949993</v>
          </cell>
          <cell r="F6">
            <v>3036.9835957602008</v>
          </cell>
          <cell r="G6">
            <v>3041.9946186932048</v>
          </cell>
          <cell r="H6">
            <v>3047.0139098140485</v>
          </cell>
          <cell r="I6">
            <v>3052.0414827652417</v>
          </cell>
          <cell r="J6">
            <v>3057.0773512118039</v>
          </cell>
          <cell r="K6">
            <v>3062.1215288413032</v>
          </cell>
          <cell r="L6">
            <v>3067.1740293638909</v>
          </cell>
          <cell r="M6">
            <v>30445.373643844694</v>
          </cell>
          <cell r="P6" t="str">
            <v>New Stage III/IV Diagnoses Per Month</v>
          </cell>
          <cell r="Q6">
            <v>3072.2348665123409</v>
          </cell>
          <cell r="R6">
            <v>3077.3040540420861</v>
          </cell>
          <cell r="S6">
            <v>3082.3816057312551</v>
          </cell>
          <cell r="T6">
            <v>3087.4675353807115</v>
          </cell>
          <cell r="U6">
            <v>3092.5618568140894</v>
          </cell>
          <cell r="V6">
            <v>3097.6645838778322</v>
          </cell>
          <cell r="W6">
            <v>3102.7757304412303</v>
          </cell>
          <cell r="X6">
            <v>3107.8953103964582</v>
          </cell>
          <cell r="Y6">
            <v>3113.023337658612</v>
          </cell>
          <cell r="Z6">
            <v>3118.1598261657487</v>
          </cell>
          <cell r="AA6">
            <v>3123.3047898789218</v>
          </cell>
          <cell r="AB6">
            <v>3128.458242782222</v>
          </cell>
          <cell r="AC6">
            <v>37203.231739681505</v>
          </cell>
        </row>
        <row r="7">
          <cell r="C7">
            <v>0.40827436037016873</v>
          </cell>
          <cell r="D7">
            <v>0.22</v>
          </cell>
          <cell r="E7">
            <v>0.21</v>
          </cell>
          <cell r="F7">
            <v>0.22</v>
          </cell>
          <cell r="G7">
            <v>0.4</v>
          </cell>
          <cell r="H7">
            <v>0.4</v>
          </cell>
          <cell r="I7">
            <v>0.4</v>
          </cell>
          <cell r="J7">
            <v>0.45</v>
          </cell>
          <cell r="K7">
            <v>0.46</v>
          </cell>
          <cell r="L7">
            <v>0.48</v>
          </cell>
          <cell r="M7">
            <v>0.47244332649680609</v>
          </cell>
          <cell r="Q7">
            <v>0.53</v>
          </cell>
          <cell r="R7">
            <v>0.55000000000000004</v>
          </cell>
          <cell r="S7">
            <v>0.61</v>
          </cell>
          <cell r="T7">
            <v>0.62</v>
          </cell>
          <cell r="U7">
            <v>0.63</v>
          </cell>
          <cell r="V7">
            <v>0.64</v>
          </cell>
          <cell r="W7">
            <v>0.64</v>
          </cell>
          <cell r="X7">
            <v>0.65</v>
          </cell>
          <cell r="Y7">
            <v>0.66</v>
          </cell>
          <cell r="Z7">
            <v>0.67</v>
          </cell>
          <cell r="AA7">
            <v>0.67</v>
          </cell>
          <cell r="AB7">
            <v>0.67</v>
          </cell>
          <cell r="AC7">
            <v>0.62855979730513767</v>
          </cell>
        </row>
        <row r="8">
          <cell r="B8" t="str">
            <v>New Patients Starting Therapy</v>
          </cell>
          <cell r="C8">
            <v>4500</v>
          </cell>
          <cell r="D8">
            <v>665.93698599999993</v>
          </cell>
          <cell r="E8">
            <v>636.71597375294982</v>
          </cell>
          <cell r="F8">
            <v>668.13639106724418</v>
          </cell>
          <cell r="G8">
            <v>1216.7978474772819</v>
          </cell>
          <cell r="H8">
            <v>1218.8055639256195</v>
          </cell>
          <cell r="I8">
            <v>1220.8165931060967</v>
          </cell>
          <cell r="J8">
            <v>1375.6848080453119</v>
          </cell>
          <cell r="K8">
            <v>1408.5759032669996</v>
          </cell>
          <cell r="L8">
            <v>1472.2435340946677</v>
          </cell>
          <cell r="M8">
            <v>14383.713600736173</v>
          </cell>
          <cell r="P8" t="str">
            <v>New Patients Starting Therapy</v>
          </cell>
          <cell r="Q8">
            <v>1628.2844792515407</v>
          </cell>
          <cell r="R8">
            <v>1692.5172297231475</v>
          </cell>
          <cell r="S8">
            <v>1880.2527794960656</v>
          </cell>
          <cell r="T8">
            <v>1914.229871936041</v>
          </cell>
          <cell r="U8">
            <v>1948.3139697928764</v>
          </cell>
          <cell r="V8">
            <v>1982.5053336818128</v>
          </cell>
          <cell r="W8">
            <v>1985.7764674823875</v>
          </cell>
          <cell r="X8">
            <v>2020.1319517576978</v>
          </cell>
          <cell r="Y8">
            <v>2054.5954028546839</v>
          </cell>
          <cell r="Z8">
            <v>2089.1670835310515</v>
          </cell>
          <cell r="AA8">
            <v>2092.6142092188779</v>
          </cell>
          <cell r="AB8">
            <v>2096.0670226640887</v>
          </cell>
          <cell r="AC8">
            <v>23384.455801390272</v>
          </cell>
        </row>
        <row r="9">
          <cell r="B9" t="str">
            <v>Failures</v>
          </cell>
          <cell r="P9" t="str">
            <v>Failures</v>
          </cell>
          <cell r="AE9" t="str">
            <v>Distribution of Failure Timing</v>
          </cell>
        </row>
        <row r="10">
          <cell r="B10" t="str">
            <v>1 Month</v>
          </cell>
          <cell r="C10">
            <v>52.05655526992286</v>
          </cell>
          <cell r="D10">
            <v>7.7036412262210767</v>
          </cell>
          <cell r="E10">
            <v>7.3656089508695972</v>
          </cell>
          <cell r="F10">
            <v>7.7290842154308423</v>
          </cell>
          <cell r="G10">
            <v>14.076067644338734</v>
          </cell>
          <cell r="H10">
            <v>14.099293155951893</v>
          </cell>
          <cell r="I10">
            <v>14.122556989659211</v>
          </cell>
          <cell r="J10">
            <v>15.914091609778668</v>
          </cell>
          <cell r="K10">
            <v>16.294579857844464</v>
          </cell>
          <cell r="L10">
            <v>17.031094867419029</v>
          </cell>
          <cell r="P10" t="str">
            <v>1 Month</v>
          </cell>
          <cell r="Q10">
            <v>18.836195775403421</v>
          </cell>
          <cell r="R10">
            <v>19.579248158751057</v>
          </cell>
          <cell r="S10">
            <v>21.750996163836227</v>
          </cell>
          <cell r="T10">
            <v>22.144047361727974</v>
          </cell>
          <cell r="U10">
            <v>22.538336411485709</v>
          </cell>
          <cell r="V10">
            <v>22.933866327938702</v>
          </cell>
          <cell r="W10">
            <v>22.971707207379797</v>
          </cell>
          <cell r="X10">
            <v>23.369135688713722</v>
          </cell>
          <cell r="Y10">
            <v>23.767813143563174</v>
          </cell>
          <cell r="Z10">
            <v>24.167742611541719</v>
          </cell>
          <cell r="AA10">
            <v>24.207619386850766</v>
          </cell>
          <cell r="AB10">
            <v>24.247561958839064</v>
          </cell>
          <cell r="AE10">
            <v>1</v>
          </cell>
          <cell r="AF10">
            <v>0.9</v>
          </cell>
          <cell r="AG10">
            <v>1.1568123393316192E-2</v>
          </cell>
        </row>
        <row r="11">
          <cell r="B11" t="str">
            <v>2 Months</v>
          </cell>
          <cell r="D11">
            <v>69.408740359897152</v>
          </cell>
          <cell r="E11">
            <v>10.271521634961434</v>
          </cell>
          <cell r="F11">
            <v>9.8208119344927951</v>
          </cell>
          <cell r="G11">
            <v>10.305445620574456</v>
          </cell>
          <cell r="H11">
            <v>18.768090192451641</v>
          </cell>
          <cell r="I11">
            <v>18.799057541269189</v>
          </cell>
          <cell r="J11">
            <v>18.830075986212282</v>
          </cell>
          <cell r="K11">
            <v>21.218788813038223</v>
          </cell>
          <cell r="L11">
            <v>21.726106477125949</v>
          </cell>
          <cell r="P11" t="str">
            <v>2 Months</v>
          </cell>
          <cell r="Q11">
            <v>22.708126489892038</v>
          </cell>
          <cell r="R11">
            <v>25.114927700537894</v>
          </cell>
          <cell r="S11">
            <v>26.105664211668074</v>
          </cell>
          <cell r="T11">
            <v>29.001328218448304</v>
          </cell>
          <cell r="U11">
            <v>29.525396482303965</v>
          </cell>
          <cell r="V11">
            <v>30.05111521531428</v>
          </cell>
          <cell r="W11">
            <v>30.5784884372516</v>
          </cell>
          <cell r="X11">
            <v>30.628942943173062</v>
          </cell>
          <cell r="Y11">
            <v>31.158847584951626</v>
          </cell>
          <cell r="Z11">
            <v>31.690417524750899</v>
          </cell>
          <cell r="AA11">
            <v>32.223656815388956</v>
          </cell>
          <cell r="AB11">
            <v>32.276825849134354</v>
          </cell>
          <cell r="AE11">
            <v>2</v>
          </cell>
          <cell r="AF11">
            <v>1.2</v>
          </cell>
          <cell r="AG11">
            <v>1.5424164524421588E-2</v>
          </cell>
        </row>
        <row r="12">
          <cell r="B12" t="str">
            <v>3 Months</v>
          </cell>
          <cell r="E12">
            <v>86.760925449871436</v>
          </cell>
          <cell r="F12">
            <v>12.839402043701794</v>
          </cell>
          <cell r="G12">
            <v>12.276014918115994</v>
          </cell>
          <cell r="H12">
            <v>12.88180702571807</v>
          </cell>
          <cell r="I12">
            <v>23.460112740564554</v>
          </cell>
          <cell r="J12">
            <v>23.498821926586483</v>
          </cell>
          <cell r="K12">
            <v>23.537594982765352</v>
          </cell>
          <cell r="L12">
            <v>26.523486016297777</v>
          </cell>
          <cell r="P12" t="str">
            <v>3 Months</v>
          </cell>
          <cell r="Q12">
            <v>27.157633096407437</v>
          </cell>
          <cell r="R12">
            <v>28.385158112365048</v>
          </cell>
          <cell r="S12">
            <v>31.393659625672367</v>
          </cell>
          <cell r="T12">
            <v>32.632080264585092</v>
          </cell>
          <cell r="U12">
            <v>36.251660273060381</v>
          </cell>
          <cell r="V12">
            <v>36.906745602879951</v>
          </cell>
          <cell r="W12">
            <v>37.563894019142843</v>
          </cell>
          <cell r="X12">
            <v>38.223110546564499</v>
          </cell>
          <cell r="Y12">
            <v>38.286178678966323</v>
          </cell>
          <cell r="Z12">
            <v>38.948559481189534</v>
          </cell>
          <cell r="AA12">
            <v>39.613021905938623</v>
          </cell>
          <cell r="AB12">
            <v>40.279571019236194</v>
          </cell>
          <cell r="AE12">
            <v>3</v>
          </cell>
          <cell r="AF12">
            <v>1.5</v>
          </cell>
          <cell r="AG12">
            <v>1.9280205655526985E-2</v>
          </cell>
        </row>
        <row r="13">
          <cell r="B13" t="str">
            <v>4 Months</v>
          </cell>
          <cell r="F13">
            <v>115.68123393316191</v>
          </cell>
          <cell r="G13">
            <v>17.119202724935725</v>
          </cell>
          <cell r="H13">
            <v>16.368019890821326</v>
          </cell>
          <cell r="I13">
            <v>17.175742700957429</v>
          </cell>
          <cell r="J13">
            <v>31.280150320752739</v>
          </cell>
          <cell r="K13">
            <v>31.331762568781979</v>
          </cell>
          <cell r="L13">
            <v>31.383459977020468</v>
          </cell>
          <cell r="P13" t="str">
            <v>4 Months</v>
          </cell>
          <cell r="Q13">
            <v>35.364648021730368</v>
          </cell>
          <cell r="R13">
            <v>36.210177461876583</v>
          </cell>
          <cell r="S13">
            <v>37.846877483153399</v>
          </cell>
          <cell r="T13">
            <v>41.858212834229825</v>
          </cell>
          <cell r="U13">
            <v>43.509440352780125</v>
          </cell>
          <cell r="V13">
            <v>48.335547030747172</v>
          </cell>
          <cell r="W13">
            <v>49.208994137173271</v>
          </cell>
          <cell r="X13">
            <v>50.085192025523796</v>
          </cell>
          <cell r="Y13">
            <v>50.964147395419332</v>
          </cell>
          <cell r="Z13">
            <v>51.048238238621764</v>
          </cell>
          <cell r="AA13">
            <v>51.931412641586043</v>
          </cell>
          <cell r="AB13">
            <v>52.817362541251498</v>
          </cell>
          <cell r="AE13">
            <v>4</v>
          </cell>
          <cell r="AF13">
            <v>2</v>
          </cell>
          <cell r="AG13">
            <v>2.570694087403598E-2</v>
          </cell>
        </row>
        <row r="14">
          <cell r="B14" t="str">
            <v>5 Months</v>
          </cell>
          <cell r="G14">
            <v>173.52185089974287</v>
          </cell>
          <cell r="H14">
            <v>25.678804087403588</v>
          </cell>
          <cell r="I14">
            <v>24.552029836231988</v>
          </cell>
          <cell r="J14">
            <v>25.763614051436139</v>
          </cell>
          <cell r="K14">
            <v>46.920225481129108</v>
          </cell>
          <cell r="L14">
            <v>46.997643853172967</v>
          </cell>
          <cell r="P14" t="str">
            <v>5 Months</v>
          </cell>
          <cell r="Q14">
            <v>47.075189965530704</v>
          </cell>
          <cell r="R14">
            <v>53.046972032595555</v>
          </cell>
          <cell r="S14">
            <v>54.315266192814875</v>
          </cell>
          <cell r="T14">
            <v>56.770316224730095</v>
          </cell>
          <cell r="U14">
            <v>62.787319251344734</v>
          </cell>
          <cell r="V14">
            <v>65.264160529170184</v>
          </cell>
          <cell r="W14">
            <v>72.503320546120761</v>
          </cell>
          <cell r="X14">
            <v>73.813491205759902</v>
          </cell>
          <cell r="Y14">
            <v>75.127788038285686</v>
          </cell>
          <cell r="Z14">
            <v>76.446221093128997</v>
          </cell>
          <cell r="AA14">
            <v>76.572357357932646</v>
          </cell>
          <cell r="AB14">
            <v>77.897118962379068</v>
          </cell>
          <cell r="AE14">
            <v>5</v>
          </cell>
          <cell r="AF14">
            <v>3</v>
          </cell>
          <cell r="AG14">
            <v>3.856041131105397E-2</v>
          </cell>
        </row>
        <row r="15">
          <cell r="B15" t="str">
            <v>6 Months</v>
          </cell>
          <cell r="H15">
            <v>231.36246786632381</v>
          </cell>
          <cell r="I15">
            <v>34.238405449871451</v>
          </cell>
          <cell r="J15">
            <v>32.736039781642653</v>
          </cell>
          <cell r="K15">
            <v>34.351485401914857</v>
          </cell>
          <cell r="L15">
            <v>62.560300641505478</v>
          </cell>
          <cell r="P15" t="str">
            <v>6 Months</v>
          </cell>
          <cell r="Q15">
            <v>62.663525137563958</v>
          </cell>
          <cell r="R15">
            <v>62.766919954040937</v>
          </cell>
          <cell r="S15">
            <v>70.729296043460735</v>
          </cell>
          <cell r="T15">
            <v>72.420354923753166</v>
          </cell>
          <cell r="U15">
            <v>75.693754966306798</v>
          </cell>
          <cell r="V15">
            <v>83.71642566845965</v>
          </cell>
          <cell r="W15">
            <v>87.01888070556025</v>
          </cell>
          <cell r="X15">
            <v>96.671094061494344</v>
          </cell>
          <cell r="Y15">
            <v>98.417988274346541</v>
          </cell>
          <cell r="Z15">
            <v>100.17038405104759</v>
          </cell>
          <cell r="AA15">
            <v>101.92829479083866</v>
          </cell>
          <cell r="AB15">
            <v>102.09647647724353</v>
          </cell>
          <cell r="AE15">
            <v>6</v>
          </cell>
          <cell r="AF15">
            <v>4</v>
          </cell>
          <cell r="AG15">
            <v>5.141388174807196E-2</v>
          </cell>
        </row>
        <row r="16">
          <cell r="B16" t="str">
            <v>7 Months</v>
          </cell>
          <cell r="I16">
            <v>318.12339331619529</v>
          </cell>
          <cell r="J16">
            <v>47.077807493573246</v>
          </cell>
          <cell r="K16">
            <v>45.01205469975865</v>
          </cell>
          <cell r="L16">
            <v>47.233292427632925</v>
          </cell>
          <cell r="P16" t="str">
            <v>7 Months</v>
          </cell>
          <cell r="Q16">
            <v>86.020413382070032</v>
          </cell>
          <cell r="R16">
            <v>86.162347064150453</v>
          </cell>
          <cell r="S16">
            <v>86.304514936806285</v>
          </cell>
          <cell r="T16">
            <v>97.252782059758516</v>
          </cell>
          <cell r="U16">
            <v>99.577988020160603</v>
          </cell>
          <cell r="V16">
            <v>104.07891307867185</v>
          </cell>
          <cell r="W16">
            <v>115.11008529413202</v>
          </cell>
          <cell r="X16">
            <v>119.65096097014535</v>
          </cell>
          <cell r="Y16">
            <v>132.92275433455472</v>
          </cell>
          <cell r="Z16">
            <v>135.32473387722652</v>
          </cell>
          <cell r="AA16">
            <v>137.73427807019044</v>
          </cell>
          <cell r="AB16">
            <v>140.15140533740316</v>
          </cell>
          <cell r="AE16">
            <v>7</v>
          </cell>
          <cell r="AF16">
            <v>5.5</v>
          </cell>
          <cell r="AG16">
            <v>7.0694087403598949E-2</v>
          </cell>
        </row>
        <row r="17">
          <cell r="B17" t="str">
            <v>8 Months</v>
          </cell>
          <cell r="J17">
            <v>381.74807197943426</v>
          </cell>
          <cell r="K17">
            <v>56.493368992287891</v>
          </cell>
          <cell r="L17">
            <v>54.014465639710373</v>
          </cell>
          <cell r="P17" t="str">
            <v>8 Months</v>
          </cell>
          <cell r="Q17">
            <v>56.679950913159509</v>
          </cell>
          <cell r="R17">
            <v>103.22449605848404</v>
          </cell>
          <cell r="S17">
            <v>103.39481647698052</v>
          </cell>
          <cell r="T17">
            <v>103.56541792416753</v>
          </cell>
          <cell r="U17">
            <v>116.70333847171021</v>
          </cell>
          <cell r="V17">
            <v>119.49358562419272</v>
          </cell>
          <cell r="W17">
            <v>124.8946956944062</v>
          </cell>
          <cell r="X17">
            <v>138.13210235295841</v>
          </cell>
          <cell r="Y17">
            <v>143.5811531641744</v>
          </cell>
          <cell r="Z17">
            <v>159.50730520146564</v>
          </cell>
          <cell r="AA17">
            <v>162.38968065267179</v>
          </cell>
          <cell r="AB17">
            <v>165.28113368422851</v>
          </cell>
          <cell r="AE17">
            <v>8</v>
          </cell>
          <cell r="AF17">
            <v>6.6</v>
          </cell>
          <cell r="AG17">
            <v>8.483290488431873E-2</v>
          </cell>
        </row>
        <row r="18">
          <cell r="B18" t="str">
            <v>9 Months</v>
          </cell>
          <cell r="K18">
            <v>404.88431876606671</v>
          </cell>
          <cell r="L18">
            <v>59.917209537275042</v>
          </cell>
          <cell r="P18" t="str">
            <v>9 Months</v>
          </cell>
          <cell r="Q18">
            <v>57.288069617874648</v>
          </cell>
          <cell r="R18">
            <v>60.115099453351</v>
          </cell>
          <cell r="S18">
            <v>109.48052612263459</v>
          </cell>
          <cell r="T18">
            <v>109.66116899073694</v>
          </cell>
          <cell r="U18">
            <v>109.84210991957164</v>
          </cell>
          <cell r="V18">
            <v>123.77626807605631</v>
          </cell>
          <cell r="W18">
            <v>126.73562111656805</v>
          </cell>
          <cell r="X18">
            <v>132.46407119103691</v>
          </cell>
          <cell r="Y18">
            <v>146.50374491980438</v>
          </cell>
          <cell r="Z18">
            <v>152.28304123473043</v>
          </cell>
          <cell r="AA18">
            <v>169.17441460761512</v>
          </cell>
          <cell r="AB18">
            <v>172.23147948010646</v>
          </cell>
          <cell r="AE18">
            <v>9</v>
          </cell>
          <cell r="AF18">
            <v>7</v>
          </cell>
          <cell r="AG18">
            <v>8.9974293059125937E-2</v>
          </cell>
        </row>
        <row r="19">
          <cell r="B19" t="str">
            <v>10 Months</v>
          </cell>
          <cell r="L19">
            <v>416.45244215938288</v>
          </cell>
          <cell r="P19" t="str">
            <v>10 Months</v>
          </cell>
          <cell r="Q19">
            <v>61.629129809768614</v>
          </cell>
          <cell r="R19">
            <v>58.924871606956778</v>
          </cell>
          <cell r="S19">
            <v>61.832673723446739</v>
          </cell>
          <cell r="T19">
            <v>112.60854115470987</v>
          </cell>
          <cell r="U19">
            <v>112.79434524761514</v>
          </cell>
          <cell r="V19">
            <v>112.98045591727369</v>
          </cell>
          <cell r="W19">
            <v>127.31273287822934</v>
          </cell>
          <cell r="X19">
            <v>130.35663886275572</v>
          </cell>
          <cell r="Y19">
            <v>136.24875893935223</v>
          </cell>
          <cell r="Z19">
            <v>150.68956620322737</v>
          </cell>
          <cell r="AA19">
            <v>156.63398527000845</v>
          </cell>
          <cell r="AB19">
            <v>174.00796931068982</v>
          </cell>
          <cell r="AE19">
            <v>10</v>
          </cell>
          <cell r="AF19">
            <v>7.2</v>
          </cell>
          <cell r="AG19">
            <v>9.2544987146529534E-2</v>
          </cell>
          <cell r="AH19">
            <v>77.800000000000026</v>
          </cell>
        </row>
        <row r="20">
          <cell r="B20" t="str">
            <v>11 Months</v>
          </cell>
          <cell r="P20" t="str">
            <v>11 Months</v>
          </cell>
          <cell r="Q20">
            <v>416.45244215938288</v>
          </cell>
          <cell r="R20">
            <v>61.629129809768614</v>
          </cell>
          <cell r="S20">
            <v>58.924871606956778</v>
          </cell>
          <cell r="T20">
            <v>61.832673723446739</v>
          </cell>
          <cell r="U20">
            <v>112.60854115470987</v>
          </cell>
          <cell r="V20">
            <v>112.79434524761514</v>
          </cell>
          <cell r="W20">
            <v>112.98045591727369</v>
          </cell>
          <cell r="X20">
            <v>127.31273287822934</v>
          </cell>
          <cell r="Y20">
            <v>130.35663886275572</v>
          </cell>
          <cell r="Z20">
            <v>136.24875893935223</v>
          </cell>
          <cell r="AA20">
            <v>150.68956620322737</v>
          </cell>
          <cell r="AB20">
            <v>156.63398527000845</v>
          </cell>
          <cell r="AE20">
            <v>11</v>
          </cell>
          <cell r="AF20">
            <v>7.2</v>
          </cell>
          <cell r="AG20">
            <v>9.2544987146529534E-2</v>
          </cell>
        </row>
        <row r="21">
          <cell r="B21" t="str">
            <v>12 Months</v>
          </cell>
          <cell r="P21" t="str">
            <v>12 Months</v>
          </cell>
          <cell r="R21">
            <v>404.88431876606671</v>
          </cell>
          <cell r="S21">
            <v>59.917209537275042</v>
          </cell>
          <cell r="T21">
            <v>57.288069617874648</v>
          </cell>
          <cell r="U21">
            <v>60.115099453351</v>
          </cell>
          <cell r="V21">
            <v>109.48052612263459</v>
          </cell>
          <cell r="W21">
            <v>109.66116899073694</v>
          </cell>
          <cell r="X21">
            <v>109.84210991957164</v>
          </cell>
          <cell r="Y21">
            <v>123.77626807605631</v>
          </cell>
          <cell r="Z21">
            <v>126.73562111656805</v>
          </cell>
          <cell r="AA21">
            <v>132.46407119103691</v>
          </cell>
          <cell r="AB21">
            <v>146.50374491980438</v>
          </cell>
          <cell r="AE21">
            <v>12</v>
          </cell>
          <cell r="AF21">
            <v>7</v>
          </cell>
          <cell r="AG21">
            <v>8.9974293059125937E-2</v>
          </cell>
        </row>
        <row r="22">
          <cell r="B22" t="str">
            <v>13 Months</v>
          </cell>
          <cell r="P22" t="str">
            <v>13 Months</v>
          </cell>
          <cell r="S22">
            <v>381.74807197943426</v>
          </cell>
          <cell r="T22">
            <v>56.493368992287891</v>
          </cell>
          <cell r="U22">
            <v>54.014465639710373</v>
          </cell>
          <cell r="V22">
            <v>56.679950913159509</v>
          </cell>
          <cell r="W22">
            <v>103.22449605848404</v>
          </cell>
          <cell r="X22">
            <v>103.39481647698052</v>
          </cell>
          <cell r="Y22">
            <v>103.56541792416753</v>
          </cell>
          <cell r="Z22">
            <v>116.70333847171021</v>
          </cell>
          <cell r="AA22">
            <v>119.49358562419272</v>
          </cell>
          <cell r="AB22">
            <v>124.8946956944062</v>
          </cell>
          <cell r="AE22">
            <v>13</v>
          </cell>
          <cell r="AF22">
            <v>6.6</v>
          </cell>
          <cell r="AG22">
            <v>8.483290488431873E-2</v>
          </cell>
        </row>
        <row r="23">
          <cell r="B23" t="str">
            <v>14 Months</v>
          </cell>
          <cell r="P23" t="str">
            <v>14 Months</v>
          </cell>
          <cell r="T23">
            <v>318.12339331619529</v>
          </cell>
          <cell r="U23">
            <v>47.077807493573246</v>
          </cell>
          <cell r="V23">
            <v>45.01205469975865</v>
          </cell>
          <cell r="W23">
            <v>47.233292427632925</v>
          </cell>
          <cell r="X23">
            <v>86.020413382070032</v>
          </cell>
          <cell r="Y23">
            <v>86.162347064150453</v>
          </cell>
          <cell r="Z23">
            <v>86.304514936806285</v>
          </cell>
          <cell r="AA23">
            <v>97.252782059758516</v>
          </cell>
          <cell r="AB23">
            <v>99.577988020160603</v>
          </cell>
          <cell r="AE23">
            <v>14</v>
          </cell>
          <cell r="AF23">
            <v>5.5</v>
          </cell>
          <cell r="AG23">
            <v>7.0694087403598949E-2</v>
          </cell>
        </row>
        <row r="24">
          <cell r="B24" t="str">
            <v>15 Months</v>
          </cell>
          <cell r="P24" t="str">
            <v>15 Months</v>
          </cell>
          <cell r="U24">
            <v>231.36246786632381</v>
          </cell>
          <cell r="V24">
            <v>34.238405449871451</v>
          </cell>
          <cell r="W24">
            <v>32.736039781642653</v>
          </cell>
          <cell r="X24">
            <v>34.351485401914857</v>
          </cell>
          <cell r="Y24">
            <v>62.560300641505478</v>
          </cell>
          <cell r="Z24">
            <v>62.663525137563958</v>
          </cell>
          <cell r="AA24">
            <v>62.766919954040937</v>
          </cell>
          <cell r="AB24">
            <v>70.729296043460735</v>
          </cell>
          <cell r="AE24">
            <v>15</v>
          </cell>
          <cell r="AF24">
            <v>4</v>
          </cell>
          <cell r="AG24">
            <v>5.141388174807196E-2</v>
          </cell>
        </row>
        <row r="25">
          <cell r="B25" t="str">
            <v>16 Months</v>
          </cell>
          <cell r="P25" t="str">
            <v>16 Months</v>
          </cell>
          <cell r="V25">
            <v>173.52185089974287</v>
          </cell>
          <cell r="W25">
            <v>25.678804087403588</v>
          </cell>
          <cell r="X25">
            <v>24.552029836231988</v>
          </cell>
          <cell r="Y25">
            <v>25.763614051436139</v>
          </cell>
          <cell r="Z25">
            <v>46.920225481129108</v>
          </cell>
          <cell r="AA25">
            <v>46.997643853172967</v>
          </cell>
          <cell r="AB25">
            <v>47.075189965530704</v>
          </cell>
          <cell r="AE25">
            <v>16</v>
          </cell>
          <cell r="AF25">
            <v>3</v>
          </cell>
          <cell r="AG25">
            <v>3.856041131105397E-2</v>
          </cell>
        </row>
        <row r="26">
          <cell r="B26" t="str">
            <v>17 Months</v>
          </cell>
          <cell r="P26" t="str">
            <v>17 Months</v>
          </cell>
          <cell r="W26">
            <v>115.68123393316191</v>
          </cell>
          <cell r="X26">
            <v>17.119202724935725</v>
          </cell>
          <cell r="Y26">
            <v>16.368019890821326</v>
          </cell>
          <cell r="Z26">
            <v>17.175742700957429</v>
          </cell>
          <cell r="AA26">
            <v>31.280150320752739</v>
          </cell>
          <cell r="AB26">
            <v>31.331762568781979</v>
          </cell>
          <cell r="AE26">
            <v>17</v>
          </cell>
          <cell r="AF26">
            <v>2</v>
          </cell>
          <cell r="AG26">
            <v>2.570694087403598E-2</v>
          </cell>
        </row>
        <row r="27">
          <cell r="B27" t="str">
            <v>18 Months</v>
          </cell>
          <cell r="P27" t="str">
            <v>18 Months</v>
          </cell>
          <cell r="X27">
            <v>86.760925449871436</v>
          </cell>
          <cell r="Y27">
            <v>12.839402043701794</v>
          </cell>
          <cell r="Z27">
            <v>12.276014918115994</v>
          </cell>
          <cell r="AA27">
            <v>12.88180702571807</v>
          </cell>
          <cell r="AB27">
            <v>23.460112740564554</v>
          </cell>
          <cell r="AE27">
            <v>18</v>
          </cell>
          <cell r="AF27">
            <v>1.5</v>
          </cell>
          <cell r="AG27">
            <v>1.9280205655526985E-2</v>
          </cell>
        </row>
        <row r="28">
          <cell r="B28" t="str">
            <v>19 Months</v>
          </cell>
          <cell r="P28" t="str">
            <v>19 Months</v>
          </cell>
          <cell r="Y28">
            <v>69.408740359897152</v>
          </cell>
          <cell r="Z28">
            <v>10.271521634961434</v>
          </cell>
          <cell r="AA28">
            <v>9.8208119344927951</v>
          </cell>
          <cell r="AB28">
            <v>10.305445620574456</v>
          </cell>
          <cell r="AE28">
            <v>19</v>
          </cell>
          <cell r="AF28">
            <v>1.2</v>
          </cell>
          <cell r="AG28">
            <v>1.5424164524421588E-2</v>
          </cell>
        </row>
        <row r="29">
          <cell r="B29" t="str">
            <v>20 Months</v>
          </cell>
          <cell r="P29" t="str">
            <v>20 Months</v>
          </cell>
          <cell r="Z29">
            <v>52.05655526992286</v>
          </cell>
          <cell r="AA29">
            <v>7.7036412262210767</v>
          </cell>
          <cell r="AB29">
            <v>7.3656089508695972</v>
          </cell>
          <cell r="AE29">
            <v>20</v>
          </cell>
          <cell r="AF29">
            <v>0.9</v>
          </cell>
          <cell r="AG29">
            <v>1.1568123393316192E-2</v>
          </cell>
        </row>
        <row r="30">
          <cell r="B30" t="str">
            <v>Total Patient Drop-Outs</v>
          </cell>
          <cell r="C30">
            <v>52.05655526992286</v>
          </cell>
          <cell r="D30">
            <v>77.112381586118232</v>
          </cell>
          <cell r="E30">
            <v>104.39805603570247</v>
          </cell>
          <cell r="F30">
            <v>146.07053212678733</v>
          </cell>
          <cell r="G30">
            <v>227.29858180770779</v>
          </cell>
          <cell r="H30">
            <v>319.15848221867031</v>
          </cell>
          <cell r="I30">
            <v>450.47129857474908</v>
          </cell>
          <cell r="J30">
            <v>576.84867314941653</v>
          </cell>
          <cell r="K30">
            <v>680.04417956358725</v>
          </cell>
          <cell r="L30">
            <v>783.83950159654296</v>
          </cell>
          <cell r="P30" t="str">
            <v>Total Patient Drop-Outs</v>
          </cell>
          <cell r="Q30">
            <v>891.87532436878359</v>
          </cell>
          <cell r="R30">
            <v>1000.0436661789447</v>
          </cell>
          <cell r="S30">
            <v>1103.74444410414</v>
          </cell>
          <cell r="T30">
            <v>1171.6517556066519</v>
          </cell>
          <cell r="U30">
            <v>1214.4020710040077</v>
          </cell>
          <cell r="V30">
            <v>1279.2642164034869</v>
          </cell>
          <cell r="W30">
            <v>1341.0939112322997</v>
          </cell>
          <cell r="X30">
            <v>1422.7484559179313</v>
          </cell>
          <cell r="Y30">
            <v>1507.7799233879105</v>
          </cell>
          <cell r="Z30">
            <v>1587.6320281240182</v>
          </cell>
          <cell r="AA30">
            <v>1623.7597008916359</v>
          </cell>
          <cell r="AB30">
            <v>1699.1647344146727</v>
          </cell>
        </row>
        <row r="31">
          <cell r="B31" t="str">
            <v>Patients at Start of Period</v>
          </cell>
          <cell r="C31">
            <v>0</v>
          </cell>
          <cell r="D31">
            <v>4447.9434447300773</v>
          </cell>
          <cell r="E31">
            <v>5036.7680491439587</v>
          </cell>
          <cell r="F31">
            <v>5569.0859668612065</v>
          </cell>
          <cell r="G31">
            <v>6091.151825801664</v>
          </cell>
          <cell r="H31">
            <v>7080.651091471238</v>
          </cell>
          <cell r="I31">
            <v>7980.2981731781874</v>
          </cell>
          <cell r="J31">
            <v>8750.6434677095367</v>
          </cell>
          <cell r="K31">
            <v>9549.4796026054319</v>
          </cell>
          <cell r="L31">
            <v>10278.011326308844</v>
          </cell>
          <cell r="P31" t="str">
            <v>Patients at Start of Period</v>
          </cell>
          <cell r="Q31">
            <v>10966.415358806968</v>
          </cell>
          <cell r="R31">
            <v>11702.824513689724</v>
          </cell>
          <cell r="S31">
            <v>12395.298077233927</v>
          </cell>
          <cell r="T31">
            <v>13171.806412625852</v>
          </cell>
          <cell r="U31">
            <v>13914.384528955241</v>
          </cell>
          <cell r="V31">
            <v>14648.29642774411</v>
          </cell>
          <cell r="W31">
            <v>15351.537545022435</v>
          </cell>
          <cell r="X31">
            <v>15996.220101272524</v>
          </cell>
          <cell r="Y31">
            <v>16593.603597112291</v>
          </cell>
          <cell r="Z31">
            <v>17140.419076579063</v>
          </cell>
          <cell r="AA31">
            <v>17641.954131986095</v>
          </cell>
          <cell r="AB31">
            <v>18110.808640313338</v>
          </cell>
        </row>
        <row r="32">
          <cell r="B32" t="str">
            <v>Patients at End of Period</v>
          </cell>
          <cell r="C32">
            <v>4447.9434447300773</v>
          </cell>
          <cell r="D32">
            <v>5036.7680491439587</v>
          </cell>
          <cell r="E32">
            <v>5569.0859668612065</v>
          </cell>
          <cell r="F32">
            <v>6091.151825801664</v>
          </cell>
          <cell r="G32">
            <v>7080.651091471238</v>
          </cell>
          <cell r="H32">
            <v>7980.2981731781874</v>
          </cell>
          <cell r="I32">
            <v>8750.6434677095367</v>
          </cell>
          <cell r="J32">
            <v>9549.4796026054319</v>
          </cell>
          <cell r="K32">
            <v>10278.011326308844</v>
          </cell>
          <cell r="L32">
            <v>10966.415358806968</v>
          </cell>
          <cell r="P32" t="str">
            <v>Patients at End of Period</v>
          </cell>
          <cell r="Q32">
            <v>11702.824513689724</v>
          </cell>
          <cell r="R32">
            <v>12395.298077233927</v>
          </cell>
          <cell r="S32">
            <v>13171.806412625852</v>
          </cell>
          <cell r="T32">
            <v>13914.384528955241</v>
          </cell>
          <cell r="U32">
            <v>14648.29642774411</v>
          </cell>
          <cell r="V32">
            <v>15351.537545022435</v>
          </cell>
          <cell r="W32">
            <v>15996.220101272524</v>
          </cell>
          <cell r="X32">
            <v>16593.603597112291</v>
          </cell>
          <cell r="Y32">
            <v>17140.419076579063</v>
          </cell>
          <cell r="Z32">
            <v>17641.954131986095</v>
          </cell>
          <cell r="AA32">
            <v>18110.808640313338</v>
          </cell>
          <cell r="AB32">
            <v>18507.710928562756</v>
          </cell>
        </row>
        <row r="34">
          <cell r="B34" t="str">
            <v>Total Patient Days</v>
          </cell>
          <cell r="C34">
            <v>82509.350899742945</v>
          </cell>
          <cell r="D34">
            <v>131450.00183242085</v>
          </cell>
          <cell r="E34">
            <v>146351.83166713189</v>
          </cell>
          <cell r="F34">
            <v>160496.79843688456</v>
          </cell>
          <cell r="G34">
            <v>179945.42295666158</v>
          </cell>
          <cell r="H34">
            <v>205105.32511190866</v>
          </cell>
          <cell r="I34">
            <v>226644.72736962023</v>
          </cell>
          <cell r="J34">
            <v>246681.37251187017</v>
          </cell>
          <cell r="K34">
            <v>266585.24979247933</v>
          </cell>
          <cell r="L34">
            <v>284902.36485847033</v>
          </cell>
          <cell r="P34" t="str">
            <v>Total Patient Days</v>
          </cell>
          <cell r="Q34">
            <v>304256.21414927888</v>
          </cell>
          <cell r="R34">
            <v>322721.48581298249</v>
          </cell>
          <cell r="S34">
            <v>340512.77522210806</v>
          </cell>
          <cell r="T34">
            <v>360793.60723810934</v>
          </cell>
          <cell r="U34">
            <v>380830.17473145231</v>
          </cell>
          <cell r="V34">
            <v>400006.34598871687</v>
          </cell>
          <cell r="W34">
            <v>418008.22700002068</v>
          </cell>
          <cell r="X34">
            <v>434217.91484519071</v>
          </cell>
          <cell r="Y34">
            <v>449010.07333125081</v>
          </cell>
          <cell r="Z34">
            <v>462532.75108846836</v>
          </cell>
          <cell r="AA34">
            <v>475608.79808002932</v>
          </cell>
          <cell r="AB34">
            <v>486670.0973086626</v>
          </cell>
        </row>
        <row r="35">
          <cell r="B35" t="str">
            <v>Average Cost/Day</v>
          </cell>
          <cell r="C35">
            <v>146.66666666666666</v>
          </cell>
          <cell r="D35">
            <v>146.66666666666666</v>
          </cell>
          <cell r="E35">
            <v>146.66666666666666</v>
          </cell>
          <cell r="F35">
            <v>146.66666666666666</v>
          </cell>
          <cell r="G35">
            <v>146.66666666666666</v>
          </cell>
          <cell r="H35">
            <v>146.66666666666666</v>
          </cell>
          <cell r="I35">
            <v>146.66666666666666</v>
          </cell>
          <cell r="J35">
            <v>146.66666666666666</v>
          </cell>
          <cell r="K35">
            <v>146.66666666666666</v>
          </cell>
          <cell r="L35">
            <v>146.66666666666666</v>
          </cell>
          <cell r="P35" t="str">
            <v>Average Cost/Day</v>
          </cell>
          <cell r="Q35">
            <v>146.66666666666666</v>
          </cell>
          <cell r="R35">
            <v>146.66666666666666</v>
          </cell>
          <cell r="S35">
            <v>146.66666666666666</v>
          </cell>
          <cell r="T35">
            <v>146.66666666666666</v>
          </cell>
          <cell r="U35">
            <v>146.66666666666666</v>
          </cell>
          <cell r="V35">
            <v>146.66666666666666</v>
          </cell>
          <cell r="W35">
            <v>146.66666666666666</v>
          </cell>
          <cell r="X35">
            <v>146.66666666666666</v>
          </cell>
          <cell r="Y35">
            <v>146.66666666666666</v>
          </cell>
          <cell r="Z35">
            <v>146.66666666666666</v>
          </cell>
          <cell r="AA35">
            <v>146.66666666666666</v>
          </cell>
          <cell r="AB35">
            <v>146.66666666666666</v>
          </cell>
        </row>
        <row r="37">
          <cell r="B37" t="str">
            <v>Monthly Sales</v>
          </cell>
          <cell r="C37">
            <v>12101.371465295631</v>
          </cell>
          <cell r="D37">
            <v>19279.333602088391</v>
          </cell>
          <cell r="E37">
            <v>21464.935311179343</v>
          </cell>
          <cell r="F37">
            <v>23539.530437409736</v>
          </cell>
          <cell r="G37">
            <v>26391.995366977033</v>
          </cell>
          <cell r="H37">
            <v>30082.114349746604</v>
          </cell>
          <cell r="I37">
            <v>33241.226680877633</v>
          </cell>
          <cell r="J37">
            <v>36179.934635074285</v>
          </cell>
          <cell r="K37">
            <v>39099.169969563634</v>
          </cell>
          <cell r="L37">
            <v>41785.680179242314</v>
          </cell>
          <cell r="M37">
            <v>283165.29199745459</v>
          </cell>
          <cell r="P37" t="str">
            <v>Monthly Sales</v>
          </cell>
          <cell r="Q37">
            <v>44624.244741894232</v>
          </cell>
          <cell r="R37">
            <v>47332.484585904094</v>
          </cell>
          <cell r="S37">
            <v>49941.873699242511</v>
          </cell>
          <cell r="T37">
            <v>52916.39572825603</v>
          </cell>
          <cell r="U37">
            <v>55855.092293946334</v>
          </cell>
          <cell r="V37">
            <v>58667.597411678471</v>
          </cell>
          <cell r="W37">
            <v>61307.873293336364</v>
          </cell>
          <cell r="X37">
            <v>63685.294177294636</v>
          </cell>
          <cell r="Y37">
            <v>65854.810755250117</v>
          </cell>
          <cell r="Z37">
            <v>67838.136826308677</v>
          </cell>
          <cell r="AA37">
            <v>69755.957051737627</v>
          </cell>
          <cell r="AB37">
            <v>71378.280938603843</v>
          </cell>
          <cell r="AC37">
            <v>709158.04150345293</v>
          </cell>
        </row>
        <row r="38">
          <cell r="C38" t="str">
            <v>1Q04</v>
          </cell>
          <cell r="F38" t="str">
            <v>2Q04</v>
          </cell>
          <cell r="I38" t="str">
            <v>3Q04</v>
          </cell>
          <cell r="L38" t="str">
            <v>4Q04</v>
          </cell>
          <cell r="M38">
            <v>2004</v>
          </cell>
          <cell r="S38" t="str">
            <v>1Q05</v>
          </cell>
          <cell r="V38" t="str">
            <v>2Q05</v>
          </cell>
          <cell r="Y38" t="str">
            <v>3Q05</v>
          </cell>
          <cell r="AB38" t="str">
            <v>4Q05</v>
          </cell>
          <cell r="AC38">
            <v>2005</v>
          </cell>
        </row>
        <row r="39">
          <cell r="B39" t="str">
            <v>Front-line Sales</v>
          </cell>
          <cell r="C39">
            <v>12101.371465295631</v>
          </cell>
          <cell r="F39">
            <v>64283.799350677466</v>
          </cell>
          <cell r="I39">
            <v>89715.336397601262</v>
          </cell>
          <cell r="L39">
            <v>117064.78478388023</v>
          </cell>
          <cell r="M39">
            <v>283165.29199745459</v>
          </cell>
          <cell r="P39" t="str">
            <v>Total Sales</v>
          </cell>
          <cell r="S39">
            <v>141898.60302704084</v>
          </cell>
          <cell r="V39">
            <v>167439.08543388083</v>
          </cell>
          <cell r="Y39">
            <v>190847.97822588112</v>
          </cell>
          <cell r="AB39">
            <v>208972.37481665018</v>
          </cell>
          <cell r="AC39">
            <v>709158.04150345293</v>
          </cell>
        </row>
        <row r="41">
          <cell r="B41" t="str">
            <v>Relapsed / Refractory</v>
          </cell>
          <cell r="C41">
            <v>38047</v>
          </cell>
          <cell r="D41">
            <v>38078</v>
          </cell>
          <cell r="E41">
            <v>38108</v>
          </cell>
          <cell r="F41">
            <v>38139</v>
          </cell>
          <cell r="G41">
            <v>38169</v>
          </cell>
          <cell r="H41">
            <v>38200</v>
          </cell>
          <cell r="I41">
            <v>38231</v>
          </cell>
          <cell r="J41">
            <v>38261</v>
          </cell>
          <cell r="K41">
            <v>38292</v>
          </cell>
          <cell r="L41">
            <v>38322</v>
          </cell>
          <cell r="M41">
            <v>2004</v>
          </cell>
          <cell r="P41" t="str">
            <v>Relapsed / Refractory</v>
          </cell>
          <cell r="Q41">
            <v>38353</v>
          </cell>
          <cell r="R41">
            <v>38384</v>
          </cell>
          <cell r="S41">
            <v>38412</v>
          </cell>
          <cell r="T41">
            <v>38443</v>
          </cell>
          <cell r="U41">
            <v>38473</v>
          </cell>
          <cell r="V41">
            <v>38504</v>
          </cell>
          <cell r="W41">
            <v>38534</v>
          </cell>
          <cell r="X41">
            <v>38565</v>
          </cell>
          <cell r="Y41">
            <v>38596</v>
          </cell>
          <cell r="Z41">
            <v>38626</v>
          </cell>
          <cell r="AA41">
            <v>38657</v>
          </cell>
          <cell r="AB41">
            <v>38687</v>
          </cell>
          <cell r="AC41">
            <v>2005</v>
          </cell>
        </row>
        <row r="42">
          <cell r="B42" t="str">
            <v>Previously relapsed Pts Wainting for Therapy</v>
          </cell>
          <cell r="C42">
            <v>25000</v>
          </cell>
        </row>
        <row r="43">
          <cell r="B43" t="str">
            <v>New Relapsing Patients</v>
          </cell>
          <cell r="C43">
            <v>2593</v>
          </cell>
          <cell r="D43">
            <v>2597.2784499999998</v>
          </cell>
          <cell r="E43">
            <v>2601.5639594424997</v>
          </cell>
          <cell r="F43">
            <v>2605.8565399755798</v>
          </cell>
          <cell r="G43">
            <v>2610.1562032665393</v>
          </cell>
          <cell r="H43">
            <v>2614.4629610019288</v>
          </cell>
          <cell r="I43">
            <v>2618.7768248875818</v>
          </cell>
          <cell r="J43">
            <v>2623.0978066486459</v>
          </cell>
          <cell r="K43">
            <v>2627.4259180296158</v>
          </cell>
          <cell r="L43">
            <v>2631.7611707943643</v>
          </cell>
          <cell r="M43">
            <v>26123.379834046755</v>
          </cell>
          <cell r="P43" t="str">
            <v>New Relapsing Patients</v>
          </cell>
          <cell r="Q43">
            <v>2636.1035767261747</v>
          </cell>
          <cell r="R43">
            <v>2640.4531476277725</v>
          </cell>
          <cell r="S43">
            <v>2644.809895321358</v>
          </cell>
          <cell r="T43">
            <v>2649.173831648638</v>
          </cell>
          <cell r="U43">
            <v>2653.5449684708583</v>
          </cell>
          <cell r="V43">
            <v>2657.9233176688349</v>
          </cell>
          <cell r="W43">
            <v>2662.3088911429882</v>
          </cell>
          <cell r="X43">
            <v>2666.7017008133739</v>
          </cell>
          <cell r="Y43">
            <v>2671.1017586197158</v>
          </cell>
          <cell r="Z43">
            <v>2675.5090765214381</v>
          </cell>
          <cell r="AA43">
            <v>2679.9236664976984</v>
          </cell>
          <cell r="AB43">
            <v>2684.3455405474192</v>
          </cell>
          <cell r="AC43">
            <v>31921.899371606272</v>
          </cell>
        </row>
        <row r="44">
          <cell r="C44">
            <v>0.18</v>
          </cell>
          <cell r="D44">
            <v>0.34</v>
          </cell>
          <cell r="E44">
            <v>0.34</v>
          </cell>
          <cell r="F44">
            <v>0.34</v>
          </cell>
          <cell r="G44">
            <v>0.34</v>
          </cell>
          <cell r="H44">
            <v>0.34</v>
          </cell>
          <cell r="I44">
            <v>0.34</v>
          </cell>
          <cell r="J44">
            <v>0.36</v>
          </cell>
          <cell r="K44">
            <v>0.36</v>
          </cell>
          <cell r="L44">
            <v>0.36</v>
          </cell>
          <cell r="Q44">
            <v>0.4</v>
          </cell>
          <cell r="R44">
            <v>0.43</v>
          </cell>
          <cell r="S44">
            <v>0.47</v>
          </cell>
          <cell r="T44">
            <v>0.48</v>
          </cell>
          <cell r="U44">
            <v>0.49</v>
          </cell>
          <cell r="V44">
            <v>0.49</v>
          </cell>
          <cell r="W44">
            <v>0.5</v>
          </cell>
          <cell r="X44">
            <v>0.5</v>
          </cell>
          <cell r="Y44">
            <v>0.5</v>
          </cell>
          <cell r="Z44">
            <v>0.5</v>
          </cell>
          <cell r="AA44">
            <v>0.5</v>
          </cell>
          <cell r="AB44">
            <v>0.5</v>
          </cell>
          <cell r="AC44">
            <v>0.48014264355070313</v>
          </cell>
        </row>
        <row r="45">
          <cell r="B45" t="str">
            <v>New Patients Starting Therapy</v>
          </cell>
          <cell r="C45">
            <v>4600</v>
          </cell>
          <cell r="D45">
            <v>883.07467299999996</v>
          </cell>
          <cell r="E45">
            <v>884.53174621044991</v>
          </cell>
          <cell r="F45">
            <v>885.99122359169723</v>
          </cell>
          <cell r="G45">
            <v>887.45310911062336</v>
          </cell>
          <cell r="H45">
            <v>888.91740674065579</v>
          </cell>
          <cell r="I45">
            <v>890.38412046177791</v>
          </cell>
          <cell r="J45">
            <v>944.31521039351253</v>
          </cell>
          <cell r="K45">
            <v>945.8733304906616</v>
          </cell>
          <cell r="L45">
            <v>947.43402148597113</v>
          </cell>
          <cell r="M45">
            <v>12757.974841485349</v>
          </cell>
          <cell r="P45" t="str">
            <v>New Patients Starting Therapy</v>
          </cell>
          <cell r="Q45">
            <v>1054.4414306904698</v>
          </cell>
          <cell r="R45">
            <v>1135.3948534799422</v>
          </cell>
          <cell r="S45">
            <v>1243.0606508010383</v>
          </cell>
          <cell r="T45">
            <v>1271.6034391913463</v>
          </cell>
          <cell r="U45">
            <v>1300.2370345507206</v>
          </cell>
          <cell r="V45">
            <v>1302.3824256577291</v>
          </cell>
          <cell r="W45">
            <v>1331.1544455714941</v>
          </cell>
          <cell r="X45">
            <v>1333.350850406687</v>
          </cell>
          <cell r="Y45">
            <v>1335.5508793098579</v>
          </cell>
          <cell r="Z45">
            <v>1337.7545382607191</v>
          </cell>
          <cell r="AA45">
            <v>1339.9618332488492</v>
          </cell>
          <cell r="AB45">
            <v>1342.1727702737096</v>
          </cell>
          <cell r="AC45">
            <v>15327.065151442564</v>
          </cell>
        </row>
        <row r="46">
          <cell r="B46" t="str">
            <v>Failures</v>
          </cell>
          <cell r="P46" t="str">
            <v>Failures</v>
          </cell>
          <cell r="AE46" t="str">
            <v>Distribution of Failure Rates</v>
          </cell>
        </row>
        <row r="47">
          <cell r="B47" t="str">
            <v>1 Month</v>
          </cell>
          <cell r="C47">
            <v>8.9008176767992015</v>
          </cell>
          <cell r="D47">
            <v>1.708714491167842</v>
          </cell>
          <cell r="E47">
            <v>1.711533870078269</v>
          </cell>
          <cell r="F47">
            <v>1.7143579009638983</v>
          </cell>
          <cell r="G47">
            <v>1.7171865915004882</v>
          </cell>
          <cell r="H47">
            <v>1.7200199493764639</v>
          </cell>
          <cell r="I47">
            <v>1.7228579822929351</v>
          </cell>
          <cell r="J47">
            <v>1.8272125037262896</v>
          </cell>
          <cell r="K47">
            <v>1.8302274043574376</v>
          </cell>
          <cell r="L47">
            <v>1.8332472795746273</v>
          </cell>
          <cell r="P47" t="str">
            <v>1 Month</v>
          </cell>
          <cell r="Q47">
            <v>2.0403023750954725</v>
          </cell>
          <cell r="R47">
            <v>2.1969440395654583</v>
          </cell>
          <cell r="S47">
            <v>2.4052730899963914</v>
          </cell>
          <cell r="T47">
            <v>2.4605022542245636</v>
          </cell>
          <cell r="U47">
            <v>2.5159071263387016</v>
          </cell>
          <cell r="V47">
            <v>2.52005837309716</v>
          </cell>
          <cell r="W47">
            <v>2.5757310912375204</v>
          </cell>
          <cell r="X47">
            <v>2.579981047538062</v>
          </cell>
          <cell r="Y47">
            <v>2.5842380162664997</v>
          </cell>
          <cell r="Z47">
            <v>2.5885020089933395</v>
          </cell>
          <cell r="AA47">
            <v>2.5927730373081781</v>
          </cell>
          <cell r="AB47">
            <v>2.5970511128197362</v>
          </cell>
          <cell r="AE47">
            <v>1</v>
          </cell>
          <cell r="AF47">
            <v>0.62</v>
          </cell>
          <cell r="AG47">
            <v>1.9349603645215654E-3</v>
          </cell>
        </row>
        <row r="48">
          <cell r="B48" t="str">
            <v>2 Months</v>
          </cell>
          <cell r="D48">
            <v>34.454778103738839</v>
          </cell>
          <cell r="E48">
            <v>6.6143786754884211</v>
          </cell>
          <cell r="F48">
            <v>6.6252924003029765</v>
          </cell>
          <cell r="G48">
            <v>6.636224132763477</v>
          </cell>
          <cell r="H48">
            <v>6.6471739025825354</v>
          </cell>
          <cell r="I48">
            <v>6.6581417395217954</v>
          </cell>
          <cell r="J48">
            <v>6.6691276733920066</v>
          </cell>
          <cell r="K48">
            <v>7.0730806595856377</v>
          </cell>
          <cell r="L48">
            <v>7.0847512426739518</v>
          </cell>
          <cell r="P48" t="str">
            <v>2 Months</v>
          </cell>
          <cell r="Q48">
            <v>7.0964410822243638</v>
          </cell>
          <cell r="R48">
            <v>7.8979446777889253</v>
          </cell>
          <cell r="S48">
            <v>8.5042995079953219</v>
          </cell>
          <cell r="T48">
            <v>9.310734541921514</v>
          </cell>
          <cell r="U48">
            <v>9.5245248550628272</v>
          </cell>
          <cell r="V48">
            <v>9.7389953277627157</v>
          </cell>
          <cell r="W48">
            <v>9.7550646700535228</v>
          </cell>
          <cell r="X48">
            <v>9.9705719660807244</v>
          </cell>
          <cell r="Y48">
            <v>9.9870234098247561</v>
          </cell>
          <cell r="Z48">
            <v>10.003501998450966</v>
          </cell>
          <cell r="AA48">
            <v>10.020007776748411</v>
          </cell>
          <cell r="AB48">
            <v>10.036540789580044</v>
          </cell>
          <cell r="AE48">
            <v>2</v>
          </cell>
          <cell r="AF48">
            <v>2.4</v>
          </cell>
          <cell r="AG48">
            <v>7.4901691529867045E-3</v>
          </cell>
        </row>
        <row r="49">
          <cell r="B49" t="str">
            <v>3 Months</v>
          </cell>
          <cell r="E49">
            <v>117.72049185444104</v>
          </cell>
          <cell r="F49">
            <v>22.599127141252104</v>
          </cell>
          <cell r="G49">
            <v>22.636415701035169</v>
          </cell>
          <cell r="H49">
            <v>22.673765786941878</v>
          </cell>
          <cell r="I49">
            <v>22.711177500490326</v>
          </cell>
          <cell r="J49">
            <v>22.748650943366133</v>
          </cell>
          <cell r="K49">
            <v>22.786186217422689</v>
          </cell>
          <cell r="L49">
            <v>24.166358920250925</v>
          </cell>
          <cell r="P49" t="str">
            <v>3 Months</v>
          </cell>
          <cell r="Q49">
            <v>24.206233412469334</v>
          </cell>
          <cell r="R49">
            <v>24.246173697599907</v>
          </cell>
          <cell r="S49">
            <v>26.984644315778826</v>
          </cell>
          <cell r="T49">
            <v>29.056356652317348</v>
          </cell>
          <cell r="U49">
            <v>31.811676351565172</v>
          </cell>
          <cell r="V49">
            <v>32.542126588131325</v>
          </cell>
          <cell r="W49">
            <v>33.274900703189275</v>
          </cell>
          <cell r="X49">
            <v>33.329804289349532</v>
          </cell>
          <cell r="Y49">
            <v>34.066120884109139</v>
          </cell>
          <cell r="Z49">
            <v>34.122329983567916</v>
          </cell>
          <cell r="AA49">
            <v>34.1786318280408</v>
          </cell>
          <cell r="AB49">
            <v>34.235026570557068</v>
          </cell>
          <cell r="AE49">
            <v>3</v>
          </cell>
          <cell r="AF49">
            <v>8.1999999999999993</v>
          </cell>
          <cell r="AG49">
            <v>2.5591411272704572E-2</v>
          </cell>
        </row>
        <row r="50">
          <cell r="B50" t="str">
            <v>4 Months</v>
          </cell>
          <cell r="F50">
            <v>301.47930840771488</v>
          </cell>
          <cell r="G50">
            <v>57.875813410523683</v>
          </cell>
          <cell r="H50">
            <v>57.971308502651041</v>
          </cell>
          <cell r="I50">
            <v>58.066961161680425</v>
          </cell>
          <cell r="J50">
            <v>58.162771647597182</v>
          </cell>
          <cell r="K50">
            <v>58.258740220815717</v>
          </cell>
          <cell r="L50">
            <v>58.354867142180062</v>
          </cell>
          <cell r="P50" t="str">
            <v>4 Months</v>
          </cell>
          <cell r="Q50">
            <v>61.88945577137433</v>
          </cell>
          <cell r="R50">
            <v>61.991573373397081</v>
          </cell>
          <cell r="S50">
            <v>62.093859469463183</v>
          </cell>
          <cell r="T50">
            <v>69.107015930653091</v>
          </cell>
          <cell r="U50">
            <v>74.412620694959074</v>
          </cell>
          <cell r="V50">
            <v>81.468927241813248</v>
          </cell>
          <cell r="W50">
            <v>83.339592481799741</v>
          </cell>
          <cell r="X50">
            <v>85.216209117923768</v>
          </cell>
          <cell r="Y50">
            <v>85.356815862968318</v>
          </cell>
          <cell r="Z50">
            <v>87.242504703206336</v>
          </cell>
          <cell r="AA50">
            <v>87.386454835966617</v>
          </cell>
          <cell r="AB50">
            <v>87.53064248644597</v>
          </cell>
          <cell r="AE50">
            <v>4</v>
          </cell>
          <cell r="AF50">
            <v>21</v>
          </cell>
          <cell r="AG50">
            <v>6.5538980088633667E-2</v>
          </cell>
        </row>
        <row r="51">
          <cell r="B51" t="str">
            <v>5 Months</v>
          </cell>
          <cell r="G51">
            <v>674.73940453155228</v>
          </cell>
          <cell r="H51">
            <v>129.53158239498157</v>
          </cell>
          <cell r="I51">
            <v>129.74530950593328</v>
          </cell>
          <cell r="J51">
            <v>129.95938926661807</v>
          </cell>
          <cell r="K51">
            <v>130.17382225890796</v>
          </cell>
          <cell r="L51">
            <v>130.38860906563517</v>
          </cell>
          <cell r="P51" t="str">
            <v>5 Months</v>
          </cell>
          <cell r="Q51">
            <v>130.60375027059345</v>
          </cell>
          <cell r="R51">
            <v>138.51449625021871</v>
          </cell>
          <cell r="S51">
            <v>138.74304516903155</v>
          </cell>
          <cell r="T51">
            <v>138.97197119356045</v>
          </cell>
          <cell r="U51">
            <v>154.66808327336645</v>
          </cell>
          <cell r="V51">
            <v>166.54253203157504</v>
          </cell>
          <cell r="W51">
            <v>182.33521811262966</v>
          </cell>
          <cell r="X51">
            <v>186.52194507831368</v>
          </cell>
          <cell r="Y51">
            <v>190.72199183535318</v>
          </cell>
          <cell r="Z51">
            <v>191.03668312188145</v>
          </cell>
          <cell r="AA51">
            <v>195.25703433574751</v>
          </cell>
          <cell r="AB51">
            <v>195.57920844240147</v>
          </cell>
          <cell r="AE51">
            <v>5</v>
          </cell>
          <cell r="AF51">
            <v>47</v>
          </cell>
          <cell r="AG51">
            <v>0.14668247924598962</v>
          </cell>
        </row>
        <row r="52">
          <cell r="B52" t="str">
            <v>6 Months</v>
          </cell>
          <cell r="H52">
            <v>1162.8487610011857</v>
          </cell>
          <cell r="I52">
            <v>223.23528029773419</v>
          </cell>
          <cell r="J52">
            <v>223.60361851022543</v>
          </cell>
          <cell r="K52">
            <v>223.97256448076732</v>
          </cell>
          <cell r="L52">
            <v>224.34211921216055</v>
          </cell>
          <cell r="P52" t="str">
            <v>6 Months</v>
          </cell>
          <cell r="Q52">
            <v>224.71228370886058</v>
          </cell>
          <cell r="R52">
            <v>225.08305897698023</v>
          </cell>
          <cell r="S52">
            <v>238.71647226101524</v>
          </cell>
          <cell r="T52">
            <v>239.11035444024586</v>
          </cell>
          <cell r="U52">
            <v>239.50488652507227</v>
          </cell>
          <cell r="V52">
            <v>266.5556328753762</v>
          </cell>
          <cell r="W52">
            <v>287.02010839484211</v>
          </cell>
          <cell r="X52">
            <v>314.2372907898511</v>
          </cell>
          <cell r="Y52">
            <v>321.45271385837037</v>
          </cell>
          <cell r="Z52">
            <v>328.69109231199161</v>
          </cell>
          <cell r="AA52">
            <v>329.23343261430637</v>
          </cell>
          <cell r="AB52">
            <v>336.5068038552244</v>
          </cell>
          <cell r="AE52">
            <v>6</v>
          </cell>
          <cell r="AF52">
            <v>81</v>
          </cell>
          <cell r="AG52">
            <v>0.25279320891330126</v>
          </cell>
        </row>
        <row r="53">
          <cell r="B53" t="str">
            <v>7 Months</v>
          </cell>
          <cell r="I53">
            <v>1162.8487610011857</v>
          </cell>
          <cell r="J53">
            <v>223.23528029773419</v>
          </cell>
          <cell r="K53">
            <v>223.60361851022543</v>
          </cell>
          <cell r="L53">
            <v>223.97256448076732</v>
          </cell>
          <cell r="P53" t="str">
            <v>7 Months</v>
          </cell>
          <cell r="Q53">
            <v>224.34211921216055</v>
          </cell>
          <cell r="R53">
            <v>224.71228370886058</v>
          </cell>
          <cell r="S53">
            <v>225.08305897698023</v>
          </cell>
          <cell r="T53">
            <v>238.71647226101524</v>
          </cell>
          <cell r="U53">
            <v>239.11035444024586</v>
          </cell>
          <cell r="V53">
            <v>239.50488652507227</v>
          </cell>
          <cell r="W53">
            <v>266.5556328753762</v>
          </cell>
          <cell r="X53">
            <v>287.02010839484211</v>
          </cell>
          <cell r="Y53">
            <v>314.2372907898511</v>
          </cell>
          <cell r="Z53">
            <v>321.45271385837037</v>
          </cell>
          <cell r="AA53">
            <v>328.69109231199161</v>
          </cell>
          <cell r="AB53">
            <v>329.23343261430637</v>
          </cell>
          <cell r="AE53">
            <v>7</v>
          </cell>
          <cell r="AF53">
            <v>81</v>
          </cell>
          <cell r="AG53">
            <v>0.25279320891330126</v>
          </cell>
          <cell r="AH53">
            <v>320.42</v>
          </cell>
        </row>
        <row r="54">
          <cell r="B54" t="str">
            <v>8 Months</v>
          </cell>
          <cell r="J54">
            <v>674.73940453155228</v>
          </cell>
          <cell r="K54">
            <v>129.53158239498157</v>
          </cell>
          <cell r="L54">
            <v>129.74530950593328</v>
          </cell>
          <cell r="P54" t="str">
            <v>8 Months</v>
          </cell>
          <cell r="Q54">
            <v>129.95938926661807</v>
          </cell>
          <cell r="R54">
            <v>130.17382225890796</v>
          </cell>
          <cell r="S54">
            <v>130.38860906563517</v>
          </cell>
          <cell r="T54">
            <v>130.60375027059345</v>
          </cell>
          <cell r="U54">
            <v>138.51449625021871</v>
          </cell>
          <cell r="V54">
            <v>138.74304516903155</v>
          </cell>
          <cell r="W54">
            <v>138.97197119356045</v>
          </cell>
          <cell r="X54">
            <v>154.66808327336645</v>
          </cell>
          <cell r="Y54">
            <v>166.54253203157504</v>
          </cell>
          <cell r="Z54">
            <v>182.33521811262966</v>
          </cell>
          <cell r="AA54">
            <v>186.52194507831368</v>
          </cell>
          <cell r="AB54">
            <v>190.72199183535318</v>
          </cell>
          <cell r="AE54">
            <v>8</v>
          </cell>
          <cell r="AF54">
            <v>47</v>
          </cell>
          <cell r="AG54">
            <v>0.14668247924598962</v>
          </cell>
        </row>
        <row r="55">
          <cell r="B55" t="str">
            <v>9 Months</v>
          </cell>
          <cell r="K55">
            <v>301.47930840771488</v>
          </cell>
          <cell r="L55">
            <v>57.875813410523683</v>
          </cell>
          <cell r="P55" t="str">
            <v>9 Months</v>
          </cell>
          <cell r="Q55">
            <v>57.971308502651041</v>
          </cell>
          <cell r="R55">
            <v>58.066961161680425</v>
          </cell>
          <cell r="S55">
            <v>58.162771647597182</v>
          </cell>
          <cell r="T55">
            <v>58.258740220815717</v>
          </cell>
          <cell r="U55">
            <v>58.354867142180062</v>
          </cell>
          <cell r="V55">
            <v>61.88945577137433</v>
          </cell>
          <cell r="W55">
            <v>61.991573373397081</v>
          </cell>
          <cell r="X55">
            <v>62.093859469463183</v>
          </cell>
          <cell r="Y55">
            <v>69.107015930653091</v>
          </cell>
          <cell r="Z55">
            <v>74.412620694959074</v>
          </cell>
          <cell r="AA55">
            <v>81.468927241813248</v>
          </cell>
          <cell r="AB55">
            <v>83.339592481799741</v>
          </cell>
          <cell r="AE55">
            <v>9</v>
          </cell>
          <cell r="AF55">
            <v>21</v>
          </cell>
          <cell r="AG55">
            <v>6.5538980088633667E-2</v>
          </cell>
        </row>
        <row r="56">
          <cell r="B56" t="str">
            <v>10 Months</v>
          </cell>
          <cell r="L56">
            <v>117.72049185444104</v>
          </cell>
          <cell r="P56" t="str">
            <v>10 Months</v>
          </cell>
          <cell r="Q56">
            <v>22.599127141252104</v>
          </cell>
          <cell r="R56">
            <v>22.636415701035169</v>
          </cell>
          <cell r="S56">
            <v>22.673765786941878</v>
          </cell>
          <cell r="T56">
            <v>22.711177500490326</v>
          </cell>
          <cell r="U56">
            <v>22.748650943366133</v>
          </cell>
          <cell r="V56">
            <v>22.786186217422689</v>
          </cell>
          <cell r="W56">
            <v>24.166358920250925</v>
          </cell>
          <cell r="X56">
            <v>24.206233412469334</v>
          </cell>
          <cell r="Y56">
            <v>24.246173697599907</v>
          </cell>
          <cell r="Z56">
            <v>26.984644315778826</v>
          </cell>
          <cell r="AA56">
            <v>29.056356652317348</v>
          </cell>
          <cell r="AB56">
            <v>31.811676351565172</v>
          </cell>
          <cell r="AE56">
            <v>10</v>
          </cell>
          <cell r="AF56">
            <v>8.1999999999999993</v>
          </cell>
          <cell r="AG56">
            <v>2.5591411272704572E-2</v>
          </cell>
        </row>
        <row r="57">
          <cell r="P57" t="str">
            <v>11 Months</v>
          </cell>
          <cell r="Q57">
            <v>34.454778103738839</v>
          </cell>
          <cell r="R57">
            <v>6.6143786754884211</v>
          </cell>
          <cell r="S57">
            <v>6.6252924003029765</v>
          </cell>
          <cell r="T57">
            <v>6.636224132763477</v>
          </cell>
          <cell r="U57">
            <v>6.6471739025825354</v>
          </cell>
          <cell r="V57">
            <v>6.6581417395217954</v>
          </cell>
          <cell r="W57">
            <v>6.6691276733920066</v>
          </cell>
          <cell r="X57">
            <v>7.0730806595856377</v>
          </cell>
          <cell r="Y57">
            <v>7.0847512426739518</v>
          </cell>
          <cell r="Z57">
            <v>7.0964410822243638</v>
          </cell>
          <cell r="AA57">
            <v>7.8979446777889253</v>
          </cell>
          <cell r="AB57">
            <v>8.5042995079953219</v>
          </cell>
          <cell r="AE57">
            <v>11</v>
          </cell>
          <cell r="AF57">
            <v>2.4</v>
          </cell>
          <cell r="AG57">
            <v>7.4901691529867045E-3</v>
          </cell>
        </row>
        <row r="58">
          <cell r="P58" t="str">
            <v>12 Months</v>
          </cell>
          <cell r="R58">
            <v>8.6136945259347097</v>
          </cell>
          <cell r="S58">
            <v>1.6535946688721053</v>
          </cell>
          <cell r="T58">
            <v>1.6563231000757441</v>
          </cell>
          <cell r="U58">
            <v>1.6590560331908693</v>
          </cell>
          <cell r="V58">
            <v>1.6617934756456338</v>
          </cell>
          <cell r="W58">
            <v>1.6645354348804489</v>
          </cell>
          <cell r="X58">
            <v>1.6672819183480017</v>
          </cell>
          <cell r="Y58">
            <v>1.7682701648964094</v>
          </cell>
          <cell r="Z58">
            <v>1.771187810668488</v>
          </cell>
          <cell r="AA58">
            <v>1.7741102705560909</v>
          </cell>
          <cell r="AB58">
            <v>1.9744861694472313</v>
          </cell>
          <cell r="AE58">
            <v>12</v>
          </cell>
          <cell r="AF58">
            <v>0.6</v>
          </cell>
          <cell r="AG58">
            <v>1.8725422882466761E-3</v>
          </cell>
        </row>
        <row r="59">
          <cell r="B59" t="str">
            <v>Total Patient Drop-Outs</v>
          </cell>
          <cell r="C59">
            <v>8.9008176767992015</v>
          </cell>
          <cell r="D59">
            <v>36.163492594906678</v>
          </cell>
          <cell r="E59">
            <v>126.04640440000773</v>
          </cell>
          <cell r="F59">
            <v>332.41808585023387</v>
          </cell>
          <cell r="G59">
            <v>763.60504436737506</v>
          </cell>
          <cell r="H59">
            <v>1381.3926115377192</v>
          </cell>
          <cell r="I59">
            <v>1604.9884891888387</v>
          </cell>
          <cell r="J59">
            <v>1340.9454553742116</v>
          </cell>
          <cell r="K59">
            <v>1098.7091305547785</v>
          </cell>
          <cell r="L59">
            <v>975.48413211414072</v>
          </cell>
          <cell r="P59" t="str">
            <v>Total Patient Drop-Outs</v>
          </cell>
          <cell r="Q59">
            <v>919.8751888470382</v>
          </cell>
          <cell r="R59">
            <v>910.74774704745766</v>
          </cell>
          <cell r="S59">
            <v>922.03468635961008</v>
          </cell>
          <cell r="T59">
            <v>946.59962249867669</v>
          </cell>
          <cell r="U59">
            <v>979.4722975381485</v>
          </cell>
          <cell r="V59">
            <v>1030.6117813358239</v>
          </cell>
          <cell r="W59">
            <v>1098.3198149246091</v>
          </cell>
          <cell r="X59">
            <v>1168.5844494171315</v>
          </cell>
          <cell r="Y59">
            <v>1227.1549377241417</v>
          </cell>
          <cell r="Z59">
            <v>1267.7374400027222</v>
          </cell>
          <cell r="AA59">
            <v>1294.0787106608987</v>
          </cell>
          <cell r="AB59">
            <v>1312.0707522174955</v>
          </cell>
        </row>
        <row r="60">
          <cell r="B60" t="str">
            <v>Patients at Start of Period</v>
          </cell>
          <cell r="C60">
            <v>0</v>
          </cell>
          <cell r="D60">
            <v>4591.0991823232007</v>
          </cell>
          <cell r="E60">
            <v>5438.0103627282942</v>
          </cell>
          <cell r="F60">
            <v>6196.4957045387364</v>
          </cell>
          <cell r="G60">
            <v>6750.0688422801995</v>
          </cell>
          <cell r="H60">
            <v>6873.9169070234484</v>
          </cell>
          <cell r="I60">
            <v>6381.4417022263851</v>
          </cell>
          <cell r="J60">
            <v>5666.8373334993239</v>
          </cell>
          <cell r="K60">
            <v>5270.2070885186249</v>
          </cell>
          <cell r="L60">
            <v>5117.3712884545084</v>
          </cell>
          <cell r="P60" t="str">
            <v>Patients at Start of Period</v>
          </cell>
          <cell r="Q60">
            <v>5089.3211778263394</v>
          </cell>
          <cell r="R60">
            <v>5223.8874196697716</v>
          </cell>
          <cell r="S60">
            <v>5448.5345261022558</v>
          </cell>
          <cell r="T60">
            <v>5769.5604905436849</v>
          </cell>
          <cell r="U60">
            <v>6094.5643072363546</v>
          </cell>
          <cell r="V60">
            <v>6415.3290442489269</v>
          </cell>
          <cell r="W60">
            <v>6687.0996885708319</v>
          </cell>
          <cell r="X60">
            <v>6919.9343192177166</v>
          </cell>
          <cell r="Y60">
            <v>7084.7007202072718</v>
          </cell>
          <cell r="Z60">
            <v>7193.0966617929889</v>
          </cell>
          <cell r="AA60">
            <v>7263.1137600509865</v>
          </cell>
          <cell r="AB60">
            <v>7308.9968826389377</v>
          </cell>
        </row>
        <row r="61">
          <cell r="B61" t="str">
            <v>Patients at End of Period</v>
          </cell>
          <cell r="C61">
            <v>4591.0991823232007</v>
          </cell>
          <cell r="D61">
            <v>5438.0103627282942</v>
          </cell>
          <cell r="E61">
            <v>6196.4957045387364</v>
          </cell>
          <cell r="F61">
            <v>6750.0688422801995</v>
          </cell>
          <cell r="G61">
            <v>6873.9169070234484</v>
          </cell>
          <cell r="H61">
            <v>6381.4417022263851</v>
          </cell>
          <cell r="I61">
            <v>5666.8373334993239</v>
          </cell>
          <cell r="J61">
            <v>5270.2070885186249</v>
          </cell>
          <cell r="K61">
            <v>5117.3712884545084</v>
          </cell>
          <cell r="L61">
            <v>5089.3211778263394</v>
          </cell>
          <cell r="P61" t="str">
            <v>Patients at End of Period</v>
          </cell>
          <cell r="Q61">
            <v>5223.8874196697716</v>
          </cell>
          <cell r="R61">
            <v>5448.5345261022558</v>
          </cell>
          <cell r="S61">
            <v>5769.5604905436849</v>
          </cell>
          <cell r="T61">
            <v>6094.5643072363546</v>
          </cell>
          <cell r="U61">
            <v>6415.3290442489269</v>
          </cell>
          <cell r="V61">
            <v>6687.0996885708319</v>
          </cell>
          <cell r="W61">
            <v>6919.9343192177166</v>
          </cell>
          <cell r="X61">
            <v>7084.7007202072718</v>
          </cell>
          <cell r="Y61">
            <v>7193.0966617929889</v>
          </cell>
          <cell r="Z61">
            <v>7263.1137600509865</v>
          </cell>
          <cell r="AA61">
            <v>7308.9968826389377</v>
          </cell>
          <cell r="AB61">
            <v>7339.0989006951522</v>
          </cell>
        </row>
        <row r="63">
          <cell r="B63" t="str">
            <v>Total Patient Days</v>
          </cell>
          <cell r="C63">
            <v>85164.889832095359</v>
          </cell>
          <cell r="D63">
            <v>139344.90769040224</v>
          </cell>
          <cell r="E63">
            <v>160189.67694661734</v>
          </cell>
          <cell r="F63">
            <v>175667.75966879056</v>
          </cell>
          <cell r="G63">
            <v>179113.50410454167</v>
          </cell>
          <cell r="H63">
            <v>165302.16069089193</v>
          </cell>
          <cell r="I63">
            <v>145271.16432503134</v>
          </cell>
          <cell r="J63">
            <v>133353.85456209915</v>
          </cell>
          <cell r="K63">
            <v>129051.00245284176</v>
          </cell>
          <cell r="L63">
            <v>128242.11095577363</v>
          </cell>
          <cell r="P63" t="str">
            <v>Total Patient Days</v>
          </cell>
          <cell r="Q63">
            <v>130842.36961975202</v>
          </cell>
          <cell r="R63">
            <v>135948.1400244516</v>
          </cell>
          <cell r="S63">
            <v>142839.63094066753</v>
          </cell>
          <cell r="T63">
            <v>151510.16884278817</v>
          </cell>
          <cell r="U63">
            <v>160060.64586898161</v>
          </cell>
          <cell r="V63">
            <v>167637.93577383447</v>
          </cell>
          <cell r="W63">
            <v>173724.28653224508</v>
          </cell>
          <cell r="X63">
            <v>178304.68986718298</v>
          </cell>
          <cell r="Y63">
            <v>181306.6657965903</v>
          </cell>
          <cell r="Z63">
            <v>183233.9794806038</v>
          </cell>
          <cell r="AA63">
            <v>184485.48712349506</v>
          </cell>
          <cell r="AB63">
            <v>185295.06902684493</v>
          </cell>
        </row>
        <row r="64">
          <cell r="B64" t="str">
            <v>Average Cost/Day</v>
          </cell>
          <cell r="C64">
            <v>146.66666666666666</v>
          </cell>
          <cell r="D64">
            <v>146.66666666666666</v>
          </cell>
          <cell r="E64">
            <v>146.66666666666666</v>
          </cell>
          <cell r="F64">
            <v>146.66666666666666</v>
          </cell>
          <cell r="G64">
            <v>146.66666666666666</v>
          </cell>
          <cell r="H64">
            <v>146.66666666666666</v>
          </cell>
          <cell r="I64">
            <v>146.66666666666666</v>
          </cell>
          <cell r="J64">
            <v>146.66666666666666</v>
          </cell>
          <cell r="K64">
            <v>146.66666666666666</v>
          </cell>
          <cell r="L64">
            <v>146.66666666666666</v>
          </cell>
          <cell r="P64" t="str">
            <v>Average Cost/Day</v>
          </cell>
          <cell r="Q64">
            <v>146.66666666666666</v>
          </cell>
          <cell r="R64">
            <v>146.66666666666666</v>
          </cell>
          <cell r="S64">
            <v>146.66666666666666</v>
          </cell>
          <cell r="T64">
            <v>146.66666666666666</v>
          </cell>
          <cell r="U64">
            <v>146.66666666666666</v>
          </cell>
          <cell r="V64">
            <v>146.66666666666666</v>
          </cell>
          <cell r="W64">
            <v>146.66666666666666</v>
          </cell>
          <cell r="X64">
            <v>146.66666666666666</v>
          </cell>
          <cell r="Y64">
            <v>146.66666666666666</v>
          </cell>
          <cell r="Z64">
            <v>146.66666666666666</v>
          </cell>
          <cell r="AA64">
            <v>146.66666666666666</v>
          </cell>
          <cell r="AB64">
            <v>146.66666666666666</v>
          </cell>
        </row>
        <row r="66">
          <cell r="B66" t="str">
            <v>Monthly Sales</v>
          </cell>
          <cell r="C66">
            <v>12490.850508707319</v>
          </cell>
          <cell r="D66">
            <v>20437.253127925662</v>
          </cell>
          <cell r="E66">
            <v>23494.485952170544</v>
          </cell>
          <cell r="F66">
            <v>25764.604751422616</v>
          </cell>
          <cell r="G66">
            <v>26269.980601999443</v>
          </cell>
          <cell r="H66">
            <v>24244.316901330814</v>
          </cell>
          <cell r="I66">
            <v>21306.437434337928</v>
          </cell>
          <cell r="J66">
            <v>19558.56533577454</v>
          </cell>
          <cell r="K66">
            <v>18927.480359750123</v>
          </cell>
          <cell r="L66">
            <v>18808.84294018013</v>
          </cell>
          <cell r="M66">
            <v>211302.81791359911</v>
          </cell>
          <cell r="P66" t="str">
            <v>Monthly Sales</v>
          </cell>
          <cell r="Q66">
            <v>19190.21421089696</v>
          </cell>
          <cell r="R66">
            <v>19939.060536919569</v>
          </cell>
          <cell r="S66">
            <v>20949.812537964572</v>
          </cell>
          <cell r="T66">
            <v>22221.491430275597</v>
          </cell>
          <cell r="U66">
            <v>23475.5613941173</v>
          </cell>
          <cell r="V66">
            <v>24586.897246829056</v>
          </cell>
          <cell r="W66">
            <v>25479.562024729279</v>
          </cell>
          <cell r="X66">
            <v>26151.354513853501</v>
          </cell>
          <cell r="Y66">
            <v>26591.644316833244</v>
          </cell>
          <cell r="Z66">
            <v>26874.316990488554</v>
          </cell>
          <cell r="AA66">
            <v>27057.871444779274</v>
          </cell>
          <cell r="AB66">
            <v>27176.610123937255</v>
          </cell>
          <cell r="AC66">
            <v>289694.3967716241</v>
          </cell>
        </row>
        <row r="67">
          <cell r="C67" t="str">
            <v>1Q04</v>
          </cell>
          <cell r="F67" t="str">
            <v>2Q04</v>
          </cell>
          <cell r="I67" t="str">
            <v>3Q04</v>
          </cell>
          <cell r="L67" t="str">
            <v>4Q04</v>
          </cell>
          <cell r="M67">
            <v>2004</v>
          </cell>
          <cell r="S67" t="str">
            <v>1Q05</v>
          </cell>
          <cell r="V67" t="str">
            <v>2Q05</v>
          </cell>
          <cell r="Y67" t="str">
            <v>3Q05</v>
          </cell>
          <cell r="AB67" t="str">
            <v>4Q05</v>
          </cell>
          <cell r="AC67">
            <v>2005</v>
          </cell>
        </row>
        <row r="68">
          <cell r="B68" t="str">
            <v>Relapsed/Refractory Sales</v>
          </cell>
          <cell r="C68">
            <v>12490.850508707319</v>
          </cell>
          <cell r="F68">
            <v>69696.34383151881</v>
          </cell>
          <cell r="I68">
            <v>71820.734937668181</v>
          </cell>
          <cell r="L68">
            <v>57294.888635704789</v>
          </cell>
          <cell r="M68">
            <v>211302.81791359911</v>
          </cell>
          <cell r="P68" t="str">
            <v>Total Sales</v>
          </cell>
          <cell r="S68">
            <v>60079.087285781097</v>
          </cell>
          <cell r="V68">
            <v>70283.95007122196</v>
          </cell>
          <cell r="Y68">
            <v>78222.560855416028</v>
          </cell>
          <cell r="AB68">
            <v>81108.798559205083</v>
          </cell>
          <cell r="AC68">
            <v>289694.39677162416</v>
          </cell>
        </row>
        <row r="70">
          <cell r="C70" t="str">
            <v>1Q04</v>
          </cell>
          <cell r="F70" t="str">
            <v>2Q04</v>
          </cell>
          <cell r="I70" t="str">
            <v>3Q04</v>
          </cell>
          <cell r="L70" t="str">
            <v>4Q04</v>
          </cell>
          <cell r="M70">
            <v>2004</v>
          </cell>
          <cell r="S70" t="str">
            <v>1Q05</v>
          </cell>
          <cell r="V70" t="str">
            <v>2Q05</v>
          </cell>
          <cell r="Y70" t="str">
            <v>3Q05</v>
          </cell>
          <cell r="AB70" t="str">
            <v>4Q05</v>
          </cell>
          <cell r="AC70">
            <v>2005</v>
          </cell>
        </row>
        <row r="71">
          <cell r="B71" t="str">
            <v>Total Sales</v>
          </cell>
          <cell r="C71">
            <v>24592.22197400295</v>
          </cell>
          <cell r="F71">
            <v>133980.14318219628</v>
          </cell>
          <cell r="I71">
            <v>161536.07133526943</v>
          </cell>
          <cell r="L71">
            <v>174359.67341958501</v>
          </cell>
          <cell r="M71">
            <v>494468.10991105367</v>
          </cell>
          <cell r="P71" t="str">
            <v>Total Sales</v>
          </cell>
          <cell r="S71">
            <v>201977.69031282194</v>
          </cell>
          <cell r="V71">
            <v>237723.03550510277</v>
          </cell>
          <cell r="Y71">
            <v>269070.53908129712</v>
          </cell>
          <cell r="AB71">
            <v>290081.17337585526</v>
          </cell>
          <cell r="AC71">
            <v>998852.43827507715</v>
          </cell>
        </row>
        <row r="74">
          <cell r="B74" t="str">
            <v>New Diagnoses</v>
          </cell>
          <cell r="C74">
            <v>0.25</v>
          </cell>
          <cell r="D74">
            <v>0.3</v>
          </cell>
          <cell r="E74">
            <v>0.35</v>
          </cell>
          <cell r="F74">
            <v>0.4</v>
          </cell>
        </row>
        <row r="75">
          <cell r="B75" t="str">
            <v>Total Q3 Sales</v>
          </cell>
          <cell r="C75">
            <v>153979.96593385277</v>
          </cell>
          <cell r="D75">
            <v>156638.59668507241</v>
          </cell>
          <cell r="E75">
            <v>159297.22743629201</v>
          </cell>
          <cell r="F75">
            <v>161955.85818751174</v>
          </cell>
        </row>
        <row r="76">
          <cell r="B76" t="str">
            <v>Total Q4 Sales</v>
          </cell>
          <cell r="C76">
            <v>159919.35890491318</v>
          </cell>
          <cell r="D76">
            <v>167772.72580992253</v>
          </cell>
          <cell r="E76">
            <v>175626.09271493187</v>
          </cell>
          <cell r="F76">
            <v>183479.45961994119</v>
          </cell>
        </row>
        <row r="77">
          <cell r="B77" t="str">
            <v>FY2004</v>
          </cell>
          <cell r="C77">
            <v>471721.72845186933</v>
          </cell>
          <cell r="D77">
            <v>482233.7261080984</v>
          </cell>
          <cell r="E77">
            <v>492745.72376432741</v>
          </cell>
          <cell r="F77">
            <v>503257.72142055631</v>
          </cell>
        </row>
        <row r="79">
          <cell r="B79" t="str">
            <v>Relapsing</v>
          </cell>
          <cell r="C79">
            <v>0.25</v>
          </cell>
          <cell r="D79">
            <v>0.3</v>
          </cell>
          <cell r="E79">
            <v>0.35</v>
          </cell>
          <cell r="F79">
            <v>0.4</v>
          </cell>
        </row>
        <row r="80">
          <cell r="B80" t="str">
            <v>Total Q3 Sales</v>
          </cell>
          <cell r="C80">
            <v>149404.15650281997</v>
          </cell>
          <cell r="D80">
            <v>151725.76358521846</v>
          </cell>
          <cell r="E80">
            <v>154047.37066761701</v>
          </cell>
          <cell r="F80">
            <v>156368.9777500155</v>
          </cell>
        </row>
        <row r="81">
          <cell r="B81" t="str">
            <v>Total Q4 Sales</v>
          </cell>
          <cell r="C81">
            <v>153623.49900867679</v>
          </cell>
          <cell r="D81">
            <v>160172.05022159428</v>
          </cell>
          <cell r="E81">
            <v>166720.60143451183</v>
          </cell>
          <cell r="F81">
            <v>173269.15264742935</v>
          </cell>
        </row>
        <row r="82">
          <cell r="B82" t="str">
            <v>FY2004</v>
          </cell>
          <cell r="C82">
            <v>460850.0591246002</v>
          </cell>
          <cell r="D82">
            <v>469720.21741991618</v>
          </cell>
          <cell r="E82">
            <v>478590.37571523222</v>
          </cell>
          <cell r="F82">
            <v>487460.53401054826</v>
          </cell>
        </row>
        <row r="85">
          <cell r="B85" t="str">
            <v xml:space="preserve">Front-Line </v>
          </cell>
        </row>
        <row r="86">
          <cell r="C86" t="str">
            <v>Patients Start of Period</v>
          </cell>
          <cell r="D86" t="str">
            <v>New Patient Additions</v>
          </cell>
          <cell r="E86" t="str">
            <v>Drop-Outs</v>
          </cell>
          <cell r="F86" t="str">
            <v>Patients End of Period</v>
          </cell>
          <cell r="G86" t="str">
            <v>Total Patient Days</v>
          </cell>
          <cell r="H86" t="str">
            <v>Sales</v>
          </cell>
        </row>
        <row r="87">
          <cell r="B87" t="str">
            <v>March</v>
          </cell>
          <cell r="C87">
            <v>0</v>
          </cell>
          <cell r="D87">
            <v>4500</v>
          </cell>
          <cell r="E87">
            <v>52.05655526992286</v>
          </cell>
          <cell r="F87">
            <v>4447.9434447300773</v>
          </cell>
          <cell r="G87">
            <v>82509.350899742945</v>
          </cell>
          <cell r="H87">
            <v>12101.371465295631</v>
          </cell>
        </row>
        <row r="88">
          <cell r="B88" t="str">
            <v>April</v>
          </cell>
          <cell r="C88">
            <v>4447.9434447300773</v>
          </cell>
          <cell r="D88">
            <v>665.93698599999993</v>
          </cell>
          <cell r="E88">
            <v>77.112381586118232</v>
          </cell>
          <cell r="F88">
            <v>5036.7680491439587</v>
          </cell>
          <cell r="G88">
            <v>131450.00183242085</v>
          </cell>
          <cell r="H88">
            <v>19279.333602088391</v>
          </cell>
        </row>
        <row r="89">
          <cell r="B89" t="str">
            <v>May</v>
          </cell>
          <cell r="C89">
            <v>5036.7680491439587</v>
          </cell>
          <cell r="D89">
            <v>636.71597375294982</v>
          </cell>
          <cell r="E89">
            <v>104.39805603570247</v>
          </cell>
          <cell r="F89">
            <v>5569.0859668612065</v>
          </cell>
          <cell r="G89">
            <v>146351.83166713189</v>
          </cell>
          <cell r="H89">
            <v>21464.935311179343</v>
          </cell>
        </row>
        <row r="90">
          <cell r="B90" t="str">
            <v>June</v>
          </cell>
          <cell r="C90">
            <v>5569.0859668612065</v>
          </cell>
          <cell r="D90">
            <v>668.13639106724418</v>
          </cell>
          <cell r="E90">
            <v>146.07053212678733</v>
          </cell>
          <cell r="F90">
            <v>6091.151825801664</v>
          </cell>
          <cell r="G90">
            <v>160496.79843688456</v>
          </cell>
          <cell r="H90">
            <v>23539.530437409736</v>
          </cell>
        </row>
        <row r="91">
          <cell r="B91" t="str">
            <v xml:space="preserve">July </v>
          </cell>
          <cell r="C91">
            <v>6091.151825801664</v>
          </cell>
          <cell r="D91">
            <v>1216.7978474772819</v>
          </cell>
          <cell r="E91">
            <v>227.29858180770779</v>
          </cell>
          <cell r="F91">
            <v>7080.651091471238</v>
          </cell>
          <cell r="G91">
            <v>179945.42295666158</v>
          </cell>
          <cell r="H91">
            <v>26391.995366977033</v>
          </cell>
        </row>
        <row r="92">
          <cell r="B92" t="str">
            <v>August</v>
          </cell>
          <cell r="C92">
            <v>7080.651091471238</v>
          </cell>
          <cell r="D92">
            <v>1218.8055639256195</v>
          </cell>
          <cell r="E92">
            <v>319.15848221867031</v>
          </cell>
          <cell r="F92">
            <v>7980.2981731781874</v>
          </cell>
          <cell r="G92">
            <v>205105.32511190866</v>
          </cell>
          <cell r="H92">
            <v>30082.114349746604</v>
          </cell>
        </row>
        <row r="93">
          <cell r="B93" t="str">
            <v>September</v>
          </cell>
          <cell r="C93">
            <v>7980.2981731781874</v>
          </cell>
          <cell r="D93">
            <v>1220.8165931060967</v>
          </cell>
          <cell r="E93">
            <v>450.47129857474908</v>
          </cell>
          <cell r="F93">
            <v>8750.6434677095367</v>
          </cell>
          <cell r="G93">
            <v>226644.72736962023</v>
          </cell>
          <cell r="H93">
            <v>33241.226680877633</v>
          </cell>
        </row>
        <row r="94">
          <cell r="B94" t="str">
            <v>October</v>
          </cell>
          <cell r="C94">
            <v>8750.6434677095367</v>
          </cell>
          <cell r="D94">
            <v>1375.6848080453119</v>
          </cell>
          <cell r="E94">
            <v>576.84867314941653</v>
          </cell>
          <cell r="F94">
            <v>9549.4796026054319</v>
          </cell>
          <cell r="G94">
            <v>246681.37251187017</v>
          </cell>
          <cell r="H94">
            <v>36179.934635074285</v>
          </cell>
        </row>
        <row r="95">
          <cell r="B95" t="str">
            <v>November</v>
          </cell>
          <cell r="C95">
            <v>9549.4796026054319</v>
          </cell>
          <cell r="D95">
            <v>1408.5759032669996</v>
          </cell>
          <cell r="E95">
            <v>680.04417956358725</v>
          </cell>
          <cell r="F95">
            <v>10278.011326308844</v>
          </cell>
          <cell r="G95">
            <v>266585.24979247933</v>
          </cell>
          <cell r="H95">
            <v>39099.169969563634</v>
          </cell>
        </row>
        <row r="96">
          <cell r="B96" t="str">
            <v>December</v>
          </cell>
          <cell r="C96">
            <v>10278.011326308844</v>
          </cell>
          <cell r="D96">
            <v>1472.2435340946677</v>
          </cell>
          <cell r="E96">
            <v>783.83950159654296</v>
          </cell>
          <cell r="F96">
            <v>10966.415358806968</v>
          </cell>
          <cell r="G96">
            <v>284902.36485847033</v>
          </cell>
          <cell r="H96">
            <v>41785.680179242314</v>
          </cell>
        </row>
        <row r="97">
          <cell r="B97" t="str">
            <v>Relapsed/ Refractory</v>
          </cell>
        </row>
        <row r="98">
          <cell r="C98" t="str">
            <v>Patients Start of Period</v>
          </cell>
          <cell r="D98" t="str">
            <v>New Patient Additions</v>
          </cell>
          <cell r="E98" t="str">
            <v>Drop-Outs</v>
          </cell>
          <cell r="F98" t="str">
            <v>Patients End of Period</v>
          </cell>
          <cell r="G98" t="str">
            <v>Total Patient Days</v>
          </cell>
          <cell r="H98" t="str">
            <v>Sales</v>
          </cell>
        </row>
        <row r="99">
          <cell r="B99" t="str">
            <v>March</v>
          </cell>
          <cell r="C99">
            <v>0</v>
          </cell>
          <cell r="D99">
            <v>4600</v>
          </cell>
          <cell r="E99">
            <v>8.9008176767992015</v>
          </cell>
          <cell r="F99">
            <v>4591.0991823232007</v>
          </cell>
          <cell r="G99">
            <v>85164.889832095359</v>
          </cell>
          <cell r="H99">
            <v>12490.850508707319</v>
          </cell>
        </row>
        <row r="100">
          <cell r="B100" t="str">
            <v>April</v>
          </cell>
          <cell r="C100">
            <v>4591.0991823232007</v>
          </cell>
          <cell r="D100">
            <v>883.07467299999996</v>
          </cell>
          <cell r="E100">
            <v>36.163492594906678</v>
          </cell>
          <cell r="F100">
            <v>5438.0103627282942</v>
          </cell>
          <cell r="G100">
            <v>139344.90769040224</v>
          </cell>
          <cell r="H100">
            <v>20437.253127925662</v>
          </cell>
        </row>
        <row r="101">
          <cell r="B101" t="str">
            <v>May</v>
          </cell>
          <cell r="C101">
            <v>5438.0103627282942</v>
          </cell>
          <cell r="D101">
            <v>884.53174621044991</v>
          </cell>
          <cell r="E101">
            <v>126.04640440000773</v>
          </cell>
          <cell r="F101">
            <v>6196.4957045387364</v>
          </cell>
          <cell r="G101">
            <v>160189.67694661734</v>
          </cell>
          <cell r="H101">
            <v>23494.485952170544</v>
          </cell>
        </row>
        <row r="102">
          <cell r="B102" t="str">
            <v>June</v>
          </cell>
          <cell r="C102">
            <v>6196.4957045387364</v>
          </cell>
          <cell r="D102">
            <v>885.99122359169723</v>
          </cell>
          <cell r="E102">
            <v>332.41808585023387</v>
          </cell>
          <cell r="F102">
            <v>6750.0688422801995</v>
          </cell>
          <cell r="G102">
            <v>175667.75966879056</v>
          </cell>
          <cell r="H102">
            <v>25764.604751422616</v>
          </cell>
        </row>
        <row r="103">
          <cell r="B103" t="str">
            <v xml:space="preserve">July </v>
          </cell>
          <cell r="C103">
            <v>6750.0688422801995</v>
          </cell>
          <cell r="D103">
            <v>887.45310911062336</v>
          </cell>
          <cell r="E103">
            <v>763.60504436737506</v>
          </cell>
          <cell r="F103">
            <v>6873.9169070234484</v>
          </cell>
          <cell r="G103">
            <v>179113.50410454167</v>
          </cell>
          <cell r="H103">
            <v>26269.980601999443</v>
          </cell>
        </row>
        <row r="104">
          <cell r="B104" t="str">
            <v>August</v>
          </cell>
          <cell r="C104">
            <v>6873.9169070234484</v>
          </cell>
          <cell r="D104">
            <v>888.91740674065579</v>
          </cell>
          <cell r="E104">
            <v>1381.3926115377192</v>
          </cell>
          <cell r="F104">
            <v>6381.4417022263851</v>
          </cell>
          <cell r="G104">
            <v>165302.16069089193</v>
          </cell>
          <cell r="H104">
            <v>24244.316901330814</v>
          </cell>
        </row>
        <row r="105">
          <cell r="B105" t="str">
            <v>September</v>
          </cell>
          <cell r="C105">
            <v>6381.4417022263851</v>
          </cell>
          <cell r="D105">
            <v>890.38412046177791</v>
          </cell>
          <cell r="E105">
            <v>1604.9884891888387</v>
          </cell>
          <cell r="F105">
            <v>5666.8373334993239</v>
          </cell>
          <cell r="G105">
            <v>145271.16432503134</v>
          </cell>
          <cell r="H105">
            <v>21306.437434337928</v>
          </cell>
        </row>
        <row r="106">
          <cell r="B106" t="str">
            <v>October</v>
          </cell>
          <cell r="C106">
            <v>5666.8373334993239</v>
          </cell>
          <cell r="D106">
            <v>944.31521039351253</v>
          </cell>
          <cell r="E106">
            <v>1340.9454553742116</v>
          </cell>
          <cell r="F106">
            <v>5270.2070885186249</v>
          </cell>
          <cell r="G106">
            <v>133353.85456209915</v>
          </cell>
          <cell r="H106">
            <v>19558.56533577454</v>
          </cell>
        </row>
        <row r="107">
          <cell r="B107" t="str">
            <v>November</v>
          </cell>
          <cell r="C107">
            <v>5270.2070885186249</v>
          </cell>
          <cell r="D107">
            <v>945.8733304906616</v>
          </cell>
          <cell r="E107">
            <v>1098.7091305547785</v>
          </cell>
          <cell r="F107">
            <v>5117.3712884545084</v>
          </cell>
          <cell r="G107">
            <v>129051.00245284176</v>
          </cell>
          <cell r="H107">
            <v>18927.480359750123</v>
          </cell>
        </row>
        <row r="108">
          <cell r="B108" t="str">
            <v>December</v>
          </cell>
          <cell r="C108">
            <v>5117.3712884545084</v>
          </cell>
          <cell r="D108">
            <v>947.43402148597113</v>
          </cell>
          <cell r="E108">
            <v>975.48413211414072</v>
          </cell>
          <cell r="F108">
            <v>5089.3211778263394</v>
          </cell>
          <cell r="G108">
            <v>128242.11095577363</v>
          </cell>
          <cell r="H108">
            <v>18808.84294018013</v>
          </cell>
        </row>
        <row r="109">
          <cell r="B109" t="str">
            <v>Total Sales</v>
          </cell>
        </row>
        <row r="110">
          <cell r="B110" t="str">
            <v>2Q04</v>
          </cell>
          <cell r="C110">
            <v>133980.14318219628</v>
          </cell>
        </row>
        <row r="111">
          <cell r="B111" t="str">
            <v>3Q04</v>
          </cell>
          <cell r="C111">
            <v>161536.07133526943</v>
          </cell>
        </row>
        <row r="112">
          <cell r="B112" t="str">
            <v>4Q04</v>
          </cell>
          <cell r="C112">
            <v>174359.67341958501</v>
          </cell>
        </row>
        <row r="113">
          <cell r="B113">
            <v>2004</v>
          </cell>
          <cell r="C113">
            <v>494468.10991105367</v>
          </cell>
        </row>
      </sheetData>
      <sheetData sheetId="16" refreshError="1"/>
      <sheetData sheetId="17" refreshError="1">
        <row r="1">
          <cell r="A1" t="str">
            <v>Model data for companies: DNA.N</v>
          </cell>
          <cell r="HX1" t="str">
            <v>ElementName</v>
          </cell>
          <cell r="HY1" t="str">
            <v>ScaleOverride</v>
          </cell>
          <cell r="HZ1" t="str">
            <v>UnitOverride</v>
          </cell>
          <cell r="IA1" t="str">
            <v>ReverseSign</v>
          </cell>
          <cell r="IB1" t="str">
            <v>IsDrivingAssumption</v>
          </cell>
          <cell r="IC1" t="str">
            <v>SegmentID</v>
          </cell>
        </row>
        <row r="2">
          <cell r="A2" t="str">
            <v xml:space="preserve">Model Snapshot type:  </v>
          </cell>
          <cell r="G2" t="str">
            <v>1997-FY</v>
          </cell>
          <cell r="H2" t="str">
            <v>1998-FY</v>
          </cell>
          <cell r="I2" t="str">
            <v>1999-FY</v>
          </cell>
          <cell r="J2" t="str">
            <v>2000-FY</v>
          </cell>
          <cell r="K2" t="str">
            <v>2001-FY</v>
          </cell>
          <cell r="L2" t="str">
            <v>2002-FY</v>
          </cell>
        </row>
        <row r="3">
          <cell r="A3" t="str">
            <v>Default Currency: USD in Millions</v>
          </cell>
        </row>
        <row r="4">
          <cell r="A4" t="str">
            <v>Data as of 2/28/2005 1:22:21 PM</v>
          </cell>
          <cell r="G4" t="str">
            <v>data filled 1997-2002</v>
          </cell>
        </row>
        <row r="5">
          <cell r="A5" t="str">
            <v>Template v1.0</v>
          </cell>
          <cell r="L5" t="str">
            <v>Genentech (DNA.N) ()</v>
          </cell>
        </row>
        <row r="6">
          <cell r="G6" t="str">
            <v>1997-FY
1997-1-1
1997-12-31</v>
          </cell>
          <cell r="H6" t="str">
            <v>1998-FY
1998-1-1
1998-12-31</v>
          </cell>
          <cell r="I6" t="str">
            <v>1999-FY
1999-1-1
1999-12-31</v>
          </cell>
          <cell r="J6" t="str">
            <v>2000-FY
2000-1-1
2000-12-31</v>
          </cell>
          <cell r="K6" t="str">
            <v>2001-FY
2001-1-1
2002-12-31</v>
          </cell>
          <cell r="L6" t="str">
            <v>2002 (A)_x000D_
2002-1-1_x000D_
2002-12-31</v>
          </cell>
          <cell r="M6" t="str">
            <v>2003 (A)_x000D_
2003-1-1_x000D_
2003-12-31</v>
          </cell>
        </row>
        <row r="7">
          <cell r="A7" t="str">
            <v>Validation Formulas</v>
          </cell>
          <cell r="HY7">
            <v>0</v>
          </cell>
          <cell r="HZ7" t="str">
            <v>ms_eqr_gcim_String:ms_eqr_gcim_string</v>
          </cell>
          <cell r="IA7" t="b">
            <v>0</v>
          </cell>
          <cell r="IB7" t="b">
            <v>0</v>
          </cell>
        </row>
        <row r="18">
          <cell r="B18" t="str">
            <v>Balance Sheet Validation</v>
          </cell>
          <cell r="G18" t="b">
            <v>1</v>
          </cell>
          <cell r="H18" t="b">
            <v>1</v>
          </cell>
          <cell r="I18" t="b">
            <v>1</v>
          </cell>
          <cell r="J18" t="b">
            <v>1</v>
          </cell>
          <cell r="K18" t="b">
            <v>1</v>
          </cell>
          <cell r="L18" t="b">
            <v>1</v>
          </cell>
          <cell r="M18" t="b">
            <v>1</v>
          </cell>
          <cell r="HY18">
            <v>0</v>
          </cell>
          <cell r="HZ18" t="str">
            <v>ms_eqr_gcim_Boolean:ms_eqr_gcim_boolean</v>
          </cell>
          <cell r="IA18" t="b">
            <v>0</v>
          </cell>
          <cell r="IB18" t="b">
            <v>0</v>
          </cell>
        </row>
        <row r="29">
          <cell r="C29" t="str">
            <v>Assets</v>
          </cell>
          <cell r="G29">
            <v>2507.6120000000005</v>
          </cell>
          <cell r="H29">
            <v>2855.402</v>
          </cell>
          <cell r="I29">
            <v>6534.7819999999992</v>
          </cell>
          <cell r="J29">
            <v>6716.424</v>
          </cell>
          <cell r="K29">
            <v>7146.8890000000001</v>
          </cell>
          <cell r="L29">
            <v>6758.1189999999997</v>
          </cell>
          <cell r="M29">
            <v>8735.9628426585787</v>
          </cell>
          <cell r="HY29">
            <v>0</v>
          </cell>
          <cell r="HZ29" t="str">
            <v>ISO4217:USD</v>
          </cell>
          <cell r="IA29" t="b">
            <v>0</v>
          </cell>
          <cell r="IB29" t="b">
            <v>0</v>
          </cell>
        </row>
        <row r="40">
          <cell r="C40" t="str">
            <v>Liabilities and Equity</v>
          </cell>
          <cell r="G40">
            <v>2507.6120000000001</v>
          </cell>
          <cell r="H40">
            <v>2855.402</v>
          </cell>
          <cell r="I40">
            <v>6534.7819999999992</v>
          </cell>
          <cell r="J40">
            <v>6716.4240000000009</v>
          </cell>
          <cell r="K40">
            <v>7146.8889999999992</v>
          </cell>
          <cell r="L40">
            <v>6758.1189999999997</v>
          </cell>
          <cell r="M40">
            <v>8736.0156437000005</v>
          </cell>
          <cell r="HY40">
            <v>0</v>
          </cell>
          <cell r="HZ40" t="str">
            <v>ISO4217:USD</v>
          </cell>
          <cell r="IA40" t="b">
            <v>0</v>
          </cell>
          <cell r="IB40" t="b">
            <v>0</v>
          </cell>
        </row>
        <row r="51">
          <cell r="B51" t="str">
            <v>Changes in Shareholders Equity Validation</v>
          </cell>
          <cell r="G51" t="b">
            <v>1</v>
          </cell>
          <cell r="H51" t="b">
            <v>1</v>
          </cell>
          <cell r="I51" t="b">
            <v>1</v>
          </cell>
          <cell r="J51" t="b">
            <v>1</v>
          </cell>
          <cell r="K51" t="b">
            <v>1</v>
          </cell>
          <cell r="L51" t="b">
            <v>1</v>
          </cell>
          <cell r="M51" t="b">
            <v>1</v>
          </cell>
          <cell r="HY51">
            <v>0</v>
          </cell>
          <cell r="HZ51" t="str">
            <v>ms_eqr_gcim_Boolean:ms_eqr_gcim_boolean</v>
          </cell>
          <cell r="IA51" t="b">
            <v>0</v>
          </cell>
          <cell r="IB51" t="b">
            <v>0</v>
          </cell>
        </row>
        <row r="62">
          <cell r="C62" t="str">
            <v>Changes in Shareholders Equity</v>
          </cell>
          <cell r="G62">
            <v>230.16599999999994</v>
          </cell>
          <cell r="H62">
            <v>312.61999999999983</v>
          </cell>
          <cell r="I62">
            <v>2926.0119999999993</v>
          </cell>
          <cell r="J62">
            <v>404.34600000000012</v>
          </cell>
          <cell r="K62">
            <v>245.61100000000016</v>
          </cell>
          <cell r="L62">
            <v>-581.05699999999945</v>
          </cell>
          <cell r="M62">
            <v>1181.4782639664222</v>
          </cell>
          <cell r="HY62">
            <v>0</v>
          </cell>
          <cell r="HZ62" t="str">
            <v>ISO4217:USD</v>
          </cell>
          <cell r="IA62" t="b">
            <v>0</v>
          </cell>
          <cell r="IB62" t="b">
            <v>0</v>
          </cell>
        </row>
        <row r="73">
          <cell r="D73" t="str">
            <v>Net Income (Reported) Less Preferred Dividends</v>
          </cell>
          <cell r="G73">
            <v>129.04399999999993</v>
          </cell>
          <cell r="H73">
            <v>181.90899999999982</v>
          </cell>
          <cell r="I73">
            <v>-1157.4760000000001</v>
          </cell>
          <cell r="J73">
            <v>-74.240999999999914</v>
          </cell>
          <cell r="K73">
            <v>150.23100000000022</v>
          </cell>
          <cell r="L73">
            <v>63.665000000000532</v>
          </cell>
          <cell r="M73">
            <v>562.62846292500024</v>
          </cell>
          <cell r="HY73">
            <v>0</v>
          </cell>
          <cell r="HZ73" t="str">
            <v>ISO4217:USD</v>
          </cell>
          <cell r="IA73" t="b">
            <v>0</v>
          </cell>
          <cell r="IB73" t="b">
            <v>0</v>
          </cell>
        </row>
        <row r="74">
          <cell r="G74">
            <v>169.79499999999993</v>
          </cell>
          <cell r="H74">
            <v>252.65099999999981</v>
          </cell>
          <cell r="I74">
            <v>-1130.577</v>
          </cell>
          <cell r="J74">
            <v>3.9730000000000665</v>
          </cell>
          <cell r="K74">
            <v>282.98100000000022</v>
          </cell>
          <cell r="L74">
            <v>573.53200000000049</v>
          </cell>
          <cell r="M74">
            <v>784.22646292500019</v>
          </cell>
        </row>
        <row r="75">
          <cell r="G75">
            <v>-40.750999999999998</v>
          </cell>
          <cell r="H75">
            <v>-70.74199999999999</v>
          </cell>
          <cell r="I75">
            <v>-26.899000000000029</v>
          </cell>
          <cell r="J75">
            <v>-78.213999999999984</v>
          </cell>
          <cell r="K75">
            <v>-132.75</v>
          </cell>
          <cell r="L75">
            <v>-509.86699999999996</v>
          </cell>
          <cell r="M75">
            <v>-221.59799999999998</v>
          </cell>
        </row>
        <row r="84">
          <cell r="D84" t="str">
            <v>Change in Accumulated Other Comprehensive Income (Loss) or Other Reserves</v>
          </cell>
          <cell r="G84">
            <v>-0.11700000000000001</v>
          </cell>
          <cell r="H84">
            <v>5.431</v>
          </cell>
          <cell r="I84">
            <v>200.23600000000002</v>
          </cell>
          <cell r="J84">
            <v>72.119</v>
          </cell>
          <cell r="K84">
            <v>-19.896000000000001</v>
          </cell>
          <cell r="L84">
            <v>-43.08</v>
          </cell>
          <cell r="M84">
            <v>28.549801041422199</v>
          </cell>
          <cell r="HY84">
            <v>0</v>
          </cell>
          <cell r="HZ84" t="str">
            <v>ISO4217:USD</v>
          </cell>
          <cell r="IA84" t="b">
            <v>0</v>
          </cell>
          <cell r="IB84" t="b">
            <v>0</v>
          </cell>
        </row>
        <row r="95">
          <cell r="D95" t="str">
            <v>Change in Investment in Own Shares (Asset)</v>
          </cell>
          <cell r="G95">
            <v>0</v>
          </cell>
          <cell r="H95">
            <v>0</v>
          </cell>
          <cell r="I95">
            <v>0</v>
          </cell>
          <cell r="J95">
            <v>0</v>
          </cell>
          <cell r="K95">
            <v>0</v>
          </cell>
          <cell r="L95">
            <v>0</v>
          </cell>
          <cell r="M95">
            <v>0</v>
          </cell>
          <cell r="HY95">
            <v>0</v>
          </cell>
          <cell r="HZ95" t="str">
            <v>ISO4217:USD</v>
          </cell>
          <cell r="IA95" t="b">
            <v>0</v>
          </cell>
          <cell r="IB95" t="b">
            <v>0</v>
          </cell>
        </row>
        <row r="106">
          <cell r="B106" t="str">
            <v>Cash Flow Validation</v>
          </cell>
          <cell r="G106" t="b">
            <v>1</v>
          </cell>
          <cell r="H106" t="b">
            <v>1</v>
          </cell>
          <cell r="I106" t="b">
            <v>1</v>
          </cell>
          <cell r="J106" t="b">
            <v>1</v>
          </cell>
          <cell r="K106" t="b">
            <v>1</v>
          </cell>
          <cell r="L106" t="b">
            <v>1</v>
          </cell>
          <cell r="M106" t="b">
            <v>1</v>
          </cell>
          <cell r="HY106">
            <v>0</v>
          </cell>
          <cell r="HZ106" t="str">
            <v>ms_eqr_gcim_Boolean:ms_eqr_gcim_boolean</v>
          </cell>
          <cell r="IA106" t="b">
            <v>0</v>
          </cell>
          <cell r="IB106" t="b">
            <v>0</v>
          </cell>
        </row>
        <row r="117">
          <cell r="C117" t="str">
            <v>Aggregate Cash and Cash Equivalents for Validation</v>
          </cell>
          <cell r="F117">
            <v>207.26400000000001</v>
          </cell>
          <cell r="G117">
            <v>244.46899999999999</v>
          </cell>
          <cell r="H117">
            <v>281.16199999999998</v>
          </cell>
          <cell r="I117">
            <v>337.68200000000002</v>
          </cell>
          <cell r="J117">
            <v>551.38400000000001</v>
          </cell>
          <cell r="K117">
            <v>395.20299999999997</v>
          </cell>
          <cell r="L117">
            <v>208.13</v>
          </cell>
          <cell r="M117">
            <v>371.87784265857795</v>
          </cell>
          <cell r="HY117">
            <v>0</v>
          </cell>
          <cell r="HZ117" t="str">
            <v>ISO4217:USD</v>
          </cell>
          <cell r="IA117" t="b">
            <v>0</v>
          </cell>
          <cell r="IB117" t="b">
            <v>0</v>
          </cell>
        </row>
        <row r="128">
          <cell r="C128" t="str">
            <v>Changes in Cash and Cash Equivalents</v>
          </cell>
          <cell r="G128">
            <v>37.204999999999984</v>
          </cell>
          <cell r="H128">
            <v>36.693000000000012</v>
          </cell>
          <cell r="I128">
            <v>56.519999999999698</v>
          </cell>
          <cell r="J128">
            <v>213.702</v>
          </cell>
          <cell r="K128">
            <v>-156.18100000000004</v>
          </cell>
          <cell r="L128">
            <v>-187.07299999999987</v>
          </cell>
          <cell r="M128">
            <v>163.89584265857809</v>
          </cell>
          <cell r="HY128">
            <v>0</v>
          </cell>
          <cell r="HZ128" t="str">
            <v>ISO4217:USD</v>
          </cell>
          <cell r="IA128" t="b">
            <v>0</v>
          </cell>
          <cell r="IB128" t="b">
            <v>0</v>
          </cell>
        </row>
        <row r="129">
          <cell r="G129">
            <v>39.993000000000023</v>
          </cell>
          <cell r="H129">
            <v>172.93699999999998</v>
          </cell>
          <cell r="I129">
            <v>-218.41600000000022</v>
          </cell>
          <cell r="J129">
            <v>277.20500000000004</v>
          </cell>
          <cell r="K129">
            <v>369.18700000000001</v>
          </cell>
          <cell r="L129">
            <v>31.79299999999995</v>
          </cell>
          <cell r="M129">
            <v>530.46584265857791</v>
          </cell>
        </row>
        <row r="130">
          <cell r="G130">
            <v>-2.7880000000000393</v>
          </cell>
          <cell r="H130">
            <v>-136.24399999999997</v>
          </cell>
          <cell r="I130">
            <v>274.93599999999992</v>
          </cell>
          <cell r="J130">
            <v>-63.503000000000043</v>
          </cell>
          <cell r="K130">
            <v>-525.36800000000005</v>
          </cell>
          <cell r="L130">
            <v>-218.86599999999981</v>
          </cell>
          <cell r="M130">
            <v>-366.56999999999982</v>
          </cell>
        </row>
        <row r="131">
          <cell r="G131">
            <v>0</v>
          </cell>
          <cell r="H131">
            <v>0</v>
          </cell>
          <cell r="I131">
            <v>0</v>
          </cell>
          <cell r="J131">
            <v>0</v>
          </cell>
          <cell r="K131">
            <v>0</v>
          </cell>
          <cell r="L131">
            <v>0</v>
          </cell>
          <cell r="M131">
            <v>0</v>
          </cell>
        </row>
        <row r="139">
          <cell r="B139" t="str">
            <v>Tax Rate Validation (must be between 0% and 100%)</v>
          </cell>
          <cell r="G139">
            <v>0.373</v>
          </cell>
          <cell r="H139">
            <v>0.37965018939169048</v>
          </cell>
          <cell r="I139">
            <v>0.51523455723542122</v>
          </cell>
          <cell r="J139">
            <v>0.59149257488044304</v>
          </cell>
          <cell r="K139">
            <v>0.40731343600036757</v>
          </cell>
          <cell r="L139">
            <v>0.37813035732293521</v>
          </cell>
          <cell r="M139">
            <v>0.32364976429312797</v>
          </cell>
          <cell r="HY139">
            <v>0</v>
          </cell>
          <cell r="HZ139" t="str">
            <v>ms_eqr_gcim_Boolean:ms_eqr_gcim_boolean</v>
          </cell>
          <cell r="IA139" t="b">
            <v>0</v>
          </cell>
          <cell r="IB139" t="b">
            <v>0</v>
          </cell>
        </row>
        <row r="140">
          <cell r="A140" t="str">
            <v>Tagged metrics</v>
          </cell>
          <cell r="HY140">
            <v>0</v>
          </cell>
          <cell r="HZ140" t="str">
            <v>ms_eqr_gcim_String:ms_eqr_gcim_string</v>
          </cell>
          <cell r="IA140" t="b">
            <v>0</v>
          </cell>
          <cell r="IB140" t="b">
            <v>0</v>
          </cell>
        </row>
        <row r="141">
          <cell r="B141" t="str">
            <v>Income statement</v>
          </cell>
          <cell r="HY141">
            <v>0</v>
          </cell>
          <cell r="HZ141" t="str">
            <v>ms_eqr_gcim_String:ms_eqr_gcim_string</v>
          </cell>
          <cell r="IA141" t="b">
            <v>0</v>
          </cell>
          <cell r="IB141" t="b">
            <v>0</v>
          </cell>
        </row>
        <row r="142">
          <cell r="C142" t="str">
            <v>Revenue, net</v>
          </cell>
          <cell r="G142">
            <v>706.476</v>
          </cell>
          <cell r="H142">
            <v>832.58999999999992</v>
          </cell>
          <cell r="I142">
            <v>1122.337</v>
          </cell>
          <cell r="J142">
            <v>1438.7070000000001</v>
          </cell>
          <cell r="K142">
            <v>1779.557</v>
          </cell>
          <cell r="L142">
            <v>2218.1080000000002</v>
          </cell>
          <cell r="M142">
            <v>3300.2629999999999</v>
          </cell>
          <cell r="HX142" t="str">
            <v>mstag:revenueNet</v>
          </cell>
          <cell r="HY142">
            <v>6</v>
          </cell>
          <cell r="HZ142" t="str">
            <v>ISO4217:USD</v>
          </cell>
          <cell r="IA142" t="b">
            <v>0</v>
          </cell>
          <cell r="IB142" t="b">
            <v>0</v>
          </cell>
        </row>
        <row r="143">
          <cell r="D143" t="str">
            <v>Revenue, net of discounts and allowances</v>
          </cell>
          <cell r="G143">
            <v>706.476</v>
          </cell>
          <cell r="H143">
            <v>832.58999999999992</v>
          </cell>
          <cell r="I143">
            <v>1122.337</v>
          </cell>
          <cell r="J143">
            <v>1438.7070000000001</v>
          </cell>
          <cell r="K143">
            <v>1779.557</v>
          </cell>
          <cell r="L143">
            <v>2218.1080000000002</v>
          </cell>
          <cell r="M143" t="str">
            <v/>
          </cell>
          <cell r="HX143" t="str">
            <v>mstag:revenueNetOfDiscountsAndAllowances</v>
          </cell>
          <cell r="HY143">
            <v>6</v>
          </cell>
          <cell r="HZ143" t="str">
            <v>ISO4217:USD</v>
          </cell>
          <cell r="IA143" t="b">
            <v>0</v>
          </cell>
          <cell r="IB143" t="b">
            <v>0</v>
          </cell>
        </row>
        <row r="144">
          <cell r="E144" t="str">
            <v>Revenue, gross</v>
          </cell>
          <cell r="G144">
            <v>706.476</v>
          </cell>
          <cell r="H144">
            <v>832.58999999999992</v>
          </cell>
          <cell r="I144">
            <v>1122.337</v>
          </cell>
          <cell r="J144">
            <v>1438.7070000000001</v>
          </cell>
          <cell r="K144">
            <v>1779.557</v>
          </cell>
          <cell r="L144">
            <v>2218.1080000000002</v>
          </cell>
          <cell r="HX144" t="str">
            <v>mstag:revenueGross</v>
          </cell>
          <cell r="HY144">
            <v>6</v>
          </cell>
          <cell r="HZ144" t="str">
            <v>ISO4217:USD</v>
          </cell>
          <cell r="IA144" t="b">
            <v>0</v>
          </cell>
          <cell r="IB144" t="b">
            <v>0</v>
          </cell>
        </row>
        <row r="145">
          <cell r="E145" t="str">
            <v>Sales discounts</v>
          </cell>
          <cell r="HX145" t="str">
            <v>mstag:salesDiscounts</v>
          </cell>
          <cell r="HY145">
            <v>6</v>
          </cell>
          <cell r="HZ145" t="str">
            <v>ISO4217:USD</v>
          </cell>
          <cell r="IA145" t="b">
            <v>0</v>
          </cell>
          <cell r="IB145" t="b">
            <v>0</v>
          </cell>
        </row>
        <row r="146">
          <cell r="E146" t="str">
            <v>Change in allowance for doubtful accounts, recurring</v>
          </cell>
          <cell r="HX146" t="str">
            <v>mstag:changeInAllowanceForDoubtfulAccountsRecurring</v>
          </cell>
          <cell r="HY146">
            <v>6</v>
          </cell>
          <cell r="HZ146" t="str">
            <v>ISO4217:USD</v>
          </cell>
          <cell r="IA146" t="b">
            <v>0</v>
          </cell>
          <cell r="IB146" t="b">
            <v>0</v>
          </cell>
        </row>
        <row r="147">
          <cell r="E147" t="str">
            <v>Change in allowance for doubtful accounts, one time</v>
          </cell>
          <cell r="HX147" t="str">
            <v>mstag:changeInAllowanceForDoubtfulAccountsOneTime</v>
          </cell>
          <cell r="HY147">
            <v>6</v>
          </cell>
          <cell r="HZ147" t="str">
            <v>ISO4217:USD</v>
          </cell>
          <cell r="IA147" t="b">
            <v>0</v>
          </cell>
          <cell r="IB147" t="b">
            <v>0</v>
          </cell>
        </row>
        <row r="148">
          <cell r="C148" t="str">
            <v>Revenue, region</v>
          </cell>
          <cell r="HX148" t="str">
            <v>mstag:revenueRegion</v>
          </cell>
          <cell r="HY148">
            <v>6</v>
          </cell>
          <cell r="HZ148" t="str">
            <v>ISO4217:USD</v>
          </cell>
          <cell r="IA148" t="b">
            <v>0</v>
          </cell>
          <cell r="IB148" t="b">
            <v>0</v>
          </cell>
        </row>
        <row r="149">
          <cell r="D149" t="str">
            <v>Revenue (Americas)</v>
          </cell>
          <cell r="G149" t="str">
            <v/>
          </cell>
          <cell r="H149" t="str">
            <v/>
          </cell>
          <cell r="I149" t="str">
            <v/>
          </cell>
          <cell r="J149" t="str">
            <v/>
          </cell>
          <cell r="K149" t="str">
            <v/>
          </cell>
          <cell r="L149" t="str">
            <v/>
          </cell>
          <cell r="M149" t="str">
            <v/>
          </cell>
          <cell r="HX149" t="str">
            <v>mstag:americasRevenues</v>
          </cell>
          <cell r="HY149">
            <v>6</v>
          </cell>
          <cell r="HZ149" t="str">
            <v>ISO4217:USD</v>
          </cell>
          <cell r="IA149" t="b">
            <v>0</v>
          </cell>
          <cell r="IB149" t="b">
            <v>0</v>
          </cell>
        </row>
        <row r="150">
          <cell r="E150" t="str">
            <v>Revenue (North America)</v>
          </cell>
          <cell r="HX150" t="str">
            <v>mstag:northAmericaRevenues</v>
          </cell>
          <cell r="HY150">
            <v>6</v>
          </cell>
          <cell r="HZ150" t="str">
            <v>ISO4217:USD</v>
          </cell>
          <cell r="IA150" t="b">
            <v>0</v>
          </cell>
          <cell r="IB150" t="b">
            <v>0</v>
          </cell>
        </row>
        <row r="151">
          <cell r="E151" t="str">
            <v>Revenue (Latin America)</v>
          </cell>
          <cell r="HX151" t="str">
            <v>mstag:latinAmericaRevenues</v>
          </cell>
          <cell r="HY151">
            <v>6</v>
          </cell>
          <cell r="HZ151" t="str">
            <v>ISO4217:USD</v>
          </cell>
          <cell r="IA151" t="b">
            <v>0</v>
          </cell>
          <cell r="IB151" t="b">
            <v>0</v>
          </cell>
        </row>
        <row r="152">
          <cell r="D152" t="str">
            <v>Revenue (Europe, Middle East, and Africa)</v>
          </cell>
          <cell r="G152" t="str">
            <v/>
          </cell>
          <cell r="H152" t="str">
            <v/>
          </cell>
          <cell r="I152" t="str">
            <v/>
          </cell>
          <cell r="J152" t="str">
            <v/>
          </cell>
          <cell r="K152" t="str">
            <v/>
          </cell>
          <cell r="L152" t="str">
            <v/>
          </cell>
          <cell r="M152" t="str">
            <v/>
          </cell>
          <cell r="HX152" t="str">
            <v>mstag:europeMiddleEastAndAfricaEmeaRevenues</v>
          </cell>
          <cell r="HY152">
            <v>6</v>
          </cell>
          <cell r="HZ152" t="str">
            <v>ISO4217:USD</v>
          </cell>
          <cell r="IA152" t="b">
            <v>0</v>
          </cell>
          <cell r="IB152" t="b">
            <v>0</v>
          </cell>
        </row>
        <row r="153">
          <cell r="E153" t="str">
            <v>Revenue (Europe)</v>
          </cell>
          <cell r="HX153" t="str">
            <v>mstag:europeRevenues</v>
          </cell>
          <cell r="HY153">
            <v>6</v>
          </cell>
          <cell r="HZ153" t="str">
            <v>ISO4217:USD</v>
          </cell>
          <cell r="IA153" t="b">
            <v>0</v>
          </cell>
          <cell r="IB153" t="b">
            <v>0</v>
          </cell>
        </row>
        <row r="154">
          <cell r="E154" t="str">
            <v>Revenue (Africa and Middle East)</v>
          </cell>
          <cell r="HX154" t="str">
            <v>mstag:africaAndMiddleEastRevenues</v>
          </cell>
          <cell r="HY154">
            <v>6</v>
          </cell>
          <cell r="HZ154" t="str">
            <v>ISO4217:USD</v>
          </cell>
          <cell r="IA154" t="b">
            <v>0</v>
          </cell>
          <cell r="IB154" t="b">
            <v>0</v>
          </cell>
        </row>
        <row r="155">
          <cell r="D155" t="str">
            <v>Revenue (Asia)</v>
          </cell>
          <cell r="G155" t="str">
            <v/>
          </cell>
          <cell r="H155" t="str">
            <v/>
          </cell>
          <cell r="I155" t="str">
            <v/>
          </cell>
          <cell r="J155" t="str">
            <v/>
          </cell>
          <cell r="K155" t="str">
            <v/>
          </cell>
          <cell r="L155" t="str">
            <v/>
          </cell>
          <cell r="M155" t="str">
            <v/>
          </cell>
          <cell r="HX155" t="str">
            <v>mstag:asiaRevenues</v>
          </cell>
          <cell r="HY155">
            <v>6</v>
          </cell>
          <cell r="HZ155" t="str">
            <v>ISO4217:USD</v>
          </cell>
          <cell r="IA155" t="b">
            <v>0</v>
          </cell>
          <cell r="IB155" t="b">
            <v>0</v>
          </cell>
        </row>
        <row r="156">
          <cell r="E156" t="str">
            <v>Revenue (Japan)</v>
          </cell>
          <cell r="HX156" t="str">
            <v>mstag:japanRevenues</v>
          </cell>
          <cell r="HY156">
            <v>6</v>
          </cell>
          <cell r="HZ156" t="str">
            <v>ISO4217:USD</v>
          </cell>
          <cell r="IA156" t="b">
            <v>0</v>
          </cell>
          <cell r="IB156" t="b">
            <v>0</v>
          </cell>
        </row>
        <row r="157">
          <cell r="E157" t="str">
            <v>Revenue (Asia ex-Japan)</v>
          </cell>
          <cell r="HX157" t="str">
            <v>mstag:nonJapanAsiaRevenues</v>
          </cell>
          <cell r="HY157">
            <v>6</v>
          </cell>
          <cell r="HZ157" t="str">
            <v>ISO4217:USD</v>
          </cell>
          <cell r="IA157" t="b">
            <v>0</v>
          </cell>
          <cell r="IB157" t="b">
            <v>0</v>
          </cell>
        </row>
        <row r="158">
          <cell r="D158" t="str">
            <v>Other revenue, region</v>
          </cell>
          <cell r="HX158" t="str">
            <v>mstag:otherRevenueRegion</v>
          </cell>
          <cell r="HY158">
            <v>6</v>
          </cell>
          <cell r="HZ158" t="str">
            <v>ISO4217:USD</v>
          </cell>
          <cell r="IA158" t="b">
            <v>0</v>
          </cell>
          <cell r="IB158" t="b">
            <v>0</v>
          </cell>
        </row>
        <row r="159">
          <cell r="D159" t="str">
            <v>Intercompany eliminations</v>
          </cell>
          <cell r="HX159" t="str">
            <v>mstag:intercompanyEliminations</v>
          </cell>
          <cell r="HY159">
            <v>6</v>
          </cell>
          <cell r="HZ159" t="str">
            <v>ISO4217:USD</v>
          </cell>
          <cell r="IA159" t="b">
            <v>0</v>
          </cell>
          <cell r="IB159" t="b">
            <v>0</v>
          </cell>
        </row>
        <row r="160">
          <cell r="C160" t="str">
            <v>Royalty, licensee income</v>
          </cell>
          <cell r="G160">
            <v>241.11199999999999</v>
          </cell>
          <cell r="H160">
            <v>229.589</v>
          </cell>
          <cell r="I160">
            <v>189.26999999999998</v>
          </cell>
          <cell r="J160">
            <v>207.24100000000001</v>
          </cell>
          <cell r="K160">
            <v>264.47500000000002</v>
          </cell>
          <cell r="L160">
            <v>365.55</v>
          </cell>
          <cell r="HX160" t="str">
            <v>mstag:royaltyLicenseeIncome</v>
          </cell>
          <cell r="HY160">
            <v>6</v>
          </cell>
          <cell r="HZ160" t="str">
            <v>ISO4217:USD</v>
          </cell>
          <cell r="IA160" t="b">
            <v>0</v>
          </cell>
          <cell r="IB160" t="b">
            <v>0</v>
          </cell>
        </row>
        <row r="161">
          <cell r="C161" t="str">
            <v>Cost of sales, with depreciation</v>
          </cell>
          <cell r="G161">
            <v>102.536</v>
          </cell>
          <cell r="H161">
            <v>138.62299999999999</v>
          </cell>
          <cell r="I161">
            <v>285.54899999999998</v>
          </cell>
          <cell r="J161">
            <v>364.89199999999994</v>
          </cell>
          <cell r="K161">
            <v>354.44200000000001</v>
          </cell>
          <cell r="L161">
            <v>441.63</v>
          </cell>
          <cell r="M161">
            <v>480.2</v>
          </cell>
          <cell r="HX161" t="str">
            <v>mstag:costOfSalesWithDepreciation</v>
          </cell>
          <cell r="HY161">
            <v>6</v>
          </cell>
          <cell r="HZ161" t="str">
            <v>ISO4217:USD</v>
          </cell>
          <cell r="IA161" t="b">
            <v>0</v>
          </cell>
          <cell r="IB161" t="b">
            <v>0</v>
          </cell>
        </row>
        <row r="162">
          <cell r="C162" t="str">
            <v>Cost of sales, without depreciation</v>
          </cell>
          <cell r="HX162" t="str">
            <v>mstag:costOfSalesWithoutDepreciation</v>
          </cell>
          <cell r="HY162">
            <v>6</v>
          </cell>
          <cell r="HZ162" t="str">
            <v>ISO4217:USD</v>
          </cell>
          <cell r="IA162" t="b">
            <v>0</v>
          </cell>
          <cell r="IB162" t="b">
            <v>0</v>
          </cell>
        </row>
        <row r="163">
          <cell r="C163" t="str">
            <v>Cost of materials</v>
          </cell>
          <cell r="HX163" t="str">
            <v>mstag:costOfMaterials</v>
          </cell>
          <cell r="HY163">
            <v>6</v>
          </cell>
          <cell r="HZ163" t="str">
            <v>ISO4217:USD</v>
          </cell>
          <cell r="IA163" t="b">
            <v>0</v>
          </cell>
          <cell r="IB163" t="b">
            <v>0</v>
          </cell>
        </row>
        <row r="164">
          <cell r="C164" t="str">
            <v>Cost of services sold</v>
          </cell>
          <cell r="HX164" t="str">
            <v>mstag:costOfServicesSold</v>
          </cell>
          <cell r="HY164">
            <v>6</v>
          </cell>
          <cell r="HZ164" t="str">
            <v>ISO4217:USD</v>
          </cell>
          <cell r="IA164" t="b">
            <v>0</v>
          </cell>
          <cell r="IB164" t="b">
            <v>0</v>
          </cell>
        </row>
        <row r="165">
          <cell r="C165" t="str">
            <v>Selling, general, and administrative expenses</v>
          </cell>
          <cell r="G165">
            <v>470.923</v>
          </cell>
          <cell r="H165">
            <v>358.93099999999998</v>
          </cell>
          <cell r="I165">
            <v>393.65700000000004</v>
          </cell>
          <cell r="J165">
            <v>368.22399999999999</v>
          </cell>
          <cell r="K165">
            <v>446.90599999999995</v>
          </cell>
          <cell r="L165">
            <v>546.27599999999995</v>
          </cell>
          <cell r="M165">
            <v>794.88499999999999</v>
          </cell>
          <cell r="HX165" t="str">
            <v>mstag:sellingGeneralAndAdministrativeExpenses</v>
          </cell>
          <cell r="HY165">
            <v>6</v>
          </cell>
          <cell r="HZ165" t="str">
            <v>ISO4217:USD</v>
          </cell>
          <cell r="IA165" t="b">
            <v>0</v>
          </cell>
          <cell r="IB165" t="b">
            <v>0</v>
          </cell>
        </row>
        <row r="166">
          <cell r="D166" t="str">
            <v>Marketing and distribution costs</v>
          </cell>
          <cell r="G166">
            <v>41.8</v>
          </cell>
          <cell r="H166">
            <v>47.7</v>
          </cell>
          <cell r="I166">
            <v>80</v>
          </cell>
          <cell r="J166">
            <v>86.5</v>
          </cell>
          <cell r="K166">
            <v>91.9</v>
          </cell>
          <cell r="L166">
            <v>111.7</v>
          </cell>
          <cell r="M166" t="str">
            <v/>
          </cell>
          <cell r="HX166" t="str">
            <v>mstag:marketingAndDistributionCosts</v>
          </cell>
          <cell r="HY166">
            <v>6</v>
          </cell>
          <cell r="HZ166" t="str">
            <v>ISO4217:USD</v>
          </cell>
          <cell r="IA166" t="b">
            <v>0</v>
          </cell>
          <cell r="IB166" t="b">
            <v>0</v>
          </cell>
        </row>
        <row r="167">
          <cell r="E167" t="str">
            <v>Advertising costs</v>
          </cell>
          <cell r="G167">
            <v>41.8</v>
          </cell>
          <cell r="H167">
            <v>47.7</v>
          </cell>
          <cell r="I167">
            <v>80</v>
          </cell>
          <cell r="J167">
            <v>86.5</v>
          </cell>
          <cell r="K167">
            <v>91.9</v>
          </cell>
          <cell r="L167">
            <v>111.7</v>
          </cell>
          <cell r="HX167" t="str">
            <v>mstag:advertisingCosts</v>
          </cell>
          <cell r="HY167">
            <v>6</v>
          </cell>
          <cell r="HZ167" t="str">
            <v>ISO4217:USD</v>
          </cell>
          <cell r="IA167" t="b">
            <v>0</v>
          </cell>
          <cell r="IB167" t="b">
            <v>0</v>
          </cell>
        </row>
        <row r="168">
          <cell r="D168" t="str">
            <v>General and administrative expenses</v>
          </cell>
          <cell r="G168">
            <v>429.12299999999999</v>
          </cell>
          <cell r="H168">
            <v>311.23099999999999</v>
          </cell>
          <cell r="I168">
            <v>313.65700000000004</v>
          </cell>
          <cell r="J168">
            <v>281.72399999999999</v>
          </cell>
          <cell r="K168">
            <v>355.00599999999997</v>
          </cell>
          <cell r="L168">
            <v>434.57599999999996</v>
          </cell>
          <cell r="HX168" t="str">
            <v>mstag:generalAndAdministrativeExpenses</v>
          </cell>
          <cell r="HY168">
            <v>6</v>
          </cell>
          <cell r="HZ168" t="str">
            <v>ISO4217:USD</v>
          </cell>
          <cell r="IA168" t="b">
            <v>0</v>
          </cell>
          <cell r="IB168" t="b">
            <v>0</v>
          </cell>
        </row>
        <row r="169">
          <cell r="C169" t="str">
            <v>Stock compensation</v>
          </cell>
          <cell r="HX169" t="str">
            <v>mstag:stockCompensation</v>
          </cell>
          <cell r="HY169">
            <v>6</v>
          </cell>
          <cell r="HZ169" t="str">
            <v>ISO4217:USD</v>
          </cell>
          <cell r="IA169" t="b">
            <v>0</v>
          </cell>
          <cell r="IB169" t="b">
            <v>0</v>
          </cell>
        </row>
        <row r="170">
          <cell r="C170" t="str">
            <v>Employee expenses</v>
          </cell>
          <cell r="HX170" t="str">
            <v>mstag:employeeExpenses</v>
          </cell>
          <cell r="HY170">
            <v>6</v>
          </cell>
          <cell r="HZ170" t="str">
            <v>ISO4217:USD</v>
          </cell>
          <cell r="IA170" t="b">
            <v>0</v>
          </cell>
          <cell r="IB170" t="b">
            <v>0</v>
          </cell>
        </row>
        <row r="171">
          <cell r="C171" t="str">
            <v>Marketing costs</v>
          </cell>
          <cell r="HX171" t="str">
            <v>mstag:marketingCosts</v>
          </cell>
          <cell r="HY171">
            <v>6</v>
          </cell>
          <cell r="HZ171" t="str">
            <v>ISO4217:USD</v>
          </cell>
          <cell r="IA171" t="b">
            <v>0</v>
          </cell>
          <cell r="IB171" t="b">
            <v>0</v>
          </cell>
        </row>
        <row r="172">
          <cell r="C172" t="str">
            <v>Research and development</v>
          </cell>
          <cell r="G172">
            <v>269.85199999999998</v>
          </cell>
          <cell r="H172">
            <v>396.18599999999998</v>
          </cell>
          <cell r="I172">
            <v>367.33799999999997</v>
          </cell>
          <cell r="J172">
            <v>489.87900000000002</v>
          </cell>
          <cell r="K172">
            <v>526.23</v>
          </cell>
          <cell r="L172">
            <v>623.48199999999997</v>
          </cell>
          <cell r="M172">
            <v>721.96299999999997</v>
          </cell>
          <cell r="HX172" t="str">
            <v>mstag:researchAndDevelopment</v>
          </cell>
          <cell r="HY172">
            <v>6</v>
          </cell>
          <cell r="HZ172" t="str">
            <v>ISO4217:USD</v>
          </cell>
          <cell r="IA172" t="b">
            <v>0</v>
          </cell>
          <cell r="IB172" t="b">
            <v>0</v>
          </cell>
        </row>
        <row r="173">
          <cell r="C173" t="str">
            <v>Acquired in-process R and D, recurring</v>
          </cell>
          <cell r="HX173" t="str">
            <v>mstag:acquiredInProcessRAndDRecurring</v>
          </cell>
          <cell r="HY173">
            <v>6</v>
          </cell>
          <cell r="HZ173" t="str">
            <v>ISO4217:USD</v>
          </cell>
          <cell r="IA173" t="b">
            <v>0</v>
          </cell>
          <cell r="IB173" t="b">
            <v>0</v>
          </cell>
        </row>
        <row r="174">
          <cell r="C174" t="str">
            <v>Acquired in-process R and D, one time</v>
          </cell>
          <cell r="G174">
            <v>0</v>
          </cell>
          <cell r="H174">
            <v>0</v>
          </cell>
          <cell r="I174">
            <v>752.5</v>
          </cell>
          <cell r="J174">
            <v>0</v>
          </cell>
          <cell r="K174">
            <v>0</v>
          </cell>
          <cell r="L174">
            <v>0</v>
          </cell>
          <cell r="M174" t="str">
            <v/>
          </cell>
          <cell r="HX174" t="str">
            <v>mstag:acquiredInProcessRAndDOneTime</v>
          </cell>
          <cell r="HY174">
            <v>6</v>
          </cell>
          <cell r="HZ174" t="str">
            <v>ISO4217:USD</v>
          </cell>
          <cell r="IA174" t="b">
            <v>0</v>
          </cell>
          <cell r="IB174" t="b">
            <v>0</v>
          </cell>
        </row>
        <row r="175">
          <cell r="D175" t="str">
            <v>Acquired in-process R and D, one time, gross of tax</v>
          </cell>
          <cell r="G175">
            <v>0</v>
          </cell>
          <cell r="H175">
            <v>0</v>
          </cell>
          <cell r="I175">
            <v>1015.875</v>
          </cell>
          <cell r="J175">
            <v>0</v>
          </cell>
          <cell r="K175">
            <v>0</v>
          </cell>
          <cell r="L175">
            <v>0</v>
          </cell>
          <cell r="HX175" t="str">
            <v>mstag:acquiredInProcessRAndDOneTimeGrossOfTax</v>
          </cell>
          <cell r="HY175">
            <v>6</v>
          </cell>
          <cell r="HZ175" t="str">
            <v>ISO4217:USD</v>
          </cell>
          <cell r="IA175" t="b">
            <v>0</v>
          </cell>
          <cell r="IB175" t="b">
            <v>0</v>
          </cell>
        </row>
        <row r="176">
          <cell r="D176" t="str">
            <v>Tax on acquired in-process R and D, one time</v>
          </cell>
          <cell r="G176">
            <v>0</v>
          </cell>
          <cell r="H176">
            <v>0</v>
          </cell>
          <cell r="I176">
            <v>263.375</v>
          </cell>
          <cell r="J176">
            <v>0</v>
          </cell>
          <cell r="K176">
            <v>0</v>
          </cell>
          <cell r="L176">
            <v>0</v>
          </cell>
          <cell r="HX176" t="str">
            <v>mstag:taxOnAcquiredInProcessRAndDOneTime</v>
          </cell>
          <cell r="HY176">
            <v>6</v>
          </cell>
          <cell r="HZ176" t="str">
            <v>ISO4217:USD</v>
          </cell>
          <cell r="IA176" t="b">
            <v>0</v>
          </cell>
          <cell r="IB176" t="b">
            <v>0</v>
          </cell>
        </row>
        <row r="177">
          <cell r="C177" t="str">
            <v>Depreciation, in income statement</v>
          </cell>
          <cell r="HX177" t="str">
            <v>mstag:depreciationInIncomeStatement</v>
          </cell>
          <cell r="HY177">
            <v>6</v>
          </cell>
          <cell r="HZ177" t="str">
            <v>ISO4217:USD</v>
          </cell>
          <cell r="IA177" t="b">
            <v>0</v>
          </cell>
          <cell r="IB177" t="b">
            <v>0</v>
          </cell>
        </row>
        <row r="178">
          <cell r="C178" t="str">
            <v>Amortization of goodwill, in income statement</v>
          </cell>
          <cell r="G178">
            <v>0</v>
          </cell>
          <cell r="H178">
            <v>0</v>
          </cell>
          <cell r="I178">
            <v>76.599999999999994</v>
          </cell>
          <cell r="J178">
            <v>153.30000000000001</v>
          </cell>
          <cell r="K178">
            <v>153.30000000000001</v>
          </cell>
          <cell r="L178">
            <v>0</v>
          </cell>
          <cell r="M178" t="str">
            <v/>
          </cell>
          <cell r="HX178" t="str">
            <v>mstag:amortizationOfGoodwillInIncomeStatement</v>
          </cell>
          <cell r="HY178">
            <v>6</v>
          </cell>
          <cell r="HZ178" t="str">
            <v>ISO4217:USD</v>
          </cell>
          <cell r="IA178" t="b">
            <v>0</v>
          </cell>
          <cell r="IB178" t="b">
            <v>0</v>
          </cell>
        </row>
        <row r="179">
          <cell r="D179" t="str">
            <v>Amortization of goodwill, operating, in income statement</v>
          </cell>
          <cell r="G179">
            <v>0</v>
          </cell>
          <cell r="H179">
            <v>0</v>
          </cell>
          <cell r="I179">
            <v>76.599999999999994</v>
          </cell>
          <cell r="J179">
            <v>153.30000000000001</v>
          </cell>
          <cell r="K179">
            <v>153.30000000000001</v>
          </cell>
          <cell r="L179">
            <v>0</v>
          </cell>
          <cell r="HX179" t="str">
            <v>mstag:amortizationOfGoodwillOperatingInIncomeStatement</v>
          </cell>
          <cell r="HY179">
            <v>6</v>
          </cell>
          <cell r="HZ179" t="str">
            <v>ISO4217:USD</v>
          </cell>
          <cell r="IA179" t="b">
            <v>0</v>
          </cell>
          <cell r="IB179" t="b">
            <v>0</v>
          </cell>
        </row>
        <row r="180">
          <cell r="D180" t="str">
            <v>Amortization of goodwill, nonoperating, in income statement</v>
          </cell>
          <cell r="HX180" t="str">
            <v>mstag:amortizationOfGoodwillNonOperatingInIncomeStatement</v>
          </cell>
          <cell r="HY180">
            <v>6</v>
          </cell>
          <cell r="HZ180" t="str">
            <v>ISO4217:USD</v>
          </cell>
          <cell r="IA180" t="b">
            <v>0</v>
          </cell>
          <cell r="IB180" t="b">
            <v>0</v>
          </cell>
        </row>
        <row r="181">
          <cell r="C181" t="str">
            <v>Amortization of intangibles assumed to have indefinite life, in income statement</v>
          </cell>
          <cell r="G181">
            <v>0</v>
          </cell>
          <cell r="H181">
            <v>0</v>
          </cell>
          <cell r="I181">
            <v>0</v>
          </cell>
          <cell r="J181">
            <v>0</v>
          </cell>
          <cell r="K181">
            <v>0</v>
          </cell>
          <cell r="L181">
            <v>0</v>
          </cell>
          <cell r="M181">
            <v>154.30000000000001</v>
          </cell>
          <cell r="HX181" t="str">
            <v>mstag:amortizationOfIntangiblesAssumedToHaveIndefiniteLifeIncomeStatement</v>
          </cell>
          <cell r="HY181">
            <v>6</v>
          </cell>
          <cell r="HZ181" t="str">
            <v>ISO4217:USD</v>
          </cell>
          <cell r="IA181" t="b">
            <v>0</v>
          </cell>
          <cell r="IB181" t="b">
            <v>0</v>
          </cell>
        </row>
        <row r="182">
          <cell r="C182" t="str">
            <v>Amortization of other intangibles, in income statement</v>
          </cell>
          <cell r="G182">
            <v>0</v>
          </cell>
          <cell r="H182">
            <v>0</v>
          </cell>
          <cell r="I182">
            <v>121.142</v>
          </cell>
          <cell r="J182">
            <v>222</v>
          </cell>
          <cell r="K182">
            <v>168.51599999999996</v>
          </cell>
          <cell r="L182">
            <v>155.71299999999999</v>
          </cell>
          <cell r="M182" t="str">
            <v/>
          </cell>
          <cell r="HX182" t="str">
            <v>mstag:amortizationOfOtherIntangiblesInIncomeStatement</v>
          </cell>
          <cell r="HY182">
            <v>6</v>
          </cell>
          <cell r="HZ182" t="str">
            <v>ISO4217:USD</v>
          </cell>
          <cell r="IA182" t="b">
            <v>0</v>
          </cell>
          <cell r="IB182" t="b">
            <v>0</v>
          </cell>
        </row>
        <row r="183">
          <cell r="D183" t="str">
            <v>Amortization of taxable other intangibles, in income statement</v>
          </cell>
          <cell r="G183">
            <v>0</v>
          </cell>
          <cell r="H183">
            <v>0</v>
          </cell>
          <cell r="I183">
            <v>121.142</v>
          </cell>
          <cell r="J183">
            <v>222</v>
          </cell>
          <cell r="K183">
            <v>168.51599999999996</v>
          </cell>
          <cell r="L183">
            <v>155.71299999999999</v>
          </cell>
          <cell r="HX183" t="str">
            <v>mstag:amortizationOfTaxableOtherIntangiblesInIncomeStatement</v>
          </cell>
          <cell r="HY183">
            <v>6</v>
          </cell>
          <cell r="HZ183" t="str">
            <v>ISO4217:USD</v>
          </cell>
          <cell r="IA183" t="b">
            <v>0</v>
          </cell>
          <cell r="IB183" t="b">
            <v>0</v>
          </cell>
        </row>
        <row r="184">
          <cell r="D184" t="str">
            <v>Amortization of nontaxable other intangibles, in income statement</v>
          </cell>
          <cell r="HX184" t="str">
            <v>mstag:amortizationOfNonTaxableOtherIntangiblesInIncomeStatement</v>
          </cell>
          <cell r="HY184">
            <v>6</v>
          </cell>
          <cell r="HZ184" t="str">
            <v>ISO4217:USD</v>
          </cell>
          <cell r="IA184" t="b">
            <v>0</v>
          </cell>
          <cell r="IB184" t="b">
            <v>0</v>
          </cell>
        </row>
        <row r="185">
          <cell r="C185" t="str">
            <v>Goodwill impairment</v>
          </cell>
          <cell r="HX185" t="str">
            <v>mstag:goodwillImpairment</v>
          </cell>
          <cell r="HY185">
            <v>6</v>
          </cell>
          <cell r="HZ185" t="str">
            <v>ISO4217:USD</v>
          </cell>
          <cell r="IA185" t="b">
            <v>0</v>
          </cell>
          <cell r="IB185" t="b">
            <v>0</v>
          </cell>
        </row>
        <row r="186">
          <cell r="C186" t="str">
            <v>Indefinite life intangible impairment</v>
          </cell>
          <cell r="HX186" t="str">
            <v>mstag:indefiniteLifeIntangibleImpairment</v>
          </cell>
          <cell r="HY186">
            <v>6</v>
          </cell>
          <cell r="HZ186" t="str">
            <v>ISO4217:USD</v>
          </cell>
          <cell r="IA186" t="b">
            <v>0</v>
          </cell>
          <cell r="IB186" t="b">
            <v>0</v>
          </cell>
        </row>
        <row r="187">
          <cell r="C187" t="str">
            <v>Asset impairment, nongoodwill, one time</v>
          </cell>
          <cell r="G187" t="str">
            <v/>
          </cell>
          <cell r="H187" t="str">
            <v/>
          </cell>
          <cell r="I187" t="str">
            <v/>
          </cell>
          <cell r="J187" t="str">
            <v/>
          </cell>
          <cell r="K187" t="str">
            <v/>
          </cell>
          <cell r="L187" t="str">
            <v/>
          </cell>
          <cell r="M187" t="str">
            <v/>
          </cell>
          <cell r="HX187" t="str">
            <v>mstag:assetImpairmentNonGoodwillOneTimeIncomeStatement</v>
          </cell>
          <cell r="HY187">
            <v>6</v>
          </cell>
          <cell r="HZ187" t="str">
            <v>ISO4217:USD</v>
          </cell>
          <cell r="IA187" t="b">
            <v>0</v>
          </cell>
          <cell r="IB187" t="b">
            <v>0</v>
          </cell>
        </row>
        <row r="188">
          <cell r="D188" t="str">
            <v>Asset impairment, nongoodwill, one time, gross of tax</v>
          </cell>
          <cell r="HX188" t="str">
            <v>mstag:assetImpairmentNonGoodwillOneTimeGrossOfTax</v>
          </cell>
          <cell r="HY188">
            <v>6</v>
          </cell>
          <cell r="HZ188" t="str">
            <v>ISO4217:USD</v>
          </cell>
          <cell r="IA188" t="b">
            <v>0</v>
          </cell>
          <cell r="IB188" t="b">
            <v>0</v>
          </cell>
        </row>
        <row r="189">
          <cell r="D189" t="str">
            <v>Tax on asset impairment, nongoodwill, one time</v>
          </cell>
          <cell r="HX189" t="str">
            <v>mstag:taxOnAssetImpairmentNonGoodwillOneTime</v>
          </cell>
          <cell r="HY189">
            <v>6</v>
          </cell>
          <cell r="HZ189" t="str">
            <v>ISO4217:USD</v>
          </cell>
          <cell r="IA189" t="b">
            <v>0</v>
          </cell>
          <cell r="IB189" t="b">
            <v>0</v>
          </cell>
        </row>
        <row r="190">
          <cell r="C190" t="str">
            <v>Other operating expense (income)</v>
          </cell>
          <cell r="G190">
            <v>0</v>
          </cell>
          <cell r="H190">
            <v>0</v>
          </cell>
          <cell r="I190">
            <v>529.47199999999998</v>
          </cell>
          <cell r="J190">
            <v>128.81200000000001</v>
          </cell>
          <cell r="K190">
            <v>246.65700000000001</v>
          </cell>
          <cell r="L190">
            <v>350.72500000000002</v>
          </cell>
          <cell r="M190">
            <v>457.53399999999999</v>
          </cell>
          <cell r="HX190" t="str">
            <v>mstag:otherOperatingExpense</v>
          </cell>
          <cell r="HY190">
            <v>6</v>
          </cell>
          <cell r="HZ190" t="str">
            <v>ISO4217:USD</v>
          </cell>
          <cell r="IA190" t="b">
            <v>0</v>
          </cell>
          <cell r="IB190" t="b">
            <v>0</v>
          </cell>
        </row>
        <row r="191">
          <cell r="C191" t="str">
            <v>Interest and dividend income</v>
          </cell>
          <cell r="G191">
            <v>69.16</v>
          </cell>
          <cell r="H191">
            <v>88.763999999999996</v>
          </cell>
          <cell r="I191">
            <v>89.433999999999997</v>
          </cell>
          <cell r="J191">
            <v>90.408000000000001</v>
          </cell>
          <cell r="K191">
            <v>130.5</v>
          </cell>
          <cell r="L191">
            <v>101.4</v>
          </cell>
          <cell r="M191">
            <v>92.845462924999993</v>
          </cell>
          <cell r="HX191" t="str">
            <v>mstag:interestAndDividendIncome</v>
          </cell>
          <cell r="HY191">
            <v>6</v>
          </cell>
          <cell r="HZ191" t="str">
            <v>ISO4217:USD</v>
          </cell>
          <cell r="IA191" t="b">
            <v>0</v>
          </cell>
          <cell r="IB191" t="b">
            <v>0</v>
          </cell>
        </row>
        <row r="192">
          <cell r="D192" t="str">
            <v>Interest income</v>
          </cell>
          <cell r="G192">
            <v>69.16</v>
          </cell>
          <cell r="H192">
            <v>88.763999999999996</v>
          </cell>
          <cell r="I192">
            <v>89.433999999999997</v>
          </cell>
          <cell r="J192">
            <v>90.408000000000001</v>
          </cell>
          <cell r="K192">
            <v>130.5</v>
          </cell>
          <cell r="L192">
            <v>101.4</v>
          </cell>
          <cell r="HX192" t="str">
            <v>mstag:interestIncome</v>
          </cell>
          <cell r="HY192">
            <v>6</v>
          </cell>
          <cell r="HZ192" t="str">
            <v>ISO4217:USD</v>
          </cell>
          <cell r="IA192" t="b">
            <v>0</v>
          </cell>
          <cell r="IB192" t="b">
            <v>0</v>
          </cell>
        </row>
        <row r="193">
          <cell r="D193" t="str">
            <v>Dividend income</v>
          </cell>
          <cell r="HX193" t="str">
            <v>mstag:dividendIncome</v>
          </cell>
          <cell r="HY193">
            <v>6</v>
          </cell>
          <cell r="HZ193" t="str">
            <v>ISO4217:USD</v>
          </cell>
          <cell r="IA193" t="b">
            <v>0</v>
          </cell>
          <cell r="IB193" t="b">
            <v>0</v>
          </cell>
        </row>
        <row r="194">
          <cell r="C194" t="str">
            <v>Interest expense</v>
          </cell>
          <cell r="G194">
            <v>3.6419999999999999</v>
          </cell>
          <cell r="H194">
            <v>4.5519999999999996</v>
          </cell>
          <cell r="I194">
            <v>5.3599999999999994</v>
          </cell>
          <cell r="J194">
            <v>5.2759999999999998</v>
          </cell>
          <cell r="K194">
            <v>5.7</v>
          </cell>
          <cell r="L194">
            <v>0.8</v>
          </cell>
          <cell r="M194" t="str">
            <v/>
          </cell>
          <cell r="HX194" t="str">
            <v>mstag:interestExpense</v>
          </cell>
          <cell r="HY194">
            <v>6</v>
          </cell>
          <cell r="HZ194" t="str">
            <v>ISO4217:USD</v>
          </cell>
          <cell r="IA194" t="b">
            <v>0</v>
          </cell>
          <cell r="IB194" t="b">
            <v>0</v>
          </cell>
        </row>
        <row r="195">
          <cell r="D195" t="str">
            <v>Interest paid or payable</v>
          </cell>
          <cell r="G195">
            <v>7.5419999999999998</v>
          </cell>
          <cell r="H195">
            <v>7.5519999999999996</v>
          </cell>
          <cell r="I195">
            <v>7.4599999999999991</v>
          </cell>
          <cell r="J195">
            <v>7.476</v>
          </cell>
          <cell r="K195">
            <v>7.5</v>
          </cell>
          <cell r="L195">
            <v>1.8</v>
          </cell>
          <cell r="HX195" t="str">
            <v>mstag:interestPaid</v>
          </cell>
          <cell r="HY195">
            <v>6</v>
          </cell>
          <cell r="HZ195" t="str">
            <v>ISO4217:USD</v>
          </cell>
          <cell r="IA195" t="b">
            <v>0</v>
          </cell>
          <cell r="IB195" t="b">
            <v>0</v>
          </cell>
        </row>
        <row r="196">
          <cell r="D196" t="str">
            <v>Interest capitalized</v>
          </cell>
          <cell r="G196">
            <v>3.9</v>
          </cell>
          <cell r="H196">
            <v>3</v>
          </cell>
          <cell r="I196">
            <v>2.1</v>
          </cell>
          <cell r="J196">
            <v>2.2000000000000002</v>
          </cell>
          <cell r="K196">
            <v>1.8</v>
          </cell>
          <cell r="L196">
            <v>1</v>
          </cell>
          <cell r="HX196" t="str">
            <v>mstag:interestCapitalized</v>
          </cell>
          <cell r="HY196">
            <v>6</v>
          </cell>
          <cell r="HZ196" t="str">
            <v>ISO4217:USD</v>
          </cell>
          <cell r="IA196" t="b">
            <v>0</v>
          </cell>
          <cell r="IB196" t="b">
            <v>0</v>
          </cell>
        </row>
        <row r="197">
          <cell r="D197" t="str">
            <v>Net interest cost, FRS 17</v>
          </cell>
          <cell r="HX197" t="str">
            <v>mstag:netInterestCostFrs17</v>
          </cell>
          <cell r="HY197">
            <v>6</v>
          </cell>
          <cell r="HZ197" t="str">
            <v>ISO4217:USD</v>
          </cell>
          <cell r="IA197" t="b">
            <v>0</v>
          </cell>
          <cell r="IB197" t="b">
            <v>0</v>
          </cell>
        </row>
        <row r="198">
          <cell r="C198" t="str">
            <v>Income (losses) from investments, nonoperating</v>
          </cell>
          <cell r="G198">
            <v>0</v>
          </cell>
          <cell r="H198">
            <v>0</v>
          </cell>
          <cell r="I198">
            <v>0</v>
          </cell>
          <cell r="J198">
            <v>0</v>
          </cell>
          <cell r="K198">
            <v>10.199999999999999</v>
          </cell>
          <cell r="L198">
            <v>7.1</v>
          </cell>
          <cell r="HX198" t="str">
            <v>mstag:incomeLossesFromInvestmentsNonOperating</v>
          </cell>
          <cell r="HY198">
            <v>6</v>
          </cell>
          <cell r="HZ198" t="str">
            <v>ISO4217:USD</v>
          </cell>
          <cell r="IA198" t="b">
            <v>0</v>
          </cell>
          <cell r="IB198" t="b">
            <v>0</v>
          </cell>
        </row>
        <row r="199">
          <cell r="C199" t="str">
            <v>Income (loss) from investments under the equity method, operating</v>
          </cell>
          <cell r="G199" t="str">
            <v/>
          </cell>
          <cell r="H199" t="str">
            <v/>
          </cell>
          <cell r="I199" t="str">
            <v/>
          </cell>
          <cell r="J199" t="str">
            <v/>
          </cell>
          <cell r="K199" t="str">
            <v/>
          </cell>
          <cell r="L199" t="str">
            <v/>
          </cell>
          <cell r="M199" t="str">
            <v/>
          </cell>
          <cell r="HX199" t="str">
            <v>mstag:incomeLossFromInvestmentsAccountedForUnderTheEquityMethodOperatingIncomeStatement</v>
          </cell>
          <cell r="HY199">
            <v>6</v>
          </cell>
          <cell r="HZ199" t="str">
            <v>ISO4217:USD</v>
          </cell>
          <cell r="IA199" t="b">
            <v>0</v>
          </cell>
          <cell r="IB199" t="b">
            <v>0</v>
          </cell>
        </row>
        <row r="200">
          <cell r="D200" t="str">
            <v>Share of associate company's or joint venture's operating profit, pre-goodwill, pretax, and preinterest</v>
          </cell>
          <cell r="HX200" t="str">
            <v>mstag:shareOfAssociateCompanysOrJointVenturesOperatingProfitPreGoodwillPreTaxAndPreInterest</v>
          </cell>
          <cell r="HY200">
            <v>6</v>
          </cell>
          <cell r="HZ200" t="str">
            <v>ISO4217:USD</v>
          </cell>
          <cell r="IA200" t="b">
            <v>0</v>
          </cell>
          <cell r="IB200" t="b">
            <v>0</v>
          </cell>
        </row>
        <row r="201">
          <cell r="D201" t="str">
            <v>Share of associate company's or joint venture's operating profit, post-goodwill, pretax, and preinterest</v>
          </cell>
          <cell r="HX201" t="str">
            <v>mstag:shareOfAssociateCompanysOrJointVenturesOperatingProfitPostGoodwillPreTaxAndPreInterest</v>
          </cell>
          <cell r="HY201">
            <v>6</v>
          </cell>
          <cell r="HZ201" t="str">
            <v>ISO4217:USD</v>
          </cell>
          <cell r="IA201" t="b">
            <v>0</v>
          </cell>
          <cell r="IB201" t="b">
            <v>0</v>
          </cell>
        </row>
        <row r="202">
          <cell r="D202" t="str">
            <v>Share of associate company's or joint venture's amortization of goodwill</v>
          </cell>
          <cell r="HX202" t="str">
            <v>mstag:shareOfAssociateAmortizationOfGoodwill</v>
          </cell>
          <cell r="HY202">
            <v>6</v>
          </cell>
          <cell r="HZ202" t="str">
            <v>ISO4217:USD</v>
          </cell>
          <cell r="IA202" t="b">
            <v>0</v>
          </cell>
          <cell r="IB202" t="b">
            <v>0</v>
          </cell>
        </row>
        <row r="203">
          <cell r="D203" t="str">
            <v>Share of associate company's or joint venture's interest expense</v>
          </cell>
          <cell r="HX203" t="str">
            <v>mstag:jointVentureInterestExpense</v>
          </cell>
          <cell r="HY203">
            <v>6</v>
          </cell>
          <cell r="HZ203" t="str">
            <v>ISO4217:USD</v>
          </cell>
          <cell r="IA203" t="b">
            <v>0</v>
          </cell>
          <cell r="IB203" t="b">
            <v>0</v>
          </cell>
        </row>
        <row r="204">
          <cell r="D204" t="str">
            <v>Share of associate company's or joint venture's tax</v>
          </cell>
          <cell r="HX204" t="str">
            <v>mstag:shareOfAssociateCompanysOrJointVenturesTax</v>
          </cell>
          <cell r="HY204">
            <v>6</v>
          </cell>
          <cell r="HZ204" t="str">
            <v>ISO4217:USD</v>
          </cell>
          <cell r="IA204" t="b">
            <v>0</v>
          </cell>
          <cell r="IB204" t="b">
            <v>0</v>
          </cell>
        </row>
        <row r="205">
          <cell r="D205" t="str">
            <v>Other associate company or joint venture net income</v>
          </cell>
          <cell r="HX205" t="str">
            <v>mstag:otherJointVenureNetIncome</v>
          </cell>
          <cell r="HY205">
            <v>6</v>
          </cell>
          <cell r="HZ205" t="str">
            <v>ISO4217:USD</v>
          </cell>
          <cell r="IA205" t="b">
            <v>0</v>
          </cell>
          <cell r="IB205" t="b">
            <v>0</v>
          </cell>
        </row>
        <row r="206">
          <cell r="C206" t="str">
            <v>Income (loss) from investments under the equity method, operating, pretax</v>
          </cell>
          <cell r="HX206" t="str">
            <v>mstag:incomeLossFromInvestmentsUnderTheEquityMethodOperatingPreTax</v>
          </cell>
          <cell r="HY206">
            <v>6</v>
          </cell>
          <cell r="HZ206" t="str">
            <v>ISO4217:USD</v>
          </cell>
          <cell r="IA206" t="b">
            <v>0</v>
          </cell>
          <cell r="IB206" t="b">
            <v>0</v>
          </cell>
        </row>
        <row r="207">
          <cell r="C207" t="str">
            <v>Income (loss) from investments under the equity method, nonoperating</v>
          </cell>
          <cell r="HX207" t="str">
            <v>mstag:incomeLossFromInvestmentsAccountedForUnderTheEquityMethodNonOperatingIncomeStatement</v>
          </cell>
          <cell r="HY207">
            <v>6</v>
          </cell>
          <cell r="HZ207" t="str">
            <v>ISO4217:USD</v>
          </cell>
          <cell r="IA207" t="b">
            <v>0</v>
          </cell>
          <cell r="IB207" t="b">
            <v>0</v>
          </cell>
        </row>
        <row r="208">
          <cell r="C208" t="str">
            <v>Income (loss) from investments under the equity method, nonoperating, pretax</v>
          </cell>
          <cell r="HX208" t="str">
            <v>mstag:incomeLossFromInvestmentsUnderTheEquityMethodNonOperatingPreTax</v>
          </cell>
          <cell r="HY208">
            <v>6</v>
          </cell>
          <cell r="HZ208" t="str">
            <v>ISO4217:USD</v>
          </cell>
          <cell r="IA208" t="b">
            <v>0</v>
          </cell>
          <cell r="IB208" t="b">
            <v>0</v>
          </cell>
        </row>
        <row r="209">
          <cell r="C209" t="str">
            <v>Gains (losses) from sale of PPE and intangibles, recurring</v>
          </cell>
          <cell r="HX209" t="str">
            <v>mstag:gainsLossesFromSaleOfOperatingAssetsRecurringIncomeStatement</v>
          </cell>
          <cell r="HY209">
            <v>6</v>
          </cell>
          <cell r="HZ209" t="str">
            <v>ISO4217:USD</v>
          </cell>
          <cell r="IA209" t="b">
            <v>0</v>
          </cell>
          <cell r="IB209" t="b">
            <v>0</v>
          </cell>
        </row>
        <row r="210">
          <cell r="C210" t="str">
            <v>Gains (losses) from sale of PPE and intangibles, one time</v>
          </cell>
          <cell r="G210" t="str">
            <v/>
          </cell>
          <cell r="H210" t="str">
            <v/>
          </cell>
          <cell r="I210" t="str">
            <v/>
          </cell>
          <cell r="J210" t="str">
            <v/>
          </cell>
          <cell r="K210" t="str">
            <v/>
          </cell>
          <cell r="L210" t="str">
            <v/>
          </cell>
          <cell r="M210" t="str">
            <v/>
          </cell>
          <cell r="HX210" t="str">
            <v>mstag:gainsLossesFromSaleOfOperatingAssetsOneTimeIncomeStatement</v>
          </cell>
          <cell r="HY210">
            <v>6</v>
          </cell>
          <cell r="HZ210" t="str">
            <v>ISO4217:USD</v>
          </cell>
          <cell r="IA210" t="b">
            <v>0</v>
          </cell>
          <cell r="IB210" t="b">
            <v>0</v>
          </cell>
        </row>
        <row r="211">
          <cell r="D211" t="str">
            <v>Gains (losses) from sale of PPE and intangibles, one time, gross of tax</v>
          </cell>
          <cell r="HX211" t="str">
            <v>mstag:gainsLossesFromSaleOfOperatingAssetsOneTimeGrossOfTax</v>
          </cell>
          <cell r="HY211">
            <v>6</v>
          </cell>
          <cell r="HZ211" t="str">
            <v>ISO4217:USD</v>
          </cell>
          <cell r="IA211" t="b">
            <v>0</v>
          </cell>
          <cell r="IB211" t="b">
            <v>0</v>
          </cell>
        </row>
        <row r="212">
          <cell r="D212" t="str">
            <v>Tax on gains (losses) from sale of PPE and intangibles, one time</v>
          </cell>
          <cell r="HX212" t="str">
            <v>mstag:taxOnGainsLossesFromSaleOfOperatingAssetsOneTime</v>
          </cell>
          <cell r="HY212">
            <v>6</v>
          </cell>
          <cell r="HZ212" t="str">
            <v>ISO4217:USD</v>
          </cell>
          <cell r="IA212" t="b">
            <v>0</v>
          </cell>
          <cell r="IB212" t="b">
            <v>0</v>
          </cell>
        </row>
        <row r="213">
          <cell r="C213" t="str">
            <v>Net monetary gains (losses) from inflationary accounting</v>
          </cell>
          <cell r="HX213" t="str">
            <v>mstag:netMonetaryGainsLossesFromInflationaryAccounting</v>
          </cell>
          <cell r="HY213">
            <v>6</v>
          </cell>
          <cell r="HZ213" t="str">
            <v>ISO4217:USD</v>
          </cell>
          <cell r="IA213" t="b">
            <v>0</v>
          </cell>
          <cell r="IB213" t="b">
            <v>0</v>
          </cell>
        </row>
        <row r="214">
          <cell r="C214" t="str">
            <v>Gain (loss) on redemption and extinguishment of debt</v>
          </cell>
          <cell r="HX214" t="str">
            <v>mstag:gainLossOnRedemptionAndExtinguishmentOfDebt</v>
          </cell>
          <cell r="HY214">
            <v>6</v>
          </cell>
          <cell r="HZ214" t="str">
            <v>ISO4217:USD</v>
          </cell>
          <cell r="IA214" t="b">
            <v>0</v>
          </cell>
          <cell r="IB214" t="b">
            <v>0</v>
          </cell>
        </row>
        <row r="215">
          <cell r="C215" t="str">
            <v>Foreign currency exchange gains (losses)</v>
          </cell>
          <cell r="G215" t="str">
            <v/>
          </cell>
          <cell r="H215" t="str">
            <v/>
          </cell>
          <cell r="I215" t="str">
            <v/>
          </cell>
          <cell r="J215" t="str">
            <v/>
          </cell>
          <cell r="K215" t="str">
            <v/>
          </cell>
          <cell r="L215" t="str">
            <v/>
          </cell>
          <cell r="M215" t="str">
            <v/>
          </cell>
          <cell r="HX215" t="str">
            <v>mstag:foreignCurrencyExchangeGainsLosses</v>
          </cell>
          <cell r="HY215">
            <v>6</v>
          </cell>
          <cell r="HZ215" t="str">
            <v>ISO4217:USD</v>
          </cell>
          <cell r="IA215" t="b">
            <v>0</v>
          </cell>
          <cell r="IB215" t="b">
            <v>0</v>
          </cell>
        </row>
        <row r="216">
          <cell r="D216" t="str">
            <v>Foreign currency exchange gains (losses), operating</v>
          </cell>
          <cell r="G216" t="str">
            <v/>
          </cell>
          <cell r="H216" t="str">
            <v/>
          </cell>
          <cell r="I216" t="str">
            <v/>
          </cell>
          <cell r="J216" t="str">
            <v/>
          </cell>
          <cell r="K216" t="str">
            <v/>
          </cell>
          <cell r="L216" t="str">
            <v/>
          </cell>
          <cell r="M216" t="str">
            <v/>
          </cell>
          <cell r="HX216" t="str">
            <v>mstag:foreignCurrencyExchangeGainsLossesOperating</v>
          </cell>
          <cell r="HY216">
            <v>6</v>
          </cell>
          <cell r="HZ216" t="str">
            <v>ISO4217:USD</v>
          </cell>
          <cell r="IA216" t="b">
            <v>0</v>
          </cell>
          <cell r="IB216" t="b">
            <v>0</v>
          </cell>
        </row>
        <row r="217">
          <cell r="E217" t="str">
            <v>Realized foreign currency exchange gains (losses) in net operating assets</v>
          </cell>
          <cell r="HX217" t="str">
            <v>mstag:realizedForeignCurrencyExchangeGainsLossesInNetOperatingAssets</v>
          </cell>
          <cell r="HY217">
            <v>6</v>
          </cell>
          <cell r="HZ217" t="str">
            <v>ISO4217:USD</v>
          </cell>
          <cell r="IA217" t="b">
            <v>0</v>
          </cell>
          <cell r="IB217" t="b">
            <v>0</v>
          </cell>
        </row>
        <row r="218">
          <cell r="E218" t="str">
            <v>Unrealized foreign currency exchange gains (losses) in net operating assets</v>
          </cell>
          <cell r="HX218" t="str">
            <v>mstag:unrealizedForeignCurrencyExchangeGainsLossesInNetOperatingAssets</v>
          </cell>
          <cell r="HY218">
            <v>6</v>
          </cell>
          <cell r="HZ218" t="str">
            <v>ISO4217:USD</v>
          </cell>
          <cell r="IA218" t="b">
            <v>0</v>
          </cell>
          <cell r="IB218" t="b">
            <v>0</v>
          </cell>
        </row>
        <row r="219">
          <cell r="D219" t="str">
            <v>Foreign currency exchange gains (losses), financing</v>
          </cell>
          <cell r="G219" t="str">
            <v/>
          </cell>
          <cell r="H219" t="str">
            <v/>
          </cell>
          <cell r="I219" t="str">
            <v/>
          </cell>
          <cell r="J219" t="str">
            <v/>
          </cell>
          <cell r="K219" t="str">
            <v/>
          </cell>
          <cell r="L219" t="str">
            <v/>
          </cell>
          <cell r="M219" t="str">
            <v/>
          </cell>
          <cell r="HX219" t="str">
            <v>mstag:foreignCurrencyExchangeGainsLossesFinancing</v>
          </cell>
          <cell r="HY219">
            <v>6</v>
          </cell>
          <cell r="HZ219" t="str">
            <v>ISO4217:USD</v>
          </cell>
          <cell r="IA219" t="b">
            <v>0</v>
          </cell>
          <cell r="IB219" t="b">
            <v>0</v>
          </cell>
        </row>
        <row r="220">
          <cell r="E220" t="str">
            <v>Realized foreign currency exchange gains (losses) in net financing obligations</v>
          </cell>
          <cell r="HX220" t="str">
            <v>mstag:realizedForeignCurrencyExchangeGainsLossesInNetFinancingObligations</v>
          </cell>
          <cell r="HY220">
            <v>6</v>
          </cell>
          <cell r="HZ220" t="str">
            <v>ISO4217:USD</v>
          </cell>
          <cell r="IA220" t="b">
            <v>0</v>
          </cell>
          <cell r="IB220" t="b">
            <v>0</v>
          </cell>
        </row>
        <row r="221">
          <cell r="E221" t="str">
            <v>Unrealized foreign currency exchange gains (losses) in net financing obligations</v>
          </cell>
          <cell r="HX221" t="str">
            <v>mstag:unrealizedForeignCurrencyExchangeGainsLossesInNetFinancingObligations</v>
          </cell>
          <cell r="HY221">
            <v>6</v>
          </cell>
          <cell r="HZ221" t="str">
            <v>ISO4217:USD</v>
          </cell>
          <cell r="IA221" t="b">
            <v>0</v>
          </cell>
          <cell r="IB221" t="b">
            <v>0</v>
          </cell>
        </row>
        <row r="222">
          <cell r="C222" t="str">
            <v>Restructuring costs, recurring</v>
          </cell>
          <cell r="HX222" t="str">
            <v>mstag:restructuringCostsRecurring</v>
          </cell>
          <cell r="HY222">
            <v>6</v>
          </cell>
          <cell r="HZ222" t="str">
            <v>ISO4217:USD</v>
          </cell>
          <cell r="IA222" t="b">
            <v>0</v>
          </cell>
          <cell r="IB222" t="b">
            <v>0</v>
          </cell>
        </row>
        <row r="223">
          <cell r="C223" t="str">
            <v>Restructuring costs, one time</v>
          </cell>
          <cell r="G223" t="str">
            <v/>
          </cell>
          <cell r="H223" t="str">
            <v/>
          </cell>
          <cell r="I223" t="str">
            <v/>
          </cell>
          <cell r="J223" t="str">
            <v/>
          </cell>
          <cell r="K223" t="str">
            <v/>
          </cell>
          <cell r="L223" t="str">
            <v/>
          </cell>
          <cell r="M223" t="str">
            <v/>
          </cell>
          <cell r="HX223" t="str">
            <v>mstag:restructuringCostsOneTime</v>
          </cell>
          <cell r="HY223">
            <v>6</v>
          </cell>
          <cell r="HZ223" t="str">
            <v>ISO4217:USD</v>
          </cell>
          <cell r="IA223" t="b">
            <v>0</v>
          </cell>
          <cell r="IB223" t="b">
            <v>0</v>
          </cell>
        </row>
        <row r="224">
          <cell r="D224" t="str">
            <v>Restructuring costs, one time, gross of tax</v>
          </cell>
          <cell r="HX224" t="str">
            <v>mstag:restructuringCostsOneTimeGrossOfTax</v>
          </cell>
          <cell r="HY224">
            <v>6</v>
          </cell>
          <cell r="HZ224" t="str">
            <v>ISO4217:USD</v>
          </cell>
          <cell r="IA224" t="b">
            <v>0</v>
          </cell>
          <cell r="IB224" t="b">
            <v>0</v>
          </cell>
        </row>
        <row r="225">
          <cell r="D225" t="str">
            <v>Tax on restructuring costs, one time</v>
          </cell>
          <cell r="HX225" t="str">
            <v>mstag:taxOnRestructuringCostsOneTime</v>
          </cell>
          <cell r="HY225">
            <v>6</v>
          </cell>
          <cell r="HZ225" t="str">
            <v>ISO4217:USD</v>
          </cell>
          <cell r="IA225" t="b">
            <v>0</v>
          </cell>
          <cell r="IB225" t="b">
            <v>0</v>
          </cell>
        </row>
        <row r="226">
          <cell r="C226" t="str">
            <v>Legal provision, recurring</v>
          </cell>
          <cell r="HX226" t="str">
            <v>mstag:legalProvisionRecurring</v>
          </cell>
          <cell r="HY226">
            <v>6</v>
          </cell>
          <cell r="HZ226" t="str">
            <v>ISO4217:USD</v>
          </cell>
          <cell r="IA226" t="b">
            <v>0</v>
          </cell>
          <cell r="IB226" t="b">
            <v>0</v>
          </cell>
        </row>
        <row r="227">
          <cell r="C227" t="str">
            <v>Legal provision, one time</v>
          </cell>
          <cell r="G227" t="str">
            <v/>
          </cell>
          <cell r="H227" t="str">
            <v/>
          </cell>
          <cell r="I227" t="str">
            <v/>
          </cell>
          <cell r="J227" t="str">
            <v/>
          </cell>
          <cell r="K227" t="str">
            <v/>
          </cell>
          <cell r="L227" t="str">
            <v/>
          </cell>
          <cell r="M227" t="str">
            <v/>
          </cell>
          <cell r="HX227" t="str">
            <v>mstag:legalProvisionOneTime</v>
          </cell>
          <cell r="HY227">
            <v>6</v>
          </cell>
          <cell r="HZ227" t="str">
            <v>ISO4217:USD</v>
          </cell>
          <cell r="IA227" t="b">
            <v>0</v>
          </cell>
          <cell r="IB227" t="b">
            <v>0</v>
          </cell>
        </row>
        <row r="228">
          <cell r="D228" t="str">
            <v>Legal provision, one time, gross of tax</v>
          </cell>
          <cell r="HX228" t="str">
            <v>mstag:legalProvisionOneTimeGrossOfTax</v>
          </cell>
          <cell r="HY228">
            <v>6</v>
          </cell>
          <cell r="HZ228" t="str">
            <v>ISO4217:USD</v>
          </cell>
          <cell r="IA228" t="b">
            <v>0</v>
          </cell>
          <cell r="IB228" t="b">
            <v>0</v>
          </cell>
        </row>
        <row r="229">
          <cell r="D229" t="str">
            <v>Tax on legal provision, one time</v>
          </cell>
          <cell r="HX229" t="str">
            <v>mstag:taxOnLegalProvisionOneTime</v>
          </cell>
          <cell r="HY229">
            <v>6</v>
          </cell>
          <cell r="HZ229" t="str">
            <v>ISO4217:USD</v>
          </cell>
          <cell r="IA229" t="b">
            <v>0</v>
          </cell>
          <cell r="IB229" t="b">
            <v>0</v>
          </cell>
        </row>
        <row r="230">
          <cell r="C230" t="str">
            <v>Environmental provision, recurring</v>
          </cell>
          <cell r="HX230" t="str">
            <v>mstag:environmentalProvisionRecurring</v>
          </cell>
          <cell r="HY230">
            <v>6</v>
          </cell>
          <cell r="HZ230" t="str">
            <v>ISO4217:USD</v>
          </cell>
          <cell r="IA230" t="b">
            <v>0</v>
          </cell>
          <cell r="IB230" t="b">
            <v>0</v>
          </cell>
        </row>
        <row r="231">
          <cell r="C231" t="str">
            <v>Environmental provision, one time</v>
          </cell>
          <cell r="G231" t="str">
            <v/>
          </cell>
          <cell r="H231" t="str">
            <v/>
          </cell>
          <cell r="I231" t="str">
            <v/>
          </cell>
          <cell r="J231" t="str">
            <v/>
          </cell>
          <cell r="K231" t="str">
            <v/>
          </cell>
          <cell r="L231" t="str">
            <v/>
          </cell>
          <cell r="M231" t="str">
            <v/>
          </cell>
          <cell r="HX231" t="str">
            <v>mstag:environmentalProvisionOneTime</v>
          </cell>
          <cell r="HY231">
            <v>6</v>
          </cell>
          <cell r="HZ231" t="str">
            <v>ISO4217:USD</v>
          </cell>
          <cell r="IA231" t="b">
            <v>0</v>
          </cell>
          <cell r="IB231" t="b">
            <v>0</v>
          </cell>
        </row>
        <row r="232">
          <cell r="D232" t="str">
            <v>Environmental provision, one time, gross of tax</v>
          </cell>
          <cell r="HX232" t="str">
            <v>mstag:environmentalProvisionOneTimeGrossOfTax</v>
          </cell>
          <cell r="HY232">
            <v>6</v>
          </cell>
          <cell r="HZ232" t="str">
            <v>ISO4217:USD</v>
          </cell>
          <cell r="IA232" t="b">
            <v>0</v>
          </cell>
          <cell r="IB232" t="b">
            <v>0</v>
          </cell>
        </row>
        <row r="233">
          <cell r="D233" t="str">
            <v>Tax on environmental provision, one time</v>
          </cell>
          <cell r="HX233" t="str">
            <v>mstag:taxOnEnvironmentalProvisionOneTime</v>
          </cell>
          <cell r="HY233">
            <v>6</v>
          </cell>
          <cell r="HZ233" t="str">
            <v>ISO4217:USD</v>
          </cell>
          <cell r="IA233" t="b">
            <v>0</v>
          </cell>
          <cell r="IB233" t="b">
            <v>0</v>
          </cell>
        </row>
        <row r="234">
          <cell r="C234" t="str">
            <v>Other provisions, recurring</v>
          </cell>
          <cell r="HX234" t="str">
            <v>mstag:otherProvisionsRecurring</v>
          </cell>
          <cell r="HY234">
            <v>6</v>
          </cell>
          <cell r="HZ234" t="str">
            <v>ISO4217:USD</v>
          </cell>
          <cell r="IA234" t="b">
            <v>0</v>
          </cell>
          <cell r="IB234" t="b">
            <v>0</v>
          </cell>
        </row>
        <row r="235">
          <cell r="C235" t="str">
            <v>Other provisions, one time</v>
          </cell>
          <cell r="G235">
            <v>0</v>
          </cell>
          <cell r="H235">
            <v>0</v>
          </cell>
          <cell r="I235">
            <v>0</v>
          </cell>
          <cell r="J235">
            <v>0</v>
          </cell>
          <cell r="K235">
            <v>0</v>
          </cell>
          <cell r="L235">
            <v>0</v>
          </cell>
          <cell r="M235">
            <v>-129.1</v>
          </cell>
          <cell r="HX235" t="str">
            <v>mstag:otherProvisionsOneTime</v>
          </cell>
          <cell r="HY235">
            <v>6</v>
          </cell>
          <cell r="HZ235" t="str">
            <v>ISO4217:USD</v>
          </cell>
          <cell r="IA235" t="b">
            <v>0</v>
          </cell>
          <cell r="IB235" t="b">
            <v>0</v>
          </cell>
        </row>
        <row r="236">
          <cell r="D236" t="str">
            <v>Other provisions, one time, gross of tax</v>
          </cell>
          <cell r="G236">
            <v>0</v>
          </cell>
          <cell r="H236">
            <v>0</v>
          </cell>
          <cell r="I236">
            <v>0</v>
          </cell>
          <cell r="J236">
            <v>0</v>
          </cell>
          <cell r="K236">
            <v>0</v>
          </cell>
          <cell r="L236">
            <v>0</v>
          </cell>
          <cell r="M236">
            <v>-115.8</v>
          </cell>
          <cell r="HX236" t="str">
            <v>mstag:otherProvisionsOneTimeGrossOfTax</v>
          </cell>
          <cell r="HY236">
            <v>6</v>
          </cell>
          <cell r="HZ236" t="str">
            <v>ISO4217:USD</v>
          </cell>
          <cell r="IA236" t="b">
            <v>0</v>
          </cell>
          <cell r="IB236" t="b">
            <v>0</v>
          </cell>
        </row>
        <row r="237">
          <cell r="D237" t="str">
            <v>Tax on other provisions, one time</v>
          </cell>
          <cell r="G237">
            <v>0</v>
          </cell>
          <cell r="H237">
            <v>0</v>
          </cell>
          <cell r="I237">
            <v>0</v>
          </cell>
          <cell r="J237">
            <v>0</v>
          </cell>
          <cell r="K237">
            <v>0</v>
          </cell>
          <cell r="L237">
            <v>0</v>
          </cell>
          <cell r="M237">
            <v>13.3</v>
          </cell>
          <cell r="HX237" t="str">
            <v>mstag:taxOnOtherProvisionsOneTime</v>
          </cell>
          <cell r="HY237">
            <v>6</v>
          </cell>
          <cell r="HZ237" t="str">
            <v>ISO4217:USD</v>
          </cell>
          <cell r="IA237" t="b">
            <v>0</v>
          </cell>
          <cell r="IB237" t="b">
            <v>0</v>
          </cell>
        </row>
        <row r="238">
          <cell r="C238" t="str">
            <v>Pension settlement and curtailment gains (losses), one time</v>
          </cell>
          <cell r="G238" t="str">
            <v/>
          </cell>
          <cell r="H238" t="str">
            <v/>
          </cell>
          <cell r="I238" t="str">
            <v/>
          </cell>
          <cell r="J238" t="str">
            <v/>
          </cell>
          <cell r="K238" t="str">
            <v/>
          </cell>
          <cell r="L238" t="str">
            <v/>
          </cell>
          <cell r="M238" t="str">
            <v/>
          </cell>
          <cell r="HX238" t="str">
            <v>mstag:pensionSettlementAndCurtailmentGainsLossesOneTime</v>
          </cell>
          <cell r="HY238">
            <v>6</v>
          </cell>
          <cell r="HZ238" t="str">
            <v>ISO4217:USD</v>
          </cell>
          <cell r="IA238" t="b">
            <v>0</v>
          </cell>
          <cell r="IB238" t="b">
            <v>0</v>
          </cell>
        </row>
        <row r="239">
          <cell r="D239" t="str">
            <v>Daiko Henjo: special settlement gain (loss) (Japan)</v>
          </cell>
          <cell r="HX239" t="str">
            <v>mstag:daikoHenjoSpecialSettlementGainLossJapan</v>
          </cell>
          <cell r="HY239">
            <v>6</v>
          </cell>
          <cell r="HZ239" t="str">
            <v>ISO4217:USD</v>
          </cell>
          <cell r="IA239" t="b">
            <v>0</v>
          </cell>
          <cell r="IB239" t="b">
            <v>0</v>
          </cell>
        </row>
        <row r="240">
          <cell r="D240" t="str">
            <v>Other pension settlement and curtailment gains (losses), one time</v>
          </cell>
          <cell r="HX240" t="str">
            <v>mstag:otherPensionSettlementAndCurtailmentGainsLossesOneTime</v>
          </cell>
          <cell r="HY240">
            <v>6</v>
          </cell>
          <cell r="HZ240" t="str">
            <v>ISO4217:USD</v>
          </cell>
          <cell r="IA240" t="b">
            <v>0</v>
          </cell>
          <cell r="IB240" t="b">
            <v>0</v>
          </cell>
        </row>
        <row r="241">
          <cell r="C241" t="str">
            <v>Other nonoperating income (expense)</v>
          </cell>
          <cell r="G241">
            <v>0</v>
          </cell>
          <cell r="H241">
            <v>0</v>
          </cell>
          <cell r="I241">
            <v>-230.00800000000001</v>
          </cell>
          <cell r="J241">
            <v>0</v>
          </cell>
          <cell r="K241">
            <v>0</v>
          </cell>
          <cell r="L241">
            <v>-543.90499999999997</v>
          </cell>
          <cell r="HX241" t="str">
            <v>mstag:otherNonOperatingIncomeExpense</v>
          </cell>
          <cell r="HY241">
            <v>6</v>
          </cell>
          <cell r="HZ241" t="str">
            <v>ISO4217:USD</v>
          </cell>
          <cell r="IA241" t="b">
            <v>0</v>
          </cell>
          <cell r="IB241" t="b">
            <v>0</v>
          </cell>
        </row>
        <row r="242">
          <cell r="C242" t="str">
            <v>Tax expense (income)</v>
          </cell>
          <cell r="G242">
            <v>40.750999999999998</v>
          </cell>
          <cell r="H242">
            <v>70.74199999999999</v>
          </cell>
          <cell r="I242">
            <v>-203.10899999999998</v>
          </cell>
          <cell r="J242">
            <v>20.413999999999987</v>
          </cell>
          <cell r="K242">
            <v>127.11199999999999</v>
          </cell>
          <cell r="L242">
            <v>-34.038000000000011</v>
          </cell>
          <cell r="M242">
            <v>303.69799999999998</v>
          </cell>
          <cell r="HX242" t="str">
            <v>mstag:taxExpenseIncome</v>
          </cell>
          <cell r="HY242">
            <v>6</v>
          </cell>
          <cell r="HZ242" t="str">
            <v>ISO4217:USD</v>
          </cell>
          <cell r="IA242" t="b">
            <v>0</v>
          </cell>
          <cell r="IB242" t="b">
            <v>0</v>
          </cell>
        </row>
        <row r="243">
          <cell r="D243" t="str">
            <v>Current income tax expense</v>
          </cell>
          <cell r="G243">
            <v>31.050999999999998</v>
          </cell>
          <cell r="H243">
            <v>40.948999999999998</v>
          </cell>
          <cell r="I243">
            <v>-38.971000000000004</v>
          </cell>
          <cell r="J243">
            <v>217.196</v>
          </cell>
          <cell r="K243">
            <v>97.754999999999995</v>
          </cell>
          <cell r="L243">
            <v>162.60599999999999</v>
          </cell>
          <cell r="HX243" t="str">
            <v>mstag:currentIncomeTax</v>
          </cell>
          <cell r="HY243">
            <v>6</v>
          </cell>
          <cell r="HZ243" t="str">
            <v>ISO4217:USD</v>
          </cell>
          <cell r="IA243" t="b">
            <v>0</v>
          </cell>
          <cell r="IB243" t="b">
            <v>0</v>
          </cell>
        </row>
        <row r="244">
          <cell r="D244" t="str">
            <v>Deferred income tax expense</v>
          </cell>
          <cell r="G244">
            <v>9.6999999999999993</v>
          </cell>
          <cell r="H244">
            <v>29.792999999999999</v>
          </cell>
          <cell r="I244">
            <v>-164.13799999999998</v>
          </cell>
          <cell r="J244">
            <v>-196.78200000000001</v>
          </cell>
          <cell r="K244">
            <v>29.356999999999999</v>
          </cell>
          <cell r="L244">
            <v>-196.64400000000001</v>
          </cell>
          <cell r="M244" t="str">
            <v/>
          </cell>
          <cell r="HX244" t="str">
            <v>mstag:deferredIncomeTax</v>
          </cell>
          <cell r="HY244">
            <v>6</v>
          </cell>
          <cell r="HZ244" t="str">
            <v>ISO4217:USD</v>
          </cell>
          <cell r="IA244" t="b">
            <v>0</v>
          </cell>
          <cell r="IB244" t="b">
            <v>0</v>
          </cell>
        </row>
        <row r="245">
          <cell r="E245" t="str">
            <v>Deferred income tax expense, benefit for NOLs</v>
          </cell>
          <cell r="HX245" t="str">
            <v>mstag:deferredIncomeTaxBenefitForNols</v>
          </cell>
          <cell r="HY245">
            <v>6</v>
          </cell>
          <cell r="HZ245" t="str">
            <v>ISO4217:USD</v>
          </cell>
          <cell r="IA245" t="b">
            <v>0</v>
          </cell>
          <cell r="IB245" t="b">
            <v>0</v>
          </cell>
        </row>
        <row r="246">
          <cell r="E246" t="str">
            <v>Other deferred income tax expense</v>
          </cell>
          <cell r="G246">
            <v>9.6999999999999993</v>
          </cell>
          <cell r="H246">
            <v>29.792999999999999</v>
          </cell>
          <cell r="I246">
            <v>-164.13799999999998</v>
          </cell>
          <cell r="J246">
            <v>-196.78200000000001</v>
          </cell>
          <cell r="K246">
            <v>29.356999999999999</v>
          </cell>
          <cell r="L246">
            <v>-196.64400000000001</v>
          </cell>
          <cell r="HX246" t="str">
            <v>mstag:otherDeferredIncomeTax</v>
          </cell>
          <cell r="HY246">
            <v>6</v>
          </cell>
          <cell r="HZ246" t="str">
            <v>ISO4217:USD</v>
          </cell>
          <cell r="IA246" t="b">
            <v>0</v>
          </cell>
          <cell r="IB246" t="b">
            <v>0</v>
          </cell>
        </row>
        <row r="247">
          <cell r="C247" t="str">
            <v>Minority interests in net income</v>
          </cell>
          <cell r="HX247" t="str">
            <v>mstag:minorityInterestsInNetIncome</v>
          </cell>
          <cell r="HY247">
            <v>6</v>
          </cell>
          <cell r="HZ247" t="str">
            <v>ISO4217:USD</v>
          </cell>
          <cell r="IA247" t="b">
            <v>0</v>
          </cell>
          <cell r="IB247" t="b">
            <v>0</v>
          </cell>
        </row>
        <row r="248">
          <cell r="C248" t="str">
            <v>Cumulative effect of change in accounting principle, net of tax</v>
          </cell>
          <cell r="G248">
            <v>0</v>
          </cell>
          <cell r="H248">
            <v>0</v>
          </cell>
          <cell r="I248">
            <v>0</v>
          </cell>
          <cell r="J248">
            <v>-57.8</v>
          </cell>
          <cell r="K248">
            <v>-5.6379999999999999</v>
          </cell>
          <cell r="L248">
            <v>0</v>
          </cell>
          <cell r="M248">
            <v>-47</v>
          </cell>
          <cell r="HX248" t="str">
            <v>mstag:cumulativeEffectOfChangeInAccountingPrincipleNetOfTax</v>
          </cell>
          <cell r="HY248">
            <v>6</v>
          </cell>
          <cell r="HZ248" t="str">
            <v>ISO4217:USD</v>
          </cell>
          <cell r="IA248" t="b">
            <v>0</v>
          </cell>
          <cell r="IB248" t="b">
            <v>0</v>
          </cell>
        </row>
        <row r="249">
          <cell r="C249" t="str">
            <v>Income (loss) from extraordinary items, net of tax</v>
          </cell>
          <cell r="G249" t="str">
            <v/>
          </cell>
          <cell r="H249" t="str">
            <v/>
          </cell>
          <cell r="I249" t="str">
            <v/>
          </cell>
          <cell r="J249" t="str">
            <v/>
          </cell>
          <cell r="K249" t="str">
            <v/>
          </cell>
          <cell r="L249" t="str">
            <v/>
          </cell>
          <cell r="M249" t="str">
            <v/>
          </cell>
          <cell r="HX249" t="str">
            <v>mstag:incomeLossFromExtraordinaryItemsNetOfTax</v>
          </cell>
          <cell r="HY249">
            <v>6</v>
          </cell>
          <cell r="HZ249" t="str">
            <v>ISO4217:USD</v>
          </cell>
          <cell r="IA249" t="b">
            <v>0</v>
          </cell>
          <cell r="IB249" t="b">
            <v>0</v>
          </cell>
        </row>
        <row r="250">
          <cell r="D250" t="str">
            <v>Income (loss) from extraordinary items, pretax</v>
          </cell>
          <cell r="HX250" t="str">
            <v>mstag:incomeLossFromExtraordinaryItemsPretax</v>
          </cell>
          <cell r="HY250">
            <v>6</v>
          </cell>
          <cell r="HZ250" t="str">
            <v>ISO4217:USD</v>
          </cell>
          <cell r="IA250" t="b">
            <v>0</v>
          </cell>
          <cell r="IB250" t="b">
            <v>0</v>
          </cell>
        </row>
        <row r="251">
          <cell r="D251" t="str">
            <v>Tax on income (loss) from extraordinary items</v>
          </cell>
          <cell r="HX251" t="str">
            <v>mstag:taxOnIncomeLossFromExtraordinaryItems</v>
          </cell>
          <cell r="HY251">
            <v>6</v>
          </cell>
          <cell r="HZ251" t="str">
            <v>ISO4217:USD</v>
          </cell>
          <cell r="IA251" t="b">
            <v>0</v>
          </cell>
          <cell r="IB251" t="b">
            <v>0</v>
          </cell>
        </row>
        <row r="252">
          <cell r="C252" t="str">
            <v>Income (loss) from discontinued operations, net of tax</v>
          </cell>
          <cell r="G252" t="str">
            <v/>
          </cell>
          <cell r="H252" t="str">
            <v/>
          </cell>
          <cell r="I252" t="str">
            <v/>
          </cell>
          <cell r="J252" t="str">
            <v/>
          </cell>
          <cell r="K252" t="str">
            <v/>
          </cell>
          <cell r="L252" t="str">
            <v/>
          </cell>
          <cell r="M252" t="str">
            <v/>
          </cell>
          <cell r="HX252" t="str">
            <v>mstag:incomeLossFromDiscontinuedOperationsNetOfTax</v>
          </cell>
          <cell r="HY252">
            <v>6</v>
          </cell>
          <cell r="HZ252" t="str">
            <v>ISO4217:USD</v>
          </cell>
          <cell r="IA252" t="b">
            <v>0</v>
          </cell>
          <cell r="IB252" t="b">
            <v>0</v>
          </cell>
        </row>
        <row r="253">
          <cell r="D253" t="str">
            <v>Income (loss) from discontinued operations, pretax</v>
          </cell>
          <cell r="HX253" t="str">
            <v>mstag:incomeLossFromDiscontinuedOperationsPretax</v>
          </cell>
          <cell r="HY253">
            <v>6</v>
          </cell>
          <cell r="HZ253" t="str">
            <v>ISO4217:USD</v>
          </cell>
          <cell r="IA253" t="b">
            <v>0</v>
          </cell>
          <cell r="IB253" t="b">
            <v>0</v>
          </cell>
        </row>
        <row r="254">
          <cell r="D254" t="str">
            <v>Tax on income (loss) from discontinued operations</v>
          </cell>
          <cell r="HX254" t="str">
            <v>mstag:taxOnIncomeLossFromDiscontinuedOperations</v>
          </cell>
          <cell r="HY254">
            <v>6</v>
          </cell>
          <cell r="HZ254" t="str">
            <v>ISO4217:USD</v>
          </cell>
          <cell r="IA254" t="b">
            <v>0</v>
          </cell>
          <cell r="IB254" t="b">
            <v>0</v>
          </cell>
        </row>
        <row r="255">
          <cell r="C255" t="str">
            <v>Preferred dividends paid</v>
          </cell>
          <cell r="HX255" t="str">
            <v>mstag:preferredDividendsPaid</v>
          </cell>
          <cell r="HY255">
            <v>6</v>
          </cell>
          <cell r="HZ255" t="str">
            <v>ISO4217:USD</v>
          </cell>
          <cell r="IA255" t="b">
            <v>0</v>
          </cell>
          <cell r="IB255" t="b">
            <v>0</v>
          </cell>
        </row>
        <row r="256">
          <cell r="C256" t="str">
            <v>Preferred dividends attributable to current period earnings</v>
          </cell>
          <cell r="HX256" t="str">
            <v>mstag:preferredDividendsAttributableToCurrentPeriodEarnings</v>
          </cell>
          <cell r="HY256">
            <v>6</v>
          </cell>
          <cell r="HZ256" t="str">
            <v>ISO4217:USD</v>
          </cell>
          <cell r="IA256" t="b">
            <v>0</v>
          </cell>
          <cell r="IB256" t="b">
            <v>0</v>
          </cell>
        </row>
        <row r="257">
          <cell r="C257" t="str">
            <v>Adjustment to net income for dilutive items</v>
          </cell>
          <cell r="G257" t="str">
            <v/>
          </cell>
          <cell r="H257" t="str">
            <v/>
          </cell>
          <cell r="I257" t="str">
            <v/>
          </cell>
          <cell r="J257" t="str">
            <v/>
          </cell>
          <cell r="K257" t="str">
            <v/>
          </cell>
          <cell r="L257" t="str">
            <v/>
          </cell>
          <cell r="M257" t="str">
            <v/>
          </cell>
          <cell r="HX257" t="str">
            <v>mstag:adjustmentToNetIncomeForDilutiveItems</v>
          </cell>
          <cell r="HY257">
            <v>6</v>
          </cell>
          <cell r="HZ257" t="str">
            <v>ISO4217:USD</v>
          </cell>
          <cell r="IA257" t="b">
            <v>0</v>
          </cell>
          <cell r="IB257" t="b">
            <v>0</v>
          </cell>
        </row>
        <row r="258">
          <cell r="D258" t="str">
            <v>Impact of assumed conversion of preferred stock</v>
          </cell>
          <cell r="HX258" t="str">
            <v>mstag:impactOfAssumedConversionOfPreferredStock</v>
          </cell>
          <cell r="HY258">
            <v>6</v>
          </cell>
          <cell r="HZ258" t="str">
            <v>ISO4217:USD</v>
          </cell>
          <cell r="IA258" t="b">
            <v>0</v>
          </cell>
          <cell r="IB258" t="b">
            <v>0</v>
          </cell>
        </row>
        <row r="259">
          <cell r="D259" t="str">
            <v>Impact of assumed conversion of convertible bonds</v>
          </cell>
          <cell r="HX259" t="str">
            <v>mstag:impactOfAssumedConversionOfConvertibleBonds</v>
          </cell>
          <cell r="HY259">
            <v>6</v>
          </cell>
          <cell r="HZ259" t="str">
            <v>ISO4217:USD</v>
          </cell>
          <cell r="IA259" t="b">
            <v>0</v>
          </cell>
          <cell r="IB259" t="b">
            <v>0</v>
          </cell>
        </row>
        <row r="260">
          <cell r="D260" t="str">
            <v>Impact of stock options compensation</v>
          </cell>
          <cell r="HX260" t="str">
            <v>mstag:impactOfStockOptionsCompensation</v>
          </cell>
          <cell r="HY260">
            <v>6</v>
          </cell>
          <cell r="HZ260" t="str">
            <v>ISO4217:USD</v>
          </cell>
          <cell r="IA260" t="b">
            <v>0</v>
          </cell>
          <cell r="IB260" t="b">
            <v>0</v>
          </cell>
        </row>
        <row r="261">
          <cell r="C261" t="str">
            <v>Company-reported revenue</v>
          </cell>
          <cell r="HX261" t="str">
            <v>mstag:companyReportedRevenue</v>
          </cell>
          <cell r="HY261">
            <v>6</v>
          </cell>
          <cell r="HZ261" t="str">
            <v>ISO4217:USD</v>
          </cell>
          <cell r="IA261" t="b">
            <v>0</v>
          </cell>
          <cell r="IB261" t="b">
            <v>0</v>
          </cell>
        </row>
        <row r="262">
          <cell r="C262" t="str">
            <v>Japan-specific operating metrics</v>
          </cell>
          <cell r="HX262" t="str">
            <v>mstag:japanSpecificOperatingMetrics</v>
          </cell>
          <cell r="HY262">
            <v>6</v>
          </cell>
          <cell r="HZ262" t="str">
            <v>ISO4217:USD</v>
          </cell>
          <cell r="IA262" t="b">
            <v>0</v>
          </cell>
          <cell r="IB262" t="b">
            <v>0</v>
          </cell>
        </row>
        <row r="263">
          <cell r="D263" t="str">
            <v>Operating income (expense) classified by company as nonoperating (Japan)</v>
          </cell>
          <cell r="HX263" t="str">
            <v>mstag:operatingIncomeExpenseClassifiedByCompanyAsNonOperatingJapan</v>
          </cell>
          <cell r="HY263">
            <v>6</v>
          </cell>
          <cell r="HZ263" t="str">
            <v>ISO4217:USD</v>
          </cell>
          <cell r="IA263" t="b">
            <v>0</v>
          </cell>
          <cell r="IB263" t="b">
            <v>0</v>
          </cell>
        </row>
        <row r="264">
          <cell r="D264" t="str">
            <v>Operating income (expense) classified by company as extraordinary (Japan)</v>
          </cell>
          <cell r="HX264" t="str">
            <v>mstag:operatingIncomeExpenseClassifiedByCompanyAsExtraordinaryJapan</v>
          </cell>
          <cell r="HY264">
            <v>6</v>
          </cell>
          <cell r="HZ264" t="str">
            <v>ISO4217:USD</v>
          </cell>
          <cell r="IA264" t="b">
            <v>0</v>
          </cell>
          <cell r="IB264" t="b">
            <v>0</v>
          </cell>
        </row>
        <row r="265">
          <cell r="D265" t="str">
            <v>Nonoperating income (expense) classified by company as operating (Japan)</v>
          </cell>
          <cell r="HX265" t="str">
            <v>mstag:nonOperatingIncomeExpenseClassifiedByCompanyAsOperatingJapan</v>
          </cell>
          <cell r="HY265">
            <v>6</v>
          </cell>
          <cell r="HZ265" t="str">
            <v>ISO4217:USD</v>
          </cell>
          <cell r="IA265" t="b">
            <v>0</v>
          </cell>
          <cell r="IB265" t="b">
            <v>0</v>
          </cell>
        </row>
        <row r="266">
          <cell r="D266" t="str">
            <v>Nonoperating income (expense) classified by company as extraordinary (Japan)</v>
          </cell>
          <cell r="HX266" t="str">
            <v>mstag:recurringIncomeExpenseClassifiedByCompanyAsExtraordinaryJapan</v>
          </cell>
          <cell r="HY266">
            <v>6</v>
          </cell>
          <cell r="HZ266" t="str">
            <v>ISO4217:USD</v>
          </cell>
          <cell r="IA266" t="b">
            <v>0</v>
          </cell>
          <cell r="IB266" t="b">
            <v>0</v>
          </cell>
        </row>
        <row r="267">
          <cell r="D267" t="str">
            <v>One-time income (expense), gross of tax, classified by company as operating (Japan)</v>
          </cell>
          <cell r="HX267" t="str">
            <v>mstag:oneTimeIncomeExpenseGrossOfTaxClassifiedByCompanyAsOperatingJapan</v>
          </cell>
          <cell r="HY267">
            <v>6</v>
          </cell>
          <cell r="HZ267" t="str">
            <v>ISO4217:USD</v>
          </cell>
          <cell r="IA267" t="b">
            <v>0</v>
          </cell>
          <cell r="IB267" t="b">
            <v>0</v>
          </cell>
        </row>
        <row r="268">
          <cell r="D268" t="str">
            <v>One-time income (expense), gross of tax, classified by company as nonoperating (Japan)</v>
          </cell>
          <cell r="HX268" t="str">
            <v>mstag:oneTimeIncomeExpenseGrossOfTaxClassifiedByCompanyAsNonOperatingJapan</v>
          </cell>
          <cell r="HY268">
            <v>6</v>
          </cell>
          <cell r="HZ268" t="str">
            <v>ISO4217:USD</v>
          </cell>
          <cell r="IA268" t="b">
            <v>0</v>
          </cell>
          <cell r="IB268" t="b">
            <v>0</v>
          </cell>
        </row>
        <row r="269">
          <cell r="D269" t="str">
            <v>Recurring profit (Japan)</v>
          </cell>
          <cell r="HX269" t="str">
            <v>mstag:recurringProfitJapan</v>
          </cell>
          <cell r="HY269">
            <v>6</v>
          </cell>
          <cell r="HZ269" t="str">
            <v>ISO4217:USD</v>
          </cell>
          <cell r="IA269" t="b">
            <v>0</v>
          </cell>
          <cell r="IB269" t="b">
            <v>0</v>
          </cell>
        </row>
        <row r="270">
          <cell r="C270" t="str">
            <v>EPS adjusted for consensus</v>
          </cell>
          <cell r="HX270" t="str">
            <v>mstag:adjEpsForConsensus</v>
          </cell>
          <cell r="HY270">
            <v>0</v>
          </cell>
          <cell r="HZ270" t="str">
            <v>ISO4217:USD</v>
          </cell>
          <cell r="IA270" t="b">
            <v>0</v>
          </cell>
          <cell r="IB270" t="b">
            <v>0</v>
          </cell>
        </row>
        <row r="271">
          <cell r="C271" t="str">
            <v>Period-end diluted shares outstanding</v>
          </cell>
          <cell r="HX271" t="str">
            <v>mstag:periodEndDilutedSharesOutstanding</v>
          </cell>
          <cell r="HY271">
            <v>6</v>
          </cell>
          <cell r="HZ271" t="str">
            <v>ms_eqr_gcim_Decimal:ms_eqr_gcim_decimal</v>
          </cell>
          <cell r="IA271" t="b">
            <v>0</v>
          </cell>
          <cell r="IB271" t="b">
            <v>0</v>
          </cell>
        </row>
        <row r="272">
          <cell r="C272" t="str">
            <v>Period-end basic shares outstanding</v>
          </cell>
          <cell r="G272">
            <v>993.82235200000002</v>
          </cell>
          <cell r="H272">
            <v>1016.9171200000001</v>
          </cell>
          <cell r="I272">
            <v>1032.4410559999999</v>
          </cell>
          <cell r="J272">
            <v>1050.953542</v>
          </cell>
          <cell r="K272">
            <v>1056.6265719999999</v>
          </cell>
          <cell r="L272">
            <v>1025.6204499999999</v>
          </cell>
          <cell r="M272">
            <v>1049.4000000000001</v>
          </cell>
          <cell r="HX272" t="str">
            <v>mstag:periodEndBasicSharesOutstanding</v>
          </cell>
          <cell r="HY272">
            <v>6</v>
          </cell>
          <cell r="HZ272" t="str">
            <v>ms_eqr_gcim_Decimal:ms_eqr_gcim_decimal</v>
          </cell>
          <cell r="IA272" t="b">
            <v>0</v>
          </cell>
          <cell r="IB272" t="b">
            <v>0</v>
          </cell>
        </row>
        <row r="273">
          <cell r="C273" t="str">
            <v>Current diluted shares outstanding</v>
          </cell>
          <cell r="HX273" t="str">
            <v>mstag:currentDilutedSharesOutstanding</v>
          </cell>
          <cell r="HY273">
            <v>6</v>
          </cell>
          <cell r="HZ273" t="str">
            <v>ms_eqr_gcim_Decimal:ms_eqr_gcim_decimal</v>
          </cell>
          <cell r="IA273" t="b">
            <v>0</v>
          </cell>
          <cell r="IB273" t="b">
            <v>0</v>
          </cell>
        </row>
        <row r="274">
          <cell r="C274" t="str">
            <v>Current basic shares outstanding</v>
          </cell>
          <cell r="HX274" t="str">
            <v>mstag:currentBasicSharesOutstanding</v>
          </cell>
          <cell r="HY274">
            <v>6</v>
          </cell>
          <cell r="HZ274" t="str">
            <v>ms_eqr_gcim_Decimal:ms_eqr_gcim_decimal</v>
          </cell>
          <cell r="IA274" t="b">
            <v>0</v>
          </cell>
          <cell r="IB274" t="b">
            <v>0</v>
          </cell>
        </row>
        <row r="275">
          <cell r="C275" t="str">
            <v>Average diluted shares outstanding</v>
          </cell>
          <cell r="G275">
            <v>1011.176</v>
          </cell>
          <cell r="H275">
            <v>1038.9760000000001</v>
          </cell>
          <cell r="I275">
            <v>1026.704</v>
          </cell>
          <cell r="J275">
            <v>1044.3579999999999</v>
          </cell>
          <cell r="K275">
            <v>1070.5820000000001</v>
          </cell>
          <cell r="L275">
            <v>1048.816</v>
          </cell>
          <cell r="M275">
            <v>1054.3219999999999</v>
          </cell>
          <cell r="HX275" t="str">
            <v>mstag:averageDilutedSharesOutstanding</v>
          </cell>
          <cell r="HY275">
            <v>6</v>
          </cell>
          <cell r="HZ275" t="str">
            <v>ms_eqr_gcim_Decimal:ms_eqr_gcim_decimal</v>
          </cell>
          <cell r="IA275" t="b">
            <v>0</v>
          </cell>
          <cell r="IB275" t="b">
            <v>0</v>
          </cell>
        </row>
        <row r="276">
          <cell r="C276" t="str">
            <v>Number of preferred shares outstanding</v>
          </cell>
          <cell r="HX276" t="str">
            <v>mstag:numberOfPreferredSharesOutstanding</v>
          </cell>
          <cell r="HY276">
            <v>6</v>
          </cell>
          <cell r="HZ276" t="str">
            <v>ms_eqr_gcim_Decimal:ms_eqr_gcim_decimal</v>
          </cell>
          <cell r="IA276" t="b">
            <v>0</v>
          </cell>
          <cell r="IB276" t="b">
            <v>0</v>
          </cell>
        </row>
        <row r="277">
          <cell r="C277" t="str">
            <v>Average basic shares outstanding</v>
          </cell>
          <cell r="G277">
            <v>984.32</v>
          </cell>
          <cell r="H277">
            <v>1006.136</v>
          </cell>
          <cell r="I277">
            <v>1026.704</v>
          </cell>
          <cell r="J277">
            <v>1044.3579999999999</v>
          </cell>
          <cell r="K277">
            <v>1054.0440000000001</v>
          </cell>
          <cell r="L277">
            <v>1038.384</v>
          </cell>
          <cell r="M277">
            <v>1034.4565</v>
          </cell>
          <cell r="HX277" t="str">
            <v>mstag:averageBasicSharesOutstanding</v>
          </cell>
          <cell r="HY277">
            <v>6</v>
          </cell>
          <cell r="HZ277" t="str">
            <v>ms_eqr_gcim_Decimal:ms_eqr_gcim_decimal</v>
          </cell>
          <cell r="IA277" t="b">
            <v>0</v>
          </cell>
          <cell r="IB277" t="b">
            <v>0</v>
          </cell>
        </row>
        <row r="278">
          <cell r="C278" t="str">
            <v>ADR ratio</v>
          </cell>
          <cell r="HX278" t="str">
            <v>mstag:adrRatioNew</v>
          </cell>
          <cell r="HY278">
            <v>0</v>
          </cell>
          <cell r="HZ278" t="str">
            <v>ms_eqr_gcim_Decimal:ms_eqr_gcim_decimal</v>
          </cell>
          <cell r="IA278" t="b">
            <v>0</v>
          </cell>
          <cell r="IB278" t="b">
            <v>0</v>
          </cell>
        </row>
        <row r="279">
          <cell r="C279" t="str">
            <v>Current ADR ratio</v>
          </cell>
          <cell r="HX279" t="str">
            <v>mstag:currentAdrRatio</v>
          </cell>
          <cell r="HY279">
            <v>0</v>
          </cell>
          <cell r="HZ279" t="str">
            <v>ms_eqr_gcim_Decimal:ms_eqr_gcim_decimal</v>
          </cell>
          <cell r="IA279" t="b">
            <v>0</v>
          </cell>
          <cell r="IB279" t="b">
            <v>0</v>
          </cell>
        </row>
        <row r="280">
          <cell r="C280" t="str">
            <v>Analyst's average FX rate</v>
          </cell>
          <cell r="HX280" t="str">
            <v>mstag:analystsAverageFxRate</v>
          </cell>
          <cell r="HY280">
            <v>0</v>
          </cell>
          <cell r="HZ280" t="str">
            <v>ms_eqr_gcim_Decimal:ms_eqr_gcim_decimal</v>
          </cell>
          <cell r="IA280" t="b">
            <v>0</v>
          </cell>
          <cell r="IB280" t="b">
            <v>0</v>
          </cell>
        </row>
        <row r="281">
          <cell r="C281" t="str">
            <v>Analyst's period-end FX rate</v>
          </cell>
          <cell r="HX281" t="str">
            <v>mstag:analystsPeriodEndFxRate</v>
          </cell>
          <cell r="HY281">
            <v>0</v>
          </cell>
          <cell r="HZ281" t="str">
            <v>ms_eqr_gcim_Decimal:ms_eqr_gcim_decimal</v>
          </cell>
          <cell r="IA281" t="b">
            <v>0</v>
          </cell>
          <cell r="IB281" t="b">
            <v>0</v>
          </cell>
        </row>
        <row r="282">
          <cell r="C282" t="str">
            <v>Percent ownership</v>
          </cell>
          <cell r="HX282" t="str">
            <v>mstag:percentOwnership</v>
          </cell>
          <cell r="HY282">
            <v>0</v>
          </cell>
          <cell r="HZ282" t="str">
            <v>ms_eqr_gcim_Decimal:ms_eqr_gcim_decimal</v>
          </cell>
          <cell r="IA282" t="b">
            <v>0</v>
          </cell>
          <cell r="IB282" t="b">
            <v>0</v>
          </cell>
        </row>
        <row r="283">
          <cell r="C283" t="str">
            <v>Statutory tax rate</v>
          </cell>
          <cell r="G283">
            <v>0.373</v>
          </cell>
          <cell r="H283">
            <v>0.37965018939169048</v>
          </cell>
          <cell r="I283">
            <v>0.51523455723542122</v>
          </cell>
          <cell r="J283">
            <v>0.59149257488044304</v>
          </cell>
          <cell r="K283">
            <v>0.40731343600036757</v>
          </cell>
          <cell r="L283">
            <v>0.37813035732293521</v>
          </cell>
          <cell r="M283">
            <v>0.32364976429312797</v>
          </cell>
          <cell r="HX283" t="str">
            <v>mstag:statutoryTaxRate</v>
          </cell>
          <cell r="HY283">
            <v>0</v>
          </cell>
          <cell r="HZ283" t="str">
            <v>ms_eqr_gcim_Decimal:ms_eqr_gcim_decimal</v>
          </cell>
          <cell r="IA283" t="b">
            <v>0</v>
          </cell>
          <cell r="IB283" t="b">
            <v>0</v>
          </cell>
        </row>
        <row r="284">
          <cell r="C284" t="str">
            <v>Dividends per share</v>
          </cell>
          <cell r="G284">
            <v>0</v>
          </cell>
          <cell r="H284">
            <v>0</v>
          </cell>
          <cell r="I284">
            <v>0</v>
          </cell>
          <cell r="J284">
            <v>0</v>
          </cell>
          <cell r="K284">
            <v>0</v>
          </cell>
          <cell r="L284">
            <v>0</v>
          </cell>
          <cell r="HX284" t="str">
            <v>mstag:dividendsPerShare</v>
          </cell>
          <cell r="HY284">
            <v>0</v>
          </cell>
          <cell r="HZ284" t="str">
            <v>ISO4217:USD</v>
          </cell>
          <cell r="IA284" t="b">
            <v>0</v>
          </cell>
          <cell r="IB284" t="b">
            <v>0</v>
          </cell>
        </row>
        <row r="285">
          <cell r="B285" t="str">
            <v>Balance sheet</v>
          </cell>
          <cell r="HY285">
            <v>0</v>
          </cell>
          <cell r="HZ285" t="str">
            <v>ms_eqr_gcim_String:ms_eqr_gcim_string</v>
          </cell>
          <cell r="IA285" t="b">
            <v>0</v>
          </cell>
          <cell r="IB285" t="b">
            <v>0</v>
          </cell>
        </row>
        <row r="286">
          <cell r="C286" t="str">
            <v>Assets</v>
          </cell>
          <cell r="M286">
            <v>8735.9628426585768</v>
          </cell>
          <cell r="HX286" t="str">
            <v>mstag:assets</v>
          </cell>
          <cell r="HY286">
            <v>6</v>
          </cell>
          <cell r="HZ286" t="str">
            <v>ISO4217:USD</v>
          </cell>
          <cell r="IA286" t="b">
            <v>0</v>
          </cell>
          <cell r="IB286" t="b">
            <v>0</v>
          </cell>
        </row>
        <row r="287">
          <cell r="D287" t="str">
            <v>Cash and cash equivalents</v>
          </cell>
          <cell r="F287">
            <v>207.26400000000001</v>
          </cell>
          <cell r="G287">
            <v>244.46899999999999</v>
          </cell>
          <cell r="H287">
            <v>281.16199999999998</v>
          </cell>
          <cell r="I287">
            <v>337.68200000000002</v>
          </cell>
          <cell r="J287">
            <v>551.38400000000001</v>
          </cell>
          <cell r="K287">
            <v>395.20299999999997</v>
          </cell>
          <cell r="L287">
            <v>208.13</v>
          </cell>
          <cell r="M287">
            <v>371.87784265857795</v>
          </cell>
          <cell r="HX287" t="str">
            <v>mstag:cashAndCashEquivalents</v>
          </cell>
          <cell r="HY287">
            <v>6</v>
          </cell>
          <cell r="HZ287" t="str">
            <v>ISO4217:USD</v>
          </cell>
          <cell r="IA287" t="b">
            <v>0</v>
          </cell>
          <cell r="IB287" t="b">
            <v>0</v>
          </cell>
        </row>
        <row r="288">
          <cell r="D288" t="str">
            <v>Restricted cash required for operations</v>
          </cell>
          <cell r="HX288" t="str">
            <v>mstag:restrictedCashRequiredForOperations</v>
          </cell>
          <cell r="HY288">
            <v>6</v>
          </cell>
          <cell r="HZ288" t="str">
            <v>ISO4217:USD</v>
          </cell>
          <cell r="IA288" t="b">
            <v>0</v>
          </cell>
          <cell r="IB288" t="b">
            <v>0</v>
          </cell>
        </row>
        <row r="289">
          <cell r="D289" t="str">
            <v>Trade receivables</v>
          </cell>
          <cell r="G289">
            <v>71.41500000000002</v>
          </cell>
          <cell r="H289">
            <v>79.411000000000001</v>
          </cell>
          <cell r="I289">
            <v>120.49700000000001</v>
          </cell>
          <cell r="J289">
            <v>162.12100000000001</v>
          </cell>
          <cell r="K289">
            <v>193.203</v>
          </cell>
          <cell r="L289">
            <v>242.90700000000004</v>
          </cell>
          <cell r="M289">
            <v>574.1</v>
          </cell>
          <cell r="HX289" t="str">
            <v>mstag:tradeReceivables</v>
          </cell>
          <cell r="HY289">
            <v>6</v>
          </cell>
          <cell r="HZ289" t="str">
            <v>ISO4217:USD</v>
          </cell>
          <cell r="IA289" t="b">
            <v>0</v>
          </cell>
          <cell r="IB289" t="b">
            <v>0</v>
          </cell>
        </row>
        <row r="290">
          <cell r="E290" t="str">
            <v>Trade receivables, current</v>
          </cell>
          <cell r="G290">
            <v>71.41500000000002</v>
          </cell>
          <cell r="H290">
            <v>79.411000000000001</v>
          </cell>
          <cell r="I290">
            <v>120.49700000000001</v>
          </cell>
          <cell r="J290">
            <v>162.12100000000001</v>
          </cell>
          <cell r="K290">
            <v>193.203</v>
          </cell>
          <cell r="L290">
            <v>242.90700000000004</v>
          </cell>
          <cell r="M290" t="str">
            <v/>
          </cell>
          <cell r="HX290" t="str">
            <v>mstag:tradeReceivablesCurrent</v>
          </cell>
          <cell r="HY290">
            <v>6</v>
          </cell>
          <cell r="HZ290" t="str">
            <v>ISO4217:USD</v>
          </cell>
          <cell r="IA290" t="b">
            <v>0</v>
          </cell>
          <cell r="IB290" t="b">
            <v>0</v>
          </cell>
        </row>
        <row r="291">
          <cell r="F291" t="str">
            <v>Trade receivables, gross, current</v>
          </cell>
          <cell r="G291">
            <v>80.241000000000014</v>
          </cell>
          <cell r="H291">
            <v>94.072000000000003</v>
          </cell>
          <cell r="I291">
            <v>136.26400000000001</v>
          </cell>
          <cell r="J291">
            <v>176.24700000000001</v>
          </cell>
          <cell r="K291">
            <v>210.54</v>
          </cell>
          <cell r="L291">
            <v>259.73400000000004</v>
          </cell>
          <cell r="HX291" t="str">
            <v>mstag:tradeReceivablesGrossCurrent</v>
          </cell>
          <cell r="HY291">
            <v>6</v>
          </cell>
          <cell r="HZ291" t="str">
            <v>ISO4217:USD</v>
          </cell>
          <cell r="IA291" t="b">
            <v>0</v>
          </cell>
          <cell r="IB291" t="b">
            <v>0</v>
          </cell>
        </row>
        <row r="292">
          <cell r="F292" t="str">
            <v>Allowance for doubtful accounts, current</v>
          </cell>
          <cell r="G292">
            <v>8.8260000000000005</v>
          </cell>
          <cell r="H292">
            <v>14.661</v>
          </cell>
          <cell r="I292">
            <v>15.766999999999999</v>
          </cell>
          <cell r="J292">
            <v>14.125999999999999</v>
          </cell>
          <cell r="K292">
            <v>17.337</v>
          </cell>
          <cell r="L292">
            <v>16.827000000000002</v>
          </cell>
          <cell r="HX292" t="str">
            <v>mstag:allowanceForDoubtfulAccountsCurrent</v>
          </cell>
          <cell r="HY292">
            <v>6</v>
          </cell>
          <cell r="HZ292" t="str">
            <v>ISO4217:USD</v>
          </cell>
          <cell r="IA292" t="b">
            <v>0</v>
          </cell>
          <cell r="IB292" t="b">
            <v>0</v>
          </cell>
        </row>
        <row r="293">
          <cell r="E293" t="str">
            <v>Trade receivables, noncurrent</v>
          </cell>
          <cell r="G293" t="str">
            <v/>
          </cell>
          <cell r="H293" t="str">
            <v/>
          </cell>
          <cell r="I293" t="str">
            <v/>
          </cell>
          <cell r="J293" t="str">
            <v/>
          </cell>
          <cell r="K293" t="str">
            <v/>
          </cell>
          <cell r="L293" t="str">
            <v/>
          </cell>
          <cell r="M293" t="str">
            <v/>
          </cell>
          <cell r="HX293" t="str">
            <v>mstag:tradeReceivablesNonCurrent</v>
          </cell>
          <cell r="HY293">
            <v>6</v>
          </cell>
          <cell r="HZ293" t="str">
            <v>ISO4217:USD</v>
          </cell>
          <cell r="IA293" t="b">
            <v>0</v>
          </cell>
          <cell r="IB293" t="b">
            <v>0</v>
          </cell>
        </row>
        <row r="294">
          <cell r="F294" t="str">
            <v>Trade receivables, gross, noncurrent</v>
          </cell>
          <cell r="HX294" t="str">
            <v>mstag:tradeReceivablesGrossNonCurrent</v>
          </cell>
          <cell r="HY294">
            <v>6</v>
          </cell>
          <cell r="HZ294" t="str">
            <v>ISO4217:USD</v>
          </cell>
          <cell r="IA294" t="b">
            <v>0</v>
          </cell>
          <cell r="IB294" t="b">
            <v>0</v>
          </cell>
        </row>
        <row r="295">
          <cell r="F295" t="str">
            <v>Allowance for doubtful accounts, noncurrent</v>
          </cell>
          <cell r="HX295" t="str">
            <v>mstag:allowanceForDoubtfulAccountsNonCurrent</v>
          </cell>
          <cell r="HY295">
            <v>6</v>
          </cell>
          <cell r="HZ295" t="str">
            <v>ISO4217:USD</v>
          </cell>
          <cell r="IA295" t="b">
            <v>0</v>
          </cell>
          <cell r="IB295" t="b">
            <v>0</v>
          </cell>
        </row>
        <row r="296">
          <cell r="D296" t="str">
            <v>Finance lease receivables</v>
          </cell>
          <cell r="G296" t="str">
            <v/>
          </cell>
          <cell r="H296" t="str">
            <v/>
          </cell>
          <cell r="I296" t="str">
            <v/>
          </cell>
          <cell r="J296" t="str">
            <v/>
          </cell>
          <cell r="K296" t="str">
            <v/>
          </cell>
          <cell r="L296" t="str">
            <v/>
          </cell>
          <cell r="M296" t="str">
            <v/>
          </cell>
          <cell r="HX296" t="str">
            <v>mstag:financeLeaseReceivables</v>
          </cell>
          <cell r="HY296">
            <v>6</v>
          </cell>
          <cell r="HZ296" t="str">
            <v>ISO4217:USD</v>
          </cell>
          <cell r="IA296" t="b">
            <v>0</v>
          </cell>
          <cell r="IB296" t="b">
            <v>0</v>
          </cell>
        </row>
        <row r="297">
          <cell r="E297" t="str">
            <v>Finance lease receivables, current</v>
          </cell>
          <cell r="HX297" t="str">
            <v>mstag:financeLeaseReceivablesCurrent</v>
          </cell>
          <cell r="HY297">
            <v>6</v>
          </cell>
          <cell r="HZ297" t="str">
            <v>ISO4217:USD</v>
          </cell>
          <cell r="IA297" t="b">
            <v>0</v>
          </cell>
          <cell r="IB297" t="b">
            <v>0</v>
          </cell>
        </row>
        <row r="298">
          <cell r="E298" t="str">
            <v>Finance lease receivables, noncurrent</v>
          </cell>
          <cell r="HX298" t="str">
            <v>mstag:financeLeaseReceivablesNonCurrent</v>
          </cell>
          <cell r="HY298">
            <v>6</v>
          </cell>
          <cell r="HZ298" t="str">
            <v>ISO4217:USD</v>
          </cell>
          <cell r="IA298" t="b">
            <v>0</v>
          </cell>
          <cell r="IB298" t="b">
            <v>0</v>
          </cell>
        </row>
        <row r="299">
          <cell r="D299" t="str">
            <v>Notes receivable</v>
          </cell>
          <cell r="G299" t="str">
            <v/>
          </cell>
          <cell r="H299" t="str">
            <v/>
          </cell>
          <cell r="I299" t="str">
            <v/>
          </cell>
          <cell r="J299" t="str">
            <v/>
          </cell>
          <cell r="K299" t="str">
            <v/>
          </cell>
          <cell r="L299" t="str">
            <v/>
          </cell>
          <cell r="M299" t="str">
            <v/>
          </cell>
          <cell r="HX299" t="str">
            <v>mstag:notesReceivable</v>
          </cell>
          <cell r="HY299">
            <v>6</v>
          </cell>
          <cell r="HZ299" t="str">
            <v>ISO4217:USD</v>
          </cell>
          <cell r="IA299" t="b">
            <v>0</v>
          </cell>
          <cell r="IB299" t="b">
            <v>0</v>
          </cell>
        </row>
        <row r="300">
          <cell r="E300" t="str">
            <v>Notes receivable, current</v>
          </cell>
          <cell r="HX300" t="str">
            <v>mstag:notesReceivableCurrent</v>
          </cell>
          <cell r="HY300">
            <v>6</v>
          </cell>
          <cell r="HZ300" t="str">
            <v>ISO4217:USD</v>
          </cell>
          <cell r="IA300" t="b">
            <v>0</v>
          </cell>
          <cell r="IB300" t="b">
            <v>0</v>
          </cell>
        </row>
        <row r="301">
          <cell r="E301" t="str">
            <v>Notes receivable, noncurrent</v>
          </cell>
          <cell r="HX301" t="str">
            <v>mstag:notesReceivableNonCurrent</v>
          </cell>
          <cell r="HY301">
            <v>6</v>
          </cell>
          <cell r="HZ301" t="str">
            <v>ISO4217:USD</v>
          </cell>
          <cell r="IA301" t="b">
            <v>0</v>
          </cell>
          <cell r="IB301" t="b">
            <v>0</v>
          </cell>
        </row>
        <row r="302">
          <cell r="D302" t="str">
            <v>Unbilled receivables</v>
          </cell>
          <cell r="G302" t="str">
            <v/>
          </cell>
          <cell r="H302" t="str">
            <v/>
          </cell>
          <cell r="I302" t="str">
            <v/>
          </cell>
          <cell r="J302" t="str">
            <v/>
          </cell>
          <cell r="K302" t="str">
            <v/>
          </cell>
          <cell r="L302" t="str">
            <v/>
          </cell>
          <cell r="M302" t="str">
            <v/>
          </cell>
          <cell r="HX302" t="str">
            <v>mstag:unbilledReceivables</v>
          </cell>
          <cell r="HY302">
            <v>6</v>
          </cell>
          <cell r="HZ302" t="str">
            <v>ISO4217:USD</v>
          </cell>
          <cell r="IA302" t="b">
            <v>0</v>
          </cell>
          <cell r="IB302" t="b">
            <v>0</v>
          </cell>
        </row>
        <row r="303">
          <cell r="E303" t="str">
            <v>Unbilled receivables, current</v>
          </cell>
          <cell r="HX303" t="str">
            <v>mstag:unbilledReceivablesCurrent</v>
          </cell>
          <cell r="HY303">
            <v>6</v>
          </cell>
          <cell r="HZ303" t="str">
            <v>ISO4217:USD</v>
          </cell>
          <cell r="IA303" t="b">
            <v>0</v>
          </cell>
          <cell r="IB303" t="b">
            <v>0</v>
          </cell>
        </row>
        <row r="304">
          <cell r="E304" t="str">
            <v>Unbilled receivables, noncurrent</v>
          </cell>
          <cell r="HX304" t="str">
            <v>mstag:unbilledReceivablesNonCurrent</v>
          </cell>
          <cell r="HY304">
            <v>6</v>
          </cell>
          <cell r="HZ304" t="str">
            <v>ISO4217:USD</v>
          </cell>
          <cell r="IA304" t="b">
            <v>0</v>
          </cell>
          <cell r="IB304" t="b">
            <v>0</v>
          </cell>
        </row>
        <row r="305">
          <cell r="D305" t="str">
            <v>Other receivables</v>
          </cell>
          <cell r="G305">
            <v>117.83000000000001</v>
          </cell>
          <cell r="H305">
            <v>70.33</v>
          </cell>
          <cell r="I305">
            <v>94.288000000000011</v>
          </cell>
          <cell r="J305">
            <v>99.561000000000007</v>
          </cell>
          <cell r="K305">
            <v>122.137</v>
          </cell>
          <cell r="L305">
            <v>175.57400000000001</v>
          </cell>
          <cell r="M305" t="str">
            <v/>
          </cell>
          <cell r="HX305" t="str">
            <v>mstag:otherReceivables</v>
          </cell>
          <cell r="HY305">
            <v>6</v>
          </cell>
          <cell r="HZ305" t="str">
            <v>ISO4217:USD</v>
          </cell>
          <cell r="IA305" t="b">
            <v>0</v>
          </cell>
          <cell r="IB305" t="b">
            <v>0</v>
          </cell>
        </row>
        <row r="306">
          <cell r="E306" t="str">
            <v>Other receivables, current</v>
          </cell>
          <cell r="G306">
            <v>117.83000000000001</v>
          </cell>
          <cell r="H306">
            <v>70.33</v>
          </cell>
          <cell r="I306">
            <v>94.288000000000011</v>
          </cell>
          <cell r="J306">
            <v>99.561000000000007</v>
          </cell>
          <cell r="K306">
            <v>122.137</v>
          </cell>
          <cell r="L306">
            <v>175.57400000000001</v>
          </cell>
          <cell r="HX306" t="str">
            <v>mstag:otherReceivablesCurrent</v>
          </cell>
          <cell r="HY306">
            <v>6</v>
          </cell>
          <cell r="HZ306" t="str">
            <v>ISO4217:USD</v>
          </cell>
          <cell r="IA306" t="b">
            <v>0</v>
          </cell>
          <cell r="IB306" t="b">
            <v>0</v>
          </cell>
        </row>
        <row r="307">
          <cell r="E307" t="str">
            <v>Other receivables, noncurrent</v>
          </cell>
          <cell r="HX307" t="str">
            <v>mstag:otherReceivablesNonCurrent</v>
          </cell>
          <cell r="HY307">
            <v>6</v>
          </cell>
          <cell r="HZ307" t="str">
            <v>ISO4217:USD</v>
          </cell>
          <cell r="IA307" t="b">
            <v>0</v>
          </cell>
          <cell r="IB307" t="b">
            <v>0</v>
          </cell>
        </row>
        <row r="308">
          <cell r="D308" t="str">
            <v>Prepaid expenses</v>
          </cell>
          <cell r="G308">
            <v>55.325000000000003</v>
          </cell>
          <cell r="H308">
            <v>17.036000000000001</v>
          </cell>
          <cell r="I308">
            <v>11.87</v>
          </cell>
          <cell r="J308">
            <v>31.431999999999999</v>
          </cell>
          <cell r="K308">
            <v>38.896000000000001</v>
          </cell>
          <cell r="L308">
            <v>50.741999999999997</v>
          </cell>
          <cell r="M308">
            <v>79.44</v>
          </cell>
          <cell r="HX308" t="str">
            <v>mstag:prepaidExpenses</v>
          </cell>
          <cell r="HY308">
            <v>6</v>
          </cell>
          <cell r="HZ308" t="str">
            <v>ISO4217:USD</v>
          </cell>
          <cell r="IA308" t="b">
            <v>0</v>
          </cell>
          <cell r="IB308" t="b">
            <v>0</v>
          </cell>
        </row>
        <row r="309">
          <cell r="E309" t="str">
            <v>Prepaid expenses, current</v>
          </cell>
          <cell r="G309">
            <v>55.325000000000003</v>
          </cell>
          <cell r="H309">
            <v>17.036000000000001</v>
          </cell>
          <cell r="I309">
            <v>11.87</v>
          </cell>
          <cell r="J309">
            <v>31.431999999999999</v>
          </cell>
          <cell r="K309">
            <v>38.896000000000001</v>
          </cell>
          <cell r="L309">
            <v>50.741999999999997</v>
          </cell>
          <cell r="HX309" t="str">
            <v>mstag:prepaidExpensesCurrent</v>
          </cell>
          <cell r="HY309">
            <v>6</v>
          </cell>
          <cell r="HZ309" t="str">
            <v>ISO4217:USD</v>
          </cell>
          <cell r="IA309" t="b">
            <v>0</v>
          </cell>
          <cell r="IB309" t="b">
            <v>0</v>
          </cell>
        </row>
        <row r="310">
          <cell r="E310" t="str">
            <v>Prepaid expenses, noncurrent</v>
          </cell>
          <cell r="HX310" t="str">
            <v>mstag:prepaidExpensesNonCurrent</v>
          </cell>
          <cell r="HY310">
            <v>6</v>
          </cell>
          <cell r="HZ310" t="str">
            <v>ISO4217:USD</v>
          </cell>
          <cell r="IA310" t="b">
            <v>0</v>
          </cell>
          <cell r="IB310" t="b">
            <v>0</v>
          </cell>
        </row>
        <row r="311">
          <cell r="D311" t="str">
            <v>Income tax receivable</v>
          </cell>
          <cell r="G311" t="str">
            <v/>
          </cell>
          <cell r="H311" t="str">
            <v/>
          </cell>
          <cell r="I311" t="str">
            <v/>
          </cell>
          <cell r="J311" t="str">
            <v/>
          </cell>
          <cell r="K311" t="str">
            <v/>
          </cell>
          <cell r="L311" t="str">
            <v/>
          </cell>
          <cell r="M311" t="str">
            <v/>
          </cell>
          <cell r="HX311" t="str">
            <v>mstag:incomeTaxReceivable</v>
          </cell>
          <cell r="HY311">
            <v>6</v>
          </cell>
          <cell r="HZ311" t="str">
            <v>ISO4217:USD</v>
          </cell>
          <cell r="IA311" t="b">
            <v>0</v>
          </cell>
          <cell r="IB311" t="b">
            <v>0</v>
          </cell>
        </row>
        <row r="312">
          <cell r="E312" t="str">
            <v>Income tax receivable, operating</v>
          </cell>
          <cell r="HX312" t="str">
            <v>mstag:incomeTaxReceivableOperating</v>
          </cell>
          <cell r="HY312">
            <v>6</v>
          </cell>
          <cell r="HZ312" t="str">
            <v>ISO4217:USD</v>
          </cell>
          <cell r="IA312" t="b">
            <v>0</v>
          </cell>
          <cell r="IB312" t="b">
            <v>0</v>
          </cell>
        </row>
        <row r="313">
          <cell r="E313" t="str">
            <v>Income tax receivable, financing</v>
          </cell>
          <cell r="HX313" t="str">
            <v>mstag:incomeTaxReceivableFinancing</v>
          </cell>
          <cell r="HY313">
            <v>6</v>
          </cell>
          <cell r="HZ313" t="str">
            <v>ISO4217:USD</v>
          </cell>
          <cell r="IA313" t="b">
            <v>0</v>
          </cell>
          <cell r="IB313" t="b">
            <v>0</v>
          </cell>
        </row>
        <row r="314">
          <cell r="E314" t="str">
            <v>Income tax receivable, other</v>
          </cell>
          <cell r="HX314" t="str">
            <v>mstag:incomeTaxReceivableOther</v>
          </cell>
          <cell r="HY314">
            <v>6</v>
          </cell>
          <cell r="HZ314" t="str">
            <v>ISO4217:USD</v>
          </cell>
          <cell r="IA314" t="b">
            <v>0</v>
          </cell>
          <cell r="IB314" t="b">
            <v>0</v>
          </cell>
        </row>
        <row r="315">
          <cell r="D315" t="str">
            <v>Inventories</v>
          </cell>
          <cell r="G315">
            <v>116.026</v>
          </cell>
          <cell r="H315">
            <v>148.626</v>
          </cell>
          <cell r="I315">
            <v>275.245</v>
          </cell>
          <cell r="J315">
            <v>265.83000000000004</v>
          </cell>
          <cell r="K315">
            <v>356.94599999999997</v>
          </cell>
          <cell r="L315">
            <v>393.54200000000003</v>
          </cell>
          <cell r="M315">
            <v>469.64</v>
          </cell>
          <cell r="HX315" t="str">
            <v>mstag:inventories</v>
          </cell>
          <cell r="HY315">
            <v>6</v>
          </cell>
          <cell r="HZ315" t="str">
            <v>ISO4217:USD</v>
          </cell>
          <cell r="IA315" t="b">
            <v>0</v>
          </cell>
          <cell r="IB315" t="b">
            <v>0</v>
          </cell>
        </row>
        <row r="316">
          <cell r="E316" t="str">
            <v>Raw materials</v>
          </cell>
          <cell r="G316">
            <v>17.544</v>
          </cell>
          <cell r="H316">
            <v>21.414000000000001</v>
          </cell>
          <cell r="I316">
            <v>19.902999999999999</v>
          </cell>
          <cell r="J316">
            <v>17.620999999999999</v>
          </cell>
          <cell r="K316">
            <v>23.632999999999999</v>
          </cell>
          <cell r="L316">
            <v>30.181000000000001</v>
          </cell>
          <cell r="HX316" t="str">
            <v>mstag:rawMaterials</v>
          </cell>
          <cell r="HY316">
            <v>6</v>
          </cell>
          <cell r="HZ316" t="str">
            <v>ISO4217:USD</v>
          </cell>
          <cell r="IA316" t="b">
            <v>0</v>
          </cell>
          <cell r="IB316" t="b">
            <v>0</v>
          </cell>
        </row>
        <row r="317">
          <cell r="E317" t="str">
            <v>Production supplies</v>
          </cell>
          <cell r="HX317" t="str">
            <v>mstag:productionSupplies</v>
          </cell>
          <cell r="HY317">
            <v>6</v>
          </cell>
          <cell r="HZ317" t="str">
            <v>ISO4217:USD</v>
          </cell>
          <cell r="IA317" t="b">
            <v>0</v>
          </cell>
          <cell r="IB317" t="b">
            <v>0</v>
          </cell>
        </row>
        <row r="318">
          <cell r="E318" t="str">
            <v>Work in progress</v>
          </cell>
          <cell r="G318">
            <v>84.831000000000003</v>
          </cell>
          <cell r="H318">
            <v>106.383</v>
          </cell>
          <cell r="I318">
            <v>228.09200000000001</v>
          </cell>
          <cell r="J318">
            <v>233.12100000000001</v>
          </cell>
          <cell r="K318">
            <v>299.71699999999998</v>
          </cell>
          <cell r="L318">
            <v>329.81900000000002</v>
          </cell>
          <cell r="HX318" t="str">
            <v>mstag:workInProgress</v>
          </cell>
          <cell r="HY318">
            <v>6</v>
          </cell>
          <cell r="HZ318" t="str">
            <v>ISO4217:USD</v>
          </cell>
          <cell r="IA318" t="b">
            <v>0</v>
          </cell>
          <cell r="IB318" t="b">
            <v>0</v>
          </cell>
        </row>
        <row r="319">
          <cell r="E319" t="str">
            <v>Finished goods</v>
          </cell>
          <cell r="G319">
            <v>13.651</v>
          </cell>
          <cell r="H319">
            <v>20.829000000000001</v>
          </cell>
          <cell r="I319">
            <v>27.25</v>
          </cell>
          <cell r="J319">
            <v>15.087999999999999</v>
          </cell>
          <cell r="K319">
            <v>33.595999999999997</v>
          </cell>
          <cell r="L319">
            <v>33.542000000000002</v>
          </cell>
          <cell r="HX319" t="str">
            <v>mstag:finishedGoods</v>
          </cell>
          <cell r="HY319">
            <v>6</v>
          </cell>
          <cell r="HZ319" t="str">
            <v>ISO4217:USD</v>
          </cell>
          <cell r="IA319" t="b">
            <v>0</v>
          </cell>
          <cell r="IB319" t="b">
            <v>0</v>
          </cell>
        </row>
        <row r="320">
          <cell r="E320" t="str">
            <v>Other inventories</v>
          </cell>
          <cell r="HX320" t="str">
            <v>mstag:otherInventories</v>
          </cell>
          <cell r="HY320">
            <v>6</v>
          </cell>
          <cell r="HZ320" t="str">
            <v>ISO4217:USD</v>
          </cell>
          <cell r="IA320" t="b">
            <v>0</v>
          </cell>
          <cell r="IB320" t="b">
            <v>0</v>
          </cell>
        </row>
        <row r="321">
          <cell r="D321" t="str">
            <v>Property, plant, and equipment, net</v>
          </cell>
          <cell r="G321">
            <v>680.03399999999999</v>
          </cell>
          <cell r="H321">
            <v>696.68399999999997</v>
          </cell>
          <cell r="I321">
            <v>725.43099999999993</v>
          </cell>
          <cell r="J321">
            <v>734.43600000000004</v>
          </cell>
          <cell r="K321">
            <v>835.03599999999994</v>
          </cell>
          <cell r="L321">
            <v>1015.1449999999999</v>
          </cell>
          <cell r="M321">
            <v>3040.8</v>
          </cell>
          <cell r="HX321" t="str">
            <v>mstag:propertyPlantAndEquipmentNet</v>
          </cell>
          <cell r="HY321">
            <v>6</v>
          </cell>
          <cell r="HZ321" t="str">
            <v>ISO4217:USD</v>
          </cell>
          <cell r="IA321" t="b">
            <v>0</v>
          </cell>
          <cell r="IB321" t="b">
            <v>0</v>
          </cell>
        </row>
        <row r="322">
          <cell r="E322" t="str">
            <v>Property, plant, and equipment, gross</v>
          </cell>
          <cell r="G322">
            <v>1056.125</v>
          </cell>
          <cell r="H322">
            <v>1141.8989999999999</v>
          </cell>
          <cell r="I322">
            <v>1244.9269999999999</v>
          </cell>
          <cell r="J322">
            <v>1338.768</v>
          </cell>
          <cell r="K322">
            <v>1471.2629999999999</v>
          </cell>
          <cell r="L322">
            <v>1742.7569999999998</v>
          </cell>
          <cell r="M322" t="str">
            <v/>
          </cell>
          <cell r="HX322" t="str">
            <v>mstag:propertyPlantAndEquipmentGross</v>
          </cell>
          <cell r="HY322">
            <v>6</v>
          </cell>
          <cell r="HZ322" t="str">
            <v>ISO4217:USD</v>
          </cell>
          <cell r="IA322" t="b">
            <v>0</v>
          </cell>
          <cell r="IB322" t="b">
            <v>0</v>
          </cell>
        </row>
        <row r="323">
          <cell r="F323" t="str">
            <v>Property</v>
          </cell>
          <cell r="G323">
            <v>339.70800000000003</v>
          </cell>
          <cell r="H323">
            <v>378.13299999999998</v>
          </cell>
          <cell r="I323">
            <v>380.23599999999999</v>
          </cell>
          <cell r="J323">
            <v>392.11900000000003</v>
          </cell>
          <cell r="K323">
            <v>402.47300000000001</v>
          </cell>
          <cell r="L323">
            <v>422.79</v>
          </cell>
          <cell r="HX323" t="str">
            <v>mstag:property</v>
          </cell>
          <cell r="HY323">
            <v>6</v>
          </cell>
          <cell r="HZ323" t="str">
            <v>ISO4217:USD</v>
          </cell>
          <cell r="IA323" t="b">
            <v>0</v>
          </cell>
          <cell r="IB323" t="b">
            <v>0</v>
          </cell>
        </row>
        <row r="324">
          <cell r="F324" t="str">
            <v>Plant and equipment</v>
          </cell>
          <cell r="G324">
            <v>494.87400000000002</v>
          </cell>
          <cell r="H324">
            <v>607.36900000000003</v>
          </cell>
          <cell r="I324">
            <v>667.88400000000001</v>
          </cell>
          <cell r="J324">
            <v>761.69600000000003</v>
          </cell>
          <cell r="K324">
            <v>788.19799999999998</v>
          </cell>
          <cell r="L324">
            <v>880.62400000000002</v>
          </cell>
          <cell r="HX324" t="str">
            <v>mstag:plantAndEquipment</v>
          </cell>
          <cell r="HY324">
            <v>6</v>
          </cell>
          <cell r="HZ324" t="str">
            <v>ISO4217:USD</v>
          </cell>
          <cell r="IA324" t="b">
            <v>0</v>
          </cell>
          <cell r="IB324" t="b">
            <v>0</v>
          </cell>
        </row>
        <row r="325">
          <cell r="F325" t="str">
            <v>Land</v>
          </cell>
          <cell r="G325">
            <v>69.010000000000005</v>
          </cell>
          <cell r="H325">
            <v>69.436999999999998</v>
          </cell>
          <cell r="I325">
            <v>89.983000000000004</v>
          </cell>
          <cell r="J325">
            <v>90.274000000000001</v>
          </cell>
          <cell r="K325">
            <v>125.029</v>
          </cell>
          <cell r="L325">
            <v>149.53299999999999</v>
          </cell>
          <cell r="HX325" t="str">
            <v>mstag:land</v>
          </cell>
          <cell r="HY325">
            <v>6</v>
          </cell>
          <cell r="HZ325" t="str">
            <v>ISO4217:USD</v>
          </cell>
          <cell r="IA325" t="b">
            <v>0</v>
          </cell>
          <cell r="IB325" t="b">
            <v>0</v>
          </cell>
        </row>
        <row r="326">
          <cell r="F326" t="str">
            <v>Construction in progress</v>
          </cell>
          <cell r="G326">
            <v>152.53299999999999</v>
          </cell>
          <cell r="H326">
            <v>86.96</v>
          </cell>
          <cell r="I326">
            <v>106.824</v>
          </cell>
          <cell r="J326">
            <v>94.679000000000002</v>
          </cell>
          <cell r="K326">
            <v>155.56299999999999</v>
          </cell>
          <cell r="L326">
            <v>289.81</v>
          </cell>
          <cell r="HX326" t="str">
            <v>mstag:constructionInProgress</v>
          </cell>
          <cell r="HY326">
            <v>6</v>
          </cell>
          <cell r="HZ326" t="str">
            <v>ISO4217:USD</v>
          </cell>
          <cell r="IA326" t="b">
            <v>0</v>
          </cell>
          <cell r="IB326" t="b">
            <v>0</v>
          </cell>
        </row>
        <row r="327">
          <cell r="E327" t="str">
            <v>Accumulated depreciation</v>
          </cell>
          <cell r="G327">
            <v>376.09100000000001</v>
          </cell>
          <cell r="H327">
            <v>445.21499999999997</v>
          </cell>
          <cell r="I327">
            <v>519.49599999999998</v>
          </cell>
          <cell r="J327">
            <v>604.33199999999999</v>
          </cell>
          <cell r="K327">
            <v>636.22699999999998</v>
          </cell>
          <cell r="L327">
            <v>727.61199999999997</v>
          </cell>
          <cell r="HX327" t="str">
            <v>mstag:accumulatedDepreciation</v>
          </cell>
          <cell r="HY327">
            <v>6</v>
          </cell>
          <cell r="HZ327" t="str">
            <v>ISO4217:USD</v>
          </cell>
          <cell r="IA327" t="b">
            <v>0</v>
          </cell>
          <cell r="IB327" t="b">
            <v>0</v>
          </cell>
        </row>
        <row r="328">
          <cell r="D328" t="str">
            <v>Goodwill</v>
          </cell>
          <cell r="G328">
            <v>0</v>
          </cell>
          <cell r="H328">
            <v>0</v>
          </cell>
          <cell r="I328">
            <v>1609.0630000000001</v>
          </cell>
          <cell r="J328">
            <v>1455.7779999999998</v>
          </cell>
          <cell r="K328">
            <v>1302.4929999999999</v>
          </cell>
          <cell r="L328">
            <v>1315.019</v>
          </cell>
          <cell r="M328">
            <v>1315.09</v>
          </cell>
          <cell r="HX328" t="str">
            <v>mstag:goodwill</v>
          </cell>
          <cell r="HY328">
            <v>6</v>
          </cell>
          <cell r="HZ328" t="str">
            <v>ISO4217:USD</v>
          </cell>
          <cell r="IA328" t="b">
            <v>0</v>
          </cell>
          <cell r="IB328" t="b">
            <v>0</v>
          </cell>
        </row>
        <row r="329">
          <cell r="E329" t="str">
            <v>Gross goodwill</v>
          </cell>
          <cell r="G329">
            <v>0</v>
          </cell>
          <cell r="H329">
            <v>0</v>
          </cell>
          <cell r="I329">
            <v>2299.2719999999999</v>
          </cell>
          <cell r="J329">
            <v>2299.2719999999999</v>
          </cell>
          <cell r="K329">
            <v>1302.4929999999999</v>
          </cell>
          <cell r="L329">
            <v>1315.019</v>
          </cell>
          <cell r="HX329" t="str">
            <v>mstag:grossGoodwill</v>
          </cell>
          <cell r="HY329">
            <v>6</v>
          </cell>
          <cell r="HZ329" t="str">
            <v>ISO4217:USD</v>
          </cell>
          <cell r="IA329" t="b">
            <v>0</v>
          </cell>
          <cell r="IB329" t="b">
            <v>0</v>
          </cell>
        </row>
        <row r="330">
          <cell r="E330" t="str">
            <v>Accumulated amortization of goodwill</v>
          </cell>
          <cell r="G330">
            <v>0</v>
          </cell>
          <cell r="H330">
            <v>0</v>
          </cell>
          <cell r="I330">
            <v>690.20899999999995</v>
          </cell>
          <cell r="J330">
            <v>843.49400000000003</v>
          </cell>
          <cell r="K330">
            <v>0</v>
          </cell>
          <cell r="L330">
            <v>0</v>
          </cell>
          <cell r="HX330" t="str">
            <v>mstag:accumulatedAmortizationOfGoodwill</v>
          </cell>
          <cell r="HY330">
            <v>6</v>
          </cell>
          <cell r="HZ330" t="str">
            <v>ISO4217:USD</v>
          </cell>
          <cell r="IA330" t="b">
            <v>0</v>
          </cell>
          <cell r="IB330" t="b">
            <v>0</v>
          </cell>
        </row>
        <row r="331">
          <cell r="D331" t="str">
            <v>Other intangible assets</v>
          </cell>
          <cell r="G331">
            <v>0</v>
          </cell>
          <cell r="H331">
            <v>65.033000000000001</v>
          </cell>
          <cell r="I331">
            <v>1453.268</v>
          </cell>
          <cell r="J331">
            <v>1280.3589999999999</v>
          </cell>
          <cell r="K331">
            <v>1113.299</v>
          </cell>
          <cell r="L331">
            <v>927.53800000000001</v>
          </cell>
          <cell r="M331">
            <v>810.81</v>
          </cell>
          <cell r="HX331" t="str">
            <v>mstag:otherIntangibleAssets</v>
          </cell>
          <cell r="HY331">
            <v>6</v>
          </cell>
          <cell r="HZ331" t="str">
            <v>ISO4217:USD</v>
          </cell>
          <cell r="IA331" t="b">
            <v>0</v>
          </cell>
          <cell r="IB331" t="b">
            <v>0</v>
          </cell>
        </row>
        <row r="332">
          <cell r="E332" t="str">
            <v>Other finite life intangible assets</v>
          </cell>
          <cell r="G332">
            <v>0</v>
          </cell>
          <cell r="H332">
            <v>65.033000000000001</v>
          </cell>
          <cell r="I332">
            <v>1453.268</v>
          </cell>
          <cell r="J332">
            <v>1280.3589999999999</v>
          </cell>
          <cell r="K332">
            <v>1113.299</v>
          </cell>
          <cell r="L332">
            <v>927.53800000000001</v>
          </cell>
          <cell r="HX332" t="str">
            <v>mstag:otherFiniteLifeIntangibleAssets</v>
          </cell>
          <cell r="HY332">
            <v>6</v>
          </cell>
          <cell r="HZ332" t="str">
            <v>ISO4217:USD</v>
          </cell>
          <cell r="IA332" t="b">
            <v>0</v>
          </cell>
          <cell r="IB332" t="b">
            <v>0</v>
          </cell>
        </row>
        <row r="333">
          <cell r="E333" t="str">
            <v>Other indefinite life intangible assets</v>
          </cell>
          <cell r="HX333" t="str">
            <v>mstag:otherIndefiniteLifeIntangibleAssets</v>
          </cell>
          <cell r="HY333">
            <v>6</v>
          </cell>
          <cell r="HZ333" t="str">
            <v>ISO4217:USD</v>
          </cell>
          <cell r="IA333" t="b">
            <v>0</v>
          </cell>
          <cell r="IB333" t="b">
            <v>0</v>
          </cell>
        </row>
        <row r="334">
          <cell r="D334" t="str">
            <v>Investments, nonoperating</v>
          </cell>
          <cell r="G334">
            <v>1042.0409999999999</v>
          </cell>
          <cell r="H334">
            <v>1323.432</v>
          </cell>
          <cell r="I334">
            <v>1563.16</v>
          </cell>
          <cell r="J334">
            <v>1851.3900000000003</v>
          </cell>
          <cell r="K334">
            <v>2469.6880000000001</v>
          </cell>
          <cell r="L334">
            <v>1393.7280000000001</v>
          </cell>
          <cell r="M334">
            <v>1139.6199999999999</v>
          </cell>
          <cell r="HX334" t="str">
            <v>mstag:investmentsNonOperating</v>
          </cell>
          <cell r="HY334">
            <v>6</v>
          </cell>
          <cell r="HZ334" t="str">
            <v>ISO4217:USD</v>
          </cell>
          <cell r="IA334" t="b">
            <v>0</v>
          </cell>
          <cell r="IB334" t="b">
            <v>0</v>
          </cell>
        </row>
        <row r="335">
          <cell r="E335" t="str">
            <v>Short-term investments</v>
          </cell>
          <cell r="G335">
            <v>588.85299999999995</v>
          </cell>
          <cell r="H335">
            <v>606.54399999999998</v>
          </cell>
          <cell r="I335">
            <v>405.00299999999999</v>
          </cell>
          <cell r="J335">
            <v>642.47500000000002</v>
          </cell>
          <cell r="K335">
            <v>952.875</v>
          </cell>
          <cell r="L335">
            <v>826.44200000000001</v>
          </cell>
          <cell r="HX335" t="str">
            <v>mstag:shortTermInvestments</v>
          </cell>
          <cell r="HY335">
            <v>6</v>
          </cell>
          <cell r="HZ335" t="str">
            <v>ISO4217:USD</v>
          </cell>
          <cell r="IA335" t="b">
            <v>0</v>
          </cell>
          <cell r="IB335" t="b">
            <v>0</v>
          </cell>
        </row>
        <row r="336">
          <cell r="E336" t="str">
            <v>Long-term investments, nonoperating</v>
          </cell>
          <cell r="G336">
            <v>453.18799999999999</v>
          </cell>
          <cell r="H336">
            <v>716.88800000000003</v>
          </cell>
          <cell r="I336">
            <v>1158.1570000000002</v>
          </cell>
          <cell r="J336">
            <v>1208.9150000000002</v>
          </cell>
          <cell r="K336">
            <v>1516.8130000000001</v>
          </cell>
          <cell r="L336">
            <v>567.28599999999994</v>
          </cell>
          <cell r="HX336" t="str">
            <v>mstag:longTermInvestmentsNonOperating</v>
          </cell>
          <cell r="HY336">
            <v>6</v>
          </cell>
          <cell r="HZ336" t="str">
            <v>ISO4217:USD</v>
          </cell>
          <cell r="IA336" t="b">
            <v>0</v>
          </cell>
          <cell r="IB336" t="b">
            <v>0</v>
          </cell>
        </row>
        <row r="337">
          <cell r="D337" t="str">
            <v>Investments under the equity method, operating</v>
          </cell>
          <cell r="G337" t="str">
            <v/>
          </cell>
          <cell r="H337" t="str">
            <v/>
          </cell>
          <cell r="I337" t="str">
            <v/>
          </cell>
          <cell r="J337" t="str">
            <v/>
          </cell>
          <cell r="K337" t="str">
            <v/>
          </cell>
          <cell r="L337" t="str">
            <v/>
          </cell>
          <cell r="M337" t="str">
            <v/>
          </cell>
          <cell r="HX337" t="str">
            <v>mstag:investmentsUnderTheEquityMethodOperating</v>
          </cell>
          <cell r="HY337">
            <v>6</v>
          </cell>
          <cell r="HZ337" t="str">
            <v>ISO4217:USD</v>
          </cell>
          <cell r="IA337" t="b">
            <v>0</v>
          </cell>
          <cell r="IB337" t="b">
            <v>0</v>
          </cell>
        </row>
        <row r="338">
          <cell r="E338" t="str">
            <v>Investments in subsidiaries</v>
          </cell>
          <cell r="HX338" t="str">
            <v>mstag:investmentsInSubsidiaries</v>
          </cell>
          <cell r="HY338">
            <v>6</v>
          </cell>
          <cell r="HZ338" t="str">
            <v>ISO4217:USD</v>
          </cell>
          <cell r="IA338" t="b">
            <v>0</v>
          </cell>
          <cell r="IB338" t="b">
            <v>0</v>
          </cell>
        </row>
        <row r="339">
          <cell r="E339" t="str">
            <v>Investments in associates</v>
          </cell>
          <cell r="HX339" t="str">
            <v>mstag:investmentsInAssociates</v>
          </cell>
          <cell r="HY339">
            <v>6</v>
          </cell>
          <cell r="HZ339" t="str">
            <v>ISO4217:USD</v>
          </cell>
          <cell r="IA339" t="b">
            <v>0</v>
          </cell>
          <cell r="IB339" t="b">
            <v>0</v>
          </cell>
        </row>
        <row r="340">
          <cell r="E340" t="str">
            <v>Investments in joint ventures</v>
          </cell>
          <cell r="HX340" t="str">
            <v>mstag:investmentsInJointVentures</v>
          </cell>
          <cell r="HY340">
            <v>6</v>
          </cell>
          <cell r="HZ340" t="str">
            <v>ISO4217:USD</v>
          </cell>
          <cell r="IA340" t="b">
            <v>0</v>
          </cell>
          <cell r="IB340" t="b">
            <v>0</v>
          </cell>
        </row>
        <row r="341">
          <cell r="D341" t="str">
            <v>Investments under the equity method, nonoperating</v>
          </cell>
          <cell r="HX341" t="str">
            <v>mstag:investmentsUnderTheEquityMethodNonOperating</v>
          </cell>
          <cell r="HY341">
            <v>6</v>
          </cell>
          <cell r="HZ341" t="str">
            <v>ISO4217:USD</v>
          </cell>
          <cell r="IA341" t="b">
            <v>0</v>
          </cell>
          <cell r="IB341" t="b">
            <v>0</v>
          </cell>
        </row>
        <row r="342">
          <cell r="D342" t="str">
            <v>Deferred tax assets</v>
          </cell>
          <cell r="G342">
            <v>0</v>
          </cell>
          <cell r="H342">
            <v>38.848999999999997</v>
          </cell>
          <cell r="I342">
            <v>81.921999999999997</v>
          </cell>
          <cell r="J342">
            <v>40.619</v>
          </cell>
          <cell r="K342">
            <v>139.56700000000001</v>
          </cell>
          <cell r="L342">
            <v>82.299000000000007</v>
          </cell>
          <cell r="M342">
            <v>121.88500000000001</v>
          </cell>
          <cell r="HX342" t="str">
            <v>mstag:deferredTaxAssets</v>
          </cell>
          <cell r="HY342">
            <v>6</v>
          </cell>
          <cell r="HZ342" t="str">
            <v>ISO4217:USD</v>
          </cell>
          <cell r="IA342" t="b">
            <v>0</v>
          </cell>
          <cell r="IB342" t="b">
            <v>0</v>
          </cell>
        </row>
        <row r="343">
          <cell r="E343" t="str">
            <v>Deferred tax assets, current</v>
          </cell>
          <cell r="G343">
            <v>0</v>
          </cell>
          <cell r="H343">
            <v>38.848999999999997</v>
          </cell>
          <cell r="I343">
            <v>81.921999999999997</v>
          </cell>
          <cell r="J343">
            <v>40.619</v>
          </cell>
          <cell r="K343">
            <v>139.56700000000001</v>
          </cell>
          <cell r="L343">
            <v>82.299000000000007</v>
          </cell>
          <cell r="HX343" t="str">
            <v>mstag:deferredTaxAssetsCurrent</v>
          </cell>
          <cell r="HY343">
            <v>6</v>
          </cell>
          <cell r="HZ343" t="str">
            <v>ISO4217:USD</v>
          </cell>
          <cell r="IA343" t="b">
            <v>0</v>
          </cell>
          <cell r="IB343" t="b">
            <v>0</v>
          </cell>
        </row>
        <row r="344">
          <cell r="E344" t="str">
            <v>Deferred tax assets, noncurrent</v>
          </cell>
          <cell r="HX344" t="str">
            <v>mstag:deferredTaxAssetsNonCurrent</v>
          </cell>
          <cell r="HY344">
            <v>6</v>
          </cell>
          <cell r="HZ344" t="str">
            <v>ISO4217:USD</v>
          </cell>
          <cell r="IA344" t="b">
            <v>0</v>
          </cell>
          <cell r="IB344" t="b">
            <v>0</v>
          </cell>
        </row>
        <row r="345">
          <cell r="D345" t="str">
            <v>Pension and other postretirement assets</v>
          </cell>
          <cell r="HX345" t="str">
            <v>mstag:pensionAndOtherPostRetirementAssets</v>
          </cell>
          <cell r="HY345">
            <v>6</v>
          </cell>
          <cell r="HZ345" t="str">
            <v>ISO4217:USD</v>
          </cell>
          <cell r="IA345" t="b">
            <v>0</v>
          </cell>
          <cell r="IB345" t="b">
            <v>0</v>
          </cell>
        </row>
        <row r="346">
          <cell r="D346" t="str">
            <v>Investment in own shares, asset</v>
          </cell>
          <cell r="G346" t="str">
            <v/>
          </cell>
          <cell r="H346" t="str">
            <v/>
          </cell>
          <cell r="I346" t="str">
            <v/>
          </cell>
          <cell r="J346" t="str">
            <v/>
          </cell>
          <cell r="K346" t="str">
            <v/>
          </cell>
          <cell r="L346" t="str">
            <v/>
          </cell>
          <cell r="M346" t="str">
            <v/>
          </cell>
          <cell r="HX346" t="str">
            <v>mstag:investmentInOwnSharesAsset</v>
          </cell>
          <cell r="HY346">
            <v>6</v>
          </cell>
          <cell r="HZ346" t="str">
            <v>ISO4217:USD</v>
          </cell>
          <cell r="IA346" t="b">
            <v>0</v>
          </cell>
          <cell r="IB346" t="b">
            <v>0</v>
          </cell>
        </row>
        <row r="347">
          <cell r="E347" t="str">
            <v>Investment in ESOP trusts</v>
          </cell>
          <cell r="HX347" t="str">
            <v>mstag:investmentInEsopTrusts</v>
          </cell>
          <cell r="HY347">
            <v>6</v>
          </cell>
          <cell r="HZ347" t="str">
            <v>ISO4217:USD</v>
          </cell>
          <cell r="IA347" t="b">
            <v>0</v>
          </cell>
          <cell r="IB347" t="b">
            <v>0</v>
          </cell>
        </row>
        <row r="348">
          <cell r="D348" t="str">
            <v>Other assets, operating</v>
          </cell>
          <cell r="G348">
            <v>180.47200000000001</v>
          </cell>
          <cell r="H348">
            <v>134.839</v>
          </cell>
          <cell r="I348">
            <v>262.35599999999999</v>
          </cell>
          <cell r="J348">
            <v>243.51399999999998</v>
          </cell>
          <cell r="K348">
            <v>180.42099999999999</v>
          </cell>
          <cell r="L348">
            <v>953.49500000000012</v>
          </cell>
          <cell r="M348" t="str">
            <v/>
          </cell>
          <cell r="HX348" t="str">
            <v>mstag:otherAssets</v>
          </cell>
          <cell r="HY348">
            <v>6</v>
          </cell>
          <cell r="HZ348" t="str">
            <v>ISO4217:USD</v>
          </cell>
          <cell r="IA348" t="b">
            <v>0</v>
          </cell>
          <cell r="IB348" t="b">
            <v>0</v>
          </cell>
        </row>
        <row r="349">
          <cell r="E349" t="str">
            <v>Other assets, operating, current</v>
          </cell>
          <cell r="G349">
            <v>0</v>
          </cell>
          <cell r="H349">
            <v>0</v>
          </cell>
          <cell r="I349">
            <v>56.6</v>
          </cell>
          <cell r="J349">
            <v>56.6</v>
          </cell>
          <cell r="K349">
            <v>79.167000000000002</v>
          </cell>
          <cell r="L349">
            <v>789.74800000000005</v>
          </cell>
          <cell r="HX349" t="str">
            <v>mstag:otherAssetsOperatingCurrent</v>
          </cell>
          <cell r="HY349">
            <v>6</v>
          </cell>
          <cell r="HZ349" t="str">
            <v>ISO4217:USD</v>
          </cell>
          <cell r="IA349" t="b">
            <v>0</v>
          </cell>
          <cell r="IB349" t="b">
            <v>0</v>
          </cell>
        </row>
        <row r="350">
          <cell r="E350" t="str">
            <v>Other assets, operating, noncurrent</v>
          </cell>
          <cell r="G350">
            <v>180.47200000000001</v>
          </cell>
          <cell r="H350">
            <v>134.839</v>
          </cell>
          <cell r="I350">
            <v>205.756</v>
          </cell>
          <cell r="J350">
            <v>186.91399999999999</v>
          </cell>
          <cell r="K350">
            <v>101.254</v>
          </cell>
          <cell r="L350">
            <v>163.74700000000001</v>
          </cell>
          <cell r="HX350" t="str">
            <v>mstag:otherAssetsOperatingNonCurrent</v>
          </cell>
          <cell r="HY350">
            <v>6</v>
          </cell>
          <cell r="HZ350" t="str">
            <v>ISO4217:USD</v>
          </cell>
          <cell r="IA350" t="b">
            <v>0</v>
          </cell>
          <cell r="IB350" t="b">
            <v>0</v>
          </cell>
        </row>
        <row r="351">
          <cell r="D351" t="str">
            <v>Other assets, nonoperating</v>
          </cell>
          <cell r="G351" t="str">
            <v/>
          </cell>
          <cell r="H351" t="str">
            <v/>
          </cell>
          <cell r="I351" t="str">
            <v/>
          </cell>
          <cell r="J351" t="str">
            <v/>
          </cell>
          <cell r="K351" t="str">
            <v/>
          </cell>
          <cell r="L351" t="str">
            <v/>
          </cell>
          <cell r="M351">
            <v>812.7</v>
          </cell>
          <cell r="HX351" t="str">
            <v>mstag:otherAssetsNonOperating</v>
          </cell>
          <cell r="HY351">
            <v>6</v>
          </cell>
          <cell r="HZ351" t="str">
            <v>ISO4217:USD</v>
          </cell>
          <cell r="IA351" t="b">
            <v>0</v>
          </cell>
          <cell r="IB351" t="b">
            <v>0</v>
          </cell>
        </row>
        <row r="352">
          <cell r="E352" t="str">
            <v>Other assets, nonoperating, current</v>
          </cell>
          <cell r="HX352" t="str">
            <v>mstag:otherAssetsNonOperatingCurrent</v>
          </cell>
          <cell r="HY352">
            <v>6</v>
          </cell>
          <cell r="HZ352" t="str">
            <v>ISO4217:USD</v>
          </cell>
          <cell r="IA352" t="b">
            <v>0</v>
          </cell>
          <cell r="IB352" t="b">
            <v>0</v>
          </cell>
        </row>
        <row r="353">
          <cell r="E353" t="str">
            <v>Other assets, nonoperating, noncurrent</v>
          </cell>
          <cell r="HX353" t="str">
            <v>mstag:otherAssetsNonOperatingNonCurrent</v>
          </cell>
          <cell r="HY353">
            <v>6</v>
          </cell>
          <cell r="HZ353" t="str">
            <v>ISO4217:USD</v>
          </cell>
          <cell r="IA353" t="b">
            <v>0</v>
          </cell>
          <cell r="IB353" t="b">
            <v>0</v>
          </cell>
        </row>
        <row r="354">
          <cell r="D354" t="str">
            <v>Assets of discontinued operations</v>
          </cell>
          <cell r="HX354" t="str">
            <v>mstag:assetsOfDiscontinuedOperations</v>
          </cell>
          <cell r="HY354">
            <v>6</v>
          </cell>
          <cell r="HZ354" t="str">
            <v>ISO4217:USD</v>
          </cell>
          <cell r="IA354" t="b">
            <v>0</v>
          </cell>
          <cell r="IB354" t="b">
            <v>0</v>
          </cell>
        </row>
        <row r="355">
          <cell r="C355" t="str">
            <v>Liabilities and equity</v>
          </cell>
          <cell r="M355">
            <v>8736.0156437000005</v>
          </cell>
          <cell r="HX355" t="str">
            <v>mstag:liabilitiesAndEquity</v>
          </cell>
          <cell r="HY355">
            <v>6</v>
          </cell>
          <cell r="HZ355" t="str">
            <v>ISO4217:USD</v>
          </cell>
          <cell r="IA355" t="b">
            <v>0</v>
          </cell>
          <cell r="IB355" t="b">
            <v>0</v>
          </cell>
        </row>
        <row r="356">
          <cell r="D356" t="str">
            <v>Trade and other payables</v>
          </cell>
          <cell r="G356">
            <v>48.991999999999997</v>
          </cell>
          <cell r="H356">
            <v>40.895000000000003</v>
          </cell>
          <cell r="I356">
            <v>33.122999999999998</v>
          </cell>
          <cell r="J356">
            <v>39.113999999999997</v>
          </cell>
          <cell r="K356">
            <v>33.347999999999999</v>
          </cell>
          <cell r="L356">
            <v>51.38</v>
          </cell>
          <cell r="M356">
            <v>59.7</v>
          </cell>
          <cell r="HX356" t="str">
            <v>mstag:tradeAndOtherPayables</v>
          </cell>
          <cell r="HY356">
            <v>6</v>
          </cell>
          <cell r="HZ356" t="str">
            <v>ISO4217:USD</v>
          </cell>
          <cell r="IA356" t="b">
            <v>0</v>
          </cell>
          <cell r="IB356" t="b">
            <v>0</v>
          </cell>
        </row>
        <row r="357">
          <cell r="E357" t="str">
            <v>Trade and other payables, current</v>
          </cell>
          <cell r="G357">
            <v>48.991999999999997</v>
          </cell>
          <cell r="H357">
            <v>40.895000000000003</v>
          </cell>
          <cell r="I357">
            <v>33.122999999999998</v>
          </cell>
          <cell r="J357">
            <v>39.113999999999997</v>
          </cell>
          <cell r="K357">
            <v>33.347999999999999</v>
          </cell>
          <cell r="L357">
            <v>51.38</v>
          </cell>
          <cell r="M357" t="str">
            <v/>
          </cell>
          <cell r="HX357" t="str">
            <v>mstag:tradeAndOtherPayablesCurrent</v>
          </cell>
          <cell r="HY357">
            <v>6</v>
          </cell>
          <cell r="HZ357" t="str">
            <v>ISO4217:USD</v>
          </cell>
          <cell r="IA357" t="b">
            <v>0</v>
          </cell>
          <cell r="IB357" t="b">
            <v>0</v>
          </cell>
        </row>
        <row r="358">
          <cell r="F358" t="str">
            <v>Trade payables, current</v>
          </cell>
          <cell r="G358">
            <v>48.991999999999997</v>
          </cell>
          <cell r="H358">
            <v>40.895000000000003</v>
          </cell>
          <cell r="I358">
            <v>33.122999999999998</v>
          </cell>
          <cell r="J358">
            <v>39.113999999999997</v>
          </cell>
          <cell r="K358">
            <v>33.347999999999999</v>
          </cell>
          <cell r="L358">
            <v>51.38</v>
          </cell>
          <cell r="HX358" t="str">
            <v>mstag:tradePayablesCurrent</v>
          </cell>
          <cell r="HY358">
            <v>6</v>
          </cell>
          <cell r="HZ358" t="str">
            <v>ISO4217:USD</v>
          </cell>
          <cell r="IA358" t="b">
            <v>0</v>
          </cell>
          <cell r="IB358" t="b">
            <v>0</v>
          </cell>
        </row>
        <row r="359">
          <cell r="F359" t="str">
            <v>Other payables, current</v>
          </cell>
          <cell r="HX359" t="str">
            <v>mstag:otherPayablesCurrent</v>
          </cell>
          <cell r="HY359">
            <v>6</v>
          </cell>
          <cell r="HZ359" t="str">
            <v>ISO4217:USD</v>
          </cell>
          <cell r="IA359" t="b">
            <v>0</v>
          </cell>
          <cell r="IB359" t="b">
            <v>0</v>
          </cell>
        </row>
        <row r="360">
          <cell r="E360" t="str">
            <v>Trade and other payables, noncurrent</v>
          </cell>
          <cell r="G360" t="str">
            <v/>
          </cell>
          <cell r="H360" t="str">
            <v/>
          </cell>
          <cell r="I360" t="str">
            <v/>
          </cell>
          <cell r="J360" t="str">
            <v/>
          </cell>
          <cell r="K360" t="str">
            <v/>
          </cell>
          <cell r="L360" t="str">
            <v/>
          </cell>
          <cell r="M360" t="str">
            <v/>
          </cell>
          <cell r="HX360" t="str">
            <v>mstag:tradeAndOtherPayablesNonCurrent</v>
          </cell>
          <cell r="HY360">
            <v>6</v>
          </cell>
          <cell r="HZ360" t="str">
            <v>ISO4217:USD</v>
          </cell>
          <cell r="IA360" t="b">
            <v>0</v>
          </cell>
          <cell r="IB360" t="b">
            <v>0</v>
          </cell>
        </row>
        <row r="361">
          <cell r="F361" t="str">
            <v>Trade payables, noncurrent</v>
          </cell>
          <cell r="HX361" t="str">
            <v>mstag:tradePayablesNonCurrent</v>
          </cell>
          <cell r="HY361">
            <v>6</v>
          </cell>
          <cell r="HZ361" t="str">
            <v>ISO4217:USD</v>
          </cell>
          <cell r="IA361" t="b">
            <v>0</v>
          </cell>
          <cell r="IB361" t="b">
            <v>0</v>
          </cell>
        </row>
        <row r="362">
          <cell r="F362" t="str">
            <v>Other payables, noncurrent</v>
          </cell>
          <cell r="HX362" t="str">
            <v>mstag:otherPayablesNonCurrent</v>
          </cell>
          <cell r="HY362">
            <v>6</v>
          </cell>
          <cell r="HZ362" t="str">
            <v>ISO4217:USD</v>
          </cell>
          <cell r="IA362" t="b">
            <v>0</v>
          </cell>
          <cell r="IB362" t="b">
            <v>0</v>
          </cell>
        </row>
        <row r="363">
          <cell r="D363" t="str">
            <v>Dividends payable</v>
          </cell>
          <cell r="HX363" t="str">
            <v>mstag:dividendsPayable</v>
          </cell>
          <cell r="HY363">
            <v>6</v>
          </cell>
          <cell r="HZ363" t="str">
            <v>ISO4217:USD</v>
          </cell>
          <cell r="IA363" t="b">
            <v>0</v>
          </cell>
          <cell r="IB363" t="b">
            <v>0</v>
          </cell>
        </row>
        <row r="364">
          <cell r="D364" t="str">
            <v>Short-term borrowings, up to 1 year</v>
          </cell>
          <cell r="G364">
            <v>0</v>
          </cell>
          <cell r="H364">
            <v>0</v>
          </cell>
          <cell r="I364">
            <v>0</v>
          </cell>
          <cell r="J364">
            <v>0</v>
          </cell>
          <cell r="K364">
            <v>149.69200000000001</v>
          </cell>
          <cell r="L364">
            <v>0</v>
          </cell>
          <cell r="HX364" t="str">
            <v>mstag:shortTermBorrowings</v>
          </cell>
          <cell r="HY364">
            <v>6</v>
          </cell>
          <cell r="HZ364" t="str">
            <v>ISO4217:USD</v>
          </cell>
          <cell r="IA364" t="b">
            <v>0</v>
          </cell>
          <cell r="IB364" t="b">
            <v>0</v>
          </cell>
        </row>
        <row r="365">
          <cell r="D365" t="str">
            <v>Other interest bearing liabilities</v>
          </cell>
          <cell r="G365" t="str">
            <v/>
          </cell>
          <cell r="H365" t="str">
            <v/>
          </cell>
          <cell r="I365" t="str">
            <v/>
          </cell>
          <cell r="J365" t="str">
            <v/>
          </cell>
          <cell r="K365" t="str">
            <v/>
          </cell>
          <cell r="L365" t="str">
            <v/>
          </cell>
          <cell r="M365" t="str">
            <v/>
          </cell>
          <cell r="HX365" t="str">
            <v>mstag:otherInterestBearingLiabilities</v>
          </cell>
          <cell r="HY365">
            <v>6</v>
          </cell>
          <cell r="HZ365" t="str">
            <v>ISO4217:USD</v>
          </cell>
          <cell r="IA365" t="b">
            <v>0</v>
          </cell>
          <cell r="IB365" t="b">
            <v>0</v>
          </cell>
        </row>
        <row r="366">
          <cell r="E366" t="str">
            <v>Asset retirement obligations</v>
          </cell>
          <cell r="HX366" t="str">
            <v>mstag:assetRetirementObligations</v>
          </cell>
          <cell r="HY366">
            <v>6</v>
          </cell>
          <cell r="HZ366" t="str">
            <v>ISO4217:USD</v>
          </cell>
          <cell r="IA366" t="b">
            <v>0</v>
          </cell>
          <cell r="IB366" t="b">
            <v>0</v>
          </cell>
        </row>
        <row r="367">
          <cell r="E367" t="str">
            <v>Decommissioning, restoration, and similar liabilities</v>
          </cell>
          <cell r="HX367" t="str">
            <v>mstag:decommissioningRestorationAndSimilarLiabilities</v>
          </cell>
          <cell r="HY367">
            <v>6</v>
          </cell>
          <cell r="HZ367" t="str">
            <v>ISO4217:USD</v>
          </cell>
          <cell r="IA367" t="b">
            <v>0</v>
          </cell>
          <cell r="IB367" t="b">
            <v>0</v>
          </cell>
        </row>
        <row r="368">
          <cell r="E368" t="str">
            <v>Environmental liabilities, interest bearing</v>
          </cell>
          <cell r="HX368" t="str">
            <v>mstag:environmentalLiabilitiesInterestBearing</v>
          </cell>
          <cell r="HY368">
            <v>6</v>
          </cell>
          <cell r="HZ368" t="str">
            <v>ISO4217:USD</v>
          </cell>
          <cell r="IA368" t="b">
            <v>0</v>
          </cell>
          <cell r="IB368" t="b">
            <v>0</v>
          </cell>
        </row>
        <row r="369">
          <cell r="E369" t="str">
            <v>Other interest bearing provisions</v>
          </cell>
          <cell r="HX369" t="str">
            <v>mstag:otherInterestBearingProvisions</v>
          </cell>
          <cell r="HY369">
            <v>6</v>
          </cell>
          <cell r="HZ369" t="str">
            <v>ISO4217:USD</v>
          </cell>
          <cell r="IA369" t="b">
            <v>0</v>
          </cell>
          <cell r="IB369" t="b">
            <v>0</v>
          </cell>
        </row>
        <row r="370">
          <cell r="D370" t="str">
            <v>Income tax payable</v>
          </cell>
          <cell r="G370">
            <v>40.292999999999999</v>
          </cell>
          <cell r="H370">
            <v>46.447000000000003</v>
          </cell>
          <cell r="I370">
            <v>0</v>
          </cell>
          <cell r="J370">
            <v>29.021999999999998</v>
          </cell>
          <cell r="K370">
            <v>64.227000000000004</v>
          </cell>
          <cell r="L370">
            <v>85.405000000000001</v>
          </cell>
          <cell r="M370" t="str">
            <v/>
          </cell>
          <cell r="HX370" t="str">
            <v>mstag:incomeTaxPayable</v>
          </cell>
          <cell r="HY370">
            <v>6</v>
          </cell>
          <cell r="HZ370" t="str">
            <v>ISO4217:USD</v>
          </cell>
          <cell r="IA370" t="b">
            <v>0</v>
          </cell>
          <cell r="IB370" t="b">
            <v>0</v>
          </cell>
        </row>
        <row r="371">
          <cell r="E371" t="str">
            <v>Income tax payable, operating</v>
          </cell>
          <cell r="G371">
            <v>40.292999999999999</v>
          </cell>
          <cell r="H371">
            <v>46.447000000000003</v>
          </cell>
          <cell r="I371">
            <v>0</v>
          </cell>
          <cell r="J371">
            <v>29.021999999999998</v>
          </cell>
          <cell r="K371">
            <v>64.227000000000004</v>
          </cell>
          <cell r="L371">
            <v>85.405000000000001</v>
          </cell>
          <cell r="HX371" t="str">
            <v>mstag:incomeTaxPayableOperating</v>
          </cell>
          <cell r="HY371">
            <v>6</v>
          </cell>
          <cell r="HZ371" t="str">
            <v>ISO4217:USD</v>
          </cell>
          <cell r="IA371" t="b">
            <v>0</v>
          </cell>
          <cell r="IB371" t="b">
            <v>0</v>
          </cell>
        </row>
        <row r="372">
          <cell r="E372" t="str">
            <v>Income tax payable, financing</v>
          </cell>
          <cell r="HX372" t="str">
            <v>mstag:incomeTaxPayableFinancing</v>
          </cell>
          <cell r="HY372">
            <v>6</v>
          </cell>
          <cell r="HZ372" t="str">
            <v>ISO4217:USD</v>
          </cell>
          <cell r="IA372" t="b">
            <v>0</v>
          </cell>
          <cell r="IB372" t="b">
            <v>0</v>
          </cell>
        </row>
        <row r="373">
          <cell r="E373" t="str">
            <v>Income tax payable, other</v>
          </cell>
          <cell r="HX373" t="str">
            <v>mstag:incomeTaxPayableOther</v>
          </cell>
          <cell r="HY373">
            <v>6</v>
          </cell>
          <cell r="HZ373" t="str">
            <v>ISO4217:USD</v>
          </cell>
          <cell r="IA373" t="b">
            <v>0</v>
          </cell>
          <cell r="IB373" t="b">
            <v>0</v>
          </cell>
        </row>
        <row r="374">
          <cell r="D374" t="str">
            <v>Accrued expenses</v>
          </cell>
          <cell r="G374">
            <v>129.167</v>
          </cell>
          <cell r="H374">
            <v>115.401</v>
          </cell>
          <cell r="I374">
            <v>346.31399999999996</v>
          </cell>
          <cell r="J374">
            <v>258.94800000000004</v>
          </cell>
          <cell r="K374">
            <v>274.63800000000003</v>
          </cell>
          <cell r="L374">
            <v>366.18299999999999</v>
          </cell>
          <cell r="M374">
            <v>765.85</v>
          </cell>
          <cell r="HX374" t="str">
            <v>mstag:accruedExpenses</v>
          </cell>
          <cell r="HY374">
            <v>6</v>
          </cell>
          <cell r="HZ374" t="str">
            <v>ISO4217:USD</v>
          </cell>
          <cell r="IA374" t="b">
            <v>0</v>
          </cell>
          <cell r="IB374" t="b">
            <v>0</v>
          </cell>
        </row>
        <row r="375">
          <cell r="E375" t="str">
            <v>Payroll and benefits-related liabilities</v>
          </cell>
          <cell r="G375">
            <v>44.624000000000002</v>
          </cell>
          <cell r="H375">
            <v>47.057000000000002</v>
          </cell>
          <cell r="I375">
            <v>52.005000000000003</v>
          </cell>
          <cell r="J375">
            <v>56.027999999999999</v>
          </cell>
          <cell r="K375">
            <v>63.103000000000002</v>
          </cell>
          <cell r="L375">
            <v>77.238</v>
          </cell>
          <cell r="HX375" t="str">
            <v>mstag:payrollAndBenefitsRelatedLiabilities</v>
          </cell>
          <cell r="HY375">
            <v>6</v>
          </cell>
          <cell r="HZ375" t="str">
            <v>ISO4217:USD</v>
          </cell>
          <cell r="IA375" t="b">
            <v>0</v>
          </cell>
          <cell r="IB375" t="b">
            <v>0</v>
          </cell>
        </row>
        <row r="376">
          <cell r="E376" t="str">
            <v>Accrued taxes, other than income tax</v>
          </cell>
          <cell r="HX376" t="str">
            <v>mstag:accruedTaxesOtherThanIncomeTax</v>
          </cell>
          <cell r="HY376">
            <v>6</v>
          </cell>
          <cell r="HZ376" t="str">
            <v>ISO4217:USD</v>
          </cell>
          <cell r="IA376" t="b">
            <v>0</v>
          </cell>
          <cell r="IB376" t="b">
            <v>0</v>
          </cell>
        </row>
        <row r="377">
          <cell r="E377" t="str">
            <v>Other accrued expenses</v>
          </cell>
          <cell r="G377">
            <v>84.543000000000006</v>
          </cell>
          <cell r="H377">
            <v>68.343999999999994</v>
          </cell>
          <cell r="I377">
            <v>294.30899999999997</v>
          </cell>
          <cell r="J377">
            <v>202.92000000000002</v>
          </cell>
          <cell r="K377">
            <v>211.53500000000003</v>
          </cell>
          <cell r="L377">
            <v>288.94499999999999</v>
          </cell>
          <cell r="HX377" t="str">
            <v>mstag:otherAccruedExpenses</v>
          </cell>
          <cell r="HY377">
            <v>6</v>
          </cell>
          <cell r="HZ377" t="str">
            <v>ISO4217:USD</v>
          </cell>
          <cell r="IA377" t="b">
            <v>0</v>
          </cell>
          <cell r="IB377" t="b">
            <v>0</v>
          </cell>
        </row>
        <row r="378">
          <cell r="D378" t="str">
            <v>Long-term debt, greater than 1 year</v>
          </cell>
          <cell r="G378">
            <v>150</v>
          </cell>
          <cell r="H378">
            <v>149.99</v>
          </cell>
          <cell r="I378">
            <v>149.708</v>
          </cell>
          <cell r="J378">
            <v>149.69200000000001</v>
          </cell>
          <cell r="K378">
            <v>0</v>
          </cell>
          <cell r="L378">
            <v>0</v>
          </cell>
          <cell r="M378">
            <v>412.25</v>
          </cell>
          <cell r="HX378" t="str">
            <v>mstag:longTermDebt</v>
          </cell>
          <cell r="HY378">
            <v>6</v>
          </cell>
          <cell r="HZ378" t="str">
            <v>ISO4217:USD</v>
          </cell>
          <cell r="IA378" t="b">
            <v>0</v>
          </cell>
          <cell r="IB378" t="b">
            <v>0</v>
          </cell>
        </row>
        <row r="379">
          <cell r="E379" t="str">
            <v>Senior debt</v>
          </cell>
          <cell r="HX379" t="str">
            <v>mstag:seniorDebtCi</v>
          </cell>
          <cell r="HY379">
            <v>6</v>
          </cell>
          <cell r="HZ379" t="str">
            <v>ISO4217:USD</v>
          </cell>
          <cell r="IA379" t="b">
            <v>0</v>
          </cell>
          <cell r="IB379" t="b">
            <v>0</v>
          </cell>
        </row>
        <row r="380">
          <cell r="E380" t="str">
            <v>Subordinated debt</v>
          </cell>
          <cell r="HX380" t="str">
            <v>mstag:subordinatedDebtBalSheetCi</v>
          </cell>
          <cell r="HY380">
            <v>6</v>
          </cell>
          <cell r="HZ380" t="str">
            <v>ISO4217:USD</v>
          </cell>
          <cell r="IA380" t="b">
            <v>0</v>
          </cell>
          <cell r="IB380" t="b">
            <v>0</v>
          </cell>
        </row>
        <row r="381">
          <cell r="E381" t="str">
            <v>Capital lease obligations</v>
          </cell>
          <cell r="HX381" t="str">
            <v>mstag:capitalLeaseObligationsCi</v>
          </cell>
          <cell r="HY381">
            <v>6</v>
          </cell>
          <cell r="HZ381" t="str">
            <v>ISO4217:USD</v>
          </cell>
          <cell r="IA381" t="b">
            <v>0</v>
          </cell>
          <cell r="IB381" t="b">
            <v>0</v>
          </cell>
        </row>
        <row r="382">
          <cell r="E382" t="str">
            <v>Other long-term debt</v>
          </cell>
          <cell r="G382">
            <v>150</v>
          </cell>
          <cell r="H382">
            <v>149.99</v>
          </cell>
          <cell r="I382">
            <v>149.708</v>
          </cell>
          <cell r="J382">
            <v>149.69200000000001</v>
          </cell>
          <cell r="K382">
            <v>0</v>
          </cell>
          <cell r="L382">
            <v>0</v>
          </cell>
          <cell r="HX382" t="str">
            <v>mstag:otherLongTermDebtCi</v>
          </cell>
          <cell r="HY382">
            <v>6</v>
          </cell>
          <cell r="HZ382" t="str">
            <v>ISO4217:USD</v>
          </cell>
          <cell r="IA382" t="b">
            <v>0</v>
          </cell>
          <cell r="IB382" t="b">
            <v>0</v>
          </cell>
        </row>
        <row r="383">
          <cell r="D383" t="str">
            <v>Provisions and reserves</v>
          </cell>
          <cell r="G383" t="str">
            <v/>
          </cell>
          <cell r="H383" t="str">
            <v/>
          </cell>
          <cell r="I383" t="str">
            <v/>
          </cell>
          <cell r="J383" t="str">
            <v/>
          </cell>
          <cell r="K383" t="str">
            <v/>
          </cell>
          <cell r="L383" t="str">
            <v/>
          </cell>
          <cell r="M383" t="str">
            <v/>
          </cell>
          <cell r="HX383" t="str">
            <v>mstag:provisionsAndReserves</v>
          </cell>
          <cell r="HY383">
            <v>6</v>
          </cell>
          <cell r="HZ383" t="str">
            <v>ISO4217:USD</v>
          </cell>
          <cell r="IA383" t="b">
            <v>0</v>
          </cell>
          <cell r="IB383" t="b">
            <v>0</v>
          </cell>
        </row>
        <row r="384">
          <cell r="E384" t="str">
            <v>Warranty provision</v>
          </cell>
          <cell r="HX384" t="str">
            <v>mstag:warrantyProvision</v>
          </cell>
          <cell r="HY384">
            <v>6</v>
          </cell>
          <cell r="HZ384" t="str">
            <v>ISO4217:USD</v>
          </cell>
          <cell r="IA384" t="b">
            <v>0</v>
          </cell>
          <cell r="IB384" t="b">
            <v>0</v>
          </cell>
        </row>
        <row r="385">
          <cell r="E385" t="str">
            <v>Restructuring provision</v>
          </cell>
          <cell r="HX385" t="str">
            <v>mstag:restructuringProvision</v>
          </cell>
          <cell r="HY385">
            <v>6</v>
          </cell>
          <cell r="HZ385" t="str">
            <v>ISO4217:USD</v>
          </cell>
          <cell r="IA385" t="b">
            <v>0</v>
          </cell>
          <cell r="IB385" t="b">
            <v>0</v>
          </cell>
        </row>
        <row r="386">
          <cell r="E386" t="str">
            <v>Legal proceedings provision</v>
          </cell>
          <cell r="HX386" t="str">
            <v>mstag:legalProceedingsProvision</v>
          </cell>
          <cell r="HY386">
            <v>6</v>
          </cell>
          <cell r="HZ386" t="str">
            <v>ISO4217:USD</v>
          </cell>
          <cell r="IA386" t="b">
            <v>0</v>
          </cell>
          <cell r="IB386" t="b">
            <v>0</v>
          </cell>
        </row>
        <row r="387">
          <cell r="E387" t="str">
            <v>Onerous contracts provision</v>
          </cell>
          <cell r="HX387" t="str">
            <v>mstag:onerousContractsProvision</v>
          </cell>
          <cell r="HY387">
            <v>6</v>
          </cell>
          <cell r="HZ387" t="str">
            <v>ISO4217:USD</v>
          </cell>
          <cell r="IA387" t="b">
            <v>0</v>
          </cell>
          <cell r="IB387" t="b">
            <v>0</v>
          </cell>
        </row>
        <row r="388">
          <cell r="E388" t="str">
            <v>Environmental liability</v>
          </cell>
          <cell r="HX388" t="str">
            <v>mstag:environmentalLiability</v>
          </cell>
          <cell r="HY388">
            <v>6</v>
          </cell>
          <cell r="HZ388" t="str">
            <v>ISO4217:USD</v>
          </cell>
          <cell r="IA388" t="b">
            <v>0</v>
          </cell>
          <cell r="IB388" t="b">
            <v>0</v>
          </cell>
        </row>
        <row r="389">
          <cell r="E389" t="str">
            <v>Asset retirement obligation</v>
          </cell>
          <cell r="HX389" t="str">
            <v>mstag:assetRetirementObligation</v>
          </cell>
          <cell r="HY389">
            <v>6</v>
          </cell>
          <cell r="HZ389" t="str">
            <v>ISO4217:USD</v>
          </cell>
          <cell r="IA389" t="b">
            <v>0</v>
          </cell>
          <cell r="IB389" t="b">
            <v>0</v>
          </cell>
        </row>
        <row r="390">
          <cell r="E390" t="str">
            <v>Other provisions</v>
          </cell>
          <cell r="HX390" t="str">
            <v>mstag:otherProvisions</v>
          </cell>
          <cell r="HY390">
            <v>6</v>
          </cell>
          <cell r="HZ390" t="str">
            <v>ISO4217:USD</v>
          </cell>
          <cell r="IA390" t="b">
            <v>0</v>
          </cell>
          <cell r="IB390" t="b">
            <v>0</v>
          </cell>
        </row>
        <row r="391">
          <cell r="D391" t="str">
            <v>Deferred tax liabilities</v>
          </cell>
          <cell r="G391">
            <v>0</v>
          </cell>
          <cell r="H391">
            <v>43.781999999999996</v>
          </cell>
          <cell r="I391">
            <v>626.46600000000001</v>
          </cell>
          <cell r="J391">
            <v>349.84800000000001</v>
          </cell>
          <cell r="K391">
            <v>447.80900000000003</v>
          </cell>
          <cell r="L391">
            <v>148.31399999999999</v>
          </cell>
          <cell r="M391">
            <v>26.055999999999997</v>
          </cell>
          <cell r="HX391" t="str">
            <v>mstag:deferredTaxLiabilities</v>
          </cell>
          <cell r="HY391">
            <v>6</v>
          </cell>
          <cell r="HZ391" t="str">
            <v>ISO4217:USD</v>
          </cell>
          <cell r="IA391" t="b">
            <v>0</v>
          </cell>
          <cell r="IB391" t="b">
            <v>0</v>
          </cell>
        </row>
        <row r="392">
          <cell r="E392" t="str">
            <v>Deferred tax liabilities, current</v>
          </cell>
          <cell r="HX392" t="str">
            <v>mstag:deferredTaxLiabilitiesCurrent</v>
          </cell>
          <cell r="HY392">
            <v>6</v>
          </cell>
          <cell r="HZ392" t="str">
            <v>ISO4217:USD</v>
          </cell>
          <cell r="IA392" t="b">
            <v>0</v>
          </cell>
          <cell r="IB392" t="b">
            <v>0</v>
          </cell>
        </row>
        <row r="393">
          <cell r="E393" t="str">
            <v>Deferred tax liabilities, noncurrent</v>
          </cell>
          <cell r="G393">
            <v>0</v>
          </cell>
          <cell r="H393">
            <v>43.781999999999996</v>
          </cell>
          <cell r="I393">
            <v>626.46600000000001</v>
          </cell>
          <cell r="J393">
            <v>349.84800000000001</v>
          </cell>
          <cell r="K393">
            <v>447.80900000000003</v>
          </cell>
          <cell r="L393">
            <v>148.31399999999999</v>
          </cell>
          <cell r="HX393" t="str">
            <v>mstag:deferredTaxLiabilitiesNonCurrent</v>
          </cell>
          <cell r="HY393">
            <v>6</v>
          </cell>
          <cell r="HZ393" t="str">
            <v>ISO4217:USD</v>
          </cell>
          <cell r="IA393" t="b">
            <v>0</v>
          </cell>
          <cell r="IB393" t="b">
            <v>0</v>
          </cell>
        </row>
        <row r="394">
          <cell r="D394" t="str">
            <v>Deferred revenue</v>
          </cell>
          <cell r="G394">
            <v>0</v>
          </cell>
          <cell r="H394">
            <v>0</v>
          </cell>
          <cell r="I394">
            <v>4.9719999999999995</v>
          </cell>
          <cell r="J394">
            <v>103.03299999999999</v>
          </cell>
          <cell r="K394">
            <v>87.575999999999993</v>
          </cell>
          <cell r="L394">
            <v>89.576999999999998</v>
          </cell>
          <cell r="M394">
            <v>328.68</v>
          </cell>
          <cell r="HX394" t="str">
            <v>mstag:deferredRevenue</v>
          </cell>
          <cell r="HY394">
            <v>6</v>
          </cell>
          <cell r="HZ394" t="str">
            <v>ISO4217:USD</v>
          </cell>
          <cell r="IA394" t="b">
            <v>0</v>
          </cell>
          <cell r="IB394" t="b">
            <v>0</v>
          </cell>
        </row>
        <row r="395">
          <cell r="E395" t="str">
            <v>Deferred revenue, current</v>
          </cell>
          <cell r="G395">
            <v>0</v>
          </cell>
          <cell r="H395">
            <v>0</v>
          </cell>
          <cell r="I395">
            <v>2</v>
          </cell>
          <cell r="J395">
            <v>15.433</v>
          </cell>
          <cell r="K395">
            <v>19.542999999999999</v>
          </cell>
          <cell r="L395">
            <v>20.044</v>
          </cell>
          <cell r="HX395" t="str">
            <v>mstag:deferredRevenueCurrent</v>
          </cell>
          <cell r="HY395">
            <v>6</v>
          </cell>
          <cell r="HZ395" t="str">
            <v>ISO4217:USD</v>
          </cell>
          <cell r="IA395" t="b">
            <v>0</v>
          </cell>
          <cell r="IB395" t="b">
            <v>0</v>
          </cell>
        </row>
        <row r="396">
          <cell r="E396" t="str">
            <v>Deferred revenue, noncurrent</v>
          </cell>
          <cell r="G396">
            <v>0</v>
          </cell>
          <cell r="H396">
            <v>0</v>
          </cell>
          <cell r="I396">
            <v>2.972</v>
          </cell>
          <cell r="J396">
            <v>87.6</v>
          </cell>
          <cell r="K396">
            <v>68.033000000000001</v>
          </cell>
          <cell r="L396">
            <v>69.533000000000001</v>
          </cell>
          <cell r="HX396" t="str">
            <v>mstag:deferredRevenueNonCurrent</v>
          </cell>
          <cell r="HY396">
            <v>6</v>
          </cell>
          <cell r="HZ396" t="str">
            <v>ISO4217:USD</v>
          </cell>
          <cell r="IA396" t="b">
            <v>0</v>
          </cell>
          <cell r="IB396" t="b">
            <v>0</v>
          </cell>
        </row>
        <row r="397">
          <cell r="D397" t="str">
            <v>Pension and other postretirement obligations</v>
          </cell>
          <cell r="HX397" t="str">
            <v>mstag:pensionAndOtherPostRetirementObligations</v>
          </cell>
          <cell r="HY397">
            <v>6</v>
          </cell>
          <cell r="HZ397" t="str">
            <v>ISO4217:USD</v>
          </cell>
          <cell r="IA397" t="b">
            <v>0</v>
          </cell>
          <cell r="IB397" t="b">
            <v>0</v>
          </cell>
        </row>
        <row r="398">
          <cell r="D398" t="str">
            <v>Deferred compensation</v>
          </cell>
          <cell r="HX398" t="str">
            <v>mstag:deferredCompensation</v>
          </cell>
          <cell r="HY398">
            <v>6</v>
          </cell>
          <cell r="HZ398" t="str">
            <v>ISO4217:USD</v>
          </cell>
          <cell r="IA398" t="b">
            <v>0</v>
          </cell>
          <cell r="IB398" t="b">
            <v>0</v>
          </cell>
        </row>
        <row r="399">
          <cell r="D399" t="str">
            <v>Other liabilities, operating</v>
          </cell>
          <cell r="G399">
            <v>107.93499999999999</v>
          </cell>
          <cell r="H399">
            <v>115.042</v>
          </cell>
          <cell r="I399">
            <v>104.34200000000001</v>
          </cell>
          <cell r="J399">
            <v>112.56399999999999</v>
          </cell>
          <cell r="K399">
            <v>169.78</v>
          </cell>
          <cell r="L399">
            <v>678.37599999999998</v>
          </cell>
          <cell r="M399" t="str">
            <v/>
          </cell>
          <cell r="HX399" t="str">
            <v>mstag:otherLiabilitiesOperating</v>
          </cell>
          <cell r="HY399">
            <v>6</v>
          </cell>
          <cell r="HZ399" t="str">
            <v>ISO4217:USD</v>
          </cell>
          <cell r="IA399" t="b">
            <v>0</v>
          </cell>
          <cell r="IB399" t="b">
            <v>0</v>
          </cell>
        </row>
        <row r="400">
          <cell r="E400" t="str">
            <v>Other liabilities, operating, current</v>
          </cell>
          <cell r="G400">
            <v>71.10499999999999</v>
          </cell>
          <cell r="H400">
            <v>88.584000000000003</v>
          </cell>
          <cell r="I400">
            <v>95.979000000000013</v>
          </cell>
          <cell r="J400">
            <v>110.77499999999999</v>
          </cell>
          <cell r="K400">
            <v>122.349</v>
          </cell>
          <cell r="L400">
            <v>123.648</v>
          </cell>
          <cell r="HX400" t="str">
            <v>mstag:otherLiabilitiesOperatingCurrent</v>
          </cell>
          <cell r="HY400">
            <v>6</v>
          </cell>
          <cell r="HZ400" t="str">
            <v>ISO4217:USD</v>
          </cell>
          <cell r="IA400" t="b">
            <v>0</v>
          </cell>
          <cell r="IB400" t="b">
            <v>0</v>
          </cell>
        </row>
        <row r="401">
          <cell r="E401" t="str">
            <v>Other liabilities, operating, noncurrent</v>
          </cell>
          <cell r="G401">
            <v>36.83</v>
          </cell>
          <cell r="H401">
            <v>26.457999999999998</v>
          </cell>
          <cell r="I401">
            <v>8.3629999999999995</v>
          </cell>
          <cell r="J401">
            <v>1.7889999999999999</v>
          </cell>
          <cell r="K401">
            <v>47.430999999999997</v>
          </cell>
          <cell r="L401">
            <v>554.72799999999995</v>
          </cell>
          <cell r="HX401" t="str">
            <v>mstag:otherLiabilitiesOperatingNonCurrent</v>
          </cell>
          <cell r="HY401">
            <v>6</v>
          </cell>
          <cell r="HZ401" t="str">
            <v>ISO4217:USD</v>
          </cell>
          <cell r="IA401" t="b">
            <v>0</v>
          </cell>
          <cell r="IB401" t="b">
            <v>0</v>
          </cell>
        </row>
        <row r="402">
          <cell r="D402" t="str">
            <v>Other liabilities, nonoperating</v>
          </cell>
          <cell r="G402">
            <v>0</v>
          </cell>
          <cell r="H402">
            <v>0</v>
          </cell>
          <cell r="I402">
            <v>0</v>
          </cell>
          <cell r="J402">
            <v>0</v>
          </cell>
          <cell r="K402">
            <v>0</v>
          </cell>
          <cell r="L402">
            <v>0</v>
          </cell>
          <cell r="M402">
            <v>623.29</v>
          </cell>
          <cell r="HX402" t="str">
            <v>mstag:otherLiabilitiesNonOperating</v>
          </cell>
          <cell r="HY402">
            <v>6</v>
          </cell>
          <cell r="HZ402" t="str">
            <v>ISO4217:USD</v>
          </cell>
          <cell r="IA402" t="b">
            <v>0</v>
          </cell>
          <cell r="IB402" t="b">
            <v>0</v>
          </cell>
        </row>
        <row r="403">
          <cell r="E403" t="str">
            <v>Other liabilities, nonoperating, current</v>
          </cell>
          <cell r="G403">
            <v>0</v>
          </cell>
          <cell r="H403">
            <v>0</v>
          </cell>
          <cell r="I403">
            <v>0</v>
          </cell>
          <cell r="J403">
            <v>0</v>
          </cell>
          <cell r="K403">
            <v>0</v>
          </cell>
          <cell r="L403">
            <v>0</v>
          </cell>
          <cell r="HX403" t="str">
            <v>mstag:otherLiabilitiesNonOperatingCurrent</v>
          </cell>
          <cell r="HY403">
            <v>6</v>
          </cell>
          <cell r="HZ403" t="str">
            <v>ISO4217:USD</v>
          </cell>
          <cell r="IA403" t="b">
            <v>0</v>
          </cell>
          <cell r="IB403" t="b">
            <v>0</v>
          </cell>
        </row>
        <row r="404">
          <cell r="E404" t="str">
            <v>Other liabilities, nonoperating, noncurrent</v>
          </cell>
          <cell r="HX404" t="str">
            <v>mstag:otherLiabilitiesNonOperatingNonCurrent</v>
          </cell>
          <cell r="HY404">
            <v>6</v>
          </cell>
          <cell r="HZ404" t="str">
            <v>ISO4217:USD</v>
          </cell>
          <cell r="IA404" t="b">
            <v>0</v>
          </cell>
          <cell r="IB404" t="b">
            <v>0</v>
          </cell>
        </row>
        <row r="405">
          <cell r="D405" t="str">
            <v>Liabilities of discontinued operations</v>
          </cell>
          <cell r="HX405" t="str">
            <v>mstag:liabilitiesOfDiscontinuedOperations</v>
          </cell>
          <cell r="HY405">
            <v>6</v>
          </cell>
          <cell r="HZ405" t="str">
            <v>ISO4217:USD</v>
          </cell>
          <cell r="IA405" t="b">
            <v>0</v>
          </cell>
          <cell r="IB405" t="b">
            <v>0</v>
          </cell>
        </row>
        <row r="406">
          <cell r="D406" t="str">
            <v>Minority interests in shareholders' equity</v>
          </cell>
          <cell r="HX406" t="str">
            <v>mstag:minorityInterestsInShareholdersEquity</v>
          </cell>
          <cell r="HY406">
            <v>6</v>
          </cell>
          <cell r="HZ406" t="str">
            <v>ISO4217:USD</v>
          </cell>
          <cell r="IA406" t="b">
            <v>0</v>
          </cell>
          <cell r="IB406" t="b">
            <v>0</v>
          </cell>
        </row>
        <row r="407">
          <cell r="D407" t="str">
            <v>Preferred equity</v>
          </cell>
          <cell r="HX407" t="str">
            <v>mstag:preferredEquity</v>
          </cell>
          <cell r="HY407">
            <v>6</v>
          </cell>
          <cell r="HZ407" t="str">
            <v>ISO4217:USD</v>
          </cell>
          <cell r="IA407" t="b">
            <v>0</v>
          </cell>
          <cell r="IB407" t="b">
            <v>0</v>
          </cell>
        </row>
        <row r="408">
          <cell r="D408" t="str">
            <v>Common equity</v>
          </cell>
          <cell r="F408">
            <v>1801.059</v>
          </cell>
          <cell r="G408">
            <v>2031.2250000000001</v>
          </cell>
          <cell r="H408">
            <v>2343.8449999999998</v>
          </cell>
          <cell r="I408">
            <v>5269.8569999999991</v>
          </cell>
          <cell r="J408">
            <v>5674.2030000000004</v>
          </cell>
          <cell r="K408">
            <v>5919.8189999999995</v>
          </cell>
          <cell r="L408">
            <v>5338.884</v>
          </cell>
          <cell r="M408">
            <v>6520.1896436999996</v>
          </cell>
          <cell r="HX408" t="str">
            <v>mstag:commonEquity</v>
          </cell>
          <cell r="HY408">
            <v>6</v>
          </cell>
          <cell r="HZ408" t="str">
            <v>ISO4217:USD</v>
          </cell>
          <cell r="IA408" t="b">
            <v>0</v>
          </cell>
          <cell r="IB408" t="b">
            <v>0</v>
          </cell>
        </row>
        <row r="409">
          <cell r="E409" t="str">
            <v>Total share capital</v>
          </cell>
          <cell r="G409">
            <v>1466.252</v>
          </cell>
          <cell r="H409">
            <v>1591.5319999999999</v>
          </cell>
          <cell r="I409">
            <v>6255.4699999999993</v>
          </cell>
          <cell r="J409">
            <v>6661.9380000000001</v>
          </cell>
          <cell r="K409">
            <v>6805.3969999999999</v>
          </cell>
          <cell r="L409">
            <v>6660.6080000000002</v>
          </cell>
          <cell r="M409">
            <v>7380.7550000000001</v>
          </cell>
          <cell r="HX409" t="str">
            <v>mstag:totalShareCapital</v>
          </cell>
          <cell r="HY409">
            <v>6</v>
          </cell>
          <cell r="HZ409" t="str">
            <v>ISO4217:USD</v>
          </cell>
          <cell r="IA409" t="b">
            <v>0</v>
          </cell>
          <cell r="IB409" t="b">
            <v>0</v>
          </cell>
        </row>
        <row r="410">
          <cell r="F410" t="str">
            <v>Common stock</v>
          </cell>
          <cell r="G410">
            <v>2.484</v>
          </cell>
          <cell r="H410">
            <v>2.5419999999999998</v>
          </cell>
          <cell r="I410">
            <v>10.324</v>
          </cell>
          <cell r="J410">
            <v>10.51</v>
          </cell>
          <cell r="K410">
            <v>10.566000000000001</v>
          </cell>
          <cell r="L410">
            <v>10.256</v>
          </cell>
          <cell r="M410">
            <v>10.494999999999999</v>
          </cell>
          <cell r="HX410" t="str">
            <v>mstag:commonStock</v>
          </cell>
          <cell r="HY410">
            <v>6</v>
          </cell>
          <cell r="HZ410" t="str">
            <v>ISO4217:USD</v>
          </cell>
          <cell r="IA410" t="b">
            <v>0</v>
          </cell>
          <cell r="IB410" t="b">
            <v>0</v>
          </cell>
        </row>
        <row r="411">
          <cell r="F411" t="str">
            <v>Additional paid in capital</v>
          </cell>
          <cell r="G411">
            <v>1463.768</v>
          </cell>
          <cell r="H411">
            <v>1588.99</v>
          </cell>
          <cell r="I411">
            <v>6245.1459999999997</v>
          </cell>
          <cell r="J411">
            <v>6651.4279999999999</v>
          </cell>
          <cell r="K411">
            <v>6794.8310000000001</v>
          </cell>
          <cell r="L411">
            <v>6650.3519999999999</v>
          </cell>
          <cell r="M411">
            <v>7370.26</v>
          </cell>
          <cell r="HX411" t="str">
            <v>mstag:additionalPaidInCapital</v>
          </cell>
          <cell r="HY411">
            <v>6</v>
          </cell>
          <cell r="HZ411" t="str">
            <v>ISO4217:USD</v>
          </cell>
          <cell r="IA411" t="b">
            <v>0</v>
          </cell>
          <cell r="IB411" t="b">
            <v>0</v>
          </cell>
        </row>
        <row r="412">
          <cell r="E412" t="str">
            <v>Retained earnings</v>
          </cell>
          <cell r="G412">
            <v>511.14100000000002</v>
          </cell>
          <cell r="H412">
            <v>693.05</v>
          </cell>
          <cell r="I412">
            <v>-1245.1120000000001</v>
          </cell>
          <cell r="J412">
            <v>-1319.3530000000001</v>
          </cell>
          <cell r="K412">
            <v>-1197.3</v>
          </cell>
          <cell r="L412">
            <v>-1590.366</v>
          </cell>
          <cell r="M412">
            <v>-1157.4679999999998</v>
          </cell>
          <cell r="HX412" t="str">
            <v>mstag:retainedEarnings</v>
          </cell>
          <cell r="HY412">
            <v>6</v>
          </cell>
          <cell r="HZ412" t="str">
            <v>ISO4217:USD</v>
          </cell>
          <cell r="IA412" t="b">
            <v>0</v>
          </cell>
          <cell r="IB412" t="b">
            <v>0</v>
          </cell>
        </row>
        <row r="413">
          <cell r="E413" t="str">
            <v>Accumulated other comprehensive income (loss) and reserves</v>
          </cell>
          <cell r="G413">
            <v>53.832000000000001</v>
          </cell>
          <cell r="H413">
            <v>59.262999999999998</v>
          </cell>
          <cell r="I413">
            <v>259.49900000000002</v>
          </cell>
          <cell r="J413">
            <v>331.61800000000005</v>
          </cell>
          <cell r="K413">
            <v>311.72199999999998</v>
          </cell>
          <cell r="L413">
            <v>268.642</v>
          </cell>
          <cell r="M413">
            <v>296.9026437</v>
          </cell>
          <cell r="HX413" t="str">
            <v>mstag:accumulatedOtherComprehensiveIncomeLossAndReserves</v>
          </cell>
          <cell r="HY413">
            <v>6</v>
          </cell>
          <cell r="HZ413" t="str">
            <v>ISO4217:USD</v>
          </cell>
          <cell r="IA413" t="b">
            <v>0</v>
          </cell>
          <cell r="IB413" t="b">
            <v>0</v>
          </cell>
        </row>
        <row r="414">
          <cell r="F414" t="str">
            <v>Cumulative translation adjustment</v>
          </cell>
          <cell r="HX414" t="str">
            <v>mstag:cumulativeTranslationAdjustment</v>
          </cell>
          <cell r="HY414">
            <v>6</v>
          </cell>
          <cell r="HZ414" t="str">
            <v>ISO4217:USD</v>
          </cell>
          <cell r="IA414" t="b">
            <v>0</v>
          </cell>
          <cell r="IB414" t="b">
            <v>0</v>
          </cell>
        </row>
        <row r="415">
          <cell r="F415" t="str">
            <v>Unrealized gains and losses on securities and other financial instruments</v>
          </cell>
          <cell r="G415">
            <v>53.832000000000001</v>
          </cell>
          <cell r="H415">
            <v>59.262999999999998</v>
          </cell>
          <cell r="I415">
            <v>259.49900000000002</v>
          </cell>
          <cell r="J415">
            <v>72.119</v>
          </cell>
          <cell r="K415">
            <v>303.89999999999998</v>
          </cell>
          <cell r="L415">
            <v>265.10000000000002</v>
          </cell>
          <cell r="HX415" t="str">
            <v>mstag:unrealizedGainsAndLossesOnSecuritiesAndOtherFinancialInstruments</v>
          </cell>
          <cell r="HY415">
            <v>6</v>
          </cell>
          <cell r="HZ415" t="str">
            <v>ISO4217:USD</v>
          </cell>
          <cell r="IA415" t="b">
            <v>0</v>
          </cell>
          <cell r="IB415" t="b">
            <v>0</v>
          </cell>
        </row>
        <row r="416">
          <cell r="F416" t="str">
            <v>Minimum pension liability</v>
          </cell>
          <cell r="HX416" t="str">
            <v>mstag:minimumPensionLiability</v>
          </cell>
          <cell r="HY416">
            <v>6</v>
          </cell>
          <cell r="HZ416" t="str">
            <v>ISO4217:USD</v>
          </cell>
          <cell r="IA416" t="b">
            <v>0</v>
          </cell>
          <cell r="IB416" t="b">
            <v>0</v>
          </cell>
        </row>
        <row r="417">
          <cell r="F417" t="str">
            <v>Cash flow hedges</v>
          </cell>
          <cell r="G417">
            <v>0</v>
          </cell>
          <cell r="H417">
            <v>0</v>
          </cell>
          <cell r="I417">
            <v>0</v>
          </cell>
          <cell r="J417">
            <v>0</v>
          </cell>
          <cell r="K417">
            <v>7.8220000000000001</v>
          </cell>
          <cell r="L417">
            <v>3.5419999999999998</v>
          </cell>
          <cell r="HX417" t="str">
            <v>mstag:cashFlowHedges</v>
          </cell>
          <cell r="HY417">
            <v>6</v>
          </cell>
          <cell r="HZ417" t="str">
            <v>ISO4217:USD</v>
          </cell>
          <cell r="IA417" t="b">
            <v>0</v>
          </cell>
          <cell r="IB417" t="b">
            <v>0</v>
          </cell>
        </row>
        <row r="418">
          <cell r="F418" t="str">
            <v>Other accumulated OCI and reserves</v>
          </cell>
          <cell r="G418">
            <v>0</v>
          </cell>
          <cell r="H418">
            <v>0</v>
          </cell>
          <cell r="I418">
            <v>0</v>
          </cell>
          <cell r="J418">
            <v>259.49900000000002</v>
          </cell>
          <cell r="K418">
            <v>0</v>
          </cell>
          <cell r="L418">
            <v>0</v>
          </cell>
          <cell r="HX418" t="str">
            <v>mstag:otherAccumulatedOciAndReserves</v>
          </cell>
          <cell r="HY418">
            <v>6</v>
          </cell>
          <cell r="HZ418" t="str">
            <v>ISO4217:USD</v>
          </cell>
          <cell r="IA418" t="b">
            <v>0</v>
          </cell>
          <cell r="IB418" t="b">
            <v>0</v>
          </cell>
        </row>
        <row r="419">
          <cell r="F419" t="str">
            <v>Revaluation reserves</v>
          </cell>
          <cell r="HX419" t="str">
            <v>mstag:revaluationReserves</v>
          </cell>
          <cell r="HY419">
            <v>6</v>
          </cell>
          <cell r="HZ419" t="str">
            <v>ISO4217:USD</v>
          </cell>
          <cell r="IA419" t="b">
            <v>0</v>
          </cell>
          <cell r="IB419" t="b">
            <v>0</v>
          </cell>
        </row>
        <row r="420">
          <cell r="F420" t="str">
            <v>Unearned compensation reserve</v>
          </cell>
          <cell r="HX420" t="str">
            <v>mstag:unearnedCompensationReserve</v>
          </cell>
          <cell r="HY420">
            <v>6</v>
          </cell>
          <cell r="HZ420" t="str">
            <v>ISO4217:USD</v>
          </cell>
          <cell r="IA420" t="b">
            <v>0</v>
          </cell>
          <cell r="IB420" t="b">
            <v>0</v>
          </cell>
        </row>
        <row r="421">
          <cell r="E421" t="str">
            <v>Treasury stock and investment in own shares</v>
          </cell>
          <cell r="HX421" t="str">
            <v>mstag:treasuryStockAndInvestmentInOwnShares</v>
          </cell>
          <cell r="HY421">
            <v>6</v>
          </cell>
          <cell r="HZ421" t="str">
            <v>ISO4217:USD</v>
          </cell>
          <cell r="IA421" t="b">
            <v>0</v>
          </cell>
          <cell r="IB421" t="b">
            <v>0</v>
          </cell>
        </row>
        <row r="422">
          <cell r="E422" t="str">
            <v>Warrants and rights outstanding, equity</v>
          </cell>
          <cell r="HX422" t="str">
            <v>mstag:warrantsAndRightsOutstandingEquity</v>
          </cell>
          <cell r="HY422">
            <v>6</v>
          </cell>
          <cell r="HZ422" t="str">
            <v>ISO4217:USD</v>
          </cell>
          <cell r="IA422" t="b">
            <v>0</v>
          </cell>
          <cell r="IB422" t="b">
            <v>0</v>
          </cell>
        </row>
        <row r="423">
          <cell r="E423" t="str">
            <v>Other equity items</v>
          </cell>
          <cell r="HX423" t="str">
            <v>mstag:otherEquityItems</v>
          </cell>
          <cell r="HY423">
            <v>6</v>
          </cell>
          <cell r="HZ423" t="str">
            <v>ISO4217:USD</v>
          </cell>
          <cell r="IA423" t="b">
            <v>0</v>
          </cell>
          <cell r="IB423" t="b">
            <v>0</v>
          </cell>
        </row>
        <row r="424">
          <cell r="B424" t="str">
            <v>Cash flow</v>
          </cell>
          <cell r="HY424">
            <v>0</v>
          </cell>
          <cell r="HZ424" t="str">
            <v>ms_eqr_gcim_String:ms_eqr_gcim_string</v>
          </cell>
          <cell r="IA424" t="b">
            <v>0</v>
          </cell>
          <cell r="IB424" t="b">
            <v>0</v>
          </cell>
        </row>
        <row r="425">
          <cell r="C425" t="str">
            <v>Net income, reported, cash flow statement</v>
          </cell>
          <cell r="G425">
            <v>129.04400000000001</v>
          </cell>
          <cell r="H425">
            <v>181.90899999999999</v>
          </cell>
          <cell r="I425">
            <v>-1157.4760000000001</v>
          </cell>
          <cell r="J425">
            <v>-74.241</v>
          </cell>
          <cell r="K425">
            <v>150.23599999999999</v>
          </cell>
          <cell r="L425">
            <v>63.786999999999999</v>
          </cell>
          <cell r="M425">
            <v>562.45584265857804</v>
          </cell>
          <cell r="HX425" t="str">
            <v>mstag:netIncomeReported</v>
          </cell>
          <cell r="HY425">
            <v>6</v>
          </cell>
          <cell r="HZ425" t="str">
            <v>ISO4217:USD</v>
          </cell>
          <cell r="IA425" t="b">
            <v>0</v>
          </cell>
          <cell r="IB425" t="b">
            <v>0</v>
          </cell>
        </row>
        <row r="426">
          <cell r="C426" t="str">
            <v>Depreciation, cash flow statement</v>
          </cell>
          <cell r="G426">
            <v>65.533000000000001</v>
          </cell>
          <cell r="H426">
            <v>78.100999999999999</v>
          </cell>
          <cell r="I426">
            <v>90.282000000000011</v>
          </cell>
          <cell r="J426">
            <v>88.80400000000003</v>
          </cell>
          <cell r="K426">
            <v>96.290999999999997</v>
          </cell>
          <cell r="L426">
            <v>104.55499999999998</v>
          </cell>
          <cell r="M426">
            <v>125</v>
          </cell>
          <cell r="HX426" t="str">
            <v>mstag:depreciation</v>
          </cell>
          <cell r="HY426">
            <v>6</v>
          </cell>
          <cell r="HZ426" t="str">
            <v>ISO4217:USD</v>
          </cell>
          <cell r="IA426" t="b">
            <v>0</v>
          </cell>
          <cell r="IB426" t="b">
            <v>0</v>
          </cell>
        </row>
        <row r="427">
          <cell r="C427" t="str">
            <v>Amortization of goodwill, cash flow statement</v>
          </cell>
          <cell r="G427">
            <v>0</v>
          </cell>
          <cell r="H427">
            <v>0</v>
          </cell>
          <cell r="I427">
            <v>76.599999999999994</v>
          </cell>
          <cell r="J427">
            <v>211</v>
          </cell>
          <cell r="K427">
            <v>153.30000000000001</v>
          </cell>
          <cell r="L427">
            <v>0</v>
          </cell>
          <cell r="HX427" t="str">
            <v>mstag:amortizationOfGoodwillCashFlowStatement</v>
          </cell>
          <cell r="HY427">
            <v>6</v>
          </cell>
          <cell r="HZ427" t="str">
            <v>ISO4217:USD</v>
          </cell>
          <cell r="IA427" t="b">
            <v>0</v>
          </cell>
          <cell r="IB427" t="b">
            <v>0</v>
          </cell>
        </row>
        <row r="428">
          <cell r="C428" t="str">
            <v>Amortization of intangibles assumed to have indefinite life, cash flow statement</v>
          </cell>
          <cell r="G428">
            <v>0</v>
          </cell>
          <cell r="H428">
            <v>0</v>
          </cell>
          <cell r="I428">
            <v>113.8</v>
          </cell>
          <cell r="J428">
            <v>158</v>
          </cell>
          <cell r="K428">
            <v>169.8</v>
          </cell>
          <cell r="L428">
            <v>162.19999999999999</v>
          </cell>
          <cell r="M428">
            <v>170.4</v>
          </cell>
          <cell r="HX428" t="str">
            <v>mstag:amortizationOfIntangiblesAssumedToHaveIndefiniteLife</v>
          </cell>
          <cell r="HY428">
            <v>6</v>
          </cell>
          <cell r="HZ428" t="str">
            <v>ISO4217:USD</v>
          </cell>
          <cell r="IA428" t="b">
            <v>0</v>
          </cell>
          <cell r="IB428" t="b">
            <v>0</v>
          </cell>
        </row>
        <row r="429">
          <cell r="C429" t="str">
            <v>Amortization of other intangibles, cash flow statement</v>
          </cell>
          <cell r="G429">
            <v>0</v>
          </cell>
          <cell r="H429">
            <v>0</v>
          </cell>
          <cell r="I429">
            <v>0</v>
          </cell>
          <cell r="J429">
            <v>5.2</v>
          </cell>
          <cell r="K429">
            <v>8.6999999999999993</v>
          </cell>
          <cell r="L429">
            <v>8.1999999999999993</v>
          </cell>
          <cell r="M429" t="str">
            <v/>
          </cell>
          <cell r="HX429" t="str">
            <v>mstag:amortizationOfOtherIntangibles</v>
          </cell>
          <cell r="HY429">
            <v>6</v>
          </cell>
          <cell r="HZ429" t="str">
            <v>ISO4217:USD</v>
          </cell>
          <cell r="IA429" t="b">
            <v>0</v>
          </cell>
          <cell r="IB429" t="b">
            <v>0</v>
          </cell>
        </row>
        <row r="430">
          <cell r="D430" t="str">
            <v>Amortization of taxable other intangibles, cash flow statement</v>
          </cell>
          <cell r="HX430" t="str">
            <v>mstag:amortizationOfTaxableOtherIntangiblesCashFlowStatement</v>
          </cell>
          <cell r="HY430">
            <v>6</v>
          </cell>
          <cell r="HZ430" t="str">
            <v>ISO4217:USD</v>
          </cell>
          <cell r="IA430" t="b">
            <v>0</v>
          </cell>
          <cell r="IB430" t="b">
            <v>0</v>
          </cell>
        </row>
        <row r="431">
          <cell r="D431" t="str">
            <v>Amortization of nontaxable other intangibles, cash flow statement</v>
          </cell>
          <cell r="HX431" t="str">
            <v>mstag:amortizationOfNonTaxableOtherIntangiblesCashFlowStatement</v>
          </cell>
          <cell r="HY431">
            <v>6</v>
          </cell>
          <cell r="HZ431" t="str">
            <v>ISO4217:USD</v>
          </cell>
          <cell r="IA431" t="b">
            <v>0</v>
          </cell>
          <cell r="IB431" t="b">
            <v>0</v>
          </cell>
        </row>
        <row r="432">
          <cell r="C432" t="str">
            <v>Restructuring costs, recurring, cash flow statement</v>
          </cell>
          <cell r="HX432" t="str">
            <v>mstag:restructuringCostsRecurringCashFlowStatement</v>
          </cell>
          <cell r="HY432">
            <v>6</v>
          </cell>
          <cell r="HZ432" t="str">
            <v>ISO4217:USD</v>
          </cell>
          <cell r="IA432" t="b">
            <v>0</v>
          </cell>
          <cell r="IB432" t="b">
            <v>0</v>
          </cell>
        </row>
        <row r="433">
          <cell r="C433" t="str">
            <v>Restructuring costs, one time, cash flow statement</v>
          </cell>
          <cell r="HX433" t="str">
            <v>mstag:restructuringCostsOneTimeCashFlowStatement</v>
          </cell>
          <cell r="HY433">
            <v>6</v>
          </cell>
          <cell r="HZ433" t="str">
            <v>ISO4217:USD</v>
          </cell>
          <cell r="IA433" t="b">
            <v>0</v>
          </cell>
          <cell r="IB433" t="b">
            <v>0</v>
          </cell>
        </row>
        <row r="434">
          <cell r="C434" t="str">
            <v>Legal provision, recurring, cash flow statement</v>
          </cell>
          <cell r="HX434" t="str">
            <v>mstag:legalProvisionRecurringCashFlowStatement</v>
          </cell>
          <cell r="HY434">
            <v>6</v>
          </cell>
          <cell r="HZ434" t="str">
            <v>ISO4217:USD</v>
          </cell>
          <cell r="IA434" t="b">
            <v>0</v>
          </cell>
          <cell r="IB434" t="b">
            <v>0</v>
          </cell>
        </row>
        <row r="435">
          <cell r="C435" t="str">
            <v>Legal provision, one time, cash flow statement</v>
          </cell>
          <cell r="HX435" t="str">
            <v>mstag:legalProvisionOneTimeCashFlowStatement</v>
          </cell>
          <cell r="HY435">
            <v>6</v>
          </cell>
          <cell r="HZ435" t="str">
            <v>ISO4217:USD</v>
          </cell>
          <cell r="IA435" t="b">
            <v>0</v>
          </cell>
          <cell r="IB435" t="b">
            <v>0</v>
          </cell>
        </row>
        <row r="436">
          <cell r="C436" t="str">
            <v>Environmental provision, recurring, cash flow statement</v>
          </cell>
          <cell r="HX436" t="str">
            <v>mstag:environmentalProvisionRecurringCashFlowStatement</v>
          </cell>
          <cell r="HY436">
            <v>6</v>
          </cell>
          <cell r="HZ436" t="str">
            <v>ISO4217:USD</v>
          </cell>
          <cell r="IA436" t="b">
            <v>0</v>
          </cell>
          <cell r="IB436" t="b">
            <v>0</v>
          </cell>
        </row>
        <row r="437">
          <cell r="C437" t="str">
            <v>Environmental provision, one time, cash flow statement</v>
          </cell>
          <cell r="HX437" t="str">
            <v>mstag:environmentalProvisionOneTimeCashFlowStatement</v>
          </cell>
          <cell r="HY437">
            <v>6</v>
          </cell>
          <cell r="HZ437" t="str">
            <v>ISO4217:USD</v>
          </cell>
          <cell r="IA437" t="b">
            <v>0</v>
          </cell>
          <cell r="IB437" t="b">
            <v>0</v>
          </cell>
        </row>
        <row r="438">
          <cell r="C438" t="str">
            <v>Other provisions, recurring, cash flow statement</v>
          </cell>
          <cell r="HX438" t="str">
            <v>mstag:otherProvisionsRecurringCashFlowStatement</v>
          </cell>
          <cell r="HY438">
            <v>6</v>
          </cell>
          <cell r="HZ438" t="str">
            <v>ISO4217:USD</v>
          </cell>
          <cell r="IA438" t="b">
            <v>0</v>
          </cell>
          <cell r="IB438" t="b">
            <v>0</v>
          </cell>
        </row>
        <row r="439">
          <cell r="C439" t="str">
            <v>Other provisions, one time, cash flow statement</v>
          </cell>
          <cell r="HX439" t="str">
            <v>mstag:otherProvisionsOneTimeCashFlowStatement</v>
          </cell>
          <cell r="HY439">
            <v>6</v>
          </cell>
          <cell r="HZ439" t="str">
            <v>ISO4217:USD</v>
          </cell>
          <cell r="IA439" t="b">
            <v>0</v>
          </cell>
          <cell r="IB439" t="b">
            <v>0</v>
          </cell>
        </row>
        <row r="440">
          <cell r="C440" t="str">
            <v>Goodwill impairment, cash flow statement</v>
          </cell>
          <cell r="HX440" t="str">
            <v>mstag:goodwillImpairmentCashFlowStatement</v>
          </cell>
          <cell r="HY440">
            <v>6</v>
          </cell>
          <cell r="HZ440" t="str">
            <v>ISO4217:USD</v>
          </cell>
          <cell r="IA440" t="b">
            <v>0</v>
          </cell>
          <cell r="IB440" t="b">
            <v>0</v>
          </cell>
        </row>
        <row r="441">
          <cell r="C441" t="str">
            <v>Indefinite life intangible impairment, cash flow statement</v>
          </cell>
          <cell r="HX441" t="str">
            <v>mstag:indefiniteLifeIntangibleImpairmentCashFlowStatement</v>
          </cell>
          <cell r="HY441">
            <v>6</v>
          </cell>
          <cell r="HZ441" t="str">
            <v>ISO4217:USD</v>
          </cell>
          <cell r="IA441" t="b">
            <v>0</v>
          </cell>
          <cell r="IB441" t="b">
            <v>0</v>
          </cell>
        </row>
        <row r="442">
          <cell r="C442" t="str">
            <v>Asset impairment, nongoodwill, one time, cash flow statement</v>
          </cell>
          <cell r="G442">
            <v>0</v>
          </cell>
          <cell r="H442">
            <v>0</v>
          </cell>
          <cell r="I442">
            <v>0</v>
          </cell>
          <cell r="J442">
            <v>0</v>
          </cell>
          <cell r="K442">
            <v>0</v>
          </cell>
          <cell r="L442">
            <v>0</v>
          </cell>
          <cell r="M442">
            <v>3.8</v>
          </cell>
          <cell r="HX442" t="str">
            <v>mstag:assetImpairmentNonGoodwillOneTime</v>
          </cell>
          <cell r="HY442">
            <v>6</v>
          </cell>
          <cell r="HZ442" t="str">
            <v>ISO4217:USD</v>
          </cell>
          <cell r="IA442" t="b">
            <v>0</v>
          </cell>
          <cell r="IB442" t="b">
            <v>0</v>
          </cell>
        </row>
        <row r="443">
          <cell r="C443" t="str">
            <v>Gains (losses) from sale of PPE and intangibles, recurring, cash flow statement</v>
          </cell>
          <cell r="G443">
            <v>-0.318</v>
          </cell>
          <cell r="H443">
            <v>-1.0149999999999999</v>
          </cell>
          <cell r="I443">
            <v>-0.88600000000000001</v>
          </cell>
          <cell r="J443">
            <v>-1.123</v>
          </cell>
          <cell r="K443">
            <v>-4.2110000000000003</v>
          </cell>
          <cell r="L443">
            <v>-15.882999999999999</v>
          </cell>
          <cell r="M443">
            <v>-10.76</v>
          </cell>
          <cell r="HX443" t="str">
            <v>mstag:gainsLossesFromSaleOfOperatingAssetsRecurring</v>
          </cell>
          <cell r="HY443">
            <v>6</v>
          </cell>
          <cell r="HZ443" t="str">
            <v>ISO4217:USD</v>
          </cell>
          <cell r="IA443" t="b">
            <v>0</v>
          </cell>
          <cell r="IB443" t="b">
            <v>0</v>
          </cell>
        </row>
        <row r="444">
          <cell r="C444" t="str">
            <v>Gains (losses) from sale of PPE and intangibles, one time, cash flow statement</v>
          </cell>
          <cell r="G444">
            <v>0</v>
          </cell>
          <cell r="H444">
            <v>0</v>
          </cell>
          <cell r="I444">
            <v>0</v>
          </cell>
          <cell r="J444">
            <v>0</v>
          </cell>
          <cell r="K444">
            <v>0</v>
          </cell>
          <cell r="L444">
            <v>0</v>
          </cell>
          <cell r="M444">
            <v>20</v>
          </cell>
          <cell r="HX444" t="str">
            <v>mstag:gainsLossesFromSaleOfOperatingAssetsOneTime</v>
          </cell>
          <cell r="HY444">
            <v>6</v>
          </cell>
          <cell r="HZ444" t="str">
            <v>ISO4217:USD</v>
          </cell>
          <cell r="IA444" t="b">
            <v>0</v>
          </cell>
          <cell r="IB444" t="b">
            <v>0</v>
          </cell>
        </row>
        <row r="445">
          <cell r="C445" t="str">
            <v>Bonus paid to directors and corporate auditors (Japan)</v>
          </cell>
          <cell r="HX445" t="str">
            <v>mstag:bonusPaidToDirectorsAndCorporateAuditorsJapan</v>
          </cell>
          <cell r="HY445">
            <v>6</v>
          </cell>
          <cell r="HZ445" t="str">
            <v>ISO4217:USD</v>
          </cell>
          <cell r="IA445" t="b">
            <v>0</v>
          </cell>
          <cell r="IB445" t="b">
            <v>0</v>
          </cell>
        </row>
        <row r="446">
          <cell r="C446" t="str">
            <v>Bonus to directors and supervisors, cash flow statement (Taiwan)</v>
          </cell>
          <cell r="HX446" t="str">
            <v>mstag:bonusToDirectorsAndSupervisorsTaiwanCashFlow</v>
          </cell>
          <cell r="HY446">
            <v>6</v>
          </cell>
          <cell r="HZ446" t="str">
            <v>ISO4217:USD</v>
          </cell>
          <cell r="IA446" t="b">
            <v>0</v>
          </cell>
          <cell r="IB446" t="b">
            <v>0</v>
          </cell>
        </row>
        <row r="447">
          <cell r="C447" t="str">
            <v>Employee cash bonus, cash flow statement (Taiwan)</v>
          </cell>
          <cell r="HX447" t="str">
            <v>mstag:employeeCashBonusTaiwanCashFlow</v>
          </cell>
          <cell r="HY447">
            <v>6</v>
          </cell>
          <cell r="HZ447" t="str">
            <v>ISO4217:USD</v>
          </cell>
          <cell r="IA447" t="b">
            <v>0</v>
          </cell>
          <cell r="IB447" t="b">
            <v>0</v>
          </cell>
        </row>
        <row r="448">
          <cell r="C448" t="str">
            <v>Acquired in-process R and D, cash flow statement</v>
          </cell>
          <cell r="G448">
            <v>0</v>
          </cell>
          <cell r="H448">
            <v>0</v>
          </cell>
          <cell r="I448">
            <v>752.5</v>
          </cell>
          <cell r="J448">
            <v>0</v>
          </cell>
          <cell r="K448">
            <v>0</v>
          </cell>
          <cell r="L448">
            <v>0</v>
          </cell>
          <cell r="M448">
            <v>0</v>
          </cell>
          <cell r="HX448" t="str">
            <v>mstag:acquiredInProcessRAndD</v>
          </cell>
          <cell r="HY448">
            <v>6</v>
          </cell>
          <cell r="HZ448" t="str">
            <v>ISO4217:USD</v>
          </cell>
          <cell r="IA448" t="b">
            <v>0</v>
          </cell>
          <cell r="IB448" t="b">
            <v>0</v>
          </cell>
        </row>
        <row r="449">
          <cell r="C449" t="str">
            <v>Capital expenditures</v>
          </cell>
          <cell r="G449">
            <v>154.90199999999999</v>
          </cell>
          <cell r="H449">
            <v>88.087999999999994</v>
          </cell>
          <cell r="I449">
            <v>95.007999999999996</v>
          </cell>
          <cell r="J449">
            <v>112.681</v>
          </cell>
          <cell r="K449">
            <v>213.351</v>
          </cell>
          <cell r="L449">
            <v>322.83199999999999</v>
          </cell>
          <cell r="M449">
            <v>321.95</v>
          </cell>
          <cell r="HX449" t="str">
            <v>mstag:capitalExpenditures</v>
          </cell>
          <cell r="HY449">
            <v>6</v>
          </cell>
          <cell r="HZ449" t="str">
            <v>ISO4217:USD</v>
          </cell>
          <cell r="IA449" t="b">
            <v>0</v>
          </cell>
          <cell r="IB449" t="b">
            <v>0</v>
          </cell>
        </row>
        <row r="450">
          <cell r="D450" t="str">
            <v>Capital expenditures, sustaining</v>
          </cell>
          <cell r="G450">
            <v>154.90199999999999</v>
          </cell>
          <cell r="H450">
            <v>88.087999999999994</v>
          </cell>
          <cell r="I450">
            <v>95.007999999999996</v>
          </cell>
          <cell r="J450">
            <v>112.681</v>
          </cell>
          <cell r="K450">
            <v>213.351</v>
          </cell>
          <cell r="L450">
            <v>322.83199999999999</v>
          </cell>
          <cell r="HX450" t="str">
            <v>mstag:capitalExpendituresMaintenance</v>
          </cell>
          <cell r="HY450">
            <v>6</v>
          </cell>
          <cell r="HZ450" t="str">
            <v>ISO4217:USD</v>
          </cell>
          <cell r="IA450" t="b">
            <v>0</v>
          </cell>
          <cell r="IB450" t="b">
            <v>0</v>
          </cell>
        </row>
        <row r="451">
          <cell r="D451" t="str">
            <v>Capital expenditures, growth</v>
          </cell>
          <cell r="HX451" t="str">
            <v>mstag:capitalExpendituresGrowth</v>
          </cell>
          <cell r="HY451">
            <v>6</v>
          </cell>
          <cell r="HZ451" t="str">
            <v>ISO4217:USD</v>
          </cell>
          <cell r="IA451" t="b">
            <v>0</v>
          </cell>
          <cell r="IB451" t="b">
            <v>0</v>
          </cell>
        </row>
        <row r="452">
          <cell r="C452" t="str">
            <v>Capital expenditures, related to lessor financing</v>
          </cell>
          <cell r="HX452" t="str">
            <v>mstag:capitalExpendituresRelatedToLessorFinancing</v>
          </cell>
          <cell r="HY452">
            <v>6</v>
          </cell>
          <cell r="HZ452" t="str">
            <v>ISO4217:USD</v>
          </cell>
          <cell r="IA452" t="b">
            <v>0</v>
          </cell>
          <cell r="IB452" t="b">
            <v>0</v>
          </cell>
        </row>
        <row r="453">
          <cell r="C453" t="str">
            <v>Unrealized foreign currency exchange gain (loss), cash flow statement</v>
          </cell>
          <cell r="HX453" t="str">
            <v>mstag:unrealizedForeignCurrencyExchangeGainLossCashFlowStatement</v>
          </cell>
          <cell r="HY453">
            <v>6</v>
          </cell>
          <cell r="HZ453" t="str">
            <v>ISO4217:USD</v>
          </cell>
          <cell r="IA453" t="b">
            <v>0</v>
          </cell>
          <cell r="IB453" t="b">
            <v>0</v>
          </cell>
        </row>
        <row r="454">
          <cell r="C454" t="str">
            <v>Proceeds from sale of PPE and intangible assets</v>
          </cell>
          <cell r="HX454" t="str">
            <v>mstag:proceedsFromSaleOfPpeAndIntangibleAssets</v>
          </cell>
          <cell r="HY454">
            <v>6</v>
          </cell>
          <cell r="HZ454" t="str">
            <v>ISO4217:USD</v>
          </cell>
          <cell r="IA454" t="b">
            <v>0</v>
          </cell>
          <cell r="IB454" t="b">
            <v>0</v>
          </cell>
        </row>
        <row r="455">
          <cell r="C455" t="str">
            <v>Amortization of discount (premium) on debt</v>
          </cell>
          <cell r="HX455" t="str">
            <v>mstag:amortizationOfDiscountPremiumOnDebtCashFlowStatement</v>
          </cell>
          <cell r="HY455">
            <v>6</v>
          </cell>
          <cell r="HZ455" t="str">
            <v>ISO4217:USD</v>
          </cell>
          <cell r="IA455" t="b">
            <v>0</v>
          </cell>
          <cell r="IB455" t="b">
            <v>0</v>
          </cell>
        </row>
        <row r="456">
          <cell r="C456" t="str">
            <v>Net pension and OPEB expense, cash flow statement</v>
          </cell>
          <cell r="HX456" t="str">
            <v>mstag:netPensionAndOpebExpenseCashFlowStatement</v>
          </cell>
          <cell r="HY456">
            <v>6</v>
          </cell>
          <cell r="HZ456" t="str">
            <v>ISO4217:USD</v>
          </cell>
          <cell r="IA456" t="b">
            <v>0</v>
          </cell>
          <cell r="IB456" t="b">
            <v>0</v>
          </cell>
        </row>
        <row r="457">
          <cell r="C457" t="str">
            <v>Net disposals (acquisitions)</v>
          </cell>
          <cell r="G457" t="str">
            <v/>
          </cell>
          <cell r="H457" t="str">
            <v/>
          </cell>
          <cell r="I457" t="str">
            <v/>
          </cell>
          <cell r="J457" t="str">
            <v/>
          </cell>
          <cell r="K457" t="str">
            <v/>
          </cell>
          <cell r="L457" t="str">
            <v/>
          </cell>
          <cell r="M457" t="str">
            <v/>
          </cell>
          <cell r="HX457" t="str">
            <v>mstag:netDisposalsAcquisitions</v>
          </cell>
          <cell r="HY457">
            <v>6</v>
          </cell>
          <cell r="HZ457" t="str">
            <v>ISO4217:USD</v>
          </cell>
          <cell r="IA457" t="b">
            <v>0</v>
          </cell>
          <cell r="IB457" t="b">
            <v>0</v>
          </cell>
        </row>
        <row r="458">
          <cell r="D458" t="str">
            <v>Capital expenditures reflected in cost of acquisitions</v>
          </cell>
          <cell r="G458" t="str">
            <v/>
          </cell>
          <cell r="H458" t="str">
            <v/>
          </cell>
          <cell r="I458" t="str">
            <v/>
          </cell>
          <cell r="J458" t="str">
            <v/>
          </cell>
          <cell r="K458" t="str">
            <v/>
          </cell>
          <cell r="L458" t="str">
            <v/>
          </cell>
          <cell r="M458" t="str">
            <v/>
          </cell>
          <cell r="HX458" t="str">
            <v>mstag:capitalExpendituresReflectedInCostOfAcquisitions</v>
          </cell>
          <cell r="HY458">
            <v>6</v>
          </cell>
          <cell r="HZ458" t="str">
            <v>ISO4217:USD</v>
          </cell>
          <cell r="IA458" t="b">
            <v>0</v>
          </cell>
          <cell r="IB458" t="b">
            <v>0</v>
          </cell>
        </row>
        <row r="459">
          <cell r="E459" t="str">
            <v>Capital expenditures reflected in cost of acquisitions, sustaining</v>
          </cell>
          <cell r="HX459" t="str">
            <v>mstag:capitalExpendituresReflectedInCostOfAcquisitionsMaintenance</v>
          </cell>
          <cell r="HY459">
            <v>6</v>
          </cell>
          <cell r="HZ459" t="str">
            <v>ISO4217:USD</v>
          </cell>
          <cell r="IA459" t="b">
            <v>0</v>
          </cell>
          <cell r="IB459" t="b">
            <v>0</v>
          </cell>
        </row>
        <row r="460">
          <cell r="E460" t="str">
            <v>Capital expenditures reflected in cost of acquisitions, growth</v>
          </cell>
          <cell r="HX460" t="str">
            <v>mstag:capitalExpendituresReflectedInCostOfAcquisitionsGrowth</v>
          </cell>
          <cell r="HY460">
            <v>6</v>
          </cell>
          <cell r="HZ460" t="str">
            <v>ISO4217:USD</v>
          </cell>
          <cell r="IA460" t="b">
            <v>0</v>
          </cell>
          <cell r="IB460" t="b">
            <v>0</v>
          </cell>
        </row>
        <row r="461">
          <cell r="D461" t="str">
            <v>Investment in intangible assets reflected in cost of acquisitions</v>
          </cell>
          <cell r="G461" t="str">
            <v/>
          </cell>
          <cell r="H461" t="str">
            <v/>
          </cell>
          <cell r="I461" t="str">
            <v/>
          </cell>
          <cell r="J461" t="str">
            <v/>
          </cell>
          <cell r="K461" t="str">
            <v/>
          </cell>
          <cell r="L461" t="str">
            <v/>
          </cell>
          <cell r="M461" t="str">
            <v/>
          </cell>
          <cell r="HX461" t="str">
            <v>mstag:investmentInIntangibleAssetsReflectedInCostOfAcquisitions</v>
          </cell>
          <cell r="HY461">
            <v>6</v>
          </cell>
          <cell r="HZ461" t="str">
            <v>ISO4217:USD</v>
          </cell>
          <cell r="IA461" t="b">
            <v>0</v>
          </cell>
          <cell r="IB461" t="b">
            <v>0</v>
          </cell>
        </row>
        <row r="462">
          <cell r="E462" t="str">
            <v>Investment in intangible assets reflected in cost of acquisitions, sustaining</v>
          </cell>
          <cell r="HX462" t="str">
            <v>mstag:investmentInIntangibleAssetsReflectedInCostOfAcquisitionsMaintenance</v>
          </cell>
          <cell r="HY462">
            <v>6</v>
          </cell>
          <cell r="HZ462" t="str">
            <v>ISO4217:USD</v>
          </cell>
          <cell r="IA462" t="b">
            <v>0</v>
          </cell>
          <cell r="IB462" t="b">
            <v>0</v>
          </cell>
        </row>
        <row r="463">
          <cell r="E463" t="str">
            <v>Investment in intangible assets reflected in cost of acquisitions, growth</v>
          </cell>
          <cell r="HX463" t="str">
            <v>mstag:investmentInIntangibleAssetsReflectedInCostOfAcquisitionsGrowth</v>
          </cell>
          <cell r="HY463">
            <v>6</v>
          </cell>
          <cell r="HZ463" t="str">
            <v>ISO4217:USD</v>
          </cell>
          <cell r="IA463" t="b">
            <v>0</v>
          </cell>
          <cell r="IB463" t="b">
            <v>0</v>
          </cell>
        </row>
        <row r="464">
          <cell r="D464" t="str">
            <v>Premium (goodwill) on acquisitions</v>
          </cell>
          <cell r="G464" t="str">
            <v/>
          </cell>
          <cell r="H464" t="str">
            <v/>
          </cell>
          <cell r="I464" t="str">
            <v/>
          </cell>
          <cell r="J464" t="str">
            <v/>
          </cell>
          <cell r="K464" t="str">
            <v/>
          </cell>
          <cell r="L464" t="str">
            <v/>
          </cell>
          <cell r="M464" t="str">
            <v/>
          </cell>
          <cell r="HX464" t="str">
            <v>mstag:premiumGoodwillOnAcquisions</v>
          </cell>
          <cell r="HY464">
            <v>6</v>
          </cell>
          <cell r="HZ464" t="str">
            <v>ISO4217:USD</v>
          </cell>
          <cell r="IA464" t="b">
            <v>0</v>
          </cell>
          <cell r="IB464" t="b">
            <v>0</v>
          </cell>
        </row>
        <row r="465">
          <cell r="E465" t="str">
            <v>Premium (goodwill) on acquisitions, sustaining</v>
          </cell>
          <cell r="HX465" t="str">
            <v>mstag:premiumGoodwillOnAcquisitionsSustaining</v>
          </cell>
          <cell r="HY465">
            <v>6</v>
          </cell>
          <cell r="HZ465" t="str">
            <v>ISO4217:USD</v>
          </cell>
          <cell r="IA465" t="b">
            <v>0</v>
          </cell>
          <cell r="IB465" t="b">
            <v>0</v>
          </cell>
        </row>
        <row r="466">
          <cell r="E466" t="str">
            <v>Premium (goodwill) on acquisitions, growth</v>
          </cell>
          <cell r="HX466" t="str">
            <v>mstag:premiumGoodwillOnAcquisitionsGrowth</v>
          </cell>
          <cell r="HY466">
            <v>6</v>
          </cell>
          <cell r="HZ466" t="str">
            <v>ISO4217:USD</v>
          </cell>
          <cell r="IA466" t="b">
            <v>0</v>
          </cell>
          <cell r="IB466" t="b">
            <v>0</v>
          </cell>
        </row>
        <row r="467">
          <cell r="D467" t="str">
            <v>Other assets (liabilities) acquired included in ending balance sheet totals</v>
          </cell>
          <cell r="HX467" t="str">
            <v>mstag:otherAssetsLiabilitiesIncludedInEndingBalanceSheetTotals</v>
          </cell>
          <cell r="HY467">
            <v>6</v>
          </cell>
          <cell r="HZ467" t="str">
            <v>ISO4217:USD</v>
          </cell>
          <cell r="IA467" t="b">
            <v>0</v>
          </cell>
          <cell r="IB467" t="b">
            <v>0</v>
          </cell>
        </row>
        <row r="468">
          <cell r="D468" t="str">
            <v>Acquired in-process R and D, acquisitions</v>
          </cell>
          <cell r="HX468" t="str">
            <v>mstag:acquiredInProcessRAndDAcquisitions</v>
          </cell>
          <cell r="HY468">
            <v>6</v>
          </cell>
          <cell r="HZ468" t="str">
            <v>ISO4217:USD</v>
          </cell>
          <cell r="IA468" t="b">
            <v>0</v>
          </cell>
          <cell r="IB468" t="b">
            <v>0</v>
          </cell>
        </row>
        <row r="469">
          <cell r="D469" t="str">
            <v>Principal debt acquired</v>
          </cell>
          <cell r="HX469" t="str">
            <v>mstag:principalDebtAcquired</v>
          </cell>
          <cell r="HY469">
            <v>6</v>
          </cell>
          <cell r="HZ469" t="str">
            <v>ISO4217:USD</v>
          </cell>
          <cell r="IA469" t="b">
            <v>0</v>
          </cell>
          <cell r="IB469" t="b">
            <v>0</v>
          </cell>
        </row>
        <row r="470">
          <cell r="D470" t="str">
            <v>Equity issued on acquisition</v>
          </cell>
          <cell r="HX470" t="str">
            <v>mstag:equityIssuedOnAcquisition</v>
          </cell>
          <cell r="HY470">
            <v>6</v>
          </cell>
          <cell r="HZ470" t="str">
            <v>ISO4217:USD</v>
          </cell>
          <cell r="IA470" t="b">
            <v>0</v>
          </cell>
          <cell r="IB470" t="b">
            <v>0</v>
          </cell>
        </row>
        <row r="471">
          <cell r="C471" t="str">
            <v>Investment in intangible assets</v>
          </cell>
          <cell r="G471" t="str">
            <v/>
          </cell>
          <cell r="H471" t="str">
            <v/>
          </cell>
          <cell r="I471" t="str">
            <v/>
          </cell>
          <cell r="J471" t="str">
            <v/>
          </cell>
          <cell r="K471" t="str">
            <v/>
          </cell>
          <cell r="L471" t="str">
            <v/>
          </cell>
          <cell r="M471" t="str">
            <v/>
          </cell>
          <cell r="HX471" t="str">
            <v>mstag:investmentInIntangibleAssets</v>
          </cell>
          <cell r="HY471">
            <v>6</v>
          </cell>
          <cell r="HZ471" t="str">
            <v>ISO4217:USD</v>
          </cell>
          <cell r="IA471" t="b">
            <v>0</v>
          </cell>
          <cell r="IB471" t="b">
            <v>0</v>
          </cell>
        </row>
        <row r="472">
          <cell r="D472" t="str">
            <v>Investment in indefinite life intangibles</v>
          </cell>
          <cell r="G472" t="str">
            <v/>
          </cell>
          <cell r="H472" t="str">
            <v/>
          </cell>
          <cell r="I472" t="str">
            <v/>
          </cell>
          <cell r="J472" t="str">
            <v/>
          </cell>
          <cell r="K472" t="str">
            <v/>
          </cell>
          <cell r="L472" t="str">
            <v/>
          </cell>
          <cell r="M472" t="str">
            <v/>
          </cell>
          <cell r="HX472" t="str">
            <v>mstag:investmentInIndefiniteLifeIntangibles</v>
          </cell>
          <cell r="HY472">
            <v>6</v>
          </cell>
          <cell r="HZ472" t="str">
            <v>ISO4217:USD</v>
          </cell>
          <cell r="IA472" t="b">
            <v>0</v>
          </cell>
          <cell r="IB472" t="b">
            <v>0</v>
          </cell>
        </row>
        <row r="473">
          <cell r="E473" t="str">
            <v>Investment in indefinite life intangibles, sustaining</v>
          </cell>
          <cell r="HX473" t="str">
            <v>mstag:investmentInIndefiniteLifeIntangiblesMaintenance</v>
          </cell>
          <cell r="HY473">
            <v>6</v>
          </cell>
          <cell r="HZ473" t="str">
            <v>ISO4217:USD</v>
          </cell>
          <cell r="IA473" t="b">
            <v>0</v>
          </cell>
          <cell r="IB473" t="b">
            <v>0</v>
          </cell>
        </row>
        <row r="474">
          <cell r="E474" t="str">
            <v>Investment in indefinite life intangibles, growth</v>
          </cell>
          <cell r="HX474" t="str">
            <v>mstag:investmentInIndefiniteLifeIntangiblesGrowth</v>
          </cell>
          <cell r="HY474">
            <v>6</v>
          </cell>
          <cell r="HZ474" t="str">
            <v>ISO4217:USD</v>
          </cell>
          <cell r="IA474" t="b">
            <v>0</v>
          </cell>
          <cell r="IB474" t="b">
            <v>0</v>
          </cell>
        </row>
        <row r="475">
          <cell r="D475" t="str">
            <v>Investment in definite life intangibles</v>
          </cell>
          <cell r="G475" t="str">
            <v/>
          </cell>
          <cell r="H475" t="str">
            <v/>
          </cell>
          <cell r="I475" t="str">
            <v/>
          </cell>
          <cell r="J475" t="str">
            <v/>
          </cell>
          <cell r="K475" t="str">
            <v/>
          </cell>
          <cell r="L475" t="str">
            <v/>
          </cell>
          <cell r="M475" t="str">
            <v/>
          </cell>
          <cell r="HX475" t="str">
            <v>mstag:investmentInDefiniteLifeIntangibles</v>
          </cell>
          <cell r="HY475">
            <v>6</v>
          </cell>
          <cell r="HZ475" t="str">
            <v>ISO4217:USD</v>
          </cell>
          <cell r="IA475" t="b">
            <v>0</v>
          </cell>
          <cell r="IB475" t="b">
            <v>0</v>
          </cell>
        </row>
        <row r="476">
          <cell r="E476" t="str">
            <v>Investment in definite life intangibles, sustaining</v>
          </cell>
          <cell r="HX476" t="str">
            <v>mstag:investmentInDefiniteLifeIntangiblesMaintenance</v>
          </cell>
          <cell r="HY476">
            <v>6</v>
          </cell>
          <cell r="HZ476" t="str">
            <v>ISO4217:USD</v>
          </cell>
          <cell r="IA476" t="b">
            <v>0</v>
          </cell>
          <cell r="IB476" t="b">
            <v>0</v>
          </cell>
        </row>
        <row r="477">
          <cell r="E477" t="str">
            <v>Investment in definite life intangibles, growth</v>
          </cell>
          <cell r="HX477" t="str">
            <v>mstag:investmentInDefiniteLifeIntangiblesGrowth</v>
          </cell>
          <cell r="HY477">
            <v>6</v>
          </cell>
          <cell r="HZ477" t="str">
            <v>ISO4217:USD</v>
          </cell>
          <cell r="IA477" t="b">
            <v>0</v>
          </cell>
          <cell r="IB477" t="b">
            <v>0</v>
          </cell>
        </row>
        <row r="478">
          <cell r="C478" t="str">
            <v>Income (loss) from investments under the equity method, operating, cash flow statement</v>
          </cell>
          <cell r="HX478" t="str">
            <v>mstag:incomeLossFromInvestmentsAccountedForUnderTheEquityMethodOperating</v>
          </cell>
          <cell r="HY478">
            <v>6</v>
          </cell>
          <cell r="HZ478" t="str">
            <v>ISO4217:USD</v>
          </cell>
          <cell r="IA478" t="b">
            <v>0</v>
          </cell>
          <cell r="IB478" t="b">
            <v>0</v>
          </cell>
        </row>
        <row r="479">
          <cell r="C479" t="str">
            <v>Income (loss) from investments under the equity method, nonoperating, cash flow statement</v>
          </cell>
          <cell r="HX479" t="str">
            <v>mstag:incomeLossFromInvestmentsAccountedForUnderTheEquityMethodNonOperating</v>
          </cell>
          <cell r="HY479">
            <v>6</v>
          </cell>
          <cell r="HZ479" t="str">
            <v>ISO4217:USD</v>
          </cell>
          <cell r="IA479" t="b">
            <v>0</v>
          </cell>
          <cell r="IB479" t="b">
            <v>0</v>
          </cell>
        </row>
        <row r="480">
          <cell r="C480" t="str">
            <v>Dividends from investments under the equity method, operating, cash flow statement</v>
          </cell>
          <cell r="HX480" t="str">
            <v>mstag:dividendsFromInvestmentsAccountedForUnderTheEquityMethodOperating</v>
          </cell>
          <cell r="HY480">
            <v>6</v>
          </cell>
          <cell r="HZ480" t="str">
            <v>ISO4217:USD</v>
          </cell>
          <cell r="IA480" t="b">
            <v>0</v>
          </cell>
          <cell r="IB480" t="b">
            <v>0</v>
          </cell>
        </row>
        <row r="481">
          <cell r="C481" t="str">
            <v>Dividends from investments under the equity method, nonoperating, cash flow statement</v>
          </cell>
          <cell r="HX481" t="str">
            <v>mstag:dividendsFromInvestmentsAccountedForUnderTheEquityMethodNonOperating</v>
          </cell>
          <cell r="HY481">
            <v>6</v>
          </cell>
          <cell r="HZ481" t="str">
            <v>ISO4217:USD</v>
          </cell>
          <cell r="IA481" t="b">
            <v>0</v>
          </cell>
          <cell r="IB481" t="b">
            <v>0</v>
          </cell>
        </row>
        <row r="482">
          <cell r="C482" t="str">
            <v>Net increase in deferred tax liabilities (assets)</v>
          </cell>
          <cell r="G482">
            <v>19.66</v>
          </cell>
          <cell r="H482">
            <v>29.792000000000002</v>
          </cell>
          <cell r="I482">
            <v>-144.29500000000002</v>
          </cell>
          <cell r="J482">
            <v>-196.78200000000001</v>
          </cell>
          <cell r="K482">
            <v>29.356999999999999</v>
          </cell>
          <cell r="L482">
            <v>-196.64400000000001</v>
          </cell>
          <cell r="M482">
            <v>-149</v>
          </cell>
          <cell r="HX482" t="str">
            <v>mstag:deferredTax</v>
          </cell>
          <cell r="HY482">
            <v>6</v>
          </cell>
          <cell r="HZ482" t="str">
            <v>ISO4217:USD</v>
          </cell>
          <cell r="IA482" t="b">
            <v>0</v>
          </cell>
          <cell r="IB482" t="b">
            <v>0</v>
          </cell>
        </row>
        <row r="483">
          <cell r="D483" t="str">
            <v>Net decrease in deferred tax asset from exercise of ESOs in the period</v>
          </cell>
          <cell r="HX483" t="str">
            <v>mstag:netDecreaseInDeferredTaxAssetFromExerciseOfEsosInThePeriod</v>
          </cell>
          <cell r="HY483">
            <v>6</v>
          </cell>
          <cell r="HZ483" t="str">
            <v>ISO4217:USD</v>
          </cell>
          <cell r="IA483" t="b">
            <v>0</v>
          </cell>
          <cell r="IB483" t="b">
            <v>0</v>
          </cell>
        </row>
        <row r="484">
          <cell r="C484" t="str">
            <v>Net increase in income tax payable (receivable)</v>
          </cell>
          <cell r="HX484" t="str">
            <v>mstag:netIncreaseInIncomeTaxPayableReceivable</v>
          </cell>
          <cell r="HY484">
            <v>6</v>
          </cell>
          <cell r="HZ484" t="str">
            <v>ISO4217:USD</v>
          </cell>
          <cell r="IA484" t="b">
            <v>0</v>
          </cell>
          <cell r="IB484" t="b">
            <v>0</v>
          </cell>
        </row>
        <row r="485">
          <cell r="D485" t="str">
            <v>Net decrease in income tax payable due to tax benefit from exercise of ESOs</v>
          </cell>
          <cell r="HX485" t="str">
            <v>mstag:netDecreaseInIncomeTaxPayableDueToTaxBenefitFromExerciseOfEsos</v>
          </cell>
          <cell r="HY485">
            <v>6</v>
          </cell>
          <cell r="HZ485" t="str">
            <v>ISO4217:USD</v>
          </cell>
          <cell r="IA485" t="b">
            <v>0</v>
          </cell>
          <cell r="IB485" t="b">
            <v>0</v>
          </cell>
        </row>
        <row r="486">
          <cell r="C486" t="str">
            <v>Stock-based compensation charge, pretax</v>
          </cell>
          <cell r="HX486" t="str">
            <v>mstag:stockBasedCompensationChargePreTax</v>
          </cell>
          <cell r="HY486">
            <v>6</v>
          </cell>
          <cell r="HZ486" t="str">
            <v>ISO4217:USD</v>
          </cell>
          <cell r="IA486" t="b">
            <v>0</v>
          </cell>
          <cell r="IB486" t="b">
            <v>0</v>
          </cell>
        </row>
        <row r="487">
          <cell r="C487" t="str">
            <v>Tax benefit from exercise of ESOs</v>
          </cell>
          <cell r="G487">
            <v>0</v>
          </cell>
          <cell r="H487">
            <v>0</v>
          </cell>
          <cell r="I487">
            <v>119.15300000000001</v>
          </cell>
          <cell r="J487">
            <v>0</v>
          </cell>
          <cell r="K487">
            <v>0</v>
          </cell>
          <cell r="L487">
            <v>0</v>
          </cell>
          <cell r="M487">
            <v>0</v>
          </cell>
          <cell r="HX487" t="str">
            <v>mstag:taxBenefitFromExerciseOfEsosCashFlowStatement</v>
          </cell>
          <cell r="HY487">
            <v>6</v>
          </cell>
          <cell r="HZ487" t="str">
            <v>ISO4217:USD</v>
          </cell>
          <cell r="IA487" t="b">
            <v>0</v>
          </cell>
          <cell r="IB487" t="b">
            <v>0</v>
          </cell>
        </row>
        <row r="488">
          <cell r="C488" t="str">
            <v>Net decrease in other assets, operating</v>
          </cell>
          <cell r="G488">
            <v>-61.529000000000003</v>
          </cell>
          <cell r="H488">
            <v>-17.151</v>
          </cell>
          <cell r="I488">
            <v>-23.551000000000002</v>
          </cell>
          <cell r="J488">
            <v>-55.603999999999999</v>
          </cell>
          <cell r="K488">
            <v>-10.105</v>
          </cell>
          <cell r="L488">
            <v>12.875</v>
          </cell>
          <cell r="M488">
            <v>-1110.23</v>
          </cell>
          <cell r="HX488" t="str">
            <v>mstag:netDecreaseInOtherAssets</v>
          </cell>
          <cell r="HY488">
            <v>6</v>
          </cell>
          <cell r="HZ488" t="str">
            <v>ISO4217:USD</v>
          </cell>
          <cell r="IA488" t="b">
            <v>0</v>
          </cell>
          <cell r="IB488" t="b">
            <v>0</v>
          </cell>
        </row>
        <row r="489">
          <cell r="C489" t="str">
            <v>Net decrease in trade receivables</v>
          </cell>
          <cell r="G489">
            <v>11.194000000000001</v>
          </cell>
          <cell r="H489">
            <v>33.767000000000003</v>
          </cell>
          <cell r="I489">
            <v>-70.994</v>
          </cell>
          <cell r="J489">
            <v>-103.863</v>
          </cell>
          <cell r="K489">
            <v>-59.512</v>
          </cell>
          <cell r="L489">
            <v>-107.483</v>
          </cell>
          <cell r="M489">
            <v>-146.1</v>
          </cell>
          <cell r="HX489" t="str">
            <v>mstag:netDecreaseInTradeReceivables</v>
          </cell>
          <cell r="HY489">
            <v>6</v>
          </cell>
          <cell r="HZ489" t="str">
            <v>ISO4217:USD</v>
          </cell>
          <cell r="IA489" t="b">
            <v>0</v>
          </cell>
          <cell r="IB489" t="b">
            <v>0</v>
          </cell>
        </row>
        <row r="490">
          <cell r="C490" t="str">
            <v>Net decrease in finance lease receivables</v>
          </cell>
          <cell r="HX490" t="str">
            <v>mstag:netDecreaseInFinanceLeaseReceivables</v>
          </cell>
          <cell r="HY490">
            <v>6</v>
          </cell>
          <cell r="HZ490" t="str">
            <v>ISO4217:USD</v>
          </cell>
          <cell r="IA490" t="b">
            <v>0</v>
          </cell>
          <cell r="IB490" t="b">
            <v>0</v>
          </cell>
        </row>
        <row r="491">
          <cell r="C491" t="str">
            <v>Net decrease in unbilled receivables</v>
          </cell>
          <cell r="HX491" t="str">
            <v>mstag:netDecreaseInUnbilledReceivables</v>
          </cell>
          <cell r="HY491">
            <v>6</v>
          </cell>
          <cell r="HZ491" t="str">
            <v>ISO4217:USD</v>
          </cell>
          <cell r="IA491" t="b">
            <v>0</v>
          </cell>
          <cell r="IB491" t="b">
            <v>0</v>
          </cell>
        </row>
        <row r="492">
          <cell r="C492" t="str">
            <v>Net decrease in other receivables</v>
          </cell>
          <cell r="HX492" t="str">
            <v>mstag:netDecreaseInOtherReceivables</v>
          </cell>
          <cell r="HY492">
            <v>6</v>
          </cell>
          <cell r="HZ492" t="str">
            <v>ISO4217:USD</v>
          </cell>
          <cell r="IA492" t="b">
            <v>0</v>
          </cell>
          <cell r="IB492" t="b">
            <v>0</v>
          </cell>
        </row>
        <row r="493">
          <cell r="C493" t="str">
            <v>Net decrease in prepaid expenses</v>
          </cell>
          <cell r="HX493" t="str">
            <v>mstag:netDecreaseInPrepaidExpenses</v>
          </cell>
          <cell r="HY493">
            <v>6</v>
          </cell>
          <cell r="HZ493" t="str">
            <v>ISO4217:USD</v>
          </cell>
          <cell r="IA493" t="b">
            <v>0</v>
          </cell>
          <cell r="IB493" t="b">
            <v>0</v>
          </cell>
        </row>
        <row r="494">
          <cell r="C494" t="str">
            <v>Net decrease in inventories</v>
          </cell>
          <cell r="G494">
            <v>-24.082999999999998</v>
          </cell>
          <cell r="H494">
            <v>-32.6</v>
          </cell>
          <cell r="I494">
            <v>59.561</v>
          </cell>
          <cell r="J494">
            <v>9.4149999999999991</v>
          </cell>
          <cell r="K494">
            <v>-91.116</v>
          </cell>
          <cell r="L494">
            <v>-36.595999999999997</v>
          </cell>
          <cell r="M494">
            <v>-93.26</v>
          </cell>
          <cell r="HX494" t="str">
            <v>mstag:netDecreaseInInventories</v>
          </cell>
          <cell r="HY494">
            <v>6</v>
          </cell>
          <cell r="HZ494" t="str">
            <v>ISO4217:USD</v>
          </cell>
          <cell r="IA494" t="b">
            <v>0</v>
          </cell>
          <cell r="IB494" t="b">
            <v>0</v>
          </cell>
        </row>
        <row r="495">
          <cell r="C495" t="str">
            <v>Net increase in trade and other payables</v>
          </cell>
          <cell r="G495">
            <v>32.896999999999998</v>
          </cell>
          <cell r="H495">
            <v>15.936999999999999</v>
          </cell>
          <cell r="I495">
            <v>166.41199999999998</v>
          </cell>
          <cell r="J495">
            <v>239.38800000000001</v>
          </cell>
          <cell r="K495">
            <v>124.774</v>
          </cell>
          <cell r="L495">
            <v>148.68100000000001</v>
          </cell>
          <cell r="M495">
            <v>463.6</v>
          </cell>
          <cell r="HX495" t="str">
            <v>mstag:netIncreaseInTradeAndOtherPayables</v>
          </cell>
          <cell r="HY495">
            <v>6</v>
          </cell>
          <cell r="HZ495" t="str">
            <v>ISO4217:USD</v>
          </cell>
          <cell r="IA495" t="b">
            <v>0</v>
          </cell>
          <cell r="IB495" t="b">
            <v>0</v>
          </cell>
        </row>
        <row r="496">
          <cell r="C496" t="str">
            <v>Net increase in deferred revenue</v>
          </cell>
          <cell r="G496">
            <v>0</v>
          </cell>
          <cell r="H496">
            <v>0</v>
          </cell>
          <cell r="I496">
            <v>0</v>
          </cell>
          <cell r="J496">
            <v>0</v>
          </cell>
          <cell r="K496">
            <v>-15.457000000000001</v>
          </cell>
          <cell r="L496">
            <v>2.0009999999999999</v>
          </cell>
          <cell r="M496">
            <v>239.14500000000001</v>
          </cell>
          <cell r="HX496" t="str">
            <v>mstag:netIncreaseInDeferredRevenue</v>
          </cell>
          <cell r="HY496">
            <v>6</v>
          </cell>
          <cell r="HZ496" t="str">
            <v>ISO4217:USD</v>
          </cell>
          <cell r="IA496" t="b">
            <v>0</v>
          </cell>
          <cell r="IB496" t="b">
            <v>0</v>
          </cell>
        </row>
        <row r="497">
          <cell r="C497" t="str">
            <v>Net increase in accrued expenses</v>
          </cell>
          <cell r="HX497" t="str">
            <v>mstag:netIncreaseInAccruedExpenses</v>
          </cell>
          <cell r="HY497">
            <v>6</v>
          </cell>
          <cell r="HZ497" t="str">
            <v>ISO4217:USD</v>
          </cell>
          <cell r="IA497" t="b">
            <v>0</v>
          </cell>
          <cell r="IB497" t="b">
            <v>0</v>
          </cell>
        </row>
        <row r="498">
          <cell r="C498" t="str">
            <v>Net increase in deferred compensation</v>
          </cell>
          <cell r="HX498" t="str">
            <v>mstag:netIncreaseInDeferredCompensation</v>
          </cell>
          <cell r="HY498">
            <v>6</v>
          </cell>
          <cell r="HZ498" t="str">
            <v>ISO4217:USD</v>
          </cell>
          <cell r="IA498" t="b">
            <v>0</v>
          </cell>
          <cell r="IB498" t="b">
            <v>0</v>
          </cell>
        </row>
        <row r="499">
          <cell r="C499" t="str">
            <v>Proceeds from issuance and cash used to repay short term borrowings</v>
          </cell>
          <cell r="G499">
            <v>0</v>
          </cell>
          <cell r="H499">
            <v>0</v>
          </cell>
          <cell r="I499">
            <v>0</v>
          </cell>
          <cell r="J499">
            <v>0</v>
          </cell>
          <cell r="K499">
            <v>0</v>
          </cell>
          <cell r="L499">
            <v>-149.69200000000001</v>
          </cell>
          <cell r="M499">
            <v>0</v>
          </cell>
          <cell r="HX499" t="str">
            <v>mstag:proceedsFromIssuanceAndCashUsedToRepayShortTermBorrowings</v>
          </cell>
          <cell r="HY499">
            <v>6</v>
          </cell>
          <cell r="HZ499" t="str">
            <v>ISO4217:USD</v>
          </cell>
          <cell r="IA499" t="b">
            <v>0</v>
          </cell>
          <cell r="IB499" t="b">
            <v>0</v>
          </cell>
        </row>
        <row r="500">
          <cell r="C500" t="str">
            <v>Proceeds from issuance and cash used to repay long term debt</v>
          </cell>
          <cell r="HX500" t="str">
            <v>mstag:proceedsFromIssuanceAndCashUsedToRepayLongTermDebt</v>
          </cell>
          <cell r="HY500">
            <v>6</v>
          </cell>
          <cell r="HZ500" t="str">
            <v>ISO4217:USD</v>
          </cell>
          <cell r="IA500" t="b">
            <v>0</v>
          </cell>
          <cell r="IB500" t="b">
            <v>0</v>
          </cell>
        </row>
        <row r="501">
          <cell r="C501" t="str">
            <v>Net increase in other liabilities, operating</v>
          </cell>
          <cell r="G501">
            <v>0</v>
          </cell>
          <cell r="H501">
            <v>0</v>
          </cell>
          <cell r="I501">
            <v>0</v>
          </cell>
          <cell r="J501">
            <v>0</v>
          </cell>
          <cell r="K501">
            <v>0</v>
          </cell>
          <cell r="L501">
            <v>552.18499999999995</v>
          </cell>
          <cell r="HX501" t="str">
            <v>mstag:netIncreaseInOtherLiabilitiesOperating</v>
          </cell>
          <cell r="HY501">
            <v>6</v>
          </cell>
          <cell r="HZ501" t="str">
            <v>ISO4217:USD</v>
          </cell>
          <cell r="IA501" t="b">
            <v>0</v>
          </cell>
          <cell r="IB501" t="b">
            <v>0</v>
          </cell>
        </row>
        <row r="502">
          <cell r="C502" t="str">
            <v>Net increase in minority interests in shareholders' equity</v>
          </cell>
          <cell r="HX502" t="str">
            <v>mstag:netIncreaseInMinorityInterestsInShareholdersEquity</v>
          </cell>
          <cell r="HY502">
            <v>6</v>
          </cell>
          <cell r="HZ502" t="str">
            <v>ISO4217:USD</v>
          </cell>
          <cell r="IA502" t="b">
            <v>0</v>
          </cell>
          <cell r="IB502" t="b">
            <v>0</v>
          </cell>
        </row>
        <row r="503">
          <cell r="C503" t="str">
            <v>Net issuance of preferred stock</v>
          </cell>
          <cell r="G503" t="str">
            <v/>
          </cell>
          <cell r="H503" t="str">
            <v/>
          </cell>
          <cell r="I503" t="str">
            <v/>
          </cell>
          <cell r="J503" t="str">
            <v/>
          </cell>
          <cell r="K503" t="str">
            <v/>
          </cell>
          <cell r="L503" t="str">
            <v/>
          </cell>
          <cell r="M503" t="str">
            <v/>
          </cell>
          <cell r="HX503" t="str">
            <v>mstag:netIssuanceOfPreferredStock</v>
          </cell>
          <cell r="HY503">
            <v>6</v>
          </cell>
          <cell r="HZ503" t="str">
            <v>ISO4217:USD</v>
          </cell>
          <cell r="IA503" t="b">
            <v>0</v>
          </cell>
          <cell r="IB503" t="b">
            <v>0</v>
          </cell>
        </row>
        <row r="504">
          <cell r="D504" t="str">
            <v>Issuances of preferred stock</v>
          </cell>
          <cell r="HX504" t="str">
            <v>mstag:issuancesOfPreferredStock</v>
          </cell>
          <cell r="HY504">
            <v>6</v>
          </cell>
          <cell r="HZ504" t="str">
            <v>ISO4217:USD</v>
          </cell>
          <cell r="IA504" t="b">
            <v>0</v>
          </cell>
          <cell r="IB504" t="b">
            <v>0</v>
          </cell>
        </row>
        <row r="505">
          <cell r="D505" t="str">
            <v>Redemptions, retirements and repurchases of preferred stock</v>
          </cell>
          <cell r="HX505" t="str">
            <v>mstag:redemptionsRetirementsAndRepurchasesOfPreferredStock</v>
          </cell>
          <cell r="HY505">
            <v>6</v>
          </cell>
          <cell r="HZ505" t="str">
            <v>ISO4217:USD</v>
          </cell>
          <cell r="IA505" t="b">
            <v>0</v>
          </cell>
          <cell r="IB505" t="b">
            <v>0</v>
          </cell>
        </row>
        <row r="506">
          <cell r="C506" t="str">
            <v>Proceeds from issuance/(funds used to repurchase) common stock</v>
          </cell>
          <cell r="G506">
            <v>87.259</v>
          </cell>
          <cell r="H506">
            <v>107.938</v>
          </cell>
          <cell r="I506">
            <v>160.203</v>
          </cell>
          <cell r="J506">
            <v>180.37899999999999</v>
          </cell>
          <cell r="K506">
            <v>67.162000000000006</v>
          </cell>
          <cell r="L506">
            <v>-618.58799999999997</v>
          </cell>
          <cell r="M506">
            <v>325.52</v>
          </cell>
          <cell r="HX506" t="str">
            <v>mstag:proceedsFromIssuanceFundsUsedToRepurchaseCommonStock</v>
          </cell>
          <cell r="HY506">
            <v>6</v>
          </cell>
          <cell r="HZ506" t="str">
            <v>ISO4217:USD</v>
          </cell>
          <cell r="IA506" t="b">
            <v>0</v>
          </cell>
          <cell r="IB506" t="b">
            <v>0</v>
          </cell>
        </row>
        <row r="507">
          <cell r="D507" t="str">
            <v>Proceeds from issuance of common stock</v>
          </cell>
          <cell r="G507">
            <v>87.259</v>
          </cell>
          <cell r="H507">
            <v>107.938</v>
          </cell>
          <cell r="I507">
            <v>160.203</v>
          </cell>
          <cell r="J507">
            <v>180.37899999999999</v>
          </cell>
          <cell r="K507">
            <v>106.866</v>
          </cell>
          <cell r="L507">
            <v>74.164000000000001</v>
          </cell>
          <cell r="HX507" t="str">
            <v>mstag:proceedsFromIssuanceOfCommonStock</v>
          </cell>
          <cell r="HY507">
            <v>6</v>
          </cell>
          <cell r="HZ507" t="str">
            <v>ISO4217:USD</v>
          </cell>
          <cell r="IA507" t="b">
            <v>0</v>
          </cell>
          <cell r="IB507" t="b">
            <v>0</v>
          </cell>
        </row>
        <row r="508">
          <cell r="D508" t="str">
            <v>Funds used to repurchase common stock</v>
          </cell>
          <cell r="G508">
            <v>0</v>
          </cell>
          <cell r="H508">
            <v>0</v>
          </cell>
          <cell r="I508">
            <v>0</v>
          </cell>
          <cell r="J508">
            <v>0</v>
          </cell>
          <cell r="K508">
            <v>39.704000000000001</v>
          </cell>
          <cell r="L508">
            <v>692.75199999999995</v>
          </cell>
          <cell r="HX508" t="str">
            <v>mstag:fundsUsedToRepurchaseCommonStock</v>
          </cell>
          <cell r="HY508">
            <v>6</v>
          </cell>
          <cell r="HZ508" t="str">
            <v>ISO4217:USD</v>
          </cell>
          <cell r="IA508" t="b">
            <v>0</v>
          </cell>
          <cell r="IB508" t="b">
            <v>0</v>
          </cell>
        </row>
        <row r="509">
          <cell r="C509" t="str">
            <v>Cash dividends paid</v>
          </cell>
          <cell r="HX509" t="str">
            <v>mstag:cashDividendsPaid</v>
          </cell>
          <cell r="HY509">
            <v>6</v>
          </cell>
          <cell r="HZ509" t="str">
            <v>ISO4217:USD</v>
          </cell>
          <cell r="IA509" t="b">
            <v>0</v>
          </cell>
          <cell r="IB509" t="b">
            <v>0</v>
          </cell>
        </row>
        <row r="510">
          <cell r="C510" t="str">
            <v>Net decrease in notes receivable</v>
          </cell>
          <cell r="HX510" t="str">
            <v>mstag:netDecreaseInNotesReceivable</v>
          </cell>
          <cell r="HY510">
            <v>6</v>
          </cell>
          <cell r="HZ510" t="str">
            <v>ISO4217:USD</v>
          </cell>
          <cell r="IA510" t="b">
            <v>0</v>
          </cell>
          <cell r="IB510" t="b">
            <v>0</v>
          </cell>
        </row>
        <row r="511">
          <cell r="C511" t="str">
            <v>Net decrease in other assets, nonoperating</v>
          </cell>
          <cell r="HX511" t="str">
            <v>mstag:netDecreaseInOtherAssetsNonOperating</v>
          </cell>
          <cell r="HY511">
            <v>6</v>
          </cell>
          <cell r="HZ511" t="str">
            <v>ISO4217:USD</v>
          </cell>
          <cell r="IA511" t="b">
            <v>0</v>
          </cell>
          <cell r="IB511" t="b">
            <v>0</v>
          </cell>
        </row>
        <row r="512">
          <cell r="C512" t="str">
            <v>Net increase in dividends payable</v>
          </cell>
          <cell r="HX512" t="str">
            <v>mstag:netIncreaseInDividendsPayable</v>
          </cell>
          <cell r="HY512">
            <v>6</v>
          </cell>
          <cell r="HZ512" t="str">
            <v>ISO4217:USD</v>
          </cell>
          <cell r="IA512" t="b">
            <v>0</v>
          </cell>
          <cell r="IB512" t="b">
            <v>0</v>
          </cell>
        </row>
        <row r="513">
          <cell r="C513" t="str">
            <v>Net increase in other liabilities, nonoperating</v>
          </cell>
          <cell r="G513">
            <v>0</v>
          </cell>
          <cell r="H513">
            <v>0</v>
          </cell>
          <cell r="I513">
            <v>0</v>
          </cell>
          <cell r="J513">
            <v>0</v>
          </cell>
          <cell r="K513">
            <v>0</v>
          </cell>
          <cell r="L513">
            <v>0</v>
          </cell>
          <cell r="M513">
            <v>56.1</v>
          </cell>
          <cell r="HX513" t="str">
            <v>mstag:netIncreaseInOtherLiabilitiesNonOperating</v>
          </cell>
          <cell r="HY513">
            <v>6</v>
          </cell>
          <cell r="HZ513" t="str">
            <v>ISO4217:USD</v>
          </cell>
          <cell r="IA513" t="b">
            <v>0</v>
          </cell>
          <cell r="IB513" t="b">
            <v>0</v>
          </cell>
        </row>
        <row r="514">
          <cell r="C514" t="str">
            <v>Contribution to pension and other post retirement plan assets</v>
          </cell>
          <cell r="HX514" t="str">
            <v>mstag:contributionToPensionAndOtherPostRetirementPlanAssets</v>
          </cell>
          <cell r="HY514">
            <v>6</v>
          </cell>
          <cell r="HZ514" t="str">
            <v>ISO4217:USD</v>
          </cell>
          <cell r="IA514" t="b">
            <v>0</v>
          </cell>
          <cell r="IB514" t="b">
            <v>0</v>
          </cell>
        </row>
        <row r="515">
          <cell r="C515" t="str">
            <v>Net increase in securitized assets, cash flow statement</v>
          </cell>
          <cell r="HX515" t="str">
            <v>mstag:netIncreaseInSecuritizedAssetsCashFlowStatement</v>
          </cell>
          <cell r="HY515">
            <v>6</v>
          </cell>
          <cell r="HZ515" t="str">
            <v>ISO4217:USD</v>
          </cell>
          <cell r="IA515" t="b">
            <v>0</v>
          </cell>
          <cell r="IB515" t="b">
            <v>0</v>
          </cell>
        </row>
        <row r="516">
          <cell r="C516" t="str">
            <v>Net decrease in investments, nonoperating</v>
          </cell>
          <cell r="G516">
            <v>-68.186000000000035</v>
          </cell>
          <cell r="H516">
            <v>-273.92699999999996</v>
          </cell>
          <cell r="I516">
            <v>8.4469999999999459</v>
          </cell>
          <cell r="J516">
            <v>-136.43600000000004</v>
          </cell>
          <cell r="K516">
            <v>-576.10900000000004</v>
          </cell>
          <cell r="L516">
            <v>174.39500000000021</v>
          </cell>
          <cell r="HX516" t="str">
            <v>mstag:netDecreaseInInvestmentsNonOperating</v>
          </cell>
          <cell r="HY516">
            <v>6</v>
          </cell>
          <cell r="HZ516" t="str">
            <v>ISO4217:USD</v>
          </cell>
          <cell r="IA516" t="b">
            <v>0</v>
          </cell>
          <cell r="IB516" t="b">
            <v>0</v>
          </cell>
        </row>
        <row r="517">
          <cell r="C517" t="str">
            <v>Net cash flow from discontinued operations</v>
          </cell>
          <cell r="HX517" t="str">
            <v>mstag:netCashFlowFromDiscontinuedOperations</v>
          </cell>
          <cell r="HY517">
            <v>6</v>
          </cell>
          <cell r="HZ517" t="str">
            <v>ISO4217:USD</v>
          </cell>
          <cell r="IA517" t="b">
            <v>0</v>
          </cell>
          <cell r="IB517" t="b">
            <v>0</v>
          </cell>
        </row>
        <row r="518">
          <cell r="C518" t="str">
            <v>Other cash flow</v>
          </cell>
          <cell r="G518">
            <v>0</v>
          </cell>
          <cell r="H518">
            <v>0</v>
          </cell>
          <cell r="I518">
            <v>0</v>
          </cell>
          <cell r="J518">
            <v>0</v>
          </cell>
          <cell r="K518">
            <v>5.6379999999999999</v>
          </cell>
          <cell r="L518">
            <v>0</v>
          </cell>
          <cell r="M518">
            <v>47.655000000000001</v>
          </cell>
          <cell r="HX518" t="str">
            <v>mstag:otherCashFlow</v>
          </cell>
          <cell r="HY518">
            <v>6</v>
          </cell>
          <cell r="HZ518" t="str">
            <v>ISO4217:USD</v>
          </cell>
          <cell r="IA518" t="b">
            <v>0</v>
          </cell>
          <cell r="IB518" t="b">
            <v>0</v>
          </cell>
        </row>
        <row r="519">
          <cell r="C519" t="str">
            <v>Effect of foreign exchange rates on cash</v>
          </cell>
          <cell r="HX519" t="str">
            <v>mstag:effectOfForeignExchangeRatesOnCash</v>
          </cell>
          <cell r="HY519">
            <v>6</v>
          </cell>
          <cell r="HZ519" t="str">
            <v>ISO4217:USD</v>
          </cell>
          <cell r="IA519" t="b">
            <v>0</v>
          </cell>
          <cell r="IB519" t="b">
            <v>0</v>
          </cell>
        </row>
        <row r="520">
          <cell r="B520" t="str">
            <v>Changes in shareholders equity</v>
          </cell>
          <cell r="HY520">
            <v>0</v>
          </cell>
          <cell r="HZ520" t="str">
            <v>ms_eqr_gcim_String:ms_eqr_gcim_string</v>
          </cell>
          <cell r="IA520" t="b">
            <v>0</v>
          </cell>
          <cell r="IB520" t="b">
            <v>0</v>
          </cell>
        </row>
        <row r="521">
          <cell r="C521" t="str">
            <v>Common dividends</v>
          </cell>
          <cell r="G521">
            <v>0</v>
          </cell>
          <cell r="H521">
            <v>0</v>
          </cell>
          <cell r="I521">
            <v>0</v>
          </cell>
          <cell r="J521">
            <v>0</v>
          </cell>
          <cell r="K521">
            <v>0</v>
          </cell>
          <cell r="L521">
            <v>0</v>
          </cell>
          <cell r="M521">
            <v>0</v>
          </cell>
          <cell r="HX521" t="str">
            <v>mstag:commonDividends</v>
          </cell>
          <cell r="HY521">
            <v>6</v>
          </cell>
          <cell r="HZ521" t="str">
            <v>ISO4217:USD</v>
          </cell>
          <cell r="IA521" t="b">
            <v>0</v>
          </cell>
          <cell r="IB521" t="b">
            <v>0</v>
          </cell>
        </row>
        <row r="522">
          <cell r="C522" t="str">
            <v>Common dividends attributable to current-period earnings</v>
          </cell>
          <cell r="HX522" t="str">
            <v>mstag:commonDividendsAttributableToCurrentPeriodEarnings</v>
          </cell>
          <cell r="HY522">
            <v>6</v>
          </cell>
          <cell r="HZ522" t="str">
            <v>ISO4217:USD</v>
          </cell>
          <cell r="IA522" t="b">
            <v>0</v>
          </cell>
          <cell r="IB522" t="b">
            <v>0</v>
          </cell>
        </row>
        <row r="523">
          <cell r="C523" t="str">
            <v>Net issuance (repurchase) of common stock</v>
          </cell>
          <cell r="G523">
            <v>101.239</v>
          </cell>
          <cell r="H523">
            <v>125.28</v>
          </cell>
          <cell r="I523">
            <v>3883.2519999999995</v>
          </cell>
          <cell r="J523">
            <v>406.46800000000002</v>
          </cell>
          <cell r="K523">
            <v>115.27599999999998</v>
          </cell>
          <cell r="L523">
            <v>-601.64199999999994</v>
          </cell>
          <cell r="M523">
            <v>590.29999999999995</v>
          </cell>
          <cell r="HX523" t="str">
            <v>mstag:netIssuanceRepurchaseOfCommonStock</v>
          </cell>
          <cell r="HY523">
            <v>6</v>
          </cell>
          <cell r="HZ523" t="str">
            <v>ISO4217:USD</v>
          </cell>
          <cell r="IA523" t="b">
            <v>0</v>
          </cell>
          <cell r="IB523" t="b">
            <v>0</v>
          </cell>
        </row>
        <row r="524">
          <cell r="D524" t="str">
            <v>Issuance of common stock</v>
          </cell>
          <cell r="G524">
            <v>101.239</v>
          </cell>
          <cell r="H524">
            <v>125.28</v>
          </cell>
          <cell r="I524">
            <v>3883.2519999999995</v>
          </cell>
          <cell r="J524">
            <v>406.46800000000002</v>
          </cell>
          <cell r="K524">
            <v>154.97999999999999</v>
          </cell>
          <cell r="L524">
            <v>91.11</v>
          </cell>
          <cell r="M524" t="str">
            <v/>
          </cell>
          <cell r="HX524" t="str">
            <v>mstag:issuanceOfCommonStock</v>
          </cell>
          <cell r="HY524">
            <v>6</v>
          </cell>
          <cell r="HZ524" t="str">
            <v>ISO4217:USD</v>
          </cell>
          <cell r="IA524" t="b">
            <v>0</v>
          </cell>
          <cell r="IB524" t="b">
            <v>0</v>
          </cell>
        </row>
        <row r="525">
          <cell r="E525" t="str">
            <v>Share issuance related to employee stock purchase and option plans</v>
          </cell>
          <cell r="G525">
            <v>87.259</v>
          </cell>
          <cell r="H525">
            <v>107.94800000000001</v>
          </cell>
          <cell r="I525">
            <v>160.54500000000002</v>
          </cell>
          <cell r="J525">
            <v>180.39500000000001</v>
          </cell>
          <cell r="K525">
            <v>106.866</v>
          </cell>
          <cell r="L525">
            <v>74.164000000000001</v>
          </cell>
          <cell r="HX525" t="str">
            <v>mstag:shareIssuanceRelatedToEmployeeStockPurchaseAndOptionPlans</v>
          </cell>
          <cell r="HY525">
            <v>6</v>
          </cell>
          <cell r="HZ525" t="str">
            <v>ISO4217:USD</v>
          </cell>
          <cell r="IA525" t="b">
            <v>0</v>
          </cell>
          <cell r="IB525" t="b">
            <v>0</v>
          </cell>
        </row>
        <row r="526">
          <cell r="E526" t="str">
            <v>Other share issuance</v>
          </cell>
          <cell r="HX526" t="str">
            <v>mstag:otherShareIssuance</v>
          </cell>
          <cell r="HY526">
            <v>6</v>
          </cell>
          <cell r="HZ526" t="str">
            <v>ISO4217:USD</v>
          </cell>
          <cell r="IA526" t="b">
            <v>0</v>
          </cell>
          <cell r="IB526" t="b">
            <v>0</v>
          </cell>
        </row>
        <row r="527">
          <cell r="E527" t="str">
            <v>Amortization of deferred compensation expense</v>
          </cell>
          <cell r="HX527" t="str">
            <v>mstag:amortizationOfDeferredCompensationExpense</v>
          </cell>
          <cell r="HY527">
            <v>6</v>
          </cell>
          <cell r="HZ527" t="str">
            <v>ISO4217:USD</v>
          </cell>
          <cell r="IA527" t="b">
            <v>0</v>
          </cell>
          <cell r="IB527" t="b">
            <v>0</v>
          </cell>
        </row>
        <row r="528">
          <cell r="E528" t="str">
            <v>Tax benefit from exercise of employee stock options</v>
          </cell>
          <cell r="G528">
            <v>13.98</v>
          </cell>
          <cell r="H528">
            <v>17.332000000000001</v>
          </cell>
          <cell r="I528">
            <v>82.987000000000009</v>
          </cell>
          <cell r="J528">
            <v>226.07300000000001</v>
          </cell>
          <cell r="K528">
            <v>48.113999999999997</v>
          </cell>
          <cell r="L528">
            <v>16.946000000000002</v>
          </cell>
          <cell r="HX528" t="str">
            <v>mstag:taxBenefitFromExerciseOfEsos</v>
          </cell>
          <cell r="HY528">
            <v>6</v>
          </cell>
          <cell r="HZ528" t="str">
            <v>ISO4217:USD</v>
          </cell>
          <cell r="IA528" t="b">
            <v>0</v>
          </cell>
          <cell r="IB528" t="b">
            <v>0</v>
          </cell>
        </row>
        <row r="529">
          <cell r="E529" t="str">
            <v>Other changes in share capital</v>
          </cell>
          <cell r="G529">
            <v>0</v>
          </cell>
          <cell r="H529">
            <v>0</v>
          </cell>
          <cell r="I529">
            <v>3639.7199999999993</v>
          </cell>
          <cell r="J529">
            <v>0</v>
          </cell>
          <cell r="K529">
            <v>0</v>
          </cell>
          <cell r="L529">
            <v>0</v>
          </cell>
          <cell r="HX529" t="str">
            <v>mstag:otherChangesInShareCapital</v>
          </cell>
          <cell r="HY529">
            <v>6</v>
          </cell>
          <cell r="HZ529" t="str">
            <v>ISO4217:USD</v>
          </cell>
          <cell r="IA529" t="b">
            <v>0</v>
          </cell>
          <cell r="IB529" t="b">
            <v>0</v>
          </cell>
        </row>
        <row r="530">
          <cell r="D530" t="str">
            <v>Repurchase of common stock</v>
          </cell>
          <cell r="G530">
            <v>0</v>
          </cell>
          <cell r="H530">
            <v>0</v>
          </cell>
          <cell r="I530">
            <v>0</v>
          </cell>
          <cell r="J530">
            <v>0</v>
          </cell>
          <cell r="K530">
            <v>39.704000000000001</v>
          </cell>
          <cell r="L530">
            <v>692.75199999999995</v>
          </cell>
          <cell r="HX530" t="str">
            <v>mstag:repurchaseOfCommonStock</v>
          </cell>
          <cell r="HY530">
            <v>6</v>
          </cell>
          <cell r="HZ530" t="str">
            <v>ISO4217:USD</v>
          </cell>
          <cell r="IA530" t="b">
            <v>0</v>
          </cell>
          <cell r="IB530" t="b">
            <v>0</v>
          </cell>
        </row>
        <row r="531">
          <cell r="C531" t="str">
            <v>Bonus to directors and corporate auditors (Japan)</v>
          </cell>
          <cell r="HX531" t="str">
            <v>mstag:bonusToDirectorsAndCorporateAuditorsJapan</v>
          </cell>
          <cell r="HY531">
            <v>6</v>
          </cell>
          <cell r="HZ531" t="str">
            <v>ISO4217:USD</v>
          </cell>
          <cell r="IA531" t="b">
            <v>0</v>
          </cell>
          <cell r="IB531" t="b">
            <v>0</v>
          </cell>
        </row>
        <row r="532">
          <cell r="C532" t="str">
            <v>Bonus to directors and supervisors (Taiwan)</v>
          </cell>
          <cell r="HX532" t="str">
            <v>mstag:bonusToDirectorsAndSupervisorsTaiwan</v>
          </cell>
          <cell r="HY532">
            <v>6</v>
          </cell>
          <cell r="HZ532" t="str">
            <v>ISO4217:USD</v>
          </cell>
          <cell r="IA532" t="b">
            <v>0</v>
          </cell>
          <cell r="IB532" t="b">
            <v>0</v>
          </cell>
        </row>
        <row r="533">
          <cell r="C533" t="str">
            <v>Employee cash bonus (Taiwan)</v>
          </cell>
          <cell r="HX533" t="str">
            <v>mstag:employeeCashBonusTaiwan</v>
          </cell>
          <cell r="HY533">
            <v>6</v>
          </cell>
          <cell r="HZ533" t="str">
            <v>ISO4217:USD</v>
          </cell>
          <cell r="IA533" t="b">
            <v>0</v>
          </cell>
          <cell r="IB533" t="b">
            <v>0</v>
          </cell>
        </row>
        <row r="534">
          <cell r="C534" t="str">
            <v>Employee stock bonus (Taiwan)</v>
          </cell>
          <cell r="HX534" t="str">
            <v>mstag:employeeStockBonusTaiwan</v>
          </cell>
          <cell r="HY534">
            <v>6</v>
          </cell>
          <cell r="HZ534" t="str">
            <v>ISO4217:USD</v>
          </cell>
          <cell r="IA534" t="b">
            <v>0</v>
          </cell>
          <cell r="IB534" t="b">
            <v>0</v>
          </cell>
        </row>
        <row r="535">
          <cell r="C535" t="str">
            <v>Change in accumulated other comprehensive income (loss) or other reserves</v>
          </cell>
          <cell r="G535">
            <v>-0.11700000000000001</v>
          </cell>
          <cell r="H535">
            <v>5.431</v>
          </cell>
          <cell r="I535">
            <v>200.23600000000002</v>
          </cell>
          <cell r="J535">
            <v>72.119</v>
          </cell>
          <cell r="K535">
            <v>-19.896000000000001</v>
          </cell>
          <cell r="L535">
            <v>-43.08</v>
          </cell>
          <cell r="M535">
            <v>28.549801041422199</v>
          </cell>
          <cell r="HX535" t="str">
            <v>mstag:changeInAccumulatedOtherComprehensiveIncomeLossOrOtherReserves</v>
          </cell>
          <cell r="HY535">
            <v>6</v>
          </cell>
          <cell r="HZ535" t="str">
            <v>ISO4217:USD</v>
          </cell>
          <cell r="IA535" t="b">
            <v>0</v>
          </cell>
          <cell r="IB535" t="b">
            <v>0</v>
          </cell>
        </row>
        <row r="536">
          <cell r="D536" t="str">
            <v>Change in unrealized gains (losses) on AFS securities</v>
          </cell>
          <cell r="G536">
            <v>-0.11700000000000001</v>
          </cell>
          <cell r="H536">
            <v>5.431</v>
          </cell>
          <cell r="I536">
            <v>220.57300000000001</v>
          </cell>
          <cell r="J536">
            <v>72.119</v>
          </cell>
          <cell r="K536">
            <v>-27.741</v>
          </cell>
          <cell r="L536">
            <v>-38.777999999999999</v>
          </cell>
          <cell r="HX536" t="str">
            <v>mstag:changeInUnrealizedGainsLossesOnAfsSecurities</v>
          </cell>
          <cell r="HY536">
            <v>6</v>
          </cell>
          <cell r="HZ536" t="str">
            <v>ISO4217:USD</v>
          </cell>
          <cell r="IA536" t="b">
            <v>0</v>
          </cell>
          <cell r="IB536" t="b">
            <v>0</v>
          </cell>
        </row>
        <row r="537">
          <cell r="D537" t="str">
            <v>Change in foreign currency translation</v>
          </cell>
          <cell r="HX537" t="str">
            <v>mstag:changeInForeignCurrencyTranslation</v>
          </cell>
          <cell r="HY537">
            <v>6</v>
          </cell>
          <cell r="HZ537" t="str">
            <v>ISO4217:USD</v>
          </cell>
          <cell r="IA537" t="b">
            <v>0</v>
          </cell>
          <cell r="IB537" t="b">
            <v>0</v>
          </cell>
        </row>
        <row r="538">
          <cell r="D538" t="str">
            <v>Change in minimum pension liability</v>
          </cell>
          <cell r="HX538" t="str">
            <v>mstag:changeInMinimumPensionLiability</v>
          </cell>
          <cell r="HY538">
            <v>6</v>
          </cell>
          <cell r="HZ538" t="str">
            <v>ISO4217:USD</v>
          </cell>
          <cell r="IA538" t="b">
            <v>0</v>
          </cell>
          <cell r="IB538" t="b">
            <v>0</v>
          </cell>
        </row>
        <row r="539">
          <cell r="D539" t="str">
            <v>Change in cash flow hedges</v>
          </cell>
          <cell r="G539">
            <v>0</v>
          </cell>
          <cell r="H539">
            <v>0</v>
          </cell>
          <cell r="I539">
            <v>0</v>
          </cell>
          <cell r="J539">
            <v>0</v>
          </cell>
          <cell r="K539">
            <v>7.8449999999999998</v>
          </cell>
          <cell r="L539">
            <v>-4.3019999999999996</v>
          </cell>
          <cell r="HX539" t="str">
            <v>mstag:changeInCashFlowHedges</v>
          </cell>
          <cell r="HY539">
            <v>6</v>
          </cell>
          <cell r="HZ539" t="str">
            <v>ISO4217:USD</v>
          </cell>
          <cell r="IA539" t="b">
            <v>0</v>
          </cell>
          <cell r="IB539" t="b">
            <v>0</v>
          </cell>
        </row>
        <row r="540">
          <cell r="D540" t="str">
            <v>Other change in accumulated other comprehensive income (loss)</v>
          </cell>
          <cell r="G540">
            <v>0</v>
          </cell>
          <cell r="H540">
            <v>0</v>
          </cell>
          <cell r="I540">
            <v>-20.337</v>
          </cell>
          <cell r="J540">
            <v>0</v>
          </cell>
          <cell r="K540">
            <v>0</v>
          </cell>
          <cell r="L540">
            <v>0</v>
          </cell>
          <cell r="HX540" t="str">
            <v>mstag:otherChangeInAccumulatedOtherComprehensiveIncomeLoss</v>
          </cell>
          <cell r="HY540">
            <v>6</v>
          </cell>
          <cell r="HZ540" t="str">
            <v>ISO4217:USD</v>
          </cell>
          <cell r="IA540" t="b">
            <v>0</v>
          </cell>
          <cell r="IB540" t="b">
            <v>0</v>
          </cell>
        </row>
        <row r="541">
          <cell r="D541" t="str">
            <v>Change in revaluation reserves</v>
          </cell>
          <cell r="HX541" t="str">
            <v>mstag:changeInRevaluationReserves</v>
          </cell>
          <cell r="HY541">
            <v>6</v>
          </cell>
          <cell r="HZ541" t="str">
            <v>ISO4217:USD</v>
          </cell>
          <cell r="IA541" t="b">
            <v>0</v>
          </cell>
          <cell r="IB541" t="b">
            <v>0</v>
          </cell>
        </row>
        <row r="542">
          <cell r="D542" t="str">
            <v>Change in unearned compensation reserve</v>
          </cell>
          <cell r="HX542" t="str">
            <v>mstag:changeInUnearnedCompensationReserve</v>
          </cell>
          <cell r="HY542">
            <v>6</v>
          </cell>
          <cell r="HZ542" t="str">
            <v>ISO4217:USD</v>
          </cell>
          <cell r="IA542" t="b">
            <v>0</v>
          </cell>
          <cell r="IB542" t="b">
            <v>0</v>
          </cell>
        </row>
        <row r="543">
          <cell r="B543" t="str">
            <v>Operating metrics</v>
          </cell>
          <cell r="HY543">
            <v>0</v>
          </cell>
          <cell r="HZ543" t="str">
            <v>ms_eqr_gcim_String:ms_eqr_gcim_string</v>
          </cell>
          <cell r="IA543" t="b">
            <v>0</v>
          </cell>
          <cell r="IB543" t="b">
            <v>0</v>
          </cell>
        </row>
        <row r="544">
          <cell r="C544" t="str">
            <v>Cumulative unrecognized gain (loss) on other investments, gross of tax, operating</v>
          </cell>
          <cell r="HX544" t="str">
            <v>mstag:cumulativeUnrealizedGainLossOnOtherInvestmentsGrossOfTaxOperating</v>
          </cell>
          <cell r="HY544">
            <v>6</v>
          </cell>
          <cell r="HZ544" t="str">
            <v>ISO4217:USD</v>
          </cell>
          <cell r="IA544" t="b">
            <v>0</v>
          </cell>
          <cell r="IB544" t="b">
            <v>0</v>
          </cell>
        </row>
        <row r="545">
          <cell r="C545" t="str">
            <v>Cumulative unrecognized gain (loss) on other investments, gross of tax, nonoperating</v>
          </cell>
          <cell r="HX545" t="str">
            <v>mstag:cumulativeUnrealizedGainLossOnOtherInvestmentsGrossOfTaxNonOperating</v>
          </cell>
          <cell r="HY545">
            <v>6</v>
          </cell>
          <cell r="HZ545" t="str">
            <v>ISO4217:USD</v>
          </cell>
          <cell r="IA545" t="b">
            <v>0</v>
          </cell>
          <cell r="IB545" t="b">
            <v>0</v>
          </cell>
        </row>
        <row r="546">
          <cell r="C546" t="str">
            <v>Current period unrecognized gain (loss) on other investments, gross of tax, operating</v>
          </cell>
          <cell r="G546" t="str">
            <v/>
          </cell>
          <cell r="H546" t="str">
            <v/>
          </cell>
          <cell r="I546" t="str">
            <v/>
          </cell>
          <cell r="J546" t="str">
            <v/>
          </cell>
          <cell r="K546" t="str">
            <v/>
          </cell>
          <cell r="L546" t="str">
            <v/>
          </cell>
          <cell r="M546" t="str">
            <v/>
          </cell>
          <cell r="HX546" t="str">
            <v>mstag:unrealizedGainLossOnOtherInvestmentsGrossOfTaxOperating</v>
          </cell>
          <cell r="HY546">
            <v>6</v>
          </cell>
          <cell r="HZ546" t="str">
            <v>ISO4217:USD</v>
          </cell>
          <cell r="IA546" t="b">
            <v>0</v>
          </cell>
          <cell r="IB546" t="b">
            <v>0</v>
          </cell>
        </row>
        <row r="547">
          <cell r="D547" t="str">
            <v>Current period unrecognized gain (loss) on other investments, gross of tax, operating, recurring</v>
          </cell>
          <cell r="HX547" t="str">
            <v>mstag:currentPeriodUnrecognizedGainLossOnOtherInvestmentsGrossOfTaxOperatingRecurring</v>
          </cell>
          <cell r="HY547">
            <v>6</v>
          </cell>
          <cell r="HZ547" t="str">
            <v>ISO4217:USD</v>
          </cell>
          <cell r="IA547" t="b">
            <v>0</v>
          </cell>
          <cell r="IB547" t="b">
            <v>0</v>
          </cell>
        </row>
        <row r="548">
          <cell r="D548" t="str">
            <v>Current period unrecognized gain (loss) on other investments, gross of tax, operating, one time</v>
          </cell>
          <cell r="HX548" t="str">
            <v>mstag:currentPeriodUnrecognizedGainLossOnOtherInvestmentsGrossOfTaxOperatingOneTime</v>
          </cell>
          <cell r="HY548">
            <v>6</v>
          </cell>
          <cell r="HZ548" t="str">
            <v>ISO4217:USD</v>
          </cell>
          <cell r="IA548" t="b">
            <v>0</v>
          </cell>
          <cell r="IB548" t="b">
            <v>0</v>
          </cell>
        </row>
        <row r="549">
          <cell r="C549" t="str">
            <v>Current period unrecognized gain (loss) on other investments, gross of tax, nonoperating</v>
          </cell>
          <cell r="G549" t="str">
            <v/>
          </cell>
          <cell r="H549" t="str">
            <v/>
          </cell>
          <cell r="I549" t="str">
            <v/>
          </cell>
          <cell r="J549" t="str">
            <v/>
          </cell>
          <cell r="K549" t="str">
            <v/>
          </cell>
          <cell r="L549" t="str">
            <v/>
          </cell>
          <cell r="M549" t="str">
            <v/>
          </cell>
          <cell r="HX549" t="str">
            <v>mstag:unrealizedGainLossOnOtherInvestmentsGrossOfTaxNonOperating</v>
          </cell>
          <cell r="HY549">
            <v>6</v>
          </cell>
          <cell r="HZ549" t="str">
            <v>ISO4217:USD</v>
          </cell>
          <cell r="IA549" t="b">
            <v>0</v>
          </cell>
          <cell r="IB549" t="b">
            <v>0</v>
          </cell>
        </row>
        <row r="550">
          <cell r="D550" t="str">
            <v>Current period unrecognized gain (loss) on other investments, gross of tax, nonoperating, recurring</v>
          </cell>
          <cell r="HX550" t="str">
            <v>mstag:currentPeriodUnrecognizedGainLossOnOtherInvestmentsGrossOfTaxNonOperatingRecurring</v>
          </cell>
          <cell r="HY550">
            <v>6</v>
          </cell>
          <cell r="HZ550" t="str">
            <v>ISO4217:USD</v>
          </cell>
          <cell r="IA550" t="b">
            <v>0</v>
          </cell>
          <cell r="IB550" t="b">
            <v>0</v>
          </cell>
        </row>
        <row r="551">
          <cell r="D551" t="str">
            <v>Current period unrecognized gain (loss) on other investments, gross of tax, nonoperating, one time</v>
          </cell>
          <cell r="HX551" t="str">
            <v>mstag:currentPeriodUnrecognizedGainLossOnOtherInvestmentsGrossOfTaxNonOperatingOneTime</v>
          </cell>
          <cell r="HY551">
            <v>6</v>
          </cell>
          <cell r="HZ551" t="str">
            <v>ISO4217:USD</v>
          </cell>
          <cell r="IA551" t="b">
            <v>0</v>
          </cell>
          <cell r="IB551" t="b">
            <v>0</v>
          </cell>
        </row>
        <row r="552">
          <cell r="C552" t="str">
            <v>Distribution metrics</v>
          </cell>
          <cell r="HY552">
            <v>0</v>
          </cell>
          <cell r="HZ552" t="str">
            <v>ms_eqr_gcim_String:ms_eqr_gcim_string</v>
          </cell>
          <cell r="IA552" t="b">
            <v>0</v>
          </cell>
          <cell r="IB552" t="b">
            <v>0</v>
          </cell>
        </row>
        <row r="553">
          <cell r="D553" t="str">
            <v>Number of gas customers, average</v>
          </cell>
          <cell r="HX553" t="str">
            <v>mstag:numberOfGasCustomersAverage</v>
          </cell>
          <cell r="HY553">
            <v>6</v>
          </cell>
          <cell r="HZ553" t="str">
            <v>ms_eqr_gcim_Decimal:ms_eqr_gcim_decimal</v>
          </cell>
          <cell r="IA553" t="b">
            <v>0</v>
          </cell>
          <cell r="IB553" t="b">
            <v>0</v>
          </cell>
        </row>
        <row r="554">
          <cell r="D554" t="str">
            <v>Number of gas customers, end of period</v>
          </cell>
          <cell r="HX554" t="str">
            <v>mstag:numberOfGasCustomersEndOfPeriod</v>
          </cell>
          <cell r="HY554">
            <v>6</v>
          </cell>
          <cell r="HZ554" t="str">
            <v>ms_eqr_gcim_Decimal:ms_eqr_gcim_decimal</v>
          </cell>
          <cell r="IA554" t="b">
            <v>0</v>
          </cell>
          <cell r="IB554" t="b">
            <v>0</v>
          </cell>
        </row>
        <row r="555">
          <cell r="C555" t="str">
            <v>Heating degree days</v>
          </cell>
          <cell r="HX555" t="str">
            <v>mstag:heatingDegreeDays</v>
          </cell>
          <cell r="HY555">
            <v>6</v>
          </cell>
          <cell r="HZ555" t="str">
            <v>ms_eqr_gcim_Decimal:ms_eqr_gcim_decimal</v>
          </cell>
          <cell r="IA555" t="b">
            <v>0</v>
          </cell>
          <cell r="IB555" t="b">
            <v>0</v>
          </cell>
        </row>
        <row r="556">
          <cell r="C556" t="str">
            <v>Revenue concentration metrics</v>
          </cell>
          <cell r="HY556">
            <v>0</v>
          </cell>
          <cell r="HZ556" t="str">
            <v>ms_eqr_gcim_String:ms_eqr_gcim_string</v>
          </cell>
          <cell r="IA556" t="b">
            <v>0</v>
          </cell>
          <cell r="IB556" t="b">
            <v>0</v>
          </cell>
        </row>
        <row r="557">
          <cell r="D557" t="str">
            <v>Top 3 drugs as percent of total sales</v>
          </cell>
          <cell r="G557">
            <v>0.39169088733116775</v>
          </cell>
          <cell r="H557">
            <v>0.56714962385065482</v>
          </cell>
          <cell r="I557">
            <v>0.66307381387739395</v>
          </cell>
          <cell r="J557">
            <v>0.74051474614722679</v>
          </cell>
          <cell r="K557">
            <v>0.81215216019278214</v>
          </cell>
          <cell r="L557">
            <v>0.85288408208541333</v>
          </cell>
          <cell r="HX557" t="str">
            <v>mstag:top3DrugsAsPercentOfTotalSales</v>
          </cell>
          <cell r="HY557">
            <v>0</v>
          </cell>
          <cell r="HZ557" t="str">
            <v>ms_eqr_gcim_Decimal:ms_eqr_gcim_decimal</v>
          </cell>
          <cell r="IA557" t="b">
            <v>0</v>
          </cell>
          <cell r="IB557" t="b">
            <v>0</v>
          </cell>
        </row>
        <row r="558">
          <cell r="D558" t="str">
            <v>Top 10 drugs as percent of total sales</v>
          </cell>
          <cell r="HX558" t="str">
            <v>mstag:top10DrugsAsPercentOfTotalSales</v>
          </cell>
          <cell r="HY558">
            <v>0</v>
          </cell>
          <cell r="HZ558" t="str">
            <v>ms_eqr_gcim_Decimal:ms_eqr_gcim_decimal</v>
          </cell>
          <cell r="IA558" t="b">
            <v>0</v>
          </cell>
          <cell r="IB558" t="b">
            <v>0</v>
          </cell>
        </row>
        <row r="559">
          <cell r="D559" t="str">
            <v>Generic products as percent of total sales</v>
          </cell>
          <cell r="HX559" t="str">
            <v>mstag:genericProductsAsPercentOfTotalSales</v>
          </cell>
          <cell r="HY559">
            <v>0</v>
          </cell>
          <cell r="HZ559" t="str">
            <v>ms_eqr_gcim_Decimal:ms_eqr_gcim_decimal</v>
          </cell>
          <cell r="IA559" t="b">
            <v>0</v>
          </cell>
          <cell r="IB559" t="b">
            <v>0</v>
          </cell>
        </row>
        <row r="560">
          <cell r="D560" t="str">
            <v>Nongeneric (patented) products as percent of total sales</v>
          </cell>
          <cell r="HX560" t="str">
            <v>mstag:nonGenericPatentedProductsAsPercentOfTotalSales</v>
          </cell>
          <cell r="HY560">
            <v>0</v>
          </cell>
          <cell r="HZ560" t="str">
            <v>ms_eqr_gcim_Decimal:ms_eqr_gcim_decimal</v>
          </cell>
          <cell r="IA560" t="b">
            <v>0</v>
          </cell>
          <cell r="IB560" t="b">
            <v>0</v>
          </cell>
        </row>
        <row r="561">
          <cell r="D561" t="str">
            <v>Hospital products as percent of total sales</v>
          </cell>
          <cell r="HX561" t="str">
            <v>mstag:hospitalProductsAsPercentOfTotalSales</v>
          </cell>
          <cell r="HY561">
            <v>0</v>
          </cell>
          <cell r="HZ561" t="str">
            <v>ms_eqr_gcim_Decimal:ms_eqr_gcim_decimal</v>
          </cell>
          <cell r="IA561" t="b">
            <v>0</v>
          </cell>
          <cell r="IB561" t="b">
            <v>0</v>
          </cell>
        </row>
        <row r="562">
          <cell r="D562" t="str">
            <v>Primary care products as percent of total sales</v>
          </cell>
          <cell r="HX562" t="str">
            <v>mstag:primaryCareProductsAsPercentOfTotalSales</v>
          </cell>
          <cell r="HY562">
            <v>0</v>
          </cell>
          <cell r="HZ562" t="str">
            <v>ms_eqr_gcim_Decimal:ms_eqr_gcim_decimal</v>
          </cell>
          <cell r="IA562" t="b">
            <v>0</v>
          </cell>
          <cell r="IB562" t="b">
            <v>0</v>
          </cell>
        </row>
        <row r="563">
          <cell r="D563" t="str">
            <v>Pills/tablets/capsules as percent of total sales</v>
          </cell>
          <cell r="HX563" t="str">
            <v>mstag:pillstabletscapsulesAsPercentOfTotalSales</v>
          </cell>
          <cell r="HY563">
            <v>0</v>
          </cell>
          <cell r="HZ563" t="str">
            <v>ms_eqr_gcim_Decimal:ms_eqr_gcim_decimal</v>
          </cell>
          <cell r="IA563" t="b">
            <v>0</v>
          </cell>
          <cell r="IB563" t="b">
            <v>0</v>
          </cell>
        </row>
        <row r="564">
          <cell r="D564" t="str">
            <v>Biological products as percent of total sales</v>
          </cell>
          <cell r="HX564" t="str">
            <v>mstag:biologicalProductsAsPercentOfTotalSales</v>
          </cell>
          <cell r="HY564">
            <v>0</v>
          </cell>
          <cell r="HZ564" t="str">
            <v>ms_eqr_gcim_Decimal:ms_eqr_gcim_decimal</v>
          </cell>
          <cell r="IA564" t="b">
            <v>0</v>
          </cell>
          <cell r="IB564" t="b">
            <v>0</v>
          </cell>
        </row>
        <row r="565">
          <cell r="D565" t="str">
            <v>Chemical products as percent of total sales</v>
          </cell>
          <cell r="HX565" t="str">
            <v>mstag:chemicalProductsAsPercentOfTotalSales</v>
          </cell>
          <cell r="HY565">
            <v>0</v>
          </cell>
          <cell r="HZ565" t="str">
            <v>ms_eqr_gcim_Decimal:ms_eqr_gcim_decimal</v>
          </cell>
          <cell r="IA565" t="b">
            <v>0</v>
          </cell>
          <cell r="IB565" t="b">
            <v>0</v>
          </cell>
        </row>
        <row r="566">
          <cell r="D566" t="str">
            <v>Other products as a percent of total sales</v>
          </cell>
          <cell r="HX566" t="str">
            <v>mstag:otherProductsAsAPercentOfTotalSales</v>
          </cell>
          <cell r="HY566">
            <v>0</v>
          </cell>
          <cell r="HZ566" t="str">
            <v>ms_eqr_gcim_Decimal:ms_eqr_gcim_decimal</v>
          </cell>
          <cell r="IA566" t="b">
            <v>0</v>
          </cell>
          <cell r="IB566" t="b">
            <v>0</v>
          </cell>
        </row>
        <row r="567">
          <cell r="C567" t="str">
            <v>Pipeline segmentation</v>
          </cell>
          <cell r="HY567">
            <v>0</v>
          </cell>
          <cell r="HZ567" t="str">
            <v>ms_eqr_gcim_String:ms_eqr_gcim_string</v>
          </cell>
          <cell r="IA567" t="b">
            <v>0</v>
          </cell>
          <cell r="IB567" t="b">
            <v>0</v>
          </cell>
        </row>
        <row r="568">
          <cell r="D568" t="str">
            <v>Total number of drugs in Phase 1 trials</v>
          </cell>
          <cell r="G568">
            <v>2</v>
          </cell>
          <cell r="H568">
            <v>1</v>
          </cell>
          <cell r="I568">
            <v>1</v>
          </cell>
          <cell r="J568">
            <v>4</v>
          </cell>
          <cell r="K568">
            <v>1</v>
          </cell>
          <cell r="L568">
            <v>0</v>
          </cell>
          <cell r="HX568" t="str">
            <v>mstag:totalNumberOfDrugsInPhase1Trials</v>
          </cell>
          <cell r="HY568">
            <v>0</v>
          </cell>
          <cell r="HZ568" t="str">
            <v>ms_eqr_gcim_Decimal:ms_eqr_gcim_decimal</v>
          </cell>
          <cell r="IA568" t="b">
            <v>0</v>
          </cell>
          <cell r="IB568" t="b">
            <v>0</v>
          </cell>
        </row>
        <row r="569">
          <cell r="D569" t="str">
            <v>Total number of drugs in Phase 2 trials</v>
          </cell>
          <cell r="G569">
            <v>5</v>
          </cell>
          <cell r="H569">
            <v>7</v>
          </cell>
          <cell r="I569">
            <v>5</v>
          </cell>
          <cell r="J569">
            <v>4</v>
          </cell>
          <cell r="K569">
            <v>3</v>
          </cell>
          <cell r="L569">
            <v>2</v>
          </cell>
          <cell r="HX569" t="str">
            <v>mstag:totalNumberOfDrugsInPhase2Trials</v>
          </cell>
          <cell r="HY569">
            <v>0</v>
          </cell>
          <cell r="HZ569" t="str">
            <v>ms_eqr_gcim_Decimal:ms_eqr_gcim_decimal</v>
          </cell>
          <cell r="IA569" t="b">
            <v>0</v>
          </cell>
          <cell r="IB569" t="b">
            <v>0</v>
          </cell>
        </row>
        <row r="570">
          <cell r="D570" t="str">
            <v>Total number of drugs in Phase 3 trials</v>
          </cell>
          <cell r="G570">
            <v>9</v>
          </cell>
          <cell r="H570">
            <v>7</v>
          </cell>
          <cell r="I570">
            <v>5</v>
          </cell>
          <cell r="J570">
            <v>8</v>
          </cell>
          <cell r="K570">
            <v>6</v>
          </cell>
          <cell r="L570">
            <v>5</v>
          </cell>
          <cell r="HX570" t="str">
            <v>mstag:totalNumberOfDrugsInPhase3Trials</v>
          </cell>
          <cell r="HY570">
            <v>0</v>
          </cell>
          <cell r="HZ570" t="str">
            <v>ms_eqr_gcim_Decimal:ms_eqr_gcim_decimal</v>
          </cell>
          <cell r="IA570" t="b">
            <v>0</v>
          </cell>
          <cell r="IB570" t="b">
            <v>0</v>
          </cell>
        </row>
        <row r="571">
          <cell r="D571" t="str">
            <v>Total number of drugs in Phase 2 or 3 trials</v>
          </cell>
          <cell r="G571">
            <v>7</v>
          </cell>
          <cell r="H571">
            <v>8</v>
          </cell>
          <cell r="I571">
            <v>6</v>
          </cell>
          <cell r="J571">
            <v>8</v>
          </cell>
          <cell r="K571">
            <v>4</v>
          </cell>
          <cell r="L571">
            <v>2</v>
          </cell>
          <cell r="HX571" t="str">
            <v>mstag:totalNumberOfDrugsInPhase2Or3Trials</v>
          </cell>
          <cell r="HY571">
            <v>0</v>
          </cell>
          <cell r="HZ571" t="str">
            <v>ms_eqr_gcim_Decimal:ms_eqr_gcim_decimal</v>
          </cell>
          <cell r="IA571" t="b">
            <v>0</v>
          </cell>
          <cell r="IB571" t="b">
            <v>0</v>
          </cell>
        </row>
        <row r="572">
          <cell r="D572" t="str">
            <v>Total number of marketed products</v>
          </cell>
          <cell r="G572">
            <v>6</v>
          </cell>
          <cell r="H572">
            <v>7</v>
          </cell>
          <cell r="I572">
            <v>8</v>
          </cell>
          <cell r="J572">
            <v>9</v>
          </cell>
          <cell r="K572">
            <v>10</v>
          </cell>
          <cell r="L572">
            <v>10</v>
          </cell>
          <cell r="HX572" t="str">
            <v>mstag:totalNumberOfMarketedProducts</v>
          </cell>
          <cell r="HY572">
            <v>0</v>
          </cell>
          <cell r="HZ572" t="str">
            <v>ms_eqr_gcim_Decimal:ms_eqr_gcim_decimal</v>
          </cell>
          <cell r="IA572" t="b">
            <v>0</v>
          </cell>
          <cell r="IB572" t="b">
            <v>0</v>
          </cell>
        </row>
        <row r="573">
          <cell r="D573" t="str">
            <v>Percent Phase 2</v>
          </cell>
          <cell r="G573">
            <v>0.3125</v>
          </cell>
          <cell r="H573">
            <v>0.46666666666666667</v>
          </cell>
          <cell r="I573">
            <v>0.45454545454545453</v>
          </cell>
          <cell r="J573">
            <v>0.25</v>
          </cell>
          <cell r="K573">
            <v>0.3</v>
          </cell>
          <cell r="L573">
            <v>0.4</v>
          </cell>
          <cell r="HX573" t="str">
            <v>mstag:percentPhase2</v>
          </cell>
          <cell r="HY573">
            <v>0</v>
          </cell>
          <cell r="HZ573" t="str">
            <v>ms_eqr_gcim_Decimal:ms_eqr_gcim_decimal</v>
          </cell>
          <cell r="IA573" t="b">
            <v>0</v>
          </cell>
          <cell r="IB573" t="b">
            <v>0</v>
          </cell>
        </row>
        <row r="574">
          <cell r="D574" t="str">
            <v>Percent Phase 3</v>
          </cell>
          <cell r="G574">
            <v>0.5625</v>
          </cell>
          <cell r="H574">
            <v>0.46666666666666667</v>
          </cell>
          <cell r="I574">
            <v>0.45454545454545453</v>
          </cell>
          <cell r="J574">
            <v>0.5</v>
          </cell>
          <cell r="K574">
            <v>0.6</v>
          </cell>
          <cell r="L574">
            <v>0.7142857142857143</v>
          </cell>
          <cell r="HX574" t="str">
            <v>mstag:percentPhase3</v>
          </cell>
          <cell r="HY574">
            <v>0</v>
          </cell>
          <cell r="HZ574" t="str">
            <v>ms_eqr_gcim_Decimal:ms_eqr_gcim_decimal</v>
          </cell>
          <cell r="IA574" t="b">
            <v>0</v>
          </cell>
          <cell r="IB574" t="b">
            <v>0</v>
          </cell>
        </row>
        <row r="575">
          <cell r="C575" t="str">
            <v>Estimated net option expense if reported</v>
          </cell>
          <cell r="HX575" t="str">
            <v>mstag:estimatedNetOptionExpenseIfReported</v>
          </cell>
          <cell r="HY575">
            <v>6</v>
          </cell>
          <cell r="HZ575" t="str">
            <v>ISO4217:USD</v>
          </cell>
          <cell r="IA575" t="b">
            <v>0</v>
          </cell>
          <cell r="IB575" t="b">
            <v>0</v>
          </cell>
        </row>
        <row r="576">
          <cell r="C576" t="str">
            <v>Unrecorded goodwill from poolings, write-offs, and cumulative amortization</v>
          </cell>
          <cell r="G576">
            <v>0</v>
          </cell>
          <cell r="H576">
            <v>0</v>
          </cell>
          <cell r="I576">
            <v>690.20899999999995</v>
          </cell>
          <cell r="J576">
            <v>843.49400000000003</v>
          </cell>
          <cell r="K576">
            <v>843.49400000000003</v>
          </cell>
          <cell r="L576">
            <v>843.49400000000003</v>
          </cell>
          <cell r="M576">
            <v>843.49400000000003</v>
          </cell>
          <cell r="HX576" t="str">
            <v>mstag:unrecordedGoodwillFromPoolingAndAmortizedOrWrittenOffGoodwill</v>
          </cell>
          <cell r="HY576">
            <v>6</v>
          </cell>
          <cell r="HZ576" t="str">
            <v>ISO4217:USD</v>
          </cell>
          <cell r="IA576" t="b">
            <v>0</v>
          </cell>
          <cell r="IB576" t="b">
            <v>0</v>
          </cell>
        </row>
        <row r="577">
          <cell r="D577" t="str">
            <v>Unrecorded goodwill from poolings</v>
          </cell>
          <cell r="HX577" t="str">
            <v>mstag:unrecordedGoodwillFromPoolings</v>
          </cell>
          <cell r="HY577">
            <v>6</v>
          </cell>
          <cell r="HZ577" t="str">
            <v>ISO4217:USD</v>
          </cell>
          <cell r="IA577" t="b">
            <v>0</v>
          </cell>
          <cell r="IB577" t="b">
            <v>0</v>
          </cell>
        </row>
        <row r="578">
          <cell r="D578" t="str">
            <v>Nonimpairment write-offs</v>
          </cell>
          <cell r="HX578" t="str">
            <v>mstag:nonImpairmentWriteOffs</v>
          </cell>
          <cell r="HY578">
            <v>6</v>
          </cell>
          <cell r="HZ578" t="str">
            <v>ISO4217:USD</v>
          </cell>
          <cell r="IA578" t="b">
            <v>0</v>
          </cell>
          <cell r="IB578" t="b">
            <v>0</v>
          </cell>
        </row>
        <row r="579">
          <cell r="D579" t="str">
            <v>Cumulative goodwill impairments reported</v>
          </cell>
          <cell r="HX579" t="str">
            <v>mstag:cumulativeGoodwillImpairmentsReported</v>
          </cell>
          <cell r="HY579">
            <v>6</v>
          </cell>
          <cell r="HZ579" t="str">
            <v>ISO4217:USD</v>
          </cell>
          <cell r="IA579" t="b">
            <v>0</v>
          </cell>
          <cell r="IB579" t="b">
            <v>0</v>
          </cell>
        </row>
        <row r="580">
          <cell r="D580" t="str">
            <v>Cumulative amortization</v>
          </cell>
          <cell r="HX580" t="str">
            <v>mstag:cumulativeAmortization</v>
          </cell>
          <cell r="HY580">
            <v>6</v>
          </cell>
          <cell r="HZ580" t="str">
            <v>ISO4217:USD</v>
          </cell>
          <cell r="IA580" t="b">
            <v>0</v>
          </cell>
          <cell r="IB580" t="b">
            <v>0</v>
          </cell>
        </row>
        <row r="581">
          <cell r="C581" t="str">
            <v>Analyst estimated goodwill impairments</v>
          </cell>
          <cell r="HX581" t="str">
            <v>mstag:analystEstimatedGoodwillImpairments</v>
          </cell>
          <cell r="HY581">
            <v>6</v>
          </cell>
          <cell r="HZ581" t="str">
            <v>ISO4217:USD</v>
          </cell>
          <cell r="IA581" t="b">
            <v>0</v>
          </cell>
          <cell r="IB581" t="b">
            <v>0</v>
          </cell>
        </row>
        <row r="582">
          <cell r="C582" t="str">
            <v>Cumulative indefinite life intangible amortization and impairments reported</v>
          </cell>
          <cell r="G582" t="str">
            <v/>
          </cell>
          <cell r="H582" t="str">
            <v/>
          </cell>
          <cell r="I582" t="str">
            <v/>
          </cell>
          <cell r="J582" t="str">
            <v/>
          </cell>
          <cell r="K582" t="str">
            <v/>
          </cell>
          <cell r="L582" t="str">
            <v/>
          </cell>
          <cell r="M582" t="str">
            <v/>
          </cell>
          <cell r="HX582" t="str">
            <v>mstag:cumulativeIndefiniteLifeIntangibleAmortizationAndImpairmentsReported</v>
          </cell>
          <cell r="HY582">
            <v>6</v>
          </cell>
          <cell r="HZ582" t="str">
            <v>ISO4217:USD</v>
          </cell>
          <cell r="IA582" t="b">
            <v>0</v>
          </cell>
          <cell r="IB582" t="b">
            <v>0</v>
          </cell>
        </row>
        <row r="583">
          <cell r="D583" t="str">
            <v>Cumulative indefinite life intangible amortization</v>
          </cell>
          <cell r="HX583" t="str">
            <v>mstag:cumulativeIndefiniteLifeIntangibleAmortization</v>
          </cell>
          <cell r="HY583">
            <v>6</v>
          </cell>
          <cell r="HZ583" t="str">
            <v>ISO4217:USD</v>
          </cell>
          <cell r="IA583" t="b">
            <v>0</v>
          </cell>
          <cell r="IB583" t="b">
            <v>0</v>
          </cell>
        </row>
        <row r="584">
          <cell r="D584" t="str">
            <v>Cumulative indefinite life intangible impairments reported</v>
          </cell>
          <cell r="HX584" t="str">
            <v>mstag:cumulativeIndefiniteLifeIntangibleImpairmentsReported</v>
          </cell>
          <cell r="HY584">
            <v>6</v>
          </cell>
          <cell r="HZ584" t="str">
            <v>ISO4217:USD</v>
          </cell>
          <cell r="IA584" t="b">
            <v>0</v>
          </cell>
          <cell r="IB584" t="b">
            <v>0</v>
          </cell>
        </row>
        <row r="585">
          <cell r="C585" t="str">
            <v>Adjustment for cash taxes paid</v>
          </cell>
          <cell r="HX585" t="str">
            <v>mstag:adjustmentForCashTaxesPaid</v>
          </cell>
          <cell r="HY585">
            <v>6</v>
          </cell>
          <cell r="HZ585" t="str">
            <v>ISO4217:USD</v>
          </cell>
          <cell r="IA585" t="b">
            <v>0</v>
          </cell>
          <cell r="IB585" t="b">
            <v>0</v>
          </cell>
        </row>
        <row r="586">
          <cell r="C586" t="str">
            <v>Net cash used (from) one-time items</v>
          </cell>
          <cell r="HX586" t="str">
            <v>mstag:netCashUsedFromOneTimeItems</v>
          </cell>
          <cell r="HY586">
            <v>6</v>
          </cell>
          <cell r="HZ586" t="str">
            <v>ISO4217:USD</v>
          </cell>
          <cell r="IA586" t="b">
            <v>0</v>
          </cell>
          <cell r="IB586" t="b">
            <v>0</v>
          </cell>
        </row>
        <row r="587">
          <cell r="C587" t="str">
            <v>Net increase in beginning net operating assets from change in consolidation of investments</v>
          </cell>
          <cell r="HX587" t="str">
            <v>mstag:adjustmentToNetOperatingAssetsFor1stTimeConsolidationOfInvestments</v>
          </cell>
          <cell r="HY587">
            <v>6</v>
          </cell>
          <cell r="HZ587" t="str">
            <v>ISO4217:USD</v>
          </cell>
          <cell r="IA587" t="b">
            <v>0</v>
          </cell>
          <cell r="IB587" t="b">
            <v>0</v>
          </cell>
        </row>
        <row r="588">
          <cell r="C588" t="str">
            <v>Net increase in beginning net deferred tax assets (operating) from change in consolidation of investments</v>
          </cell>
          <cell r="HX588" t="str">
            <v>mstag:adjustmentToNetDeferredTaxAssetsOperatingFor1stTimeConsolidationOfInvestments</v>
          </cell>
          <cell r="HY588">
            <v>6</v>
          </cell>
          <cell r="HZ588" t="str">
            <v>ISO4217:USD</v>
          </cell>
          <cell r="IA588" t="b">
            <v>0</v>
          </cell>
          <cell r="IB588" t="b">
            <v>0</v>
          </cell>
        </row>
        <row r="589">
          <cell r="C589" t="str">
            <v>Net increase in beginning net deferred tax assets (financing) from change in consolidation of investments</v>
          </cell>
          <cell r="HX589" t="str">
            <v>mstag:adjustmentToNetDeferredTaxAssetsFinancingFor1stTimeConsolidationOfInvestments</v>
          </cell>
          <cell r="HY589">
            <v>6</v>
          </cell>
          <cell r="HZ589" t="str">
            <v>ISO4217:USD</v>
          </cell>
          <cell r="IA589" t="b">
            <v>0</v>
          </cell>
          <cell r="IB589" t="b">
            <v>0</v>
          </cell>
        </row>
        <row r="590">
          <cell r="C590" t="str">
            <v>Net increase in beginning net debt from change in consolidation of investments</v>
          </cell>
          <cell r="HX590" t="str">
            <v>mstag:adjustmentToNetDebtFor1stTimeConsolidationOfInvestments</v>
          </cell>
          <cell r="HY590">
            <v>6</v>
          </cell>
          <cell r="HZ590" t="str">
            <v>ISO4217:USD</v>
          </cell>
          <cell r="IA590" t="b">
            <v>0</v>
          </cell>
          <cell r="IB590" t="b">
            <v>0</v>
          </cell>
        </row>
        <row r="591">
          <cell r="C591" t="str">
            <v>Net decrease in beginning net operating assets from discontinued operations</v>
          </cell>
          <cell r="HX591" t="str">
            <v>mstag:adjustmentToNetOperatingAssetsForDiscontinuedOperations</v>
          </cell>
          <cell r="HY591">
            <v>6</v>
          </cell>
          <cell r="HZ591" t="str">
            <v>ISO4217:USD</v>
          </cell>
          <cell r="IA591" t="b">
            <v>0</v>
          </cell>
          <cell r="IB591" t="b">
            <v>0</v>
          </cell>
        </row>
        <row r="592">
          <cell r="C592" t="str">
            <v>Net decrease in beginning net deferred tax assets (operating) from discontinued operations</v>
          </cell>
          <cell r="HX592" t="str">
            <v>mstag:adjustmentToNetDeferredTaxAssetsOperatingForDiscontinuedOperations</v>
          </cell>
          <cell r="HY592">
            <v>6</v>
          </cell>
          <cell r="HZ592" t="str">
            <v>ISO4217:USD</v>
          </cell>
          <cell r="IA592" t="b">
            <v>0</v>
          </cell>
          <cell r="IB592" t="b">
            <v>0</v>
          </cell>
        </row>
        <row r="593">
          <cell r="C593" t="str">
            <v>Net decrease in beginning net deferred tax assets (financing) from discontinued operations</v>
          </cell>
          <cell r="HX593" t="str">
            <v>mstag:adjustmentToNetDeferredTaxAssetsFinancingForDiscontinuedOperations</v>
          </cell>
          <cell r="HY593">
            <v>6</v>
          </cell>
          <cell r="HZ593" t="str">
            <v>ISO4217:USD</v>
          </cell>
          <cell r="IA593" t="b">
            <v>0</v>
          </cell>
          <cell r="IB593" t="b">
            <v>0</v>
          </cell>
        </row>
        <row r="594">
          <cell r="C594" t="str">
            <v>Net decrease in beginning net debt from discontinued operations</v>
          </cell>
          <cell r="HX594" t="str">
            <v>mstag:adjustmentToNetDebtForDiscontinuedOperations</v>
          </cell>
          <cell r="HY594">
            <v>6</v>
          </cell>
          <cell r="HZ594" t="str">
            <v>ISO4217:USD</v>
          </cell>
          <cell r="IA594" t="b">
            <v>0</v>
          </cell>
          <cell r="IB594" t="b">
            <v>0</v>
          </cell>
        </row>
        <row r="595">
          <cell r="C595" t="str">
            <v>Risk free rate</v>
          </cell>
          <cell r="HX595" t="str">
            <v>mstag:riskFreeRate</v>
          </cell>
          <cell r="HY595">
            <v>0</v>
          </cell>
          <cell r="HZ595" t="str">
            <v>ms_eqr_gcim_Decimal:ms_eqr_gcim_decimal</v>
          </cell>
          <cell r="IA595" t="b">
            <v>0</v>
          </cell>
          <cell r="IB595" t="b">
            <v>0</v>
          </cell>
        </row>
        <row r="596">
          <cell r="C596" t="str">
            <v>Beta</v>
          </cell>
          <cell r="HX596" t="str">
            <v>mstag:beta</v>
          </cell>
          <cell r="HY596">
            <v>0</v>
          </cell>
          <cell r="HZ596" t="str">
            <v>ms_eqr_gcim_Decimal:ms_eqr_gcim_decimal</v>
          </cell>
          <cell r="IA596" t="b">
            <v>0</v>
          </cell>
          <cell r="IB596" t="b">
            <v>0</v>
          </cell>
        </row>
        <row r="597">
          <cell r="C597" t="str">
            <v>Equity risk premium</v>
          </cell>
          <cell r="HX597" t="str">
            <v>mstag:equityRiskPremium</v>
          </cell>
          <cell r="HY597">
            <v>0</v>
          </cell>
          <cell r="HZ597" t="str">
            <v>ms_eqr_gcim_Decimal:ms_eqr_gcim_decimal</v>
          </cell>
          <cell r="IA597" t="b">
            <v>0</v>
          </cell>
          <cell r="IB597" t="b">
            <v>0</v>
          </cell>
        </row>
        <row r="598">
          <cell r="C598" t="str">
            <v>Weighted average cost of capital (WACC)</v>
          </cell>
          <cell r="HX598" t="str">
            <v>mstag:weightedAverageCostOfCapitalWacc</v>
          </cell>
          <cell r="HY598">
            <v>0</v>
          </cell>
          <cell r="HZ598" t="str">
            <v>ms_eqr_gcim_Decimal:ms_eqr_gcim_decimal</v>
          </cell>
          <cell r="IA598" t="b">
            <v>0</v>
          </cell>
          <cell r="IB598" t="b">
            <v>0</v>
          </cell>
        </row>
        <row r="599">
          <cell r="C599" t="str">
            <v>Market value of investments, nonoperating</v>
          </cell>
          <cell r="HX599" t="str">
            <v>mstag:marketValueOfInvestmentsNonOperating</v>
          </cell>
          <cell r="HY599">
            <v>6</v>
          </cell>
          <cell r="HZ599" t="str">
            <v>ISO4217:USD</v>
          </cell>
          <cell r="IA599" t="b">
            <v>0</v>
          </cell>
          <cell r="IB599" t="b">
            <v>0</v>
          </cell>
        </row>
        <row r="600">
          <cell r="C600" t="str">
            <v>Market value of short- and long-term debt</v>
          </cell>
          <cell r="G600" t="str">
            <v/>
          </cell>
          <cell r="H600" t="str">
            <v/>
          </cell>
          <cell r="I600" t="str">
            <v/>
          </cell>
          <cell r="J600" t="str">
            <v/>
          </cell>
          <cell r="K600" t="str">
            <v/>
          </cell>
          <cell r="L600" t="str">
            <v/>
          </cell>
          <cell r="M600" t="str">
            <v/>
          </cell>
          <cell r="HX600" t="str">
            <v>mstag:marketValueOfShortAndLongTermDebt</v>
          </cell>
          <cell r="HY600">
            <v>6</v>
          </cell>
          <cell r="HZ600" t="str">
            <v>ISO4217:USD</v>
          </cell>
          <cell r="IA600" t="b">
            <v>0</v>
          </cell>
          <cell r="IB600" t="b">
            <v>0</v>
          </cell>
        </row>
        <row r="601">
          <cell r="D601" t="str">
            <v>Market value of short-term borrowings</v>
          </cell>
          <cell r="HX601" t="str">
            <v>mstag:marketValueOfShortTermBorrowings</v>
          </cell>
          <cell r="HY601">
            <v>6</v>
          </cell>
          <cell r="HZ601" t="str">
            <v>ISO4217:USD</v>
          </cell>
          <cell r="IA601" t="b">
            <v>0</v>
          </cell>
          <cell r="IB601" t="b">
            <v>0</v>
          </cell>
        </row>
        <row r="602">
          <cell r="D602" t="str">
            <v>Market value of long-term debt</v>
          </cell>
          <cell r="HX602" t="str">
            <v>mstag:marketValueOfLongTermDebt</v>
          </cell>
          <cell r="HY602">
            <v>6</v>
          </cell>
          <cell r="HZ602" t="str">
            <v>ISO4217:USD</v>
          </cell>
          <cell r="IA602" t="b">
            <v>0</v>
          </cell>
          <cell r="IB602" t="b">
            <v>0</v>
          </cell>
        </row>
        <row r="603">
          <cell r="C603" t="str">
            <v>Market value of preferred equity</v>
          </cell>
          <cell r="HX603" t="str">
            <v>mstag:marketValueOfPreferredEquity</v>
          </cell>
          <cell r="HY603">
            <v>6</v>
          </cell>
          <cell r="HZ603" t="str">
            <v>ISO4217:USD</v>
          </cell>
          <cell r="IA603" t="b">
            <v>0</v>
          </cell>
          <cell r="IB603" t="b">
            <v>0</v>
          </cell>
        </row>
        <row r="604">
          <cell r="C604" t="str">
            <v>Market value of trust preferred securities</v>
          </cell>
          <cell r="HX604" t="str">
            <v>mstag:marketValueOfTrustPreferredSecurities</v>
          </cell>
          <cell r="HY604">
            <v>6</v>
          </cell>
          <cell r="HZ604" t="str">
            <v>ISO4217:USD</v>
          </cell>
          <cell r="IA604" t="b">
            <v>0</v>
          </cell>
          <cell r="IB604" t="b">
            <v>0</v>
          </cell>
        </row>
        <row r="605">
          <cell r="C605" t="str">
            <v>Market value of minority interests in shareholders' equity</v>
          </cell>
          <cell r="HX605" t="str">
            <v>mstag:marketValueOfMinorityInterestsInShareholdersEquity</v>
          </cell>
          <cell r="HY605">
            <v>6</v>
          </cell>
          <cell r="HZ605" t="str">
            <v>ISO4217:USD</v>
          </cell>
          <cell r="IA605" t="b">
            <v>0</v>
          </cell>
          <cell r="IB605" t="b">
            <v>0</v>
          </cell>
        </row>
        <row r="606">
          <cell r="C606" t="str">
            <v>Share of market value of associates accounted for under the equity method (operating)</v>
          </cell>
          <cell r="HX606" t="str">
            <v>mstag:shareOfMarketValueOfAssociatesAccountedForUnderTheEquityMethodOperating</v>
          </cell>
          <cell r="HY606">
            <v>6</v>
          </cell>
          <cell r="HZ606" t="str">
            <v>ISO4217:USD</v>
          </cell>
          <cell r="IA606" t="b">
            <v>0</v>
          </cell>
          <cell r="IB606" t="b">
            <v>0</v>
          </cell>
        </row>
        <row r="607">
          <cell r="C607" t="str">
            <v>Share of market value of associates accounted for under the equity method (nonoperating)</v>
          </cell>
          <cell r="HX607" t="str">
            <v>mstag:shareOfMarketValueOfAssociatesAccountedForUnderTheEquityMethodNonOperating</v>
          </cell>
          <cell r="HY607">
            <v>6</v>
          </cell>
          <cell r="HZ607" t="str">
            <v>ISO4217:USD</v>
          </cell>
          <cell r="IA607" t="b">
            <v>0</v>
          </cell>
          <cell r="IB607" t="b">
            <v>0</v>
          </cell>
        </row>
        <row r="608">
          <cell r="C608" t="str">
            <v>Equity share of market value of excluded significant investments</v>
          </cell>
          <cell r="HX608" t="str">
            <v>mstag:equityShareOfMarketValueOfExcludedSignificantInvestments</v>
          </cell>
          <cell r="HY608">
            <v>6</v>
          </cell>
          <cell r="HZ608" t="str">
            <v>ISO4217:USD</v>
          </cell>
          <cell r="IA608" t="b">
            <v>0</v>
          </cell>
          <cell r="IB608" t="b">
            <v>0</v>
          </cell>
        </row>
        <row r="609">
          <cell r="C609" t="str">
            <v>Equity share of book value of excluded significant investments</v>
          </cell>
          <cell r="HX609" t="str">
            <v>mstag:equityShareOfBookValueOfExcludedSignificantInvestments</v>
          </cell>
          <cell r="HY609">
            <v>6</v>
          </cell>
          <cell r="HZ609" t="str">
            <v>ISO4217:USD</v>
          </cell>
          <cell r="IA609" t="b">
            <v>0</v>
          </cell>
          <cell r="IB609" t="b">
            <v>0</v>
          </cell>
        </row>
        <row r="610">
          <cell r="C610" t="str">
            <v>After tax earnings from excluded significant investments</v>
          </cell>
          <cell r="HX610" t="str">
            <v>mstag:afterTaxEarningsFromExcludedSignificantInvestments</v>
          </cell>
          <cell r="HY610">
            <v>6</v>
          </cell>
          <cell r="HZ610" t="str">
            <v>ISO4217:USD</v>
          </cell>
          <cell r="IA610" t="b">
            <v>0</v>
          </cell>
          <cell r="IB610" t="b">
            <v>0</v>
          </cell>
        </row>
        <row r="611">
          <cell r="C611" t="str">
            <v>Current market value of investments, nonoperating</v>
          </cell>
          <cell r="HX611" t="str">
            <v>mstag:currentMarketValueOfInvestmentsNonOperating</v>
          </cell>
          <cell r="HY611">
            <v>6</v>
          </cell>
          <cell r="HZ611" t="str">
            <v>ISO4217:USD</v>
          </cell>
          <cell r="IA611" t="b">
            <v>0</v>
          </cell>
          <cell r="IB611" t="b">
            <v>0</v>
          </cell>
        </row>
        <row r="612">
          <cell r="C612" t="str">
            <v>Current market value of short- and long-term debt</v>
          </cell>
          <cell r="G612" t="str">
            <v/>
          </cell>
          <cell r="H612" t="str">
            <v/>
          </cell>
          <cell r="I612" t="str">
            <v/>
          </cell>
          <cell r="J612" t="str">
            <v/>
          </cell>
          <cell r="K612" t="str">
            <v/>
          </cell>
          <cell r="L612" t="str">
            <v/>
          </cell>
          <cell r="M612" t="str">
            <v/>
          </cell>
          <cell r="HX612" t="str">
            <v>mstag:currentMarketValueOfShortAndLongTermDebt</v>
          </cell>
          <cell r="HY612">
            <v>6</v>
          </cell>
          <cell r="HZ612" t="str">
            <v>ISO4217:USD</v>
          </cell>
          <cell r="IA612" t="b">
            <v>0</v>
          </cell>
          <cell r="IB612" t="b">
            <v>0</v>
          </cell>
        </row>
        <row r="613">
          <cell r="D613" t="str">
            <v>Current market value of short-term borrowings</v>
          </cell>
          <cell r="HX613" t="str">
            <v>mstag:currentMarketValueOfShortTermBorrowings</v>
          </cell>
          <cell r="HY613">
            <v>6</v>
          </cell>
          <cell r="HZ613" t="str">
            <v>ISO4217:USD</v>
          </cell>
          <cell r="IA613" t="b">
            <v>0</v>
          </cell>
          <cell r="IB613" t="b">
            <v>0</v>
          </cell>
        </row>
        <row r="614">
          <cell r="D614" t="str">
            <v>Current market value of long-term debt</v>
          </cell>
          <cell r="HX614" t="str">
            <v>mstag:currentMarketValueOfLongTermDebt</v>
          </cell>
          <cell r="HY614">
            <v>6</v>
          </cell>
          <cell r="HZ614" t="str">
            <v>ISO4217:USD</v>
          </cell>
          <cell r="IA614" t="b">
            <v>0</v>
          </cell>
          <cell r="IB614" t="b">
            <v>0</v>
          </cell>
        </row>
        <row r="615">
          <cell r="C615" t="str">
            <v>Current market value of preferred equity</v>
          </cell>
          <cell r="HX615" t="str">
            <v>mstag:currentMarketValueOfPreferredEquity</v>
          </cell>
          <cell r="HY615">
            <v>6</v>
          </cell>
          <cell r="HZ615" t="str">
            <v>ISO4217:USD</v>
          </cell>
          <cell r="IA615" t="b">
            <v>0</v>
          </cell>
          <cell r="IB615" t="b">
            <v>0</v>
          </cell>
        </row>
        <row r="616">
          <cell r="C616" t="str">
            <v>Current market value of trust preferred securities</v>
          </cell>
          <cell r="HX616" t="str">
            <v>mstag:currentMarketValueOfTrustPreferredSecurities</v>
          </cell>
          <cell r="HY616">
            <v>6</v>
          </cell>
          <cell r="HZ616" t="str">
            <v>ISO4217:USD</v>
          </cell>
          <cell r="IA616" t="b">
            <v>0</v>
          </cell>
          <cell r="IB616" t="b">
            <v>0</v>
          </cell>
        </row>
        <row r="617">
          <cell r="C617" t="str">
            <v>Current market value of minority interests in shareholders equity</v>
          </cell>
          <cell r="HX617" t="str">
            <v>mstag:currentMarketValueOfMinorityInterestsInShareholdersEquity</v>
          </cell>
          <cell r="HY617">
            <v>6</v>
          </cell>
          <cell r="HZ617" t="str">
            <v>ISO4217:USD</v>
          </cell>
          <cell r="IA617" t="b">
            <v>0</v>
          </cell>
          <cell r="IB617" t="b">
            <v>0</v>
          </cell>
        </row>
        <row r="618">
          <cell r="C618" t="str">
            <v>Current share of market value of associates accounted for under the equity method, operating</v>
          </cell>
          <cell r="HX618" t="str">
            <v>mstag:currentShareOfMarketValueOfAssociatesAccountedForUnderTheEquityMethodOperating</v>
          </cell>
          <cell r="HY618">
            <v>6</v>
          </cell>
          <cell r="HZ618" t="str">
            <v>ISO4217:USD</v>
          </cell>
          <cell r="IA618" t="b">
            <v>0</v>
          </cell>
          <cell r="IB618" t="b">
            <v>0</v>
          </cell>
        </row>
        <row r="619">
          <cell r="C619" t="str">
            <v>Current share of market value of associates accounted for under the equity method, nonoperating</v>
          </cell>
          <cell r="HX619" t="str">
            <v>mstag:currentShareOfMarketValueOfAssociatesAccountedForUnderTheEquityMethodNonOperating</v>
          </cell>
          <cell r="HY619">
            <v>6</v>
          </cell>
          <cell r="HZ619" t="str">
            <v>ISO4217:USD</v>
          </cell>
          <cell r="IA619" t="b">
            <v>0</v>
          </cell>
          <cell r="IB619" t="b">
            <v>0</v>
          </cell>
        </row>
        <row r="620">
          <cell r="C620" t="str">
            <v>Market value of convertible debt included in dilutive securities</v>
          </cell>
          <cell r="HX620" t="str">
            <v>mstag:convertibleDebtIncludedInDilutiveSecurities</v>
          </cell>
          <cell r="HY620">
            <v>6</v>
          </cell>
          <cell r="HZ620" t="str">
            <v>ISO4217:USD</v>
          </cell>
          <cell r="IA620" t="b">
            <v>0</v>
          </cell>
          <cell r="IB620" t="b">
            <v>0</v>
          </cell>
        </row>
        <row r="621">
          <cell r="C621" t="str">
            <v>Market value of convertible preferred equity included in dilutive securities</v>
          </cell>
          <cell r="HX621" t="str">
            <v>mstag:convertiblePreferredEquityIncludedInDilutiveSecurities</v>
          </cell>
          <cell r="HY621">
            <v>6</v>
          </cell>
          <cell r="HZ621" t="str">
            <v>ISO4217:USD</v>
          </cell>
          <cell r="IA621" t="b">
            <v>0</v>
          </cell>
          <cell r="IB621" t="b">
            <v>0</v>
          </cell>
        </row>
        <row r="622">
          <cell r="C622" t="str">
            <v>Book value of convertible debt included in dilutive securities</v>
          </cell>
          <cell r="HX622" t="str">
            <v>mstag:bookValueOfConvertibleDebtIncludedInDilutiveSecurities</v>
          </cell>
          <cell r="HY622">
            <v>6</v>
          </cell>
          <cell r="HZ622" t="str">
            <v>ISO4217:USD</v>
          </cell>
          <cell r="IA622" t="b">
            <v>0</v>
          </cell>
          <cell r="IB622" t="b">
            <v>0</v>
          </cell>
        </row>
        <row r="623">
          <cell r="C623" t="str">
            <v>Book value of convertible preferred equity included in dilutive securities</v>
          </cell>
          <cell r="HX623" t="str">
            <v>mstag:bookValueOfConvertiblePreferredEquityIncludedInDilutiveSecurities</v>
          </cell>
          <cell r="HY623">
            <v>6</v>
          </cell>
          <cell r="HZ623" t="str">
            <v>ISO4217:USD</v>
          </cell>
          <cell r="IA623" t="b">
            <v>0</v>
          </cell>
          <cell r="IB623" t="b">
            <v>0</v>
          </cell>
        </row>
        <row r="624">
          <cell r="C624" t="str">
            <v>Market value of excluded minority interests in shareholders' equity</v>
          </cell>
          <cell r="HX624" t="str">
            <v>mstag:marketValueOfExcludedMinorityInterestsInShareholdersEquity</v>
          </cell>
          <cell r="HY624">
            <v>6</v>
          </cell>
          <cell r="HZ624" t="str">
            <v>ISO4217:USD</v>
          </cell>
          <cell r="IA624" t="b">
            <v>0</v>
          </cell>
          <cell r="IB624" t="b">
            <v>0</v>
          </cell>
        </row>
        <row r="625">
          <cell r="C625" t="str">
            <v>Book value of excluded minority interests in shareholders' equity</v>
          </cell>
          <cell r="HX625" t="str">
            <v>mstag:bookValueOfExcludedMinorityInterestsInShareholdersEquity</v>
          </cell>
          <cell r="HY625">
            <v>6</v>
          </cell>
          <cell r="HZ625" t="str">
            <v>ISO4217:USD</v>
          </cell>
          <cell r="IA625" t="b">
            <v>0</v>
          </cell>
          <cell r="IB625" t="b">
            <v>0</v>
          </cell>
        </row>
        <row r="626">
          <cell r="C626" t="str">
            <v>Percentage of EBITDA attributable to entities with excluded minority interest</v>
          </cell>
          <cell r="HX626" t="str">
            <v>mstag:percentageOfEbitdaAttributableToEntitiesWithExcludedMinorityInterest</v>
          </cell>
          <cell r="HY626">
            <v>0</v>
          </cell>
          <cell r="HZ626" t="str">
            <v>ms_eqr_gcim_Decimal:ms_eqr_gcim_decimal</v>
          </cell>
          <cell r="IA626" t="b">
            <v>0</v>
          </cell>
          <cell r="IB626" t="b">
            <v>0</v>
          </cell>
        </row>
        <row r="627">
          <cell r="C627" t="str">
            <v>Minority share in entities with excluded minority interest (%)</v>
          </cell>
          <cell r="HX627" t="str">
            <v>mstag:minorityShareInEntitiesWithExcludedMinorityInterestPercent</v>
          </cell>
          <cell r="HY627">
            <v>6</v>
          </cell>
          <cell r="HZ627" t="str">
            <v>ms_eqr_gcim_Decimal:ms_eqr_gcim_decimal</v>
          </cell>
          <cell r="IA627" t="b">
            <v>0</v>
          </cell>
          <cell r="IB627" t="b">
            <v>0</v>
          </cell>
        </row>
        <row r="628">
          <cell r="C628" t="str">
            <v>Net financial obligations of entities with excluded minority interest</v>
          </cell>
          <cell r="HX628" t="str">
            <v>mstag:netFinancialObligationsOfEntitiesWithExcludedMinorityInterest</v>
          </cell>
          <cell r="HY628">
            <v>6</v>
          </cell>
          <cell r="HZ628" t="str">
            <v>ISO4217:USD</v>
          </cell>
          <cell r="IA628" t="b">
            <v>0</v>
          </cell>
          <cell r="IB628" t="b">
            <v>0</v>
          </cell>
        </row>
        <row r="629">
          <cell r="C629" t="str">
            <v>Net financial obligations of entities consolidated using the equity method included in majority EV</v>
          </cell>
          <cell r="HX629" t="str">
            <v>mstag:netFinancialObligationsOfEntitiesConsolidatedUsingTheEquityMethodIncludedInMajorityEv</v>
          </cell>
          <cell r="HY629">
            <v>6</v>
          </cell>
          <cell r="HZ629" t="str">
            <v>ISO4217:USD</v>
          </cell>
          <cell r="IA629" t="b">
            <v>0</v>
          </cell>
          <cell r="IB629" t="b">
            <v>0</v>
          </cell>
        </row>
        <row r="630">
          <cell r="C630" t="str">
            <v>Majority share of entities consolidated using the equity method included in majority EV (%)</v>
          </cell>
          <cell r="HX630" t="str">
            <v>mstag:majorityShareOfEntitiesConsolidatedUsingTheEquityMethodIncludedInMajorityEvPercent</v>
          </cell>
          <cell r="HY630">
            <v>0</v>
          </cell>
          <cell r="HZ630" t="str">
            <v>ms_eqr_gcim_Decimal:ms_eqr_gcim_decimal</v>
          </cell>
          <cell r="IA630" t="b">
            <v>0</v>
          </cell>
          <cell r="IB630" t="b">
            <v>0</v>
          </cell>
        </row>
        <row r="631">
          <cell r="C631" t="str">
            <v>EBITDA of entities consolidated using the equity method included in majority EBITDA</v>
          </cell>
          <cell r="HX631" t="str">
            <v>mstag:ebitdaOfEntitiesConsolidatedUsingTheEquityMethodIncludedInMajorityEbitda</v>
          </cell>
          <cell r="HY631">
            <v>6</v>
          </cell>
          <cell r="HZ631" t="str">
            <v>ISO4217:USD</v>
          </cell>
          <cell r="IA631" t="b">
            <v>0</v>
          </cell>
          <cell r="IB631" t="b">
            <v>0</v>
          </cell>
        </row>
        <row r="632">
          <cell r="C632" t="str">
            <v>Market value of investments accounted for using the equity method excluded from majority EV</v>
          </cell>
          <cell r="HX632" t="str">
            <v>mstag:marketValueOfInvestmentsAccountedForUsingTheEquityMethodExcludedFromMajorityEv</v>
          </cell>
          <cell r="HY632">
            <v>6</v>
          </cell>
          <cell r="HZ632" t="str">
            <v>ISO4217:USD</v>
          </cell>
          <cell r="IA632" t="b">
            <v>0</v>
          </cell>
          <cell r="IB632" t="b">
            <v>0</v>
          </cell>
        </row>
        <row r="633">
          <cell r="C633" t="str">
            <v>Book value of investments accounted for using the equity method excluded from majority EV</v>
          </cell>
          <cell r="HX633" t="str">
            <v>mstag:bookValueOfInvestmentsAccountedForUsingTheEquityMethodExcludedFromMajorityEv</v>
          </cell>
          <cell r="HY633">
            <v>6</v>
          </cell>
          <cell r="HZ633" t="str">
            <v>ISO4217:USD</v>
          </cell>
          <cell r="IA633" t="b">
            <v>0</v>
          </cell>
          <cell r="IB633" t="b">
            <v>0</v>
          </cell>
        </row>
        <row r="634">
          <cell r="C634" t="str">
            <v>Current market value of investments accounted for using the equity method excluded from majority EV</v>
          </cell>
          <cell r="HX634" t="str">
            <v>mstag:currentMarketValueOfInvestmentsAccountedForUsingTheEquityMethodExcludedFromMajorityEv</v>
          </cell>
          <cell r="HY634">
            <v>6</v>
          </cell>
          <cell r="HZ634" t="str">
            <v>ISO4217:USD</v>
          </cell>
          <cell r="IA634" t="b">
            <v>0</v>
          </cell>
          <cell r="IB634" t="b">
            <v>0</v>
          </cell>
        </row>
        <row r="635">
          <cell r="C635" t="str">
            <v>Current market value of excluded minority interests in shareholders' equity</v>
          </cell>
          <cell r="HX635" t="str">
            <v>mstag:currentMarketValueOfExcludedMinorityInterestsInShareholdersEquity</v>
          </cell>
          <cell r="HY635">
            <v>6</v>
          </cell>
          <cell r="HZ635" t="str">
            <v>ISO4217:USD</v>
          </cell>
          <cell r="IA635" t="b">
            <v>0</v>
          </cell>
          <cell r="IB635" t="b">
            <v>0</v>
          </cell>
        </row>
        <row r="636">
          <cell r="C636" t="str">
            <v>LIFO reserve</v>
          </cell>
          <cell r="HX636" t="str">
            <v>mstag:lifoReserve</v>
          </cell>
          <cell r="HY636">
            <v>6</v>
          </cell>
          <cell r="HZ636" t="str">
            <v>ISO4217:USD</v>
          </cell>
          <cell r="IA636" t="b">
            <v>0</v>
          </cell>
          <cell r="IB636" t="b">
            <v>0</v>
          </cell>
        </row>
        <row r="637">
          <cell r="C637" t="str">
            <v>Change in LIFO reserve</v>
          </cell>
          <cell r="HX637" t="str">
            <v>mstag:changeInLifoReserve</v>
          </cell>
          <cell r="HY637">
            <v>6</v>
          </cell>
          <cell r="HZ637" t="str">
            <v>ISO4217:USD</v>
          </cell>
          <cell r="IA637" t="b">
            <v>0</v>
          </cell>
          <cell r="IB637" t="b">
            <v>0</v>
          </cell>
        </row>
        <row r="638">
          <cell r="C638" t="str">
            <v>Inventory obsolescence reserve</v>
          </cell>
          <cell r="HX638" t="str">
            <v>mstag:inventoryObsolescenceReserve</v>
          </cell>
          <cell r="HY638">
            <v>6</v>
          </cell>
          <cell r="HZ638" t="str">
            <v>ISO4217:USD</v>
          </cell>
          <cell r="IA638" t="b">
            <v>0</v>
          </cell>
          <cell r="IB638" t="b">
            <v>0</v>
          </cell>
        </row>
        <row r="639">
          <cell r="C639" t="str">
            <v>Taxes</v>
          </cell>
          <cell r="HY639">
            <v>0</v>
          </cell>
          <cell r="HZ639" t="str">
            <v>ms_eqr_gcim_String:ms_eqr_gcim_string</v>
          </cell>
          <cell r="IA639" t="b">
            <v>0</v>
          </cell>
          <cell r="IB639" t="b">
            <v>0</v>
          </cell>
        </row>
        <row r="640">
          <cell r="D640" t="str">
            <v>Deferred tax assets, operating</v>
          </cell>
          <cell r="G640">
            <v>202.113</v>
          </cell>
          <cell r="H640">
            <v>221.36500000000001</v>
          </cell>
          <cell r="I640">
            <v>337.589</v>
          </cell>
          <cell r="J640">
            <v>546.26900000000001</v>
          </cell>
          <cell r="K640">
            <v>511.61599999999999</v>
          </cell>
          <cell r="L640">
            <v>683.36400000000003</v>
          </cell>
          <cell r="HX640" t="str">
            <v>mstag:deferredTaxAssetsOperating</v>
          </cell>
          <cell r="HY640">
            <v>6</v>
          </cell>
          <cell r="HZ640" t="str">
            <v>ISO4217:USD</v>
          </cell>
          <cell r="IA640" t="b">
            <v>0</v>
          </cell>
          <cell r="IB640" t="b">
            <v>0</v>
          </cell>
        </row>
        <row r="641">
          <cell r="D641" t="str">
            <v>Deferred tax assets, financing</v>
          </cell>
          <cell r="HX641" t="str">
            <v>mstag:deferredTaxAssetsFinancing</v>
          </cell>
          <cell r="HY641">
            <v>6</v>
          </cell>
          <cell r="HZ641" t="str">
            <v>ISO4217:USD</v>
          </cell>
          <cell r="IA641" t="b">
            <v>0</v>
          </cell>
          <cell r="IB641" t="b">
            <v>0</v>
          </cell>
        </row>
        <row r="642">
          <cell r="D642" t="str">
            <v>Deferred tax assets, other</v>
          </cell>
          <cell r="HX642" t="str">
            <v>mstag:deferredTaxAssetsOther</v>
          </cell>
          <cell r="HY642">
            <v>6</v>
          </cell>
          <cell r="HZ642" t="str">
            <v>ISO4217:USD</v>
          </cell>
          <cell r="IA642" t="b">
            <v>0</v>
          </cell>
          <cell r="IB642" t="b">
            <v>0</v>
          </cell>
        </row>
        <row r="643">
          <cell r="D643" t="str">
            <v>Valuation allowance in deferred taxes</v>
          </cell>
          <cell r="G643">
            <v>48.508000000000003</v>
          </cell>
          <cell r="H643">
            <v>62.844000000000001</v>
          </cell>
          <cell r="I643">
            <v>0</v>
          </cell>
          <cell r="J643">
            <v>0</v>
          </cell>
          <cell r="K643">
            <v>0</v>
          </cell>
          <cell r="L643">
            <v>0</v>
          </cell>
          <cell r="HX643" t="str">
            <v>mstag:valuationAllowanceInDeferredTaxes</v>
          </cell>
          <cell r="HY643">
            <v>6</v>
          </cell>
          <cell r="HZ643" t="str">
            <v>ISO4217:USD</v>
          </cell>
          <cell r="IA643" t="b">
            <v>0</v>
          </cell>
          <cell r="IB643" t="b">
            <v>0</v>
          </cell>
        </row>
        <row r="644">
          <cell r="D644" t="str">
            <v>Deferred tax liabilities, operating</v>
          </cell>
          <cell r="G644">
            <v>82.396000000000001</v>
          </cell>
          <cell r="H644">
            <v>117.104</v>
          </cell>
          <cell r="I644">
            <v>882.13300000000004</v>
          </cell>
          <cell r="J644">
            <v>855.49800000000005</v>
          </cell>
          <cell r="K644">
            <v>819.85799999999995</v>
          </cell>
          <cell r="L644">
            <v>768.57899999999995</v>
          </cell>
          <cell r="HX644" t="str">
            <v>mstag:deferredTaxLiabilitiesOperating</v>
          </cell>
          <cell r="HY644">
            <v>6</v>
          </cell>
          <cell r="HZ644" t="str">
            <v>ISO4217:USD</v>
          </cell>
          <cell r="IA644" t="b">
            <v>0</v>
          </cell>
          <cell r="IB644" t="b">
            <v>0</v>
          </cell>
        </row>
        <row r="645">
          <cell r="D645" t="str">
            <v>Deferred tax liabilities, financing</v>
          </cell>
          <cell r="HX645" t="str">
            <v>mstag:deferredTaxLiabilitiesFinancing</v>
          </cell>
          <cell r="HY645">
            <v>6</v>
          </cell>
          <cell r="HZ645" t="str">
            <v>ISO4217:USD</v>
          </cell>
          <cell r="IA645" t="b">
            <v>0</v>
          </cell>
          <cell r="IB645" t="b">
            <v>0</v>
          </cell>
        </row>
        <row r="646">
          <cell r="D646" t="str">
            <v>Deferred tax liabilities, other</v>
          </cell>
          <cell r="HX646" t="str">
            <v>mstag:deferredTaxLiabilitiesOther</v>
          </cell>
          <cell r="HY646">
            <v>6</v>
          </cell>
          <cell r="HZ646" t="str">
            <v>ISO4217:USD</v>
          </cell>
          <cell r="IA646" t="b">
            <v>0</v>
          </cell>
          <cell r="IB646" t="b">
            <v>0</v>
          </cell>
        </row>
        <row r="647">
          <cell r="D647" t="str">
            <v>Cash taxes paid</v>
          </cell>
          <cell r="G647">
            <v>15.474</v>
          </cell>
          <cell r="H647">
            <v>26.189</v>
          </cell>
          <cell r="I647">
            <v>18.739999999999998</v>
          </cell>
          <cell r="J647">
            <v>-5.0049999999999999</v>
          </cell>
          <cell r="K647">
            <v>36.450000000000003</v>
          </cell>
          <cell r="L647">
            <v>128.108</v>
          </cell>
          <cell r="HX647" t="str">
            <v>mstag:cashTaxesPaid</v>
          </cell>
          <cell r="HY647">
            <v>6</v>
          </cell>
          <cell r="HZ647" t="str">
            <v>ISO4217:USD</v>
          </cell>
          <cell r="IA647" t="b">
            <v>0</v>
          </cell>
          <cell r="IB647" t="b">
            <v>0</v>
          </cell>
        </row>
        <row r="648">
          <cell r="D648" t="str">
            <v>Fair value of NOL</v>
          </cell>
          <cell r="HX648" t="str">
            <v>mstag:fairValueOfNol</v>
          </cell>
          <cell r="HY648">
            <v>6</v>
          </cell>
          <cell r="HZ648" t="str">
            <v>ISO4217:USD</v>
          </cell>
          <cell r="IA648" t="b">
            <v>0</v>
          </cell>
          <cell r="IB648" t="b">
            <v>0</v>
          </cell>
        </row>
        <row r="649">
          <cell r="D649" t="str">
            <v>Dividend tax credit (%)</v>
          </cell>
          <cell r="HX649" t="str">
            <v>mstag:dividendTaxCreditPercent</v>
          </cell>
          <cell r="HY649">
            <v>0</v>
          </cell>
          <cell r="HZ649" t="str">
            <v>ms_eqr_gcim_Decimal:ms_eqr_gcim_decimal</v>
          </cell>
          <cell r="IA649" t="b">
            <v>0</v>
          </cell>
          <cell r="IB649" t="b">
            <v>0</v>
          </cell>
        </row>
        <row r="650">
          <cell r="C650" t="str">
            <v>Dividend franking percentage</v>
          </cell>
          <cell r="HX650" t="str">
            <v>mstag:dividendFrankingPercentage</v>
          </cell>
          <cell r="HY650">
            <v>0</v>
          </cell>
          <cell r="HZ650" t="str">
            <v>ms_eqr_gcim_Decimal:ms_eqr_gcim_decimal</v>
          </cell>
          <cell r="IA650" t="b">
            <v>0</v>
          </cell>
          <cell r="IB650" t="b">
            <v>0</v>
          </cell>
        </row>
        <row r="651">
          <cell r="C651" t="str">
            <v>Tax withheld on dividends paid</v>
          </cell>
          <cell r="HX651" t="str">
            <v>mstag:taxWithheldOnDividendsPaid</v>
          </cell>
          <cell r="HY651">
            <v>6</v>
          </cell>
          <cell r="HZ651" t="str">
            <v>ISO4217:USD</v>
          </cell>
          <cell r="IA651" t="b">
            <v>0</v>
          </cell>
          <cell r="IB651" t="b">
            <v>0</v>
          </cell>
        </row>
        <row r="652">
          <cell r="C652" t="str">
            <v>Special dividends paid</v>
          </cell>
          <cell r="HX652" t="str">
            <v>mstag:specialDividendsPaid</v>
          </cell>
          <cell r="HY652">
            <v>6</v>
          </cell>
          <cell r="HZ652" t="str">
            <v>ISO4217:USD</v>
          </cell>
          <cell r="IA652" t="b">
            <v>0</v>
          </cell>
          <cell r="IB652" t="b">
            <v>0</v>
          </cell>
        </row>
        <row r="653">
          <cell r="C653" t="str">
            <v>Off balance sheet</v>
          </cell>
          <cell r="HY653">
            <v>0</v>
          </cell>
          <cell r="HZ653" t="str">
            <v>ms_eqr_gcim_String:ms_eqr_gcim_string</v>
          </cell>
          <cell r="IA653" t="b">
            <v>0</v>
          </cell>
          <cell r="IB653" t="b">
            <v>0</v>
          </cell>
        </row>
        <row r="654">
          <cell r="D654" t="str">
            <v>Securitized assets</v>
          </cell>
          <cell r="G654" t="str">
            <v/>
          </cell>
          <cell r="H654" t="str">
            <v/>
          </cell>
          <cell r="I654" t="str">
            <v/>
          </cell>
          <cell r="J654" t="str">
            <v/>
          </cell>
          <cell r="K654" t="str">
            <v/>
          </cell>
          <cell r="L654" t="str">
            <v/>
          </cell>
          <cell r="M654" t="str">
            <v/>
          </cell>
          <cell r="HX654" t="str">
            <v>mstag:securitizedAssetsNonFinancialServices</v>
          </cell>
          <cell r="HY654">
            <v>6</v>
          </cell>
          <cell r="HZ654" t="str">
            <v>ISO4217:USD</v>
          </cell>
          <cell r="IA654" t="b">
            <v>0</v>
          </cell>
          <cell r="IB654" t="b">
            <v>0</v>
          </cell>
        </row>
        <row r="655">
          <cell r="E655" t="str">
            <v>Securitized receivables</v>
          </cell>
          <cell r="HX655" t="str">
            <v>mstag:securitizedReceivablesNonFinancialServices</v>
          </cell>
          <cell r="HY655">
            <v>6</v>
          </cell>
          <cell r="HZ655" t="str">
            <v>ISO4217:USD</v>
          </cell>
          <cell r="IA655" t="b">
            <v>0</v>
          </cell>
          <cell r="IB655" t="b">
            <v>0</v>
          </cell>
        </row>
        <row r="656">
          <cell r="D656" t="str">
            <v>Commitments and contingencies</v>
          </cell>
          <cell r="HX656" t="str">
            <v>mstag:commitmentsAndContingencies</v>
          </cell>
          <cell r="HY656">
            <v>6</v>
          </cell>
          <cell r="HZ656" t="str">
            <v>ISO4217:USD</v>
          </cell>
          <cell r="IA656" t="b">
            <v>0</v>
          </cell>
          <cell r="IB656" t="b">
            <v>0</v>
          </cell>
        </row>
        <row r="657">
          <cell r="D657" t="str">
            <v>Unguaranteed residual value in sales-financed leases</v>
          </cell>
          <cell r="HX657" t="str">
            <v>mstag:unguaranteedResidualValueInSalesFinancedLeases</v>
          </cell>
          <cell r="HY657">
            <v>6</v>
          </cell>
          <cell r="HZ657" t="str">
            <v>ISO4217:USD</v>
          </cell>
          <cell r="IA657" t="b">
            <v>0</v>
          </cell>
          <cell r="IB657" t="b">
            <v>0</v>
          </cell>
        </row>
        <row r="658">
          <cell r="C658" t="str">
            <v>Total number of employees</v>
          </cell>
          <cell r="G658">
            <v>3242</v>
          </cell>
          <cell r="H658">
            <v>3389</v>
          </cell>
          <cell r="I658">
            <v>3883</v>
          </cell>
          <cell r="J658">
            <v>4459</v>
          </cell>
          <cell r="K658">
            <v>4950</v>
          </cell>
          <cell r="L658">
            <v>5252</v>
          </cell>
          <cell r="HX658" t="str">
            <v>mstag:totalNumberOfEmployees</v>
          </cell>
          <cell r="HY658">
            <v>0</v>
          </cell>
          <cell r="HZ658" t="str">
            <v>ms_eqr_gcim_Decimal:ms_eqr_gcim_decimal</v>
          </cell>
          <cell r="IA658" t="b">
            <v>0</v>
          </cell>
          <cell r="IB658" t="b">
            <v>0</v>
          </cell>
        </row>
        <row r="659">
          <cell r="C659" t="str">
            <v>Average number of employees</v>
          </cell>
          <cell r="G659" t="str">
            <v>ND</v>
          </cell>
          <cell r="H659">
            <v>3315.5</v>
          </cell>
          <cell r="I659">
            <v>3636</v>
          </cell>
          <cell r="J659">
            <v>4171</v>
          </cell>
          <cell r="K659">
            <v>4704.5</v>
          </cell>
          <cell r="L659">
            <v>5101</v>
          </cell>
          <cell r="HX659" t="str">
            <v>mstag:averageNumberOfEmployees</v>
          </cell>
          <cell r="HY659">
            <v>0</v>
          </cell>
          <cell r="HZ659" t="str">
            <v>ms_eqr_gcim_Decimal:ms_eqr_gcim_decimal</v>
          </cell>
          <cell r="IA659" t="b">
            <v>0</v>
          </cell>
          <cell r="IB659" t="b">
            <v>0</v>
          </cell>
        </row>
        <row r="660">
          <cell r="C660" t="str">
            <v>Net effect of revaluation reserves on book value</v>
          </cell>
          <cell r="HX660" t="str">
            <v>mstag:netEffectOfRevaluationReservesOnBookValue</v>
          </cell>
          <cell r="HY660">
            <v>6</v>
          </cell>
          <cell r="HZ660" t="str">
            <v>ISO4217:USD</v>
          </cell>
          <cell r="IA660" t="b">
            <v>0</v>
          </cell>
          <cell r="IB660" t="b">
            <v>0</v>
          </cell>
        </row>
        <row r="661">
          <cell r="C661" t="str">
            <v>Interest on other interest-bearing liabilities</v>
          </cell>
          <cell r="G661" t="str">
            <v/>
          </cell>
          <cell r="H661" t="str">
            <v/>
          </cell>
          <cell r="I661" t="str">
            <v/>
          </cell>
          <cell r="J661" t="str">
            <v/>
          </cell>
          <cell r="K661" t="str">
            <v/>
          </cell>
          <cell r="L661" t="str">
            <v/>
          </cell>
          <cell r="M661" t="str">
            <v/>
          </cell>
          <cell r="HX661" t="str">
            <v>mstag:interestOnOtherInterestBearingLiabilities</v>
          </cell>
          <cell r="HY661">
            <v>6</v>
          </cell>
          <cell r="HZ661" t="str">
            <v>ISO4217:USD</v>
          </cell>
          <cell r="IA661" t="b">
            <v>0</v>
          </cell>
          <cell r="IB661" t="b">
            <v>0</v>
          </cell>
        </row>
        <row r="662">
          <cell r="D662" t="str">
            <v>Interest on other interest-bearing liabilities reported as finance costs</v>
          </cell>
          <cell r="HX662" t="str">
            <v>mstag:interestOnOtherInterestBearingLiabilitiesReportedAsFinanceCosts</v>
          </cell>
          <cell r="HY662">
            <v>6</v>
          </cell>
          <cell r="HZ662" t="str">
            <v>ISO4217:USD</v>
          </cell>
          <cell r="IA662" t="b">
            <v>0</v>
          </cell>
          <cell r="IB662" t="b">
            <v>0</v>
          </cell>
        </row>
        <row r="663">
          <cell r="D663" t="str">
            <v>Interest on other interest-bearing liabilities reported as operating costs</v>
          </cell>
          <cell r="HX663" t="str">
            <v>mstag:interestOnOtherInterestBearingLiabilitiesReportedAsOperatingCosts</v>
          </cell>
          <cell r="HY663">
            <v>6</v>
          </cell>
          <cell r="HZ663" t="str">
            <v>ISO4217:USD</v>
          </cell>
          <cell r="IA663" t="b">
            <v>0</v>
          </cell>
          <cell r="IB663" t="b">
            <v>0</v>
          </cell>
        </row>
        <row r="664">
          <cell r="B664" t="str">
            <v>Pensions and other postretirement benefit plans</v>
          </cell>
          <cell r="HY664">
            <v>0</v>
          </cell>
          <cell r="HZ664" t="str">
            <v>ms_eqr_gcim_String:ms_eqr_gcim_string</v>
          </cell>
          <cell r="IA664" t="b">
            <v>0</v>
          </cell>
          <cell r="IB664" t="b">
            <v>0</v>
          </cell>
        </row>
        <row r="665">
          <cell r="C665" t="str">
            <v>Pensions (interest and returns classified by company as operating)</v>
          </cell>
          <cell r="HY665">
            <v>0</v>
          </cell>
          <cell r="HZ665" t="str">
            <v>ms_eqr_gcim_String:ms_eqr_gcim_string</v>
          </cell>
          <cell r="IA665" t="b">
            <v>0</v>
          </cell>
          <cell r="IB665" t="b">
            <v>0</v>
          </cell>
        </row>
        <row r="666">
          <cell r="D666" t="str">
            <v>Net periodic pension expense (pensions)</v>
          </cell>
          <cell r="G666" t="str">
            <v/>
          </cell>
          <cell r="H666" t="str">
            <v/>
          </cell>
          <cell r="I666" t="str">
            <v/>
          </cell>
          <cell r="J666" t="str">
            <v/>
          </cell>
          <cell r="K666" t="str">
            <v/>
          </cell>
          <cell r="L666" t="str">
            <v/>
          </cell>
          <cell r="M666" t="str">
            <v/>
          </cell>
          <cell r="HX666" t="str">
            <v>mstag:netPeriodicPensionExpensePensions</v>
          </cell>
          <cell r="HY666">
            <v>6</v>
          </cell>
          <cell r="HZ666" t="str">
            <v>ISO4217:USD</v>
          </cell>
          <cell r="IA666" t="b">
            <v>0</v>
          </cell>
          <cell r="IB666" t="b">
            <v>0</v>
          </cell>
        </row>
        <row r="667">
          <cell r="E667" t="str">
            <v>Service cost (pensions)</v>
          </cell>
          <cell r="HX667" t="str">
            <v>mstag:serviceCostPensions</v>
          </cell>
          <cell r="HY667">
            <v>6</v>
          </cell>
          <cell r="HZ667" t="str">
            <v>ISO4217:USD</v>
          </cell>
          <cell r="IA667" t="b">
            <v>0</v>
          </cell>
          <cell r="IB667" t="b">
            <v>0</v>
          </cell>
        </row>
        <row r="668">
          <cell r="E668" t="str">
            <v>Interest cost (pensions)</v>
          </cell>
          <cell r="HX668" t="str">
            <v>mstag:interestCostPensions</v>
          </cell>
          <cell r="HY668">
            <v>6</v>
          </cell>
          <cell r="HZ668" t="str">
            <v>ISO4217:USD</v>
          </cell>
          <cell r="IA668" t="b">
            <v>0</v>
          </cell>
          <cell r="IB668" t="b">
            <v>0</v>
          </cell>
        </row>
        <row r="669">
          <cell r="E669" t="str">
            <v>Expected return on plan assets (pensions)</v>
          </cell>
          <cell r="HX669" t="str">
            <v>mstag:expectedReturnOnPlanAssetsPensions</v>
          </cell>
          <cell r="HY669">
            <v>6</v>
          </cell>
          <cell r="HZ669" t="str">
            <v>ISO4217:USD</v>
          </cell>
          <cell r="IA669" t="b">
            <v>0</v>
          </cell>
          <cell r="IB669" t="b">
            <v>0</v>
          </cell>
        </row>
        <row r="670">
          <cell r="E670" t="str">
            <v>Amortization of prior service cost (pensions)</v>
          </cell>
          <cell r="HX670" t="str">
            <v>mstag:amortizationOfPriorServiceCostPensions</v>
          </cell>
          <cell r="HY670">
            <v>6</v>
          </cell>
          <cell r="HZ670" t="str">
            <v>ISO4217:USD</v>
          </cell>
          <cell r="IA670" t="b">
            <v>0</v>
          </cell>
          <cell r="IB670" t="b">
            <v>0</v>
          </cell>
        </row>
        <row r="671">
          <cell r="E671" t="str">
            <v>Net actuarial gain (loss) recognized (pensions)</v>
          </cell>
          <cell r="HX671" t="str">
            <v>mstag:netActuarialGainLossRecognizedPensions</v>
          </cell>
          <cell r="HY671">
            <v>6</v>
          </cell>
          <cell r="HZ671" t="str">
            <v>ISO4217:USD</v>
          </cell>
          <cell r="IA671" t="b">
            <v>0</v>
          </cell>
          <cell r="IB671" t="b">
            <v>0</v>
          </cell>
        </row>
        <row r="672">
          <cell r="E672" t="str">
            <v>Nonrecurring pension items</v>
          </cell>
          <cell r="HX672" t="str">
            <v>mstag:nonRecurringPensionItems</v>
          </cell>
          <cell r="HY672">
            <v>6</v>
          </cell>
          <cell r="HZ672" t="str">
            <v>ISO4217:USD</v>
          </cell>
          <cell r="IA672" t="b">
            <v>0</v>
          </cell>
          <cell r="IB672" t="b">
            <v>0</v>
          </cell>
        </row>
        <row r="673">
          <cell r="E673" t="str">
            <v>Other net pension expense</v>
          </cell>
          <cell r="HX673" t="str">
            <v>mstag:otherNetPensionExpense</v>
          </cell>
          <cell r="HY673">
            <v>6</v>
          </cell>
          <cell r="HZ673" t="str">
            <v>ISO4217:USD</v>
          </cell>
          <cell r="IA673" t="b">
            <v>0</v>
          </cell>
          <cell r="IB673" t="b">
            <v>0</v>
          </cell>
        </row>
        <row r="674">
          <cell r="D674" t="str">
            <v>Net benefits paid to retirees (pensions)</v>
          </cell>
          <cell r="G674" t="str">
            <v/>
          </cell>
          <cell r="H674" t="str">
            <v/>
          </cell>
          <cell r="I674" t="str">
            <v/>
          </cell>
          <cell r="J674" t="str">
            <v/>
          </cell>
          <cell r="K674" t="str">
            <v/>
          </cell>
          <cell r="L674" t="str">
            <v/>
          </cell>
          <cell r="M674" t="str">
            <v/>
          </cell>
          <cell r="HX674" t="str">
            <v>mstag:netBenefitsPaidToRetireesPensions</v>
          </cell>
          <cell r="HY674">
            <v>6</v>
          </cell>
          <cell r="HZ674" t="str">
            <v>ISO4217:USD</v>
          </cell>
          <cell r="IA674" t="b">
            <v>0</v>
          </cell>
          <cell r="IB674" t="b">
            <v>0</v>
          </cell>
        </row>
        <row r="675">
          <cell r="E675" t="str">
            <v>Benefits paid to retirees, in obligation (pensions)</v>
          </cell>
          <cell r="HX675" t="str">
            <v>mstag:benefitsPaidToRetireesPensions</v>
          </cell>
          <cell r="HY675">
            <v>6</v>
          </cell>
          <cell r="HZ675" t="str">
            <v>ISO4217:USD</v>
          </cell>
          <cell r="IA675" t="b">
            <v>0</v>
          </cell>
          <cell r="IB675" t="b">
            <v>0</v>
          </cell>
        </row>
        <row r="676">
          <cell r="E676" t="str">
            <v>Benefits paid to retirees, in assets (pensions)</v>
          </cell>
          <cell r="HX676" t="str">
            <v>mstag:benefitsPaidToRetireesInAssetsPensions</v>
          </cell>
          <cell r="HY676">
            <v>6</v>
          </cell>
          <cell r="HZ676" t="str">
            <v>ISO4217:USD</v>
          </cell>
          <cell r="IA676" t="b">
            <v>0</v>
          </cell>
          <cell r="IB676" t="b">
            <v>0</v>
          </cell>
        </row>
        <row r="677">
          <cell r="D677" t="str">
            <v>Actual return on plan assets (pensions)</v>
          </cell>
          <cell r="HX677" t="str">
            <v>mstag:actualReturnOnPlanAssetsPensions</v>
          </cell>
          <cell r="HY677">
            <v>6</v>
          </cell>
          <cell r="HZ677" t="str">
            <v>ISO4217:USD</v>
          </cell>
          <cell r="IA677" t="b">
            <v>0</v>
          </cell>
          <cell r="IB677" t="b">
            <v>0</v>
          </cell>
        </row>
        <row r="678">
          <cell r="D678" t="str">
            <v>Contribution to plan assets (pensions)</v>
          </cell>
          <cell r="HX678" t="str">
            <v>mstag:contributionToPlanAssetsPensions</v>
          </cell>
          <cell r="HY678">
            <v>6</v>
          </cell>
          <cell r="HZ678" t="str">
            <v>ISO4217:USD</v>
          </cell>
          <cell r="IA678" t="b">
            <v>0</v>
          </cell>
          <cell r="IB678" t="b">
            <v>0</v>
          </cell>
        </row>
        <row r="679">
          <cell r="D679" t="str">
            <v>Projected benefit obligation (pensions)</v>
          </cell>
          <cell r="HX679" t="str">
            <v>mstag:projectedBenefitObligationPensions</v>
          </cell>
          <cell r="HY679">
            <v>6</v>
          </cell>
          <cell r="HZ679" t="str">
            <v>ISO4217:USD</v>
          </cell>
          <cell r="IA679" t="b">
            <v>0</v>
          </cell>
          <cell r="IB679" t="b">
            <v>0</v>
          </cell>
        </row>
        <row r="680">
          <cell r="D680" t="str">
            <v>Plan assets at fair value (pensions)</v>
          </cell>
          <cell r="HX680" t="str">
            <v>mstag:planAssetsAtFairValuePensions</v>
          </cell>
          <cell r="HY680">
            <v>6</v>
          </cell>
          <cell r="HZ680" t="str">
            <v>ISO4217:USD</v>
          </cell>
          <cell r="IA680" t="b">
            <v>0</v>
          </cell>
          <cell r="IB680" t="b">
            <v>0</v>
          </cell>
        </row>
        <row r="681">
          <cell r="D681" t="str">
            <v>Net pension prepaid asset (accrued liability)</v>
          </cell>
          <cell r="HX681" t="str">
            <v>mstag:netPensionPrepaidAssetAccruedLiability</v>
          </cell>
          <cell r="HY681">
            <v>6</v>
          </cell>
          <cell r="HZ681" t="str">
            <v>ISO4217:USD</v>
          </cell>
          <cell r="IA681" t="b">
            <v>0</v>
          </cell>
          <cell r="IB681" t="b">
            <v>0</v>
          </cell>
        </row>
        <row r="682">
          <cell r="D682" t="str">
            <v>Intangible asset (pensions)</v>
          </cell>
          <cell r="HX682" t="str">
            <v>mstag:intangibleAssetPensions</v>
          </cell>
          <cell r="HY682">
            <v>6</v>
          </cell>
          <cell r="HZ682" t="str">
            <v>ISO4217:USD</v>
          </cell>
          <cell r="IA682" t="b">
            <v>0</v>
          </cell>
          <cell r="IB682" t="b">
            <v>0</v>
          </cell>
        </row>
        <row r="683">
          <cell r="D683" t="str">
            <v>Accumulated other comprehensive income (pensions)</v>
          </cell>
          <cell r="HX683" t="str">
            <v>mstag:accumulatedOtherComprehensiveIncomePensions</v>
          </cell>
          <cell r="HY683">
            <v>6</v>
          </cell>
          <cell r="HZ683" t="str">
            <v>ISO4217:USD</v>
          </cell>
          <cell r="IA683" t="b">
            <v>0</v>
          </cell>
          <cell r="IB683" t="b">
            <v>0</v>
          </cell>
        </row>
        <row r="684">
          <cell r="D684" t="str">
            <v>Weighted average discount rate (pensions)</v>
          </cell>
          <cell r="HX684" t="str">
            <v>mstag:weightedAverageDiscountRatePensions</v>
          </cell>
          <cell r="HY684">
            <v>0</v>
          </cell>
          <cell r="HZ684" t="str">
            <v>ms_eqr_gcim_Decimal:ms_eqr_gcim_decimal</v>
          </cell>
          <cell r="IA684" t="b">
            <v>0</v>
          </cell>
          <cell r="IB684" t="b">
            <v>0</v>
          </cell>
        </row>
        <row r="685">
          <cell r="D685" t="str">
            <v>Expected long-term rate of return on plan assets (pensions)</v>
          </cell>
          <cell r="HX685" t="str">
            <v>mstag:expectedLongTermRateOfReturnOnPlanAssetsPensions</v>
          </cell>
          <cell r="HY685">
            <v>0</v>
          </cell>
          <cell r="HZ685" t="str">
            <v>ms_eqr_gcim_Decimal:ms_eqr_gcim_decimal</v>
          </cell>
          <cell r="IA685" t="b">
            <v>0</v>
          </cell>
          <cell r="IB685" t="b">
            <v>0</v>
          </cell>
        </row>
        <row r="686">
          <cell r="D686" t="str">
            <v>Rate of increase in future compensation levels</v>
          </cell>
          <cell r="HX686" t="str">
            <v>mstag:rateOfIncreaseInFutureCompensationLevels</v>
          </cell>
          <cell r="HY686">
            <v>0</v>
          </cell>
          <cell r="HZ686" t="str">
            <v>ms_eqr_gcim_Decimal:ms_eqr_gcim_decimal</v>
          </cell>
          <cell r="IA686" t="b">
            <v>0</v>
          </cell>
          <cell r="IB686" t="b">
            <v>0</v>
          </cell>
        </row>
        <row r="687">
          <cell r="C687" t="str">
            <v>Pensions (interest and returns classified by company as financing)</v>
          </cell>
          <cell r="HY687">
            <v>0</v>
          </cell>
          <cell r="HZ687" t="str">
            <v>ms_eqr_gcim_String:ms_eqr_gcim_string</v>
          </cell>
          <cell r="IA687" t="b">
            <v>0</v>
          </cell>
          <cell r="IB687" t="b">
            <v>0</v>
          </cell>
        </row>
        <row r="688">
          <cell r="D688" t="str">
            <v>Net periodic pension expense (pensions)</v>
          </cell>
          <cell r="G688" t="str">
            <v/>
          </cell>
          <cell r="H688" t="str">
            <v/>
          </cell>
          <cell r="I688" t="str">
            <v/>
          </cell>
          <cell r="J688" t="str">
            <v/>
          </cell>
          <cell r="K688" t="str">
            <v/>
          </cell>
          <cell r="L688" t="str">
            <v/>
          </cell>
          <cell r="M688" t="str">
            <v/>
          </cell>
          <cell r="HX688" t="str">
            <v>mstag:netPeriodicPensionExpensePensionsClassifiedAsFinancing</v>
          </cell>
          <cell r="HY688">
            <v>0</v>
          </cell>
          <cell r="HZ688" t="str">
            <v>ISO4217:USD</v>
          </cell>
          <cell r="IA688" t="b">
            <v>0</v>
          </cell>
          <cell r="IB688" t="b">
            <v>0</v>
          </cell>
        </row>
        <row r="689">
          <cell r="E689" t="str">
            <v>Service cost (pensions)</v>
          </cell>
          <cell r="HX689" t="str">
            <v>mstag:serviceCostPensionsClassifiedAsFinancing</v>
          </cell>
          <cell r="HY689">
            <v>0</v>
          </cell>
          <cell r="HZ689" t="str">
            <v>ISO4217:USD</v>
          </cell>
          <cell r="IA689" t="b">
            <v>0</v>
          </cell>
          <cell r="IB689" t="b">
            <v>0</v>
          </cell>
        </row>
        <row r="690">
          <cell r="E690" t="str">
            <v>Interest cost (pensions)</v>
          </cell>
          <cell r="HX690" t="str">
            <v>mstag:interestCostPensionsClassifiedAsFinancing</v>
          </cell>
          <cell r="HY690">
            <v>0</v>
          </cell>
          <cell r="HZ690" t="str">
            <v>ISO4217:USD</v>
          </cell>
          <cell r="IA690" t="b">
            <v>0</v>
          </cell>
          <cell r="IB690" t="b">
            <v>0</v>
          </cell>
        </row>
        <row r="691">
          <cell r="E691" t="str">
            <v>Expected return on plan assets (pensions)</v>
          </cell>
          <cell r="HX691" t="str">
            <v>mstag:expectedReturnOnPlanAssetsPensionsClassifiedAsFinancing</v>
          </cell>
          <cell r="HY691">
            <v>0</v>
          </cell>
          <cell r="HZ691" t="str">
            <v>ISO4217:USD</v>
          </cell>
          <cell r="IA691" t="b">
            <v>0</v>
          </cell>
          <cell r="IB691" t="b">
            <v>0</v>
          </cell>
        </row>
        <row r="692">
          <cell r="E692" t="str">
            <v>Amortization of prior service cost (pensions)</v>
          </cell>
          <cell r="HX692" t="str">
            <v>mstag:amortizationOfPriorServiceCostPensionsClassifiedAsFinancing</v>
          </cell>
          <cell r="HY692">
            <v>0</v>
          </cell>
          <cell r="HZ692" t="str">
            <v>ISO4217:USD</v>
          </cell>
          <cell r="IA692" t="b">
            <v>0</v>
          </cell>
          <cell r="IB692" t="b">
            <v>0</v>
          </cell>
        </row>
        <row r="693">
          <cell r="E693" t="str">
            <v>Net actuarial gain (loss) recognized (pensions)</v>
          </cell>
          <cell r="HX693" t="str">
            <v>mstag:netActuarialGainLossRecognizedPensionsClassifiedAsFinancing</v>
          </cell>
          <cell r="HY693">
            <v>0</v>
          </cell>
          <cell r="HZ693" t="str">
            <v>ISO4217:USD</v>
          </cell>
          <cell r="IA693" t="b">
            <v>0</v>
          </cell>
          <cell r="IB693" t="b">
            <v>0</v>
          </cell>
        </row>
        <row r="694">
          <cell r="E694" t="str">
            <v>Nonrecurring pension items</v>
          </cell>
          <cell r="HX694" t="str">
            <v>mstag:nonRecurringPensionItemsClassifiedAsFinancing</v>
          </cell>
          <cell r="HY694">
            <v>0</v>
          </cell>
          <cell r="HZ694" t="str">
            <v>ISO4217:USD</v>
          </cell>
          <cell r="IA694" t="b">
            <v>0</v>
          </cell>
          <cell r="IB694" t="b">
            <v>0</v>
          </cell>
        </row>
        <row r="695">
          <cell r="E695" t="str">
            <v>Other net pension expense</v>
          </cell>
          <cell r="HX695" t="str">
            <v>mstag:otherNetPensionExpenseClassifiedAsFinancing</v>
          </cell>
          <cell r="HY695">
            <v>0</v>
          </cell>
          <cell r="HZ695" t="str">
            <v>ISO4217:USD</v>
          </cell>
          <cell r="IA695" t="b">
            <v>0</v>
          </cell>
          <cell r="IB695" t="b">
            <v>0</v>
          </cell>
        </row>
        <row r="696">
          <cell r="D696" t="str">
            <v>Net benefits paid to retirees (pensions)</v>
          </cell>
          <cell r="G696" t="str">
            <v/>
          </cell>
          <cell r="H696" t="str">
            <v/>
          </cell>
          <cell r="I696" t="str">
            <v/>
          </cell>
          <cell r="J696" t="str">
            <v/>
          </cell>
          <cell r="K696" t="str">
            <v/>
          </cell>
          <cell r="L696" t="str">
            <v/>
          </cell>
          <cell r="M696" t="str">
            <v/>
          </cell>
          <cell r="HX696" t="str">
            <v>mstag:netBenefitsPaidToRetireesPensionsAsFinancing</v>
          </cell>
          <cell r="HY696">
            <v>6</v>
          </cell>
          <cell r="HZ696" t="str">
            <v>ISO4217:USD</v>
          </cell>
          <cell r="IA696" t="b">
            <v>0</v>
          </cell>
          <cell r="IB696" t="b">
            <v>0</v>
          </cell>
        </row>
        <row r="697">
          <cell r="E697" t="str">
            <v>Benefits paid to retirees, in obligation (pensions)</v>
          </cell>
          <cell r="HX697" t="str">
            <v>mstag:benefitsPaidToRetireesPensionsClassifiedAsFinancing</v>
          </cell>
          <cell r="HY697">
            <v>0</v>
          </cell>
          <cell r="HZ697" t="str">
            <v>ISO4217:USD</v>
          </cell>
          <cell r="IA697" t="b">
            <v>0</v>
          </cell>
          <cell r="IB697" t="b">
            <v>0</v>
          </cell>
        </row>
        <row r="698">
          <cell r="E698" t="str">
            <v>Benefits paid to retirees, in assets (pensions)</v>
          </cell>
          <cell r="HX698" t="str">
            <v>mstag:benefitsPaidToRetireesInAssetsPensionsAsFinancing</v>
          </cell>
          <cell r="HY698">
            <v>6</v>
          </cell>
          <cell r="HZ698" t="str">
            <v>ISO4217:USD</v>
          </cell>
          <cell r="IA698" t="b">
            <v>0</v>
          </cell>
          <cell r="IB698" t="b">
            <v>0</v>
          </cell>
        </row>
        <row r="699">
          <cell r="D699" t="str">
            <v>Actual return on plan assets (pensions)</v>
          </cell>
          <cell r="HX699" t="str">
            <v>mstag:actualReturnOnPlanAssetsPensionsClassifiedAsFinancing</v>
          </cell>
          <cell r="HY699">
            <v>0</v>
          </cell>
          <cell r="HZ699" t="str">
            <v>ISO4217:USD</v>
          </cell>
          <cell r="IA699" t="b">
            <v>0</v>
          </cell>
          <cell r="IB699" t="b">
            <v>0</v>
          </cell>
        </row>
        <row r="700">
          <cell r="D700" t="str">
            <v>Contribution to plan assets (pensions)</v>
          </cell>
          <cell r="HX700" t="str">
            <v>mstag:contributionToPlanAssetsPensionsClassifiedAsFinancing</v>
          </cell>
          <cell r="HY700">
            <v>0</v>
          </cell>
          <cell r="HZ700" t="str">
            <v>ISO4217:USD</v>
          </cell>
          <cell r="IA700" t="b">
            <v>0</v>
          </cell>
          <cell r="IB700" t="b">
            <v>0</v>
          </cell>
        </row>
        <row r="701">
          <cell r="D701" t="str">
            <v>Projected benefit obligation (pensions)</v>
          </cell>
          <cell r="HX701" t="str">
            <v>mstag:projectedBenefitObligationPensionsClassifiedAsFinancing</v>
          </cell>
          <cell r="HY701">
            <v>0</v>
          </cell>
          <cell r="HZ701" t="str">
            <v>ISO4217:USD</v>
          </cell>
          <cell r="IA701" t="b">
            <v>0</v>
          </cell>
          <cell r="IB701" t="b">
            <v>0</v>
          </cell>
        </row>
        <row r="702">
          <cell r="D702" t="str">
            <v>Plan assets at fair value (pensions)</v>
          </cell>
          <cell r="HX702" t="str">
            <v>mstag:planAssetsAtFairValuePensionsClassifiedAsFinancing</v>
          </cell>
          <cell r="HY702">
            <v>0</v>
          </cell>
          <cell r="HZ702" t="str">
            <v>ISO4217:USD</v>
          </cell>
          <cell r="IA702" t="b">
            <v>0</v>
          </cell>
          <cell r="IB702" t="b">
            <v>0</v>
          </cell>
        </row>
        <row r="703">
          <cell r="D703" t="str">
            <v>Net pension prepaid asset (accrued liability)</v>
          </cell>
          <cell r="HX703" t="str">
            <v>mstag:netPensionPrepaidAssetAccruedLiabilityClassifiedAsFinancing</v>
          </cell>
          <cell r="HY703">
            <v>0</v>
          </cell>
          <cell r="HZ703" t="str">
            <v>ISO4217:USD</v>
          </cell>
          <cell r="IA703" t="b">
            <v>0</v>
          </cell>
          <cell r="IB703" t="b">
            <v>0</v>
          </cell>
        </row>
        <row r="704">
          <cell r="D704" t="str">
            <v>Intangible asset (pensions)</v>
          </cell>
          <cell r="HX704" t="str">
            <v>mstag:intangibleAssetPensionsClassifiedAsFinancing</v>
          </cell>
          <cell r="HY704">
            <v>0</v>
          </cell>
          <cell r="HZ704" t="str">
            <v>ISO4217:USD</v>
          </cell>
          <cell r="IA704" t="b">
            <v>0</v>
          </cell>
          <cell r="IB704" t="b">
            <v>0</v>
          </cell>
        </row>
        <row r="705">
          <cell r="D705" t="str">
            <v>Accumulated other comprehensive income (pensions)</v>
          </cell>
          <cell r="HX705" t="str">
            <v>mstag:accumulatedOtherComprehensiveIncomePensionsClassifiedAsFinancing</v>
          </cell>
          <cell r="HY705">
            <v>0</v>
          </cell>
          <cell r="HZ705" t="str">
            <v>ISO4217:USD</v>
          </cell>
          <cell r="IA705" t="b">
            <v>0</v>
          </cell>
          <cell r="IB705" t="b">
            <v>0</v>
          </cell>
        </row>
        <row r="706">
          <cell r="D706" t="str">
            <v>Weighted average discount rate (pensions)</v>
          </cell>
          <cell r="HX706" t="str">
            <v>mstag:weightedAverageDiscountRatePensionsClassifiedAsFinancing</v>
          </cell>
          <cell r="HY706">
            <v>0</v>
          </cell>
          <cell r="HZ706" t="str">
            <v>ms_eqr_gcim_Decimal:ms_eqr_gcim_decimal</v>
          </cell>
          <cell r="IA706" t="b">
            <v>0</v>
          </cell>
          <cell r="IB706" t="b">
            <v>0</v>
          </cell>
        </row>
        <row r="707">
          <cell r="D707" t="str">
            <v>Expected long-term rate of return on plan assets (pensions)</v>
          </cell>
          <cell r="HX707" t="str">
            <v>mstag:expectedLongTermRateOfReturnOnPlanAssetsPensionsClassifiedAsFinancing</v>
          </cell>
          <cell r="HY707">
            <v>0</v>
          </cell>
          <cell r="HZ707" t="str">
            <v>ms_eqr_gcim_Decimal:ms_eqr_gcim_decimal</v>
          </cell>
          <cell r="IA707" t="b">
            <v>0</v>
          </cell>
          <cell r="IB707" t="b">
            <v>0</v>
          </cell>
        </row>
        <row r="708">
          <cell r="D708" t="str">
            <v>Rate of increase in future compensation levels</v>
          </cell>
          <cell r="HX708" t="str">
            <v>mstag:rateOfIncreaseInFutureCompensationLevelsClassifiedAsFinancing</v>
          </cell>
          <cell r="HY708">
            <v>0</v>
          </cell>
          <cell r="HZ708" t="str">
            <v>ms_eqr_gcim_Decimal:ms_eqr_gcim_decimal</v>
          </cell>
          <cell r="IA708" t="b">
            <v>0</v>
          </cell>
          <cell r="IB708" t="b">
            <v>0</v>
          </cell>
        </row>
        <row r="709">
          <cell r="C709" t="str">
            <v>Pensions (companies reporting under SSAP 24)</v>
          </cell>
          <cell r="HY709">
            <v>0</v>
          </cell>
          <cell r="HZ709" t="str">
            <v>ms_eqr_gcim_String:ms_eqr_gcim_string</v>
          </cell>
          <cell r="IA709" t="b">
            <v>0</v>
          </cell>
          <cell r="IB709" t="b">
            <v>0</v>
          </cell>
        </row>
        <row r="710">
          <cell r="D710" t="str">
            <v>Net periodic pension expense (pensions)</v>
          </cell>
          <cell r="HX710" t="str">
            <v>mstag:netPeriodicPensionExpensePensionsUnderSSAP24</v>
          </cell>
          <cell r="HY710">
            <v>0</v>
          </cell>
          <cell r="HZ710" t="str">
            <v>ISO4217:USD</v>
          </cell>
          <cell r="IA710" t="b">
            <v>0</v>
          </cell>
          <cell r="IB710" t="b">
            <v>0</v>
          </cell>
        </row>
        <row r="711">
          <cell r="D711" t="str">
            <v>Service cost (pensions)</v>
          </cell>
          <cell r="HX711" t="str">
            <v>mstag:serviceCostPensionsUnderSSAP24</v>
          </cell>
          <cell r="HY711">
            <v>0</v>
          </cell>
          <cell r="HZ711" t="str">
            <v>ISO4217:USD</v>
          </cell>
          <cell r="IA711" t="b">
            <v>0</v>
          </cell>
          <cell r="IB711" t="b">
            <v>0</v>
          </cell>
        </row>
        <row r="712">
          <cell r="D712" t="str">
            <v>Prior service cost (pensions)</v>
          </cell>
          <cell r="HX712" t="str">
            <v>mstag:priorServiceCostPensionsUnderSSAP24</v>
          </cell>
          <cell r="HY712">
            <v>0</v>
          </cell>
          <cell r="HZ712" t="str">
            <v>ISO4217:USD</v>
          </cell>
          <cell r="IA712" t="b">
            <v>0</v>
          </cell>
          <cell r="IB712" t="b">
            <v>0</v>
          </cell>
        </row>
        <row r="713">
          <cell r="D713" t="str">
            <v>Interest cost (pensions)</v>
          </cell>
          <cell r="HX713" t="str">
            <v>mstag:interestCostPensionsUnderSSAP24</v>
          </cell>
          <cell r="HY713">
            <v>0</v>
          </cell>
          <cell r="HZ713" t="str">
            <v>ISO4217:USD</v>
          </cell>
          <cell r="IA713" t="b">
            <v>0</v>
          </cell>
          <cell r="IB713" t="b">
            <v>0</v>
          </cell>
        </row>
        <row r="714">
          <cell r="D714" t="str">
            <v>Expected return on plan assets (pensions)</v>
          </cell>
          <cell r="HX714" t="str">
            <v>mstag:expectedReturnOnPlanAssetsPensionsUnderSSAP24</v>
          </cell>
          <cell r="HY714">
            <v>0</v>
          </cell>
          <cell r="HZ714" t="str">
            <v>ISO4217:USD</v>
          </cell>
          <cell r="IA714" t="b">
            <v>0</v>
          </cell>
          <cell r="IB714" t="b">
            <v>0</v>
          </cell>
        </row>
        <row r="715">
          <cell r="C715" t="str">
            <v>Other postemployment benefits</v>
          </cell>
          <cell r="HY715">
            <v>0</v>
          </cell>
          <cell r="HZ715" t="str">
            <v>ms_eqr_gcim_String:ms_eqr_gcim_string</v>
          </cell>
          <cell r="IA715" t="b">
            <v>0</v>
          </cell>
          <cell r="IB715" t="b">
            <v>0</v>
          </cell>
        </row>
        <row r="716">
          <cell r="D716" t="str">
            <v>Net periodic expense (OPEB)</v>
          </cell>
          <cell r="G716" t="str">
            <v/>
          </cell>
          <cell r="H716" t="str">
            <v/>
          </cell>
          <cell r="I716" t="str">
            <v/>
          </cell>
          <cell r="J716" t="str">
            <v/>
          </cell>
          <cell r="K716" t="str">
            <v/>
          </cell>
          <cell r="L716" t="str">
            <v/>
          </cell>
          <cell r="M716" t="str">
            <v/>
          </cell>
          <cell r="HX716" t="str">
            <v>mstag:netPeriodicExpenseOpeb</v>
          </cell>
          <cell r="HY716">
            <v>6</v>
          </cell>
          <cell r="HZ716" t="str">
            <v>ISO4217:USD</v>
          </cell>
          <cell r="IA716" t="b">
            <v>0</v>
          </cell>
          <cell r="IB716" t="b">
            <v>0</v>
          </cell>
        </row>
        <row r="717">
          <cell r="E717" t="str">
            <v>Service cost (OPEB)</v>
          </cell>
          <cell r="HX717" t="str">
            <v>mstag:serviceCostOpeb</v>
          </cell>
          <cell r="HY717">
            <v>6</v>
          </cell>
          <cell r="HZ717" t="str">
            <v>ISO4217:USD</v>
          </cell>
          <cell r="IA717" t="b">
            <v>0</v>
          </cell>
          <cell r="IB717" t="b">
            <v>0</v>
          </cell>
        </row>
        <row r="718">
          <cell r="E718" t="str">
            <v>Interest cost (OPEB)</v>
          </cell>
          <cell r="HX718" t="str">
            <v>mstag:interestCostOpeb</v>
          </cell>
          <cell r="HY718">
            <v>6</v>
          </cell>
          <cell r="HZ718" t="str">
            <v>ISO4217:USD</v>
          </cell>
          <cell r="IA718" t="b">
            <v>0</v>
          </cell>
          <cell r="IB718" t="b">
            <v>0</v>
          </cell>
        </row>
        <row r="719">
          <cell r="E719" t="str">
            <v>Expected return on plan assets (OPEB)</v>
          </cell>
          <cell r="HX719" t="str">
            <v>mstag:expectedReturnOnPlanAssetsOpeb</v>
          </cell>
          <cell r="HY719">
            <v>6</v>
          </cell>
          <cell r="HZ719" t="str">
            <v>ISO4217:USD</v>
          </cell>
          <cell r="IA719" t="b">
            <v>0</v>
          </cell>
          <cell r="IB719" t="b">
            <v>0</v>
          </cell>
        </row>
        <row r="720">
          <cell r="E720" t="str">
            <v>Amortization of prior service cost (OPEB)</v>
          </cell>
          <cell r="HX720" t="str">
            <v>mstag:amortizationOfPriorServiceCostOpeb</v>
          </cell>
          <cell r="HY720">
            <v>6</v>
          </cell>
          <cell r="HZ720" t="str">
            <v>ISO4217:USD</v>
          </cell>
          <cell r="IA720" t="b">
            <v>0</v>
          </cell>
          <cell r="IB720" t="b">
            <v>0</v>
          </cell>
        </row>
        <row r="721">
          <cell r="E721" t="str">
            <v>Net actuarial gain (loss) recognized (OPEB)</v>
          </cell>
          <cell r="HX721" t="str">
            <v>mstag:netActuarialGainLossRecognizedOpeb</v>
          </cell>
          <cell r="HY721">
            <v>6</v>
          </cell>
          <cell r="HZ721" t="str">
            <v>ISO4217:USD</v>
          </cell>
          <cell r="IA721" t="b">
            <v>0</v>
          </cell>
          <cell r="IB721" t="b">
            <v>0</v>
          </cell>
        </row>
        <row r="722">
          <cell r="E722" t="str">
            <v>Nonrecurring OPEB items</v>
          </cell>
          <cell r="HX722" t="str">
            <v>mstag:nonRecurringOpebItems</v>
          </cell>
          <cell r="HY722">
            <v>6</v>
          </cell>
          <cell r="HZ722" t="str">
            <v>ISO4217:USD</v>
          </cell>
          <cell r="IA722" t="b">
            <v>0</v>
          </cell>
          <cell r="IB722" t="b">
            <v>0</v>
          </cell>
        </row>
        <row r="723">
          <cell r="E723" t="str">
            <v>Other net expense (OPEB)</v>
          </cell>
          <cell r="HX723" t="str">
            <v>mstag:otherNetExpenseOpeb</v>
          </cell>
          <cell r="HY723">
            <v>6</v>
          </cell>
          <cell r="HZ723" t="str">
            <v>ISO4217:USD</v>
          </cell>
          <cell r="IA723" t="b">
            <v>0</v>
          </cell>
          <cell r="IB723" t="b">
            <v>0</v>
          </cell>
        </row>
        <row r="724">
          <cell r="D724" t="str">
            <v>Net benefits paid to retirees (OPEB)</v>
          </cell>
          <cell r="G724" t="str">
            <v/>
          </cell>
          <cell r="H724" t="str">
            <v/>
          </cell>
          <cell r="I724" t="str">
            <v/>
          </cell>
          <cell r="J724" t="str">
            <v/>
          </cell>
          <cell r="K724" t="str">
            <v/>
          </cell>
          <cell r="L724" t="str">
            <v/>
          </cell>
          <cell r="M724" t="str">
            <v/>
          </cell>
          <cell r="HX724" t="str">
            <v>mstag:netBenefitsPaidToRetireesOpeb</v>
          </cell>
          <cell r="HY724">
            <v>6</v>
          </cell>
          <cell r="HZ724" t="str">
            <v>ISO4217:USD</v>
          </cell>
          <cell r="IA724" t="b">
            <v>0</v>
          </cell>
          <cell r="IB724" t="b">
            <v>0</v>
          </cell>
        </row>
        <row r="725">
          <cell r="E725" t="str">
            <v>Benefits paid to retirees, in obligation (OPEB)</v>
          </cell>
          <cell r="HX725" t="str">
            <v>mstag:benefitsPaidToRetireesOpeb</v>
          </cell>
          <cell r="HY725">
            <v>6</v>
          </cell>
          <cell r="HZ725" t="str">
            <v>ISO4217:USD</v>
          </cell>
          <cell r="IA725" t="b">
            <v>0</v>
          </cell>
          <cell r="IB725" t="b">
            <v>0</v>
          </cell>
        </row>
        <row r="726">
          <cell r="E726" t="str">
            <v>Benefits paid to retirees, in assets (OPEB)</v>
          </cell>
          <cell r="HX726" t="str">
            <v>mstag:benefitsPaidToRetireesInAssetsOpeb</v>
          </cell>
          <cell r="HY726">
            <v>6</v>
          </cell>
          <cell r="HZ726" t="str">
            <v>ISO4217:USD</v>
          </cell>
          <cell r="IA726" t="b">
            <v>0</v>
          </cell>
          <cell r="IB726" t="b">
            <v>0</v>
          </cell>
        </row>
        <row r="727">
          <cell r="D727" t="str">
            <v>Actual return on plan assets (OPEB)</v>
          </cell>
          <cell r="HX727" t="str">
            <v>mstag:actualReturnOnPlanAssetsOpeb</v>
          </cell>
          <cell r="HY727">
            <v>6</v>
          </cell>
          <cell r="HZ727" t="str">
            <v>ISO4217:USD</v>
          </cell>
          <cell r="IA727" t="b">
            <v>0</v>
          </cell>
          <cell r="IB727" t="b">
            <v>0</v>
          </cell>
        </row>
        <row r="728">
          <cell r="D728" t="str">
            <v>Contribution to plan assets (OPEB)</v>
          </cell>
          <cell r="HX728" t="str">
            <v>mstag:contributionToPlanAssetsOpeb</v>
          </cell>
          <cell r="HY728">
            <v>6</v>
          </cell>
          <cell r="HZ728" t="str">
            <v>ISO4217:USD</v>
          </cell>
          <cell r="IA728" t="b">
            <v>0</v>
          </cell>
          <cell r="IB728" t="b">
            <v>0</v>
          </cell>
        </row>
        <row r="729">
          <cell r="D729" t="str">
            <v>Projected benefit obligation (OPEB)</v>
          </cell>
          <cell r="HX729" t="str">
            <v>mstag:projectedBenefitObligationOpeb</v>
          </cell>
          <cell r="HY729">
            <v>6</v>
          </cell>
          <cell r="HZ729" t="str">
            <v>ISO4217:USD</v>
          </cell>
          <cell r="IA729" t="b">
            <v>0</v>
          </cell>
          <cell r="IB729" t="b">
            <v>0</v>
          </cell>
        </row>
        <row r="730">
          <cell r="D730" t="str">
            <v>Plan assets at fair value (OPEB)</v>
          </cell>
          <cell r="HX730" t="str">
            <v>mstag:planAssetsAtFairValueOpeb</v>
          </cell>
          <cell r="HY730">
            <v>6</v>
          </cell>
          <cell r="HZ730" t="str">
            <v>ISO4217:USD</v>
          </cell>
          <cell r="IA730" t="b">
            <v>0</v>
          </cell>
          <cell r="IB730" t="b">
            <v>0</v>
          </cell>
        </row>
        <row r="731">
          <cell r="D731" t="str">
            <v>Net OPEB assets (liabilities) recognized in the balance sheet</v>
          </cell>
          <cell r="HX731" t="str">
            <v>mstag:netOpebAssetsLiabilitiesRecognizedInTheBalanceSheet</v>
          </cell>
          <cell r="HY731">
            <v>6</v>
          </cell>
          <cell r="HZ731" t="str">
            <v>ISO4217:USD</v>
          </cell>
          <cell r="IA731" t="b">
            <v>0</v>
          </cell>
          <cell r="IB731" t="b">
            <v>0</v>
          </cell>
        </row>
        <row r="732">
          <cell r="D732" t="str">
            <v>Weighted average discount rate (OPEB)</v>
          </cell>
          <cell r="HX732" t="str">
            <v>mstag:weightedAverageDiscountRateOpeb</v>
          </cell>
          <cell r="HY732">
            <v>0</v>
          </cell>
          <cell r="HZ732" t="str">
            <v>ms_eqr_gcim_Decimal:ms_eqr_gcim_decimal</v>
          </cell>
          <cell r="IA732" t="b">
            <v>0</v>
          </cell>
          <cell r="IB732" t="b">
            <v>0</v>
          </cell>
        </row>
        <row r="733">
          <cell r="D733" t="str">
            <v>Expected long term rate of return on plan assets (OPEB)</v>
          </cell>
          <cell r="HX733" t="str">
            <v>mstag:expectedLongTermRateOfReturnOnPlanAssetsOpeb</v>
          </cell>
          <cell r="HY733">
            <v>0</v>
          </cell>
          <cell r="HZ733" t="str">
            <v>ms_eqr_gcim_Decimal:ms_eqr_gcim_decimal</v>
          </cell>
          <cell r="IA733" t="b">
            <v>0</v>
          </cell>
          <cell r="IB733" t="b">
            <v>0</v>
          </cell>
        </row>
        <row r="734">
          <cell r="D734" t="str">
            <v>Expected rate of healthcare cost increase, short term</v>
          </cell>
          <cell r="HX734" t="str">
            <v>mstag:expectedRateOfHealthCareCostIncreaseShortTerm</v>
          </cell>
          <cell r="HY734">
            <v>0</v>
          </cell>
          <cell r="HZ734" t="str">
            <v>ms_eqr_gcim_Decimal:ms_eqr_gcim_decimal</v>
          </cell>
          <cell r="IA734" t="b">
            <v>0</v>
          </cell>
          <cell r="IB734" t="b">
            <v>0</v>
          </cell>
        </row>
        <row r="735">
          <cell r="D735" t="str">
            <v>Expected rate of healthcare cost increase, long term</v>
          </cell>
          <cell r="HX735" t="str">
            <v>mstag:expectedRateOfHealthCareCostIncreaseLongTerm</v>
          </cell>
          <cell r="HY735">
            <v>0</v>
          </cell>
          <cell r="HZ735" t="str">
            <v>ms_eqr_gcim_Decimal:ms_eqr_gcim_decimal</v>
          </cell>
          <cell r="IA735" t="b">
            <v>0</v>
          </cell>
          <cell r="IB735" t="b">
            <v>0</v>
          </cell>
        </row>
        <row r="737">
          <cell r="M737" t="str">
            <v>Values in the System :</v>
          </cell>
        </row>
        <row r="738">
          <cell r="M738">
            <v>63</v>
          </cell>
        </row>
        <row r="741">
          <cell r="A741" t="str">
            <v>Additional Data Items to be collected (these items are not in the taxonomy)</v>
          </cell>
        </row>
        <row r="742">
          <cell r="B742" t="str">
            <v>Leases</v>
          </cell>
        </row>
        <row r="743">
          <cell r="C743" t="str">
            <v>Year 1 Minimum Rental Payment</v>
          </cell>
          <cell r="G743">
            <v>15.068</v>
          </cell>
          <cell r="H743">
            <v>25.855</v>
          </cell>
          <cell r="I743">
            <v>33.090000000000003</v>
          </cell>
          <cell r="J743">
            <v>47.545000000000002</v>
          </cell>
          <cell r="K743">
            <v>4.8</v>
          </cell>
          <cell r="L743">
            <v>4.8</v>
          </cell>
          <cell r="M743">
            <v>6.5</v>
          </cell>
        </row>
        <row r="744">
          <cell r="C744" t="str">
            <v>Year 2 Minimum Rental Payment</v>
          </cell>
          <cell r="G744">
            <v>15.622</v>
          </cell>
          <cell r="H744">
            <v>23.591000000000001</v>
          </cell>
          <cell r="I744">
            <v>31.873000000000001</v>
          </cell>
          <cell r="J744">
            <v>48.029000000000003</v>
          </cell>
          <cell r="K744">
            <v>3</v>
          </cell>
          <cell r="L744">
            <v>3.3</v>
          </cell>
          <cell r="M744">
            <v>6.9</v>
          </cell>
        </row>
        <row r="745">
          <cell r="C745" t="str">
            <v>Year 3 Minimum Rental Payment</v>
          </cell>
          <cell r="G745">
            <v>15.196</v>
          </cell>
          <cell r="H745">
            <v>22.47</v>
          </cell>
          <cell r="I745">
            <v>28.492999999999999</v>
          </cell>
          <cell r="J745">
            <v>46.418999999999997</v>
          </cell>
          <cell r="K745">
            <v>1.7</v>
          </cell>
          <cell r="L745">
            <v>3.1</v>
          </cell>
          <cell r="M745">
            <v>5.8</v>
          </cell>
        </row>
        <row r="746">
          <cell r="C746" t="str">
            <v>Year 4 Minimum Rental Payment</v>
          </cell>
          <cell r="G746">
            <v>14.95</v>
          </cell>
          <cell r="H746">
            <v>19.626999999999999</v>
          </cell>
          <cell r="I746">
            <v>27.497</v>
          </cell>
          <cell r="J746">
            <v>41.847999999999999</v>
          </cell>
          <cell r="K746">
            <v>1.6</v>
          </cell>
          <cell r="L746">
            <v>2.6</v>
          </cell>
          <cell r="M746">
            <v>5.8</v>
          </cell>
        </row>
        <row r="747">
          <cell r="C747" t="str">
            <v>Year 5 Minimum Rental Payment</v>
          </cell>
          <cell r="G747">
            <v>14.968999999999999</v>
          </cell>
          <cell r="H747">
            <v>18.637</v>
          </cell>
          <cell r="I747">
            <v>24.611000000000001</v>
          </cell>
          <cell r="J747">
            <v>32.972999999999999</v>
          </cell>
          <cell r="K747">
            <v>1.6</v>
          </cell>
          <cell r="L747">
            <v>2.4</v>
          </cell>
          <cell r="M747">
            <v>5.8</v>
          </cell>
        </row>
        <row r="748">
          <cell r="C748" t="str">
            <v>Reported Cummulative Payments beyond Year 5</v>
          </cell>
          <cell r="G748">
            <v>14.759</v>
          </cell>
          <cell r="H748">
            <v>36.707000000000001</v>
          </cell>
          <cell r="I748">
            <v>23.83</v>
          </cell>
          <cell r="J748">
            <v>1.7310000000000001</v>
          </cell>
          <cell r="K748">
            <v>4.3</v>
          </cell>
          <cell r="L748">
            <v>5.2</v>
          </cell>
          <cell r="M748">
            <v>24.1</v>
          </cell>
        </row>
        <row r="749">
          <cell r="C749" t="str">
            <v>Current year minmum rental payment</v>
          </cell>
        </row>
        <row r="751">
          <cell r="C751" t="str">
            <v>Foot Working:</v>
          </cell>
        </row>
        <row r="752">
          <cell r="B752" t="str">
            <v>A</v>
          </cell>
          <cell r="C752" t="str">
            <v>Income statement</v>
          </cell>
        </row>
        <row r="753">
          <cell r="C753">
            <v>1</v>
          </cell>
          <cell r="D753" t="str">
            <v>Revenue, gross</v>
          </cell>
        </row>
        <row r="754">
          <cell r="F754" t="str">
            <v>Product sales</v>
          </cell>
          <cell r="G754">
            <v>584.88900000000001</v>
          </cell>
          <cell r="H754">
            <v>717.79499999999996</v>
          </cell>
          <cell r="I754">
            <v>1039.095</v>
          </cell>
          <cell r="J754">
            <v>1278.3440000000001</v>
          </cell>
          <cell r="K754">
            <v>1742.8969999999999</v>
          </cell>
          <cell r="L754">
            <v>2163.665</v>
          </cell>
        </row>
        <row r="755">
          <cell r="F755" t="str">
            <v>Contract revenue</v>
          </cell>
          <cell r="G755">
            <v>121.587</v>
          </cell>
          <cell r="H755">
            <v>114.795</v>
          </cell>
          <cell r="I755">
            <v>83.242000000000004</v>
          </cell>
          <cell r="J755">
            <v>160.363</v>
          </cell>
          <cell r="K755">
            <v>36.659999999999997</v>
          </cell>
          <cell r="L755">
            <v>54.442999999999998</v>
          </cell>
        </row>
        <row r="756">
          <cell r="G756">
            <v>706.476</v>
          </cell>
          <cell r="H756">
            <v>832.58999999999992</v>
          </cell>
          <cell r="I756">
            <v>1122.337</v>
          </cell>
          <cell r="J756">
            <v>1438.7070000000001</v>
          </cell>
          <cell r="K756">
            <v>1779.557</v>
          </cell>
          <cell r="L756">
            <v>2218.1080000000002</v>
          </cell>
        </row>
        <row r="759">
          <cell r="C759">
            <v>2</v>
          </cell>
          <cell r="D759" t="str">
            <v>Cost of sales, without depreciation</v>
          </cell>
          <cell r="G759">
            <v>102.536</v>
          </cell>
          <cell r="H759">
            <v>138.62299999999999</v>
          </cell>
          <cell r="I759">
            <v>285.54899999999998</v>
          </cell>
          <cell r="J759">
            <v>364.892</v>
          </cell>
          <cell r="K759">
            <v>354.44200000000001</v>
          </cell>
          <cell r="L759">
            <v>441.63</v>
          </cell>
        </row>
        <row r="760">
          <cell r="F760" t="str">
            <v>Less: Depreciation</v>
          </cell>
          <cell r="G760">
            <v>-65.533000000000001</v>
          </cell>
          <cell r="H760">
            <v>-78.100999999999999</v>
          </cell>
          <cell r="I760">
            <v>-90.281999999999996</v>
          </cell>
          <cell r="J760">
            <v>-88.804000000000002</v>
          </cell>
          <cell r="K760">
            <v>-96.290999999999997</v>
          </cell>
          <cell r="L760">
            <v>-104.55500000000001</v>
          </cell>
        </row>
        <row r="761">
          <cell r="G761">
            <v>37.003</v>
          </cell>
          <cell r="H761">
            <v>60.521999999999991</v>
          </cell>
          <cell r="I761">
            <v>195.267</v>
          </cell>
          <cell r="J761">
            <v>276.08799999999997</v>
          </cell>
          <cell r="K761">
            <v>258.15100000000001</v>
          </cell>
          <cell r="L761">
            <v>337.07499999999999</v>
          </cell>
        </row>
        <row r="764">
          <cell r="C764">
            <v>2</v>
          </cell>
          <cell r="D764" t="str">
            <v>General and administrative expenses</v>
          </cell>
          <cell r="G764">
            <v>470.923</v>
          </cell>
          <cell r="H764">
            <v>358.93099999999998</v>
          </cell>
          <cell r="I764">
            <v>393.65700000000004</v>
          </cell>
          <cell r="J764">
            <v>368.22399999999999</v>
          </cell>
          <cell r="K764">
            <v>446.90600000000001</v>
          </cell>
          <cell r="L764">
            <v>546.27599999999995</v>
          </cell>
        </row>
        <row r="765">
          <cell r="F765" t="str">
            <v>Less: Advertisement charges</v>
          </cell>
          <cell r="G765">
            <v>-41.8</v>
          </cell>
          <cell r="H765">
            <v>-47.7</v>
          </cell>
          <cell r="I765">
            <v>-80</v>
          </cell>
          <cell r="J765">
            <v>-86.5</v>
          </cell>
          <cell r="K765">
            <v>-91.9</v>
          </cell>
          <cell r="L765">
            <v>-111.7</v>
          </cell>
        </row>
        <row r="766">
          <cell r="G766">
            <v>429.12299999999999</v>
          </cell>
          <cell r="H766">
            <v>311.23099999999999</v>
          </cell>
          <cell r="I766">
            <v>313.65700000000004</v>
          </cell>
          <cell r="J766">
            <v>281.72399999999999</v>
          </cell>
          <cell r="K766">
            <v>355.00599999999997</v>
          </cell>
          <cell r="L766">
            <v>434.57599999999996</v>
          </cell>
        </row>
        <row r="767">
          <cell r="C767">
            <v>3</v>
          </cell>
          <cell r="D767" t="str">
            <v>Statutory Tax Rate</v>
          </cell>
        </row>
        <row r="768">
          <cell r="E768" t="str">
            <v>For 2002 , the statutory tax rate is as follows:</v>
          </cell>
        </row>
        <row r="769">
          <cell r="E769">
            <v>1</v>
          </cell>
          <cell r="F769" t="str">
            <v>Tax at U.S. statutory rate of 35%</v>
          </cell>
          <cell r="H769">
            <v>88.427999999999997</v>
          </cell>
          <cell r="I769">
            <v>-578.83100000000002</v>
          </cell>
          <cell r="J769">
            <v>1.391</v>
          </cell>
          <cell r="K769">
            <v>99.045000000000002</v>
          </cell>
          <cell r="L769">
            <v>10412</v>
          </cell>
        </row>
        <row r="770">
          <cell r="E770">
            <v>2</v>
          </cell>
          <cell r="F770" t="str">
            <v>State taxes</v>
          </cell>
          <cell r="H770">
            <v>7.4909999999999997</v>
          </cell>
          <cell r="I770">
            <v>-17.552999999999997</v>
          </cell>
          <cell r="J770">
            <v>0.95899999999999996</v>
          </cell>
          <cell r="K770">
            <v>16.219000000000001</v>
          </cell>
          <cell r="L770">
            <v>837</v>
          </cell>
        </row>
        <row r="771">
          <cell r="F771" t="str">
            <v>Total (A)</v>
          </cell>
          <cell r="H771">
            <v>95.918999999999997</v>
          </cell>
          <cell r="I771">
            <v>-596.38400000000001</v>
          </cell>
          <cell r="J771">
            <v>2.35</v>
          </cell>
          <cell r="K771">
            <v>115.26400000000001</v>
          </cell>
          <cell r="L771">
            <v>11249</v>
          </cell>
        </row>
        <row r="773">
          <cell r="F773" t="str">
            <v>Profit before taxes                                                                            (B)</v>
          </cell>
          <cell r="H773">
            <v>252.65100000000001</v>
          </cell>
          <cell r="I773">
            <v>-1157.5</v>
          </cell>
          <cell r="J773">
            <v>3.9729999999999999</v>
          </cell>
          <cell r="K773">
            <v>282.98599999999999</v>
          </cell>
          <cell r="L773">
            <v>29749</v>
          </cell>
        </row>
        <row r="775">
          <cell r="F775" t="str">
            <v>statutory tax rate  (A/B)*100</v>
          </cell>
          <cell r="H775">
            <v>0.37965018939169048</v>
          </cell>
          <cell r="I775">
            <v>0.51523455723542122</v>
          </cell>
          <cell r="J775">
            <v>0.59149257488044304</v>
          </cell>
          <cell r="K775">
            <v>0.40731343600036757</v>
          </cell>
          <cell r="L775">
            <v>0.37813035732293521</v>
          </cell>
        </row>
        <row r="777">
          <cell r="C777" t="str">
            <v>Reclassification</v>
          </cell>
        </row>
        <row r="778">
          <cell r="C778">
            <v>4</v>
          </cell>
          <cell r="D778" t="str">
            <v>Contract and other  (as disclosed in the respective year's financials)</v>
          </cell>
          <cell r="I778">
            <v>83.242000000000004</v>
          </cell>
        </row>
        <row r="779">
          <cell r="F779" t="str">
            <v>Add: Reclassification in 2000</v>
          </cell>
          <cell r="I779">
            <v>-20.337</v>
          </cell>
        </row>
        <row r="780">
          <cell r="I780">
            <v>103.57899999999999</v>
          </cell>
        </row>
        <row r="782">
          <cell r="C782">
            <v>5</v>
          </cell>
          <cell r="D782" t="str">
            <v>Amortization of taxable other intangible(as disclosed in the respective year's financials)</v>
          </cell>
          <cell r="I782">
            <v>197.74199999999999</v>
          </cell>
        </row>
        <row r="783">
          <cell r="F783" t="str">
            <v>Add: Reclassification in 2000</v>
          </cell>
          <cell r="I783">
            <v>-0.67799999999999727</v>
          </cell>
        </row>
        <row r="784">
          <cell r="I784">
            <v>198.42</v>
          </cell>
          <cell r="K784">
            <v>0</v>
          </cell>
          <cell r="L784">
            <v>0</v>
          </cell>
        </row>
        <row r="786">
          <cell r="C786">
            <v>6</v>
          </cell>
          <cell r="D786" t="str">
            <v>Current Tax (as disclosed in the respective year's financials)</v>
          </cell>
          <cell r="I786">
            <v>-203.10900000000004</v>
          </cell>
        </row>
        <row r="787">
          <cell r="F787" t="str">
            <v>Add: Reclassification in 2000</v>
          </cell>
          <cell r="I787">
            <v>-6.7</v>
          </cell>
        </row>
        <row r="788">
          <cell r="I788">
            <v>-196.40900000000005</v>
          </cell>
        </row>
        <row r="790">
          <cell r="B790" t="str">
            <v>B</v>
          </cell>
          <cell r="C790" t="str">
            <v>Balance Sheet Validation</v>
          </cell>
        </row>
        <row r="791">
          <cell r="C791">
            <v>6</v>
          </cell>
          <cell r="D791" t="str">
            <v>Other receivables, current</v>
          </cell>
        </row>
        <row r="792">
          <cell r="F792" t="str">
            <v>Accounts receivable − royalties</v>
          </cell>
          <cell r="L792">
            <v>116.423</v>
          </cell>
        </row>
        <row r="793">
          <cell r="F793" t="str">
            <v>Accounts receivable − related parties</v>
          </cell>
          <cell r="G793">
            <v>73.444000000000003</v>
          </cell>
          <cell r="H793">
            <v>22.85</v>
          </cell>
          <cell r="I793">
            <v>33.234000000000002</v>
          </cell>
          <cell r="J793">
            <v>36.298999999999999</v>
          </cell>
          <cell r="K793">
            <v>66.867000000000004</v>
          </cell>
          <cell r="L793">
            <v>0</v>
          </cell>
        </row>
        <row r="794">
          <cell r="F794" t="str">
            <v>Accounts receivable − other</v>
          </cell>
          <cell r="G794">
            <v>44.386000000000003</v>
          </cell>
          <cell r="H794">
            <v>47.48</v>
          </cell>
          <cell r="I794">
            <v>61.054000000000002</v>
          </cell>
          <cell r="J794">
            <v>63.262</v>
          </cell>
          <cell r="K794">
            <v>55.27</v>
          </cell>
          <cell r="L794">
            <v>59.151000000000003</v>
          </cell>
        </row>
        <row r="795">
          <cell r="G795">
            <v>117.83000000000001</v>
          </cell>
          <cell r="H795">
            <v>70.33</v>
          </cell>
          <cell r="I795">
            <v>94.288000000000011</v>
          </cell>
          <cell r="J795">
            <v>99.561000000000007</v>
          </cell>
          <cell r="K795">
            <v>122.137</v>
          </cell>
          <cell r="L795">
            <v>175.57400000000001</v>
          </cell>
        </row>
        <row r="796">
          <cell r="C796">
            <v>7</v>
          </cell>
          <cell r="D796" t="str">
            <v>Other assets, operating, noncurrent</v>
          </cell>
        </row>
        <row r="797">
          <cell r="F797" t="str">
            <v>Leasehold improvements</v>
          </cell>
          <cell r="G797">
            <v>3.27</v>
          </cell>
          <cell r="H797">
            <v>3.5649999999999999</v>
          </cell>
          <cell r="I797">
            <v>4.6550000000000002</v>
          </cell>
          <cell r="J797">
            <v>18.456</v>
          </cell>
          <cell r="K797">
            <v>30.632000000000001</v>
          </cell>
          <cell r="L797">
            <v>53.588999999999999</v>
          </cell>
        </row>
        <row r="798">
          <cell r="F798" t="str">
            <v>Other long−term assets</v>
          </cell>
          <cell r="G798">
            <v>177.202</v>
          </cell>
          <cell r="H798">
            <v>131.274</v>
          </cell>
          <cell r="I798">
            <v>201.101</v>
          </cell>
          <cell r="J798">
            <v>168.458</v>
          </cell>
          <cell r="K798">
            <v>70.622</v>
          </cell>
          <cell r="L798">
            <v>110.158</v>
          </cell>
        </row>
        <row r="799">
          <cell r="G799">
            <v>180.47200000000001</v>
          </cell>
          <cell r="H799">
            <v>134.839</v>
          </cell>
          <cell r="I799">
            <v>205.756</v>
          </cell>
          <cell r="J799">
            <v>186.91399999999999</v>
          </cell>
          <cell r="K799">
            <v>101.254</v>
          </cell>
          <cell r="L799">
            <v>163.74700000000001</v>
          </cell>
        </row>
        <row r="800">
          <cell r="C800">
            <v>8</v>
          </cell>
          <cell r="D800" t="str">
            <v>Other accrued expenses</v>
          </cell>
        </row>
        <row r="801">
          <cell r="F801" t="str">
            <v>Accrued royalties</v>
          </cell>
          <cell r="G801">
            <v>23.905000000000001</v>
          </cell>
          <cell r="H801">
            <v>23.391999999999999</v>
          </cell>
          <cell r="I801">
            <v>37.692</v>
          </cell>
          <cell r="J801">
            <v>34.811</v>
          </cell>
          <cell r="K801">
            <v>69.66</v>
          </cell>
          <cell r="L801">
            <v>87.081999999999994</v>
          </cell>
        </row>
        <row r="802">
          <cell r="F802" t="str">
            <v>Accrued clinical and other studies</v>
          </cell>
          <cell r="G802">
            <v>47.268999999999998</v>
          </cell>
          <cell r="H802">
            <v>35.534999999999997</v>
          </cell>
          <cell r="I802">
            <v>18.012</v>
          </cell>
          <cell r="J802">
            <v>35.625999999999998</v>
          </cell>
          <cell r="K802">
            <v>42.433999999999997</v>
          </cell>
          <cell r="L802">
            <v>59.33</v>
          </cell>
        </row>
        <row r="803">
          <cell r="F803" t="str">
            <v>Accrued marketing and promotion costs</v>
          </cell>
          <cell r="G803">
            <v>13.369</v>
          </cell>
          <cell r="H803">
            <v>9.4169999999999998</v>
          </cell>
          <cell r="I803">
            <v>17.896999999999998</v>
          </cell>
          <cell r="J803">
            <v>21.228999999999999</v>
          </cell>
          <cell r="K803">
            <v>28.395</v>
          </cell>
          <cell r="L803">
            <v>39.100999999999999</v>
          </cell>
        </row>
        <row r="804">
          <cell r="F804" t="str">
            <v>Accrued collaborations</v>
          </cell>
          <cell r="G804">
            <v>0</v>
          </cell>
          <cell r="H804">
            <v>0</v>
          </cell>
          <cell r="I804">
            <v>20.707999999999998</v>
          </cell>
          <cell r="J804">
            <v>111.254</v>
          </cell>
          <cell r="K804">
            <v>71.046000000000006</v>
          </cell>
          <cell r="L804">
            <v>103.432</v>
          </cell>
        </row>
        <row r="805">
          <cell r="F805" t="str">
            <v>Accrued legal settlement</v>
          </cell>
          <cell r="H805">
            <v>0</v>
          </cell>
          <cell r="I805">
            <v>200</v>
          </cell>
          <cell r="J805">
            <v>0</v>
          </cell>
          <cell r="K805">
            <v>0</v>
          </cell>
          <cell r="L805">
            <v>0</v>
          </cell>
        </row>
        <row r="806">
          <cell r="G806">
            <v>84.543000000000006</v>
          </cell>
          <cell r="H806">
            <v>68.343999999999994</v>
          </cell>
          <cell r="I806">
            <v>294.30899999999997</v>
          </cell>
          <cell r="J806">
            <v>202.92000000000002</v>
          </cell>
          <cell r="K806">
            <v>211.53500000000003</v>
          </cell>
          <cell r="L806">
            <v>288.94499999999999</v>
          </cell>
        </row>
        <row r="807">
          <cell r="C807">
            <v>9</v>
          </cell>
          <cell r="D807" t="str">
            <v>Other liabilities, operating, current</v>
          </cell>
        </row>
        <row r="808">
          <cell r="F808" t="str">
            <v>Hedge payable</v>
          </cell>
          <cell r="G808">
            <v>0</v>
          </cell>
          <cell r="H808">
            <v>5.42</v>
          </cell>
          <cell r="I808">
            <v>33.499000000000002</v>
          </cell>
          <cell r="J808">
            <v>32.171999999999997</v>
          </cell>
        </row>
        <row r="809">
          <cell r="F809" t="str">
            <v>Other</v>
          </cell>
          <cell r="G809">
            <v>55.677999999999997</v>
          </cell>
          <cell r="H809">
            <v>72.218999999999994</v>
          </cell>
          <cell r="I809">
            <v>47.52</v>
          </cell>
          <cell r="J809">
            <v>66.337999999999994</v>
          </cell>
        </row>
        <row r="810">
          <cell r="F810" t="str">
            <v>Accrued liabilities − related parties</v>
          </cell>
          <cell r="G810">
            <v>15.427</v>
          </cell>
          <cell r="H810">
            <v>10.945</v>
          </cell>
          <cell r="I810">
            <v>14.96</v>
          </cell>
          <cell r="J810">
            <v>12.265000000000001</v>
          </cell>
        </row>
        <row r="811">
          <cell r="G811">
            <v>71.10499999999999</v>
          </cell>
          <cell r="H811">
            <v>88.584000000000003</v>
          </cell>
          <cell r="I811">
            <v>95.979000000000013</v>
          </cell>
          <cell r="J811">
            <v>110.77499999999999</v>
          </cell>
        </row>
        <row r="812">
          <cell r="B812" t="str">
            <v>C</v>
          </cell>
          <cell r="C812" t="str">
            <v>Cash Flow Validation</v>
          </cell>
        </row>
        <row r="813">
          <cell r="C813">
            <v>10</v>
          </cell>
          <cell r="D813" t="str">
            <v>Net decrease in investments, nonoperating</v>
          </cell>
        </row>
        <row r="814">
          <cell r="F814" t="str">
            <v>Gain on sales of securities available−for−sale and other</v>
          </cell>
          <cell r="G814">
            <v>-13.202999999999999</v>
          </cell>
          <cell r="H814">
            <v>-9.5419999999999998</v>
          </cell>
          <cell r="I814">
            <v>-19.375</v>
          </cell>
          <cell r="J814">
            <v>-132.30699999999999</v>
          </cell>
          <cell r="K814">
            <v>-39.398000000000003</v>
          </cell>
          <cell r="L814">
            <v>-53.71</v>
          </cell>
        </row>
        <row r="815">
          <cell r="F815" t="str">
            <v>Loss on sales of securities available−for−sale</v>
          </cell>
          <cell r="G815">
            <v>2.0960000000000001</v>
          </cell>
          <cell r="H815">
            <v>1.8089999999999999</v>
          </cell>
          <cell r="I815">
            <v>1.8050000000000002</v>
          </cell>
          <cell r="J815">
            <v>3.9569999999999999</v>
          </cell>
          <cell r="K815">
            <v>2.0110000000000001</v>
          </cell>
          <cell r="L815">
            <v>5.8680000000000003</v>
          </cell>
        </row>
        <row r="816">
          <cell r="F816" t="str">
            <v>Write−down of securities available−for−sale</v>
          </cell>
          <cell r="G816">
            <v>4</v>
          </cell>
          <cell r="H816">
            <v>20.248999999999999</v>
          </cell>
          <cell r="I816">
            <v>13.422000000000001</v>
          </cell>
          <cell r="J816">
            <v>4.8</v>
          </cell>
          <cell r="K816">
            <v>27.504000000000001</v>
          </cell>
          <cell r="L816">
            <v>40.759</v>
          </cell>
        </row>
        <row r="817">
          <cell r="F817" t="str">
            <v>Investments in trading securities</v>
          </cell>
          <cell r="G817">
            <v>-109.13200000000001</v>
          </cell>
          <cell r="H817">
            <v>12.725</v>
          </cell>
          <cell r="I817">
            <v>-10.158999999999999</v>
          </cell>
          <cell r="J817">
            <v>-20.963000000000001</v>
          </cell>
          <cell r="K817">
            <v>-85.712000000000003</v>
          </cell>
          <cell r="L817">
            <v>-121.986</v>
          </cell>
        </row>
        <row r="818">
          <cell r="F818" t="str">
            <v>Purchases of securities available−for−sale</v>
          </cell>
          <cell r="G818">
            <v>-512.72699999999998</v>
          </cell>
          <cell r="H818">
            <v>-800.78800000000001</v>
          </cell>
          <cell r="I818">
            <v>-595.06799999999998</v>
          </cell>
          <cell r="J818">
            <v>-560.40499999999997</v>
          </cell>
          <cell r="K818">
            <v>-1559.23</v>
          </cell>
          <cell r="L818">
            <v>-806.44399999999996</v>
          </cell>
        </row>
        <row r="819">
          <cell r="F819" t="str">
            <v>Proceeds from sales and maturities of securities available−for−sale</v>
          </cell>
          <cell r="G819">
            <v>410.39499999999998</v>
          </cell>
          <cell r="H819">
            <v>430.93599999999998</v>
          </cell>
          <cell r="I819">
            <v>627.06299999999999</v>
          </cell>
          <cell r="J819">
            <v>574.14499999999998</v>
          </cell>
          <cell r="K819">
            <v>1084.546</v>
          </cell>
          <cell r="L819">
            <v>1746.1980000000001</v>
          </cell>
        </row>
        <row r="820">
          <cell r="F820" t="str">
            <v>Purchases of nonmarketable equity securities</v>
          </cell>
          <cell r="G820">
            <v>0</v>
          </cell>
          <cell r="H820">
            <v>-29.044</v>
          </cell>
          <cell r="I820">
            <v>-52.957999999999998</v>
          </cell>
          <cell r="J820">
            <v>-5.6630000000000003</v>
          </cell>
          <cell r="K820">
            <v>-5.83</v>
          </cell>
          <cell r="L820">
            <v>-6.29</v>
          </cell>
        </row>
        <row r="821">
          <cell r="F821" t="str">
            <v>Transfer to restricted cash</v>
          </cell>
          <cell r="G821">
            <v>0</v>
          </cell>
          <cell r="H821">
            <v>0</v>
          </cell>
          <cell r="I821">
            <v>-56.6</v>
          </cell>
          <cell r="J821">
            <v>0</v>
          </cell>
          <cell r="K821">
            <v>0</v>
          </cell>
          <cell r="L821">
            <v>-630</v>
          </cell>
        </row>
        <row r="822">
          <cell r="F822" t="str">
            <v>Write−down of nonmarketable securities</v>
          </cell>
          <cell r="G822">
            <v>0</v>
          </cell>
          <cell r="H822">
            <v>16.689</v>
          </cell>
          <cell r="I822">
            <v>0.432</v>
          </cell>
          <cell r="J822">
            <v>0</v>
          </cell>
          <cell r="K822">
            <v>0</v>
          </cell>
          <cell r="L822">
            <v>0</v>
          </cell>
        </row>
        <row r="823">
          <cell r="F823" t="str">
            <v>Purchases of securities held−to−maturity</v>
          </cell>
          <cell r="G823">
            <v>-304.93200000000002</v>
          </cell>
          <cell r="H823">
            <v>-327.69</v>
          </cell>
          <cell r="I823">
            <v>-186.61199999999999</v>
          </cell>
          <cell r="J823">
            <v>0</v>
          </cell>
          <cell r="K823">
            <v>0</v>
          </cell>
          <cell r="L823">
            <v>0</v>
          </cell>
        </row>
        <row r="824">
          <cell r="F824" t="str">
            <v>Proceeds from maturities of securities held−to−maturity</v>
          </cell>
          <cell r="G824">
            <v>455.31700000000001</v>
          </cell>
          <cell r="H824">
            <v>410.72899999999998</v>
          </cell>
          <cell r="I824">
            <v>286.49699999999996</v>
          </cell>
          <cell r="J824">
            <v>0</v>
          </cell>
          <cell r="K824">
            <v>0</v>
          </cell>
          <cell r="L824">
            <v>0</v>
          </cell>
        </row>
        <row r="825">
          <cell r="G825">
            <v>-68.186000000000035</v>
          </cell>
          <cell r="H825">
            <v>-273.92699999999996</v>
          </cell>
          <cell r="I825">
            <v>8.4469999999999459</v>
          </cell>
          <cell r="J825">
            <v>-136.43600000000004</v>
          </cell>
          <cell r="K825">
            <v>-576.10900000000004</v>
          </cell>
          <cell r="L825">
            <v>174.39500000000021</v>
          </cell>
        </row>
        <row r="827">
          <cell r="B827" t="str">
            <v>D</v>
          </cell>
          <cell r="C827" t="str">
            <v>Changes in Shareholders Equity Validation</v>
          </cell>
        </row>
        <row r="828">
          <cell r="C828">
            <v>11</v>
          </cell>
          <cell r="D828" t="str">
            <v>Other changes in share capital</v>
          </cell>
        </row>
        <row r="829">
          <cell r="E829" t="str">
            <v>A</v>
          </cell>
          <cell r="F829" t="str">
            <v>Period from January 1 to June 30, 1999</v>
          </cell>
        </row>
        <row r="830">
          <cell r="F830" t="str">
            <v xml:space="preserve"> - Change in Special common Stock</v>
          </cell>
          <cell r="I830">
            <v>-4.1619999999999999</v>
          </cell>
        </row>
        <row r="831">
          <cell r="F831" t="str">
            <v xml:space="preserve"> - Change in common stock</v>
          </cell>
          <cell r="I831">
            <v>4.0540000000000003</v>
          </cell>
        </row>
        <row r="832">
          <cell r="F832" t="str">
            <v xml:space="preserve"> - Changes in Additional Paid - Capital</v>
          </cell>
          <cell r="I832">
            <v>5361.9719999999998</v>
          </cell>
        </row>
        <row r="833">
          <cell r="F833" t="str">
            <v xml:space="preserve"> - Amortization of good−will, intangibles and fair value adjustment to inventories, net of tax</v>
          </cell>
          <cell r="I833">
            <v>-500.5</v>
          </cell>
        </row>
        <row r="834">
          <cell r="F834" t="str">
            <v xml:space="preserve"> - In−process research and development</v>
          </cell>
          <cell r="I834">
            <v>-1221.644</v>
          </cell>
        </row>
        <row r="835">
          <cell r="F835" t="str">
            <v>Total (A + B)</v>
          </cell>
          <cell r="I835">
            <v>3639.7199999999993</v>
          </cell>
        </row>
        <row r="837">
          <cell r="D837" t="str">
            <v>Calculation of Top 3 drugs as percent of total sales</v>
          </cell>
        </row>
        <row r="838">
          <cell r="F838" t="str">
            <v>Rituxan</v>
          </cell>
          <cell r="G838">
            <v>5.5</v>
          </cell>
          <cell r="H838">
            <v>162.6</v>
          </cell>
          <cell r="I838">
            <v>279.39999999999998</v>
          </cell>
          <cell r="J838">
            <v>444.1</v>
          </cell>
          <cell r="K838">
            <v>818.6</v>
          </cell>
          <cell r="L838">
            <v>1162.9000000000001</v>
          </cell>
        </row>
        <row r="839">
          <cell r="F839" t="str">
            <v>Herceptin</v>
          </cell>
          <cell r="G839">
            <v>0</v>
          </cell>
          <cell r="H839">
            <v>30.5</v>
          </cell>
          <cell r="I839">
            <v>188.4</v>
          </cell>
          <cell r="J839">
            <v>275.89999999999998</v>
          </cell>
          <cell r="K839">
            <v>346.7</v>
          </cell>
          <cell r="L839">
            <v>385.2</v>
          </cell>
        </row>
        <row r="840">
          <cell r="F840" t="str">
            <v>Growth Hormone</v>
          </cell>
          <cell r="G840">
            <v>223.6</v>
          </cell>
          <cell r="H840">
            <v>214</v>
          </cell>
          <cell r="I840">
            <v>221.2</v>
          </cell>
          <cell r="J840">
            <v>226.6</v>
          </cell>
          <cell r="K840">
            <v>250.2</v>
          </cell>
          <cell r="L840">
            <v>297.2</v>
          </cell>
        </row>
        <row r="841">
          <cell r="F841" t="str">
            <v>Total (A)</v>
          </cell>
          <cell r="G841">
            <v>229.1</v>
          </cell>
          <cell r="H841">
            <v>407.1</v>
          </cell>
          <cell r="I841">
            <v>689</v>
          </cell>
          <cell r="J841">
            <v>946.6</v>
          </cell>
          <cell r="K841">
            <v>1415.5</v>
          </cell>
          <cell r="L841">
            <v>1845.3000000000002</v>
          </cell>
        </row>
        <row r="843">
          <cell r="F843" t="str">
            <v>Total Product sales (B)</v>
          </cell>
          <cell r="G843">
            <v>584.9</v>
          </cell>
          <cell r="H843">
            <v>717.8</v>
          </cell>
          <cell r="I843">
            <v>1039.0999999999999</v>
          </cell>
          <cell r="J843">
            <v>1278.3</v>
          </cell>
          <cell r="K843">
            <v>1742.9</v>
          </cell>
          <cell r="L843">
            <v>2163.6</v>
          </cell>
        </row>
        <row r="845">
          <cell r="F845" t="str">
            <v>Percent       (A/B)*100</v>
          </cell>
          <cell r="G845">
            <v>0.39169088733116775</v>
          </cell>
          <cell r="H845">
            <v>0.56714962385065482</v>
          </cell>
          <cell r="I845">
            <v>0.66307381387739395</v>
          </cell>
          <cell r="J845">
            <v>0.74051474614722679</v>
          </cell>
          <cell r="K845">
            <v>0.81215216019278214</v>
          </cell>
          <cell r="L845">
            <v>0.85288408208541333</v>
          </cell>
        </row>
      </sheetData>
      <sheetData sheetId="18" refreshError="1">
        <row r="2">
          <cell r="B2" t="str">
            <v>Rituxan - Adoption Rates</v>
          </cell>
        </row>
        <row r="3">
          <cell r="B3" t="str">
            <v>Rolling 4 Quarter Averages</v>
          </cell>
          <cell r="C3" t="str">
            <v>3Q03</v>
          </cell>
          <cell r="D3" t="str">
            <v>1Q04</v>
          </cell>
          <cell r="E3" t="str">
            <v>2Q04</v>
          </cell>
          <cell r="F3" t="str">
            <v>3Q04</v>
          </cell>
          <cell r="G3" t="str">
            <v>4Q04</v>
          </cell>
          <cell r="H3" t="str">
            <v>2Q05</v>
          </cell>
          <cell r="I3" t="str">
            <v>3Q05</v>
          </cell>
          <cell r="L3" t="str">
            <v>Phase I/II PTK787 with FOLFOX4</v>
          </cell>
          <cell r="O3" t="str">
            <v>Phase I/II PTK787 with FOLFIRI</v>
          </cell>
        </row>
        <row r="4">
          <cell r="B4" t="str">
            <v>Overall NHL &amp; CLL</v>
          </cell>
          <cell r="C4">
            <v>0.7</v>
          </cell>
          <cell r="D4">
            <v>0.68</v>
          </cell>
          <cell r="E4">
            <v>0.7</v>
          </cell>
          <cell r="F4">
            <v>0.72</v>
          </cell>
          <cell r="G4">
            <v>0.75</v>
          </cell>
          <cell r="H4">
            <v>0.78</v>
          </cell>
          <cell r="I4">
            <v>0.8</v>
          </cell>
          <cell r="L4" t="str">
            <v>n=28</v>
          </cell>
          <cell r="O4" t="str">
            <v>n=16</v>
          </cell>
        </row>
        <row r="5">
          <cell r="B5" t="str">
            <v>NHL</v>
          </cell>
          <cell r="L5" t="str">
            <v>Dose ranges</v>
          </cell>
          <cell r="M5" t="str">
            <v>500-2,000 mg</v>
          </cell>
          <cell r="O5" t="str">
            <v>Dose ranges</v>
          </cell>
          <cell r="P5" t="str">
            <v>500-1,250 mg</v>
          </cell>
        </row>
        <row r="6">
          <cell r="B6" t="str">
            <v>Front-line Indolent</v>
          </cell>
          <cell r="C6">
            <v>0.8</v>
          </cell>
          <cell r="D6">
            <v>0.76</v>
          </cell>
          <cell r="E6">
            <v>0.8</v>
          </cell>
          <cell r="F6">
            <v>0.85</v>
          </cell>
          <cell r="G6">
            <v>0.85</v>
          </cell>
          <cell r="H6">
            <v>0.87</v>
          </cell>
          <cell r="I6">
            <v>0.89</v>
          </cell>
          <cell r="L6" t="str">
            <v>MTD</v>
          </cell>
          <cell r="M6" t="str">
            <v>1,250 mg</v>
          </cell>
          <cell r="O6" t="str">
            <v>MTD</v>
          </cell>
          <cell r="P6" t="str">
            <v>1,250 mg</v>
          </cell>
        </row>
        <row r="7">
          <cell r="B7" t="str">
            <v>Relapsed indolent</v>
          </cell>
          <cell r="C7">
            <v>0.76</v>
          </cell>
          <cell r="D7">
            <v>0.75</v>
          </cell>
          <cell r="E7">
            <v>0.76</v>
          </cell>
          <cell r="F7">
            <v>0.77</v>
          </cell>
          <cell r="G7">
            <v>0.77</v>
          </cell>
          <cell r="H7">
            <v>0.75</v>
          </cell>
          <cell r="I7">
            <v>0.77</v>
          </cell>
          <cell r="L7" t="str">
            <v>CR</v>
          </cell>
          <cell r="M7" t="str">
            <v>1 (4%)</v>
          </cell>
          <cell r="O7" t="str">
            <v>CR</v>
          </cell>
          <cell r="P7">
            <v>0</v>
          </cell>
        </row>
        <row r="8">
          <cell r="B8" t="str">
            <v>Front-line aggressive</v>
          </cell>
          <cell r="C8">
            <v>0.81</v>
          </cell>
          <cell r="D8">
            <v>0.82</v>
          </cell>
          <cell r="E8">
            <v>0.81</v>
          </cell>
          <cell r="F8">
            <v>0.83</v>
          </cell>
          <cell r="G8">
            <v>0.83</v>
          </cell>
          <cell r="H8">
            <v>0.87</v>
          </cell>
          <cell r="I8">
            <v>0.87</v>
          </cell>
          <cell r="L8" t="str">
            <v>PR</v>
          </cell>
          <cell r="M8" t="str">
            <v>14 (50%)</v>
          </cell>
          <cell r="O8" t="str">
            <v>PR</v>
          </cell>
          <cell r="P8" t="str">
            <v>4 (33%)</v>
          </cell>
        </row>
        <row r="9">
          <cell r="B9" t="str">
            <v>Relapsed aggressive</v>
          </cell>
          <cell r="C9">
            <v>0.55000000000000004</v>
          </cell>
          <cell r="D9">
            <v>0.55000000000000004</v>
          </cell>
          <cell r="E9">
            <v>0.55000000000000004</v>
          </cell>
          <cell r="F9">
            <v>0.56000000000000005</v>
          </cell>
          <cell r="G9">
            <v>0.64</v>
          </cell>
          <cell r="H9">
            <v>0.64</v>
          </cell>
          <cell r="I9">
            <v>0.67</v>
          </cell>
          <cell r="L9" t="str">
            <v>SD</v>
          </cell>
          <cell r="M9" t="str">
            <v>9 (32%)</v>
          </cell>
          <cell r="O9" t="str">
            <v>SD</v>
          </cell>
          <cell r="P9" t="str">
            <v>5 (42%)</v>
          </cell>
        </row>
        <row r="10">
          <cell r="B10" t="str">
            <v>CLL</v>
          </cell>
          <cell r="L10" t="str">
            <v>median PFS</v>
          </cell>
          <cell r="M10" t="str">
            <v>11 months</v>
          </cell>
          <cell r="O10" t="str">
            <v>median TTP</v>
          </cell>
          <cell r="P10" t="str">
            <v>6.7 months</v>
          </cell>
        </row>
        <row r="11">
          <cell r="B11" t="str">
            <v>Front-line CLL</v>
          </cell>
          <cell r="C11">
            <v>0.52</v>
          </cell>
          <cell r="D11">
            <v>0.46</v>
          </cell>
          <cell r="E11">
            <v>0.52</v>
          </cell>
          <cell r="F11">
            <v>0.56999999999999995</v>
          </cell>
          <cell r="G11">
            <v>0.63</v>
          </cell>
          <cell r="H11">
            <v>0.65</v>
          </cell>
          <cell r="I11">
            <v>0.69</v>
          </cell>
          <cell r="L11" t="str">
            <v>median OS</v>
          </cell>
          <cell r="M11" t="str">
            <v>16.6 months</v>
          </cell>
          <cell r="O11" t="str">
            <v>median OS</v>
          </cell>
          <cell r="P11" t="str">
            <v>&gt;9 months</v>
          </cell>
        </row>
        <row r="12">
          <cell r="B12" t="str">
            <v>Relapsed CLL</v>
          </cell>
          <cell r="C12">
            <v>0.55000000000000004</v>
          </cell>
          <cell r="D12">
            <v>0.57999999999999996</v>
          </cell>
          <cell r="E12">
            <v>0.55000000000000004</v>
          </cell>
          <cell r="F12">
            <v>0.55000000000000004</v>
          </cell>
          <cell r="G12">
            <v>0.56999999999999995</v>
          </cell>
          <cell r="H12">
            <v>0.67</v>
          </cell>
          <cell r="I12">
            <v>0.68</v>
          </cell>
          <cell r="L12" t="str">
            <v>Adverse events:</v>
          </cell>
          <cell r="M12" t="str">
            <v>Ataxia</v>
          </cell>
          <cell r="O12" t="str">
            <v>Adverse events:</v>
          </cell>
          <cell r="P12" t="str">
            <v>hypertension</v>
          </cell>
        </row>
        <row r="13">
          <cell r="B13" t="str">
            <v>MDs using maintenance</v>
          </cell>
          <cell r="C13">
            <v>0.59</v>
          </cell>
          <cell r="D13">
            <v>0.55000000000000004</v>
          </cell>
          <cell r="E13">
            <v>0.59</v>
          </cell>
          <cell r="F13">
            <v>0.62</v>
          </cell>
          <cell r="G13">
            <v>0.65</v>
          </cell>
          <cell r="H13">
            <v>0.7</v>
          </cell>
          <cell r="I13">
            <v>0.75</v>
          </cell>
          <cell r="M13" t="str">
            <v>neutropenia</v>
          </cell>
          <cell r="P13" t="str">
            <v>fatigue</v>
          </cell>
        </row>
        <row r="14">
          <cell r="B14" t="str">
            <v>Patients receiving maint.</v>
          </cell>
          <cell r="C14">
            <v>0.09</v>
          </cell>
          <cell r="F14">
            <v>0.1</v>
          </cell>
          <cell r="G14">
            <v>0.15</v>
          </cell>
          <cell r="H14">
            <v>0.19</v>
          </cell>
          <cell r="I14">
            <v>0.2</v>
          </cell>
          <cell r="M14" t="str">
            <v>thrombocytopenia</v>
          </cell>
          <cell r="P14" t="str">
            <v>dizziness</v>
          </cell>
        </row>
        <row r="15">
          <cell r="S15" t="str">
            <v>AC + Taxotere + Herceptin</v>
          </cell>
          <cell r="T15" t="str">
            <v>Taxotere + carboplatin + Herceptin</v>
          </cell>
          <cell r="U15" t="str">
            <v>AC + Taxotere (control)</v>
          </cell>
        </row>
        <row r="16">
          <cell r="R16" t="str">
            <v>Reduction in Disease Recurrence (Primary Endpoint)</v>
          </cell>
          <cell r="S16" t="str">
            <v>51%*</v>
          </cell>
          <cell r="T16" t="str">
            <v>39%*</v>
          </cell>
          <cell r="U16" t="str">
            <v>-</v>
          </cell>
        </row>
        <row r="17">
          <cell r="R17" t="str">
            <v>Clinicallly Significant Cardiac Adverse Events</v>
          </cell>
          <cell r="S17">
            <v>2.3E-2</v>
          </cell>
          <cell r="T17">
            <v>1.2999999999999999E-2</v>
          </cell>
          <cell r="U17">
            <v>1.2999999999999999E-2</v>
          </cell>
        </row>
        <row r="18">
          <cell r="L18" t="str">
            <v>Ph II RCC data</v>
          </cell>
          <cell r="R18" t="str">
            <v>Note: * Statistically significant; AC = doxorubicin plus cyclophosphamide</v>
          </cell>
        </row>
        <row r="19">
          <cell r="B19" t="str">
            <v>Avastin - Adoption Rates</v>
          </cell>
          <cell r="L19" t="str">
            <v>Avastin</v>
          </cell>
          <cell r="M19" t="str">
            <v>10mg</v>
          </cell>
          <cell r="N19" t="str">
            <v>3mg</v>
          </cell>
          <cell r="O19" t="str">
            <v>Placebo</v>
          </cell>
        </row>
        <row r="20">
          <cell r="B20" t="str">
            <v>Colorectal cancer</v>
          </cell>
          <cell r="C20" t="str">
            <v>3Q04</v>
          </cell>
          <cell r="D20" t="str">
            <v>4Q04</v>
          </cell>
          <cell r="E20" t="str">
            <v>1Q05</v>
          </cell>
          <cell r="F20" t="str">
            <v>2Q05</v>
          </cell>
          <cell r="G20" t="str">
            <v>3Q05</v>
          </cell>
          <cell r="H20" t="str">
            <v>3Q05</v>
          </cell>
          <cell r="I20" t="str">
            <v>3Q05</v>
          </cell>
          <cell r="L20" t="str">
            <v>n=</v>
          </cell>
          <cell r="M20">
            <v>39</v>
          </cell>
          <cell r="N20">
            <v>37</v>
          </cell>
          <cell r="O20">
            <v>40</v>
          </cell>
        </row>
        <row r="21">
          <cell r="B21" t="str">
            <v xml:space="preserve">Front-line </v>
          </cell>
          <cell r="C21">
            <v>0.4</v>
          </cell>
          <cell r="D21">
            <v>0.55000000000000004</v>
          </cell>
          <cell r="E21">
            <v>0.61</v>
          </cell>
          <cell r="F21">
            <v>0.64</v>
          </cell>
          <cell r="G21">
            <v>0.67</v>
          </cell>
          <cell r="H21">
            <v>0.67</v>
          </cell>
          <cell r="I21">
            <v>0.67</v>
          </cell>
          <cell r="L21" t="str">
            <v>TTP</v>
          </cell>
          <cell r="M21">
            <v>4.8</v>
          </cell>
          <cell r="N21">
            <v>3</v>
          </cell>
          <cell r="O21">
            <v>2.5</v>
          </cell>
        </row>
        <row r="22">
          <cell r="B22" t="str">
            <v>Refractory</v>
          </cell>
          <cell r="D22">
            <v>0.37</v>
          </cell>
          <cell r="E22">
            <v>0.47</v>
          </cell>
          <cell r="F22">
            <v>0.35</v>
          </cell>
          <cell r="G22">
            <v>0.4</v>
          </cell>
          <cell r="H22">
            <v>0.4</v>
          </cell>
          <cell r="I22">
            <v>0.4</v>
          </cell>
          <cell r="L22" t="str">
            <v>progression free</v>
          </cell>
        </row>
        <row r="23">
          <cell r="L23" t="str">
            <v>4 months</v>
          </cell>
          <cell r="M23">
            <v>0.64</v>
          </cell>
          <cell r="N23">
            <v>0.39</v>
          </cell>
          <cell r="O23">
            <v>0.2</v>
          </cell>
        </row>
        <row r="24">
          <cell r="B24" t="str">
            <v>Avastin - Off label use</v>
          </cell>
          <cell r="L24" t="str">
            <v>8 months</v>
          </cell>
          <cell r="M24">
            <v>0.3</v>
          </cell>
          <cell r="N24">
            <v>0.14000000000000001</v>
          </cell>
          <cell r="O24">
            <v>0.05</v>
          </cell>
        </row>
        <row r="25">
          <cell r="C25" t="str">
            <v>2Q05</v>
          </cell>
          <cell r="D25" t="str">
            <v>3Q05</v>
          </cell>
          <cell r="L25" t="str">
            <v>RR</v>
          </cell>
          <cell r="M25">
            <v>0.1</v>
          </cell>
          <cell r="N25">
            <v>0</v>
          </cell>
          <cell r="O25">
            <v>0</v>
          </cell>
        </row>
        <row r="26">
          <cell r="B26" t="str">
            <v>Avastin sales</v>
          </cell>
          <cell r="C26">
            <v>245</v>
          </cell>
          <cell r="D26">
            <v>325</v>
          </cell>
        </row>
        <row r="27">
          <cell r="B27" t="str">
            <v>% of Avastin sales</v>
          </cell>
          <cell r="C27">
            <v>0.1</v>
          </cell>
          <cell r="D27">
            <v>0.15</v>
          </cell>
        </row>
        <row r="28">
          <cell r="B28" t="str">
            <v>Off-label sales</v>
          </cell>
          <cell r="C28">
            <v>24.5</v>
          </cell>
          <cell r="D28">
            <v>48.75</v>
          </cell>
          <cell r="L28" t="str">
            <v>Ph II pancreatic data</v>
          </cell>
        </row>
        <row r="29">
          <cell r="L29" t="str">
            <v>Pancreatic CA</v>
          </cell>
          <cell r="M29" t="str">
            <v>Gem + 10mg Avastin</v>
          </cell>
        </row>
        <row r="30">
          <cell r="L30" t="str">
            <v>n=</v>
          </cell>
          <cell r="M30">
            <v>52</v>
          </cell>
        </row>
        <row r="31">
          <cell r="B31" t="str">
            <v>Lucentis Phase III results</v>
          </cell>
          <cell r="L31" t="str">
            <v>PFS</v>
          </cell>
          <cell r="M31" t="str">
            <v>5.4 mos</v>
          </cell>
        </row>
        <row r="32">
          <cell r="B32" t="str">
            <v>ANCHOR</v>
          </cell>
          <cell r="C32" t="str">
            <v>0.3 mg</v>
          </cell>
          <cell r="D32" t="str">
            <v>0.5 mg</v>
          </cell>
          <cell r="E32" t="str">
            <v>Visudyne</v>
          </cell>
          <cell r="L32" t="str">
            <v>median survival</v>
          </cell>
          <cell r="M32" t="str">
            <v>8.8 mos</v>
          </cell>
        </row>
        <row r="33">
          <cell r="B33" t="str">
            <v>Maintenance of vision</v>
          </cell>
          <cell r="C33">
            <v>0.94</v>
          </cell>
          <cell r="D33">
            <v>0.96</v>
          </cell>
          <cell r="E33">
            <v>0.64</v>
          </cell>
          <cell r="L33" t="str">
            <v>6-month survival</v>
          </cell>
          <cell r="M33">
            <v>0.77</v>
          </cell>
        </row>
        <row r="34">
          <cell r="B34" t="str">
            <v>Change in visual acuity</v>
          </cell>
          <cell r="C34" t="str">
            <v>improved</v>
          </cell>
          <cell r="D34" t="str">
            <v>improved</v>
          </cell>
          <cell r="E34" t="str">
            <v>declined</v>
          </cell>
        </row>
        <row r="35">
          <cell r="B35" t="str">
            <v>Cererbrovascular events</v>
          </cell>
          <cell r="C35" t="str">
            <v>equal</v>
          </cell>
          <cell r="D35" t="str">
            <v>equal</v>
          </cell>
          <cell r="E35" t="str">
            <v>equal</v>
          </cell>
          <cell r="L35" t="str">
            <v>PR</v>
          </cell>
          <cell r="M35">
            <v>0.21</v>
          </cell>
        </row>
        <row r="36">
          <cell r="B36" t="str">
            <v>Myocardial infarction</v>
          </cell>
          <cell r="C36" t="str">
            <v>-</v>
          </cell>
          <cell r="D36" t="str">
            <v>higher</v>
          </cell>
          <cell r="E36" t="str">
            <v>-</v>
          </cell>
          <cell r="L36" t="str">
            <v>SD</v>
          </cell>
          <cell r="M36">
            <v>0.46</v>
          </cell>
        </row>
        <row r="38">
          <cell r="B38" t="str">
            <v>MARINA</v>
          </cell>
          <cell r="C38" t="str">
            <v>0.3 mg</v>
          </cell>
          <cell r="D38" t="str">
            <v>0.5 mg</v>
          </cell>
          <cell r="E38" t="str">
            <v>Sham</v>
          </cell>
        </row>
        <row r="39">
          <cell r="B39" t="str">
            <v>Maintenance of vision</v>
          </cell>
          <cell r="C39">
            <v>0.95</v>
          </cell>
          <cell r="D39">
            <v>0.95</v>
          </cell>
          <cell r="E39">
            <v>0.62</v>
          </cell>
        </row>
        <row r="40">
          <cell r="B40" t="str">
            <v>Letters gained</v>
          </cell>
          <cell r="C40" t="str">
            <v>+6.5</v>
          </cell>
          <cell r="D40" t="str">
            <v>+7.2</v>
          </cell>
          <cell r="E40" t="str">
            <v>-10.5</v>
          </cell>
        </row>
        <row r="41">
          <cell r="B41" t="str">
            <v>Cererbrovascular events</v>
          </cell>
          <cell r="C41">
            <v>1</v>
          </cell>
          <cell r="D41">
            <v>3</v>
          </cell>
          <cell r="E41">
            <v>1</v>
          </cell>
        </row>
        <row r="42">
          <cell r="B42" t="str">
            <v>Myocardial infarction</v>
          </cell>
          <cell r="C42">
            <v>1</v>
          </cell>
          <cell r="D42">
            <v>1</v>
          </cell>
          <cell r="E42">
            <v>1</v>
          </cell>
        </row>
        <row r="46">
          <cell r="B46" t="str">
            <v>Macugen + Visudyne Phase II data</v>
          </cell>
        </row>
        <row r="48">
          <cell r="C48" t="str">
            <v>Macugen + Visudyne</v>
          </cell>
          <cell r="D48" t="str">
            <v>Lucentis + Visudyne</v>
          </cell>
        </row>
        <row r="49">
          <cell r="B49" t="str">
            <v>Patients</v>
          </cell>
          <cell r="C49" t="str">
            <v>10* (100%)</v>
          </cell>
        </row>
        <row r="50">
          <cell r="B50" t="str">
            <v>Stable vision or better</v>
          </cell>
          <cell r="C50" t="str">
            <v>9 (90%)</v>
          </cell>
        </row>
        <row r="51">
          <cell r="B51" t="str">
            <v>At least 15 letter gain</v>
          </cell>
          <cell r="C51" t="str">
            <v>6 (60%)</v>
          </cell>
        </row>
        <row r="52">
          <cell r="B52" t="str">
            <v>Patients needing further Visudyne therapy after 3 months</v>
          </cell>
          <cell r="C52" t="str">
            <v>4 (40%)</v>
          </cell>
        </row>
        <row r="53">
          <cell r="B53" t="str">
            <v>Note: * 11 patients treated q monthly for 3 months; 10 patients were evaluated</v>
          </cell>
        </row>
      </sheetData>
      <sheetData sheetId="19" refreshError="1"/>
      <sheetData sheetId="20" refreshError="1"/>
      <sheetData sheetId="21" refreshError="1">
        <row r="4">
          <cell r="D4" t="str">
            <v>(For Marketing Pack)</v>
          </cell>
        </row>
        <row r="6">
          <cell r="F6" t="str">
            <v>2005A</v>
          </cell>
          <cell r="H6" t="str">
            <v>2006E</v>
          </cell>
          <cell r="J6" t="str">
            <v>2007E</v>
          </cell>
          <cell r="L6" t="str">
            <v>2008E</v>
          </cell>
        </row>
        <row r="7">
          <cell r="D7" t="str">
            <v>Rituxan</v>
          </cell>
          <cell r="F7">
            <v>1989.431</v>
          </cell>
          <cell r="H7">
            <v>2357</v>
          </cell>
          <cell r="J7">
            <v>2711.0807564833267</v>
          </cell>
          <cell r="L7">
            <v>2933.6966005063991</v>
          </cell>
        </row>
        <row r="8">
          <cell r="D8" t="str">
            <v>Avastin</v>
          </cell>
          <cell r="F8">
            <v>1216.7529999999999</v>
          </cell>
          <cell r="H8">
            <v>1993.36</v>
          </cell>
          <cell r="J8">
            <v>2925.9611602894643</v>
          </cell>
          <cell r="L8">
            <v>3882.0494573955039</v>
          </cell>
        </row>
        <row r="9">
          <cell r="D9" t="str">
            <v>Herceptin</v>
          </cell>
          <cell r="F9">
            <v>763.86799999999994</v>
          </cell>
          <cell r="H9">
            <v>1380</v>
          </cell>
          <cell r="J9">
            <v>1581.6482618585742</v>
          </cell>
          <cell r="L9">
            <v>1676.8953104490511</v>
          </cell>
        </row>
        <row r="10">
          <cell r="D10" t="str">
            <v>Xolair</v>
          </cell>
          <cell r="F10">
            <v>323.79700000000003</v>
          </cell>
          <cell r="H10">
            <v>423</v>
          </cell>
          <cell r="J10">
            <v>496.67639851943272</v>
          </cell>
          <cell r="L10">
            <v>549.18117450569844</v>
          </cell>
        </row>
        <row r="11">
          <cell r="D11" t="str">
            <v>Total Revenues</v>
          </cell>
          <cell r="F11">
            <v>6633.4230000000007</v>
          </cell>
          <cell r="H11">
            <v>9120.36</v>
          </cell>
          <cell r="J11">
            <v>11279.125121683228</v>
          </cell>
          <cell r="L11">
            <v>13104.186311101828</v>
          </cell>
        </row>
        <row r="12">
          <cell r="D12" t="str">
            <v>EPS</v>
          </cell>
          <cell r="F12">
            <v>1.2834315032439099</v>
          </cell>
          <cell r="H12">
            <v>1.9766562870511628</v>
          </cell>
          <cell r="J12">
            <v>2.6131703146035923</v>
          </cell>
          <cell r="L12">
            <v>3.2657035401917991</v>
          </cell>
        </row>
        <row r="13">
          <cell r="D13" t="str">
            <v>Consensus</v>
          </cell>
          <cell r="F13">
            <v>1.28</v>
          </cell>
          <cell r="H13">
            <v>1.81</v>
          </cell>
          <cell r="J13">
            <v>2.4500000000000002</v>
          </cell>
          <cell r="L13">
            <v>3.12</v>
          </cell>
        </row>
      </sheetData>
      <sheetData sheetId="22" refreshError="1"/>
      <sheetData sheetId="23" refreshError="1"/>
      <sheetData sheetId="24" refreshError="1">
        <row r="6">
          <cell r="D6" t="str">
            <v>Biogen Idec Oceanside Plant</v>
          </cell>
          <cell r="E6" t="str">
            <v>Vacaville Expansion</v>
          </cell>
        </row>
        <row r="7">
          <cell r="C7" t="str">
            <v>Current</v>
          </cell>
          <cell r="D7">
            <v>2007</v>
          </cell>
          <cell r="E7">
            <v>2009</v>
          </cell>
          <cell r="F7" t="str">
            <v>Total</v>
          </cell>
        </row>
        <row r="8">
          <cell r="B8" t="str">
            <v>clear</v>
          </cell>
          <cell r="D8">
            <v>280</v>
          </cell>
          <cell r="E8">
            <v>370</v>
          </cell>
          <cell r="F8">
            <v>0</v>
          </cell>
        </row>
        <row r="9">
          <cell r="B9" t="str">
            <v>green</v>
          </cell>
          <cell r="C9">
            <v>280</v>
          </cell>
          <cell r="D9">
            <v>90</v>
          </cell>
          <cell r="E9">
            <v>200</v>
          </cell>
          <cell r="F9">
            <v>570</v>
          </cell>
        </row>
        <row r="12">
          <cell r="I12" t="str">
            <v>Ex-US Exposure</v>
          </cell>
        </row>
        <row r="13">
          <cell r="I13" t="str">
            <v>Sales to Collab.</v>
          </cell>
          <cell r="J13">
            <v>2005</v>
          </cell>
          <cell r="K13" t="str">
            <v>1Q06</v>
          </cell>
        </row>
        <row r="14">
          <cell r="I14" t="str">
            <v>Total</v>
          </cell>
          <cell r="J14">
            <v>326.39999999999998</v>
          </cell>
          <cell r="K14">
            <v>75</v>
          </cell>
        </row>
        <row r="15">
          <cell r="I15" t="str">
            <v>Avastin</v>
          </cell>
          <cell r="J15">
            <v>84.031999999999996</v>
          </cell>
          <cell r="K15">
            <v>18</v>
          </cell>
        </row>
        <row r="16">
          <cell r="I16" t="str">
            <v>Herceptin</v>
          </cell>
          <cell r="J16">
            <v>16.621000000000002</v>
          </cell>
          <cell r="K16">
            <v>5</v>
          </cell>
        </row>
        <row r="17">
          <cell r="I17" t="str">
            <v>Rituxan</v>
          </cell>
          <cell r="J17">
            <v>157.9</v>
          </cell>
          <cell r="K17">
            <v>32</v>
          </cell>
        </row>
        <row r="18">
          <cell r="I18" t="str">
            <v>Nutropin</v>
          </cell>
          <cell r="J18">
            <v>4.8</v>
          </cell>
          <cell r="K18">
            <v>1</v>
          </cell>
        </row>
        <row r="19">
          <cell r="I19" t="str">
            <v>Pulmozyme</v>
          </cell>
          <cell r="J19">
            <v>35.4</v>
          </cell>
          <cell r="K19">
            <v>13</v>
          </cell>
        </row>
        <row r="20">
          <cell r="I20" t="str">
            <v>Raptiva</v>
          </cell>
          <cell r="J20">
            <v>14.9</v>
          </cell>
          <cell r="K20">
            <v>2</v>
          </cell>
        </row>
        <row r="21">
          <cell r="I21" t="str">
            <v>Thrombolytics</v>
          </cell>
          <cell r="J21">
            <v>8.3000000000000007</v>
          </cell>
          <cell r="K21">
            <v>3</v>
          </cell>
        </row>
        <row r="22">
          <cell r="I22" t="str">
            <v>Xolair</v>
          </cell>
          <cell r="J22">
            <v>7</v>
          </cell>
          <cell r="K22">
            <v>1</v>
          </cell>
        </row>
        <row r="23">
          <cell r="I23" t="str">
            <v>Other</v>
          </cell>
          <cell r="J23">
            <v>27</v>
          </cell>
          <cell r="K23">
            <v>0</v>
          </cell>
        </row>
        <row r="24">
          <cell r="I24" t="str">
            <v>Royalties</v>
          </cell>
        </row>
        <row r="25">
          <cell r="I25" t="str">
            <v>% Roche</v>
          </cell>
          <cell r="J25">
            <v>0.53</v>
          </cell>
          <cell r="K25">
            <v>0.57999999999999996</v>
          </cell>
        </row>
        <row r="26">
          <cell r="I26" t="str">
            <v>ex-US Royalties</v>
          </cell>
          <cell r="J26">
            <v>495.60140999999999</v>
          </cell>
          <cell r="K26">
            <v>165.88</v>
          </cell>
        </row>
        <row r="27">
          <cell r="I27" t="str">
            <v>Total</v>
          </cell>
          <cell r="J27">
            <v>822.00140999999996</v>
          </cell>
          <cell r="K27">
            <v>240.88</v>
          </cell>
        </row>
        <row r="28">
          <cell r="I28" t="str">
            <v>Total Rev</v>
          </cell>
          <cell r="J28">
            <v>6633.4230000000007</v>
          </cell>
          <cell r="K28">
            <v>1986</v>
          </cell>
        </row>
        <row r="29">
          <cell r="I29" t="str">
            <v>% ex-US</v>
          </cell>
          <cell r="J29">
            <v>0.12391813547847015</v>
          </cell>
          <cell r="K29">
            <v>0.12128902316213494</v>
          </cell>
        </row>
      </sheetData>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areTaxoPres"/>
      <sheetName val="LOG"/>
      <sheetName val="Changes to Model"/>
      <sheetName val="MS Est. Vs Actual"/>
      <sheetName val="Quarterly"/>
      <sheetName val="mwareValPrintout"/>
      <sheetName val="Annual"/>
      <sheetName val="Balance Sheet "/>
      <sheetName val="Model_Template"/>
      <sheetName val="Cashflow"/>
      <sheetName val="DCF Valuation"/>
      <sheetName val="US RA Model"/>
      <sheetName val="US Epo Model"/>
      <sheetName val="Int'l Epo Model"/>
      <sheetName val="ProcritAranesp"/>
      <sheetName val="__FDSCACHE__"/>
      <sheetName val="CSFs"/>
      <sheetName val="ESO"/>
      <sheetName val="Figures"/>
      <sheetName val="Marketing"/>
      <sheetName val="mwareDates"/>
      <sheetName val="NY UPLOAD shadow"/>
      <sheetName val="mwareSettings"/>
      <sheetName val="mStartup"/>
      <sheetName val="MainCode"/>
    </sheetNames>
    <sheetDataSet>
      <sheetData sheetId="0" refreshError="1"/>
      <sheetData sheetId="1" refreshError="1"/>
      <sheetData sheetId="2" refreshError="1">
        <row r="2">
          <cell r="B2" t="str">
            <v>Changes To Model</v>
          </cell>
        </row>
        <row r="3">
          <cell r="C3">
            <v>2003</v>
          </cell>
          <cell r="E3">
            <v>2004</v>
          </cell>
          <cell r="G3">
            <v>2005</v>
          </cell>
          <cell r="I3">
            <v>2006</v>
          </cell>
          <cell r="K3">
            <v>2007</v>
          </cell>
          <cell r="M3">
            <v>2008</v>
          </cell>
          <cell r="O3" t="str">
            <v>Comments</v>
          </cell>
        </row>
        <row r="4">
          <cell r="B4" t="str">
            <v>Aranesp</v>
          </cell>
          <cell r="O4" t="str">
            <v>Modestly decreasing estimates in outer years due to slowing EU growth (FOBs are likely to mute growth further)</v>
          </cell>
        </row>
        <row r="5">
          <cell r="B5" t="str">
            <v xml:space="preserve">   Current</v>
          </cell>
          <cell r="E5">
            <v>2472.9</v>
          </cell>
          <cell r="G5">
            <v>3273</v>
          </cell>
          <cell r="I5">
            <v>3913</v>
          </cell>
          <cell r="K5">
            <v>4350</v>
          </cell>
          <cell r="M5">
            <v>4725</v>
          </cell>
        </row>
        <row r="6">
          <cell r="B6" t="str">
            <v xml:space="preserve">   Prior</v>
          </cell>
          <cell r="E6">
            <v>2472.9</v>
          </cell>
          <cell r="G6">
            <v>3273</v>
          </cell>
          <cell r="I6">
            <v>3950</v>
          </cell>
          <cell r="K6">
            <v>4525</v>
          </cell>
          <cell r="M6">
            <v>4915</v>
          </cell>
        </row>
        <row r="7">
          <cell r="B7" t="str">
            <v>Epogen</v>
          </cell>
          <cell r="O7" t="str">
            <v>Company expects product to stabilize in mid 2006</v>
          </cell>
        </row>
        <row r="8">
          <cell r="B8" t="str">
            <v xml:space="preserve">   Current</v>
          </cell>
          <cell r="E8">
            <v>2600.6</v>
          </cell>
          <cell r="G8">
            <v>2455</v>
          </cell>
          <cell r="I8">
            <v>2514</v>
          </cell>
          <cell r="K8">
            <v>2572.1174973954289</v>
          </cell>
          <cell r="M8">
            <v>2632.2299063233218</v>
          </cell>
        </row>
        <row r="9">
          <cell r="B9" t="str">
            <v xml:space="preserve">   Prior</v>
          </cell>
          <cell r="E9">
            <v>2600.6</v>
          </cell>
          <cell r="G9">
            <v>2455</v>
          </cell>
          <cell r="I9">
            <v>2520</v>
          </cell>
          <cell r="K9">
            <v>2626.2090016806937</v>
          </cell>
          <cell r="M9">
            <v>2700.9100577285003</v>
          </cell>
        </row>
        <row r="10">
          <cell r="B10" t="str">
            <v>Neulasta</v>
          </cell>
        </row>
        <row r="11">
          <cell r="B11" t="str">
            <v xml:space="preserve">   Current</v>
          </cell>
          <cell r="E11">
            <v>1739.6</v>
          </cell>
          <cell r="G11">
            <v>2288</v>
          </cell>
          <cell r="I11">
            <v>2603</v>
          </cell>
          <cell r="K11">
            <v>2889.3300000000004</v>
          </cell>
          <cell r="M11">
            <v>3149.3697000000006</v>
          </cell>
        </row>
        <row r="12">
          <cell r="B12" t="str">
            <v xml:space="preserve">   Prior</v>
          </cell>
          <cell r="E12">
            <v>1739.6</v>
          </cell>
          <cell r="G12">
            <v>2288</v>
          </cell>
          <cell r="I12">
            <v>2675</v>
          </cell>
          <cell r="K12">
            <v>3022.75</v>
          </cell>
          <cell r="M12">
            <v>3234.3424999999997</v>
          </cell>
        </row>
        <row r="13">
          <cell r="B13" t="str">
            <v>Neupogen</v>
          </cell>
        </row>
        <row r="14">
          <cell r="B14" t="str">
            <v xml:space="preserve">   Current</v>
          </cell>
          <cell r="E14">
            <v>1175.1999999999998</v>
          </cell>
          <cell r="G14">
            <v>1216</v>
          </cell>
          <cell r="I14">
            <v>1188</v>
          </cell>
          <cell r="K14">
            <v>1188</v>
          </cell>
          <cell r="M14">
            <v>1188</v>
          </cell>
        </row>
        <row r="15">
          <cell r="B15" t="str">
            <v xml:space="preserve">   Prior</v>
          </cell>
          <cell r="E15">
            <v>1175.2</v>
          </cell>
          <cell r="G15">
            <v>1216</v>
          </cell>
          <cell r="I15">
            <v>1240</v>
          </cell>
          <cell r="K15">
            <v>1240</v>
          </cell>
          <cell r="M15">
            <v>1240</v>
          </cell>
        </row>
        <row r="16">
          <cell r="B16" t="str">
            <v>Enbrel</v>
          </cell>
          <cell r="O16" t="str">
            <v xml:space="preserve">Weak trends of past several quarters continue into 2006.  lowering forward estimates as Humira compeition grows in derm and multiple new entrants begin to crowd rheumatology. </v>
          </cell>
        </row>
        <row r="17">
          <cell r="B17" t="str">
            <v xml:space="preserve">   Current</v>
          </cell>
          <cell r="E17">
            <v>1900.3</v>
          </cell>
          <cell r="G17">
            <v>2573</v>
          </cell>
          <cell r="I17">
            <v>2793</v>
          </cell>
          <cell r="K17">
            <v>3016.8307284116399</v>
          </cell>
          <cell r="M17">
            <v>3233.3473223083402</v>
          </cell>
        </row>
        <row r="18">
          <cell r="B18" t="str">
            <v xml:space="preserve">   Prior</v>
          </cell>
          <cell r="E18">
            <v>1900.3</v>
          </cell>
          <cell r="G18">
            <v>2573</v>
          </cell>
          <cell r="I18">
            <v>3020</v>
          </cell>
          <cell r="K18">
            <v>3292.3139849108829</v>
          </cell>
          <cell r="M18">
            <v>3541.0791290486823</v>
          </cell>
        </row>
        <row r="19">
          <cell r="B19" t="str">
            <v>Panitumumab</v>
          </cell>
        </row>
        <row r="20">
          <cell r="B20" t="str">
            <v xml:space="preserve">   Current</v>
          </cell>
          <cell r="E20">
            <v>0</v>
          </cell>
          <cell r="G20">
            <v>0</v>
          </cell>
          <cell r="I20">
            <v>35</v>
          </cell>
          <cell r="K20">
            <v>225</v>
          </cell>
          <cell r="M20">
            <v>475</v>
          </cell>
        </row>
        <row r="21">
          <cell r="B21" t="str">
            <v xml:space="preserve">   Prior</v>
          </cell>
          <cell r="E21">
            <v>0</v>
          </cell>
          <cell r="G21">
            <v>0</v>
          </cell>
          <cell r="I21">
            <v>40</v>
          </cell>
          <cell r="K21">
            <v>260</v>
          </cell>
          <cell r="M21">
            <v>500</v>
          </cell>
        </row>
        <row r="22">
          <cell r="B22" t="str">
            <v>Total Revenues ($MM)</v>
          </cell>
          <cell r="O22" t="str">
            <v>2006 guidance: $13.9B-$14.4B</v>
          </cell>
        </row>
        <row r="23">
          <cell r="B23" t="str">
            <v xml:space="preserve">   Current</v>
          </cell>
          <cell r="C23">
            <v>8356</v>
          </cell>
          <cell r="E23">
            <v>10549.9</v>
          </cell>
          <cell r="G23">
            <v>12430</v>
          </cell>
          <cell r="I23">
            <v>13779</v>
          </cell>
          <cell r="K23">
            <v>15089.778225807069</v>
          </cell>
          <cell r="M23">
            <v>16371.308428631663</v>
          </cell>
        </row>
        <row r="24">
          <cell r="B24" t="str">
            <v xml:space="preserve">   Prior</v>
          </cell>
          <cell r="C24">
            <v>8356</v>
          </cell>
          <cell r="E24">
            <v>10549.9</v>
          </cell>
          <cell r="G24">
            <v>12430</v>
          </cell>
          <cell r="I24">
            <v>14220</v>
          </cell>
          <cell r="K24">
            <v>15846.422986591579</v>
          </cell>
          <cell r="M24">
            <v>17265.642986777184</v>
          </cell>
        </row>
        <row r="25">
          <cell r="B25" t="str">
            <v>SG&amp;A ($MM)</v>
          </cell>
          <cell r="O25" t="str">
            <v>2006 Guidance: ~10% growth</v>
          </cell>
        </row>
        <row r="26">
          <cell r="B26" t="str">
            <v xml:space="preserve">   Current</v>
          </cell>
          <cell r="C26">
            <v>1952.6</v>
          </cell>
          <cell r="E26">
            <v>2556</v>
          </cell>
          <cell r="G26">
            <v>2792</v>
          </cell>
          <cell r="I26">
            <v>3027.1130000000003</v>
          </cell>
          <cell r="K26">
            <v>3266.9369858872305</v>
          </cell>
          <cell r="M26">
            <v>3544.388274798755</v>
          </cell>
        </row>
        <row r="27">
          <cell r="B27" t="str">
            <v xml:space="preserve">   Prior</v>
          </cell>
          <cell r="C27">
            <v>1952.6</v>
          </cell>
          <cell r="E27">
            <v>2556</v>
          </cell>
          <cell r="G27">
            <v>2792</v>
          </cell>
          <cell r="I27">
            <v>3075.85</v>
          </cell>
          <cell r="K27">
            <v>3422.8273651037807</v>
          </cell>
          <cell r="M27">
            <v>4100.5902093595814</v>
          </cell>
        </row>
        <row r="28">
          <cell r="B28" t="str">
            <v>R&amp;D ($MM)</v>
          </cell>
          <cell r="O28" t="str">
            <v xml:space="preserve">2006 Guidance: 30-40% YoY growth.  </v>
          </cell>
        </row>
        <row r="29">
          <cell r="B29" t="str">
            <v xml:space="preserve">   Current</v>
          </cell>
          <cell r="C29">
            <v>1655.4</v>
          </cell>
          <cell r="E29">
            <v>2028</v>
          </cell>
          <cell r="G29">
            <v>2302</v>
          </cell>
          <cell r="I29">
            <v>3009</v>
          </cell>
          <cell r="K29">
            <v>3327.2960987904589</v>
          </cell>
          <cell r="M29">
            <v>3601.6878542989657</v>
          </cell>
        </row>
        <row r="30">
          <cell r="B30" t="str">
            <v xml:space="preserve">   Prior</v>
          </cell>
          <cell r="C30">
            <v>1655.4</v>
          </cell>
          <cell r="E30">
            <v>2028</v>
          </cell>
          <cell r="G30">
            <v>2302</v>
          </cell>
          <cell r="I30">
            <v>3085</v>
          </cell>
          <cell r="K30">
            <v>3406.9809421171894</v>
          </cell>
          <cell r="M30">
            <v>3712.1132421570946</v>
          </cell>
        </row>
        <row r="31">
          <cell r="B31" t="str">
            <v>Interest, Other Income</v>
          </cell>
        </row>
        <row r="32">
          <cell r="B32" t="str">
            <v xml:space="preserve">   Current</v>
          </cell>
          <cell r="C32">
            <v>113.4</v>
          </cell>
          <cell r="D32">
            <v>-0.21359223300970864</v>
          </cell>
          <cell r="E32">
            <v>99.7</v>
          </cell>
          <cell r="F32">
            <v>0</v>
          </cell>
          <cell r="G32">
            <v>157</v>
          </cell>
          <cell r="H32">
            <v>0</v>
          </cell>
          <cell r="I32">
            <v>329</v>
          </cell>
          <cell r="J32">
            <v>0</v>
          </cell>
          <cell r="K32">
            <v>210.7171588806757</v>
          </cell>
          <cell r="L32">
            <v>0</v>
          </cell>
          <cell r="M32">
            <v>265.32581027251831</v>
          </cell>
        </row>
        <row r="33">
          <cell r="B33" t="str">
            <v xml:space="preserve">   Prior</v>
          </cell>
          <cell r="C33">
            <v>113.4</v>
          </cell>
          <cell r="E33">
            <v>99.7</v>
          </cell>
          <cell r="F33">
            <v>0</v>
          </cell>
          <cell r="G33">
            <v>157</v>
          </cell>
          <cell r="H33">
            <v>0</v>
          </cell>
          <cell r="I33">
            <v>150</v>
          </cell>
          <cell r="J33">
            <v>0</v>
          </cell>
          <cell r="K33">
            <v>315.22233834199102</v>
          </cell>
          <cell r="L33">
            <v>0</v>
          </cell>
          <cell r="M33">
            <v>365.3511463110907</v>
          </cell>
        </row>
        <row r="34">
          <cell r="B34" t="str">
            <v xml:space="preserve">Net Income ($MM) </v>
          </cell>
        </row>
        <row r="35">
          <cell r="B35" t="str">
            <v xml:space="preserve">   Current</v>
          </cell>
          <cell r="C35">
            <v>2595.2999999999993</v>
          </cell>
          <cell r="E35">
            <v>3106.7999999999993</v>
          </cell>
          <cell r="G35">
            <v>4023</v>
          </cell>
          <cell r="I35">
            <v>4335.4931825000003</v>
          </cell>
          <cell r="K35">
            <v>4671.2119694975627</v>
          </cell>
          <cell r="M35">
            <v>5157.5244034755797</v>
          </cell>
        </row>
        <row r="36">
          <cell r="B36" t="str">
            <v xml:space="preserve">   Prior</v>
          </cell>
          <cell r="C36">
            <v>2595.2999999999993</v>
          </cell>
          <cell r="E36">
            <v>3106.8</v>
          </cell>
          <cell r="G36">
            <v>4023</v>
          </cell>
          <cell r="I36">
            <v>4374.7203599999993</v>
          </cell>
          <cell r="K36">
            <v>5087.6113248185175</v>
          </cell>
          <cell r="M36">
            <v>5324.9044680685165</v>
          </cell>
        </row>
        <row r="37">
          <cell r="B37" t="str">
            <v>EPS, diluted</v>
          </cell>
          <cell r="O37" t="str">
            <v>2006 guidance: $3.60-$3.70;  Our number increases as we include the accretive effects of recent convertible debt deal (and corresponding increase in the share buyback program)</v>
          </cell>
        </row>
        <row r="38">
          <cell r="B38" t="str">
            <v xml:space="preserve">   Current</v>
          </cell>
          <cell r="C38">
            <v>1.9281575037147096</v>
          </cell>
          <cell r="D38">
            <v>0.26723815197704903</v>
          </cell>
          <cell r="E38">
            <v>2.36950115525927</v>
          </cell>
          <cell r="F38">
            <v>0.22889398334642563</v>
          </cell>
          <cell r="G38">
            <v>3.2027027027027026</v>
          </cell>
          <cell r="H38">
            <v>0.35163584773701628</v>
          </cell>
          <cell r="I38">
            <v>3.6698689952539394</v>
          </cell>
          <cell r="J38">
            <v>0.14586626856030183</v>
          </cell>
          <cell r="K38">
            <v>4.1013211403748855</v>
          </cell>
          <cell r="L38">
            <v>0.11756608905629107</v>
          </cell>
          <cell r="M38">
            <v>4.6347096976234399</v>
          </cell>
        </row>
        <row r="39">
          <cell r="B39" t="str">
            <v xml:space="preserve">   Prior</v>
          </cell>
          <cell r="C39">
            <v>1.93</v>
          </cell>
          <cell r="E39">
            <v>2.36950115525927</v>
          </cell>
          <cell r="F39">
            <v>0.22889398334642563</v>
          </cell>
          <cell r="G39">
            <v>3.2027027027027026</v>
          </cell>
          <cell r="H39">
            <v>0.35163584773701628</v>
          </cell>
          <cell r="I39">
            <v>3.5527748531150061</v>
          </cell>
          <cell r="J39">
            <v>0.10930522839877832</v>
          </cell>
          <cell r="K39">
            <v>4.2311682835580111</v>
          </cell>
          <cell r="L39">
            <v>0.19094748710242704</v>
          </cell>
          <cell r="M39">
            <v>4.52644990794027</v>
          </cell>
        </row>
        <row r="40">
          <cell r="B40" t="str">
            <v>EPS, diluted (incl options expense)</v>
          </cell>
        </row>
        <row r="41">
          <cell r="B41" t="str">
            <v xml:space="preserve">   Current</v>
          </cell>
          <cell r="C41">
            <v>1288.4000000000001</v>
          </cell>
          <cell r="D41">
            <v>0.11694841785869103</v>
          </cell>
          <cell r="E41">
            <v>1270.6500000000001</v>
          </cell>
          <cell r="F41">
            <v>-1.3776777398323503E-2</v>
          </cell>
          <cell r="H41">
            <v>0</v>
          </cell>
          <cell r="I41">
            <v>3.4469575326902331</v>
          </cell>
          <cell r="J41">
            <v>0</v>
          </cell>
          <cell r="K41">
            <v>3.8627394026015285</v>
          </cell>
          <cell r="L41">
            <v>0</v>
          </cell>
          <cell r="M41">
            <v>4.3704543642262941</v>
          </cell>
        </row>
        <row r="42">
          <cell r="B42" t="str">
            <v xml:space="preserve">   Prior</v>
          </cell>
          <cell r="C42">
            <v>1.93</v>
          </cell>
          <cell r="E42">
            <v>2.36950115525927</v>
          </cell>
          <cell r="F42">
            <v>0.22889398334642563</v>
          </cell>
          <cell r="H42">
            <v>0</v>
          </cell>
          <cell r="I42">
            <v>3.445528989912801</v>
          </cell>
          <cell r="J42">
            <v>0</v>
          </cell>
          <cell r="K42">
            <v>4.0830286251359063</v>
          </cell>
          <cell r="L42">
            <v>0</v>
          </cell>
          <cell r="M42">
            <v>4.3555918887894087</v>
          </cell>
        </row>
        <row r="43">
          <cell r="B43" t="str">
            <v>Basic Shares Outstanding</v>
          </cell>
        </row>
        <row r="44">
          <cell r="B44" t="str">
            <v xml:space="preserve">   Current</v>
          </cell>
          <cell r="C44">
            <v>1288.4000000000001</v>
          </cell>
          <cell r="D44">
            <v>0.11694841785869103</v>
          </cell>
          <cell r="E44">
            <v>1270.6500000000001</v>
          </cell>
          <cell r="F44">
            <v>-1.3776777398323503E-2</v>
          </cell>
          <cell r="G44">
            <v>1236</v>
          </cell>
          <cell r="H44">
            <v>-2.726950773226311E-2</v>
          </cell>
          <cell r="I44">
            <v>1161.7770232500002</v>
          </cell>
          <cell r="J44">
            <v>-6.0050952063106622E-2</v>
          </cell>
          <cell r="K44">
            <v>1120.8980000000001</v>
          </cell>
          <cell r="L44">
            <v>-3.5186634295489405E-2</v>
          </cell>
          <cell r="M44">
            <v>1095.4242875</v>
          </cell>
        </row>
        <row r="45">
          <cell r="B45" t="str">
            <v xml:space="preserve">   Prior</v>
          </cell>
          <cell r="C45">
            <v>1288.4000000000001</v>
          </cell>
          <cell r="D45">
            <v>1288.8</v>
          </cell>
          <cell r="E45">
            <v>1270.6500000000001</v>
          </cell>
          <cell r="F45">
            <v>-1.3776777398323503E-2</v>
          </cell>
          <cell r="G45">
            <v>1236</v>
          </cell>
          <cell r="H45">
            <v>-2.726950773226311E-2</v>
          </cell>
          <cell r="I45">
            <v>1210.68759275</v>
          </cell>
          <cell r="J45">
            <v>-2.0479293891585759E-2</v>
          </cell>
          <cell r="K45">
            <v>1186.1795999999999</v>
          </cell>
          <cell r="L45">
            <v>-2.0243036186016972E-2</v>
          </cell>
          <cell r="M45">
            <v>1161.278558</v>
          </cell>
        </row>
        <row r="46">
          <cell r="B46" t="str">
            <v>Diluted Shares Outstanding</v>
          </cell>
        </row>
        <row r="47">
          <cell r="B47" t="str">
            <v xml:space="preserve">   Current</v>
          </cell>
          <cell r="C47">
            <v>1346</v>
          </cell>
          <cell r="D47">
            <v>0.16688339835283927</v>
          </cell>
          <cell r="E47">
            <v>1320.05</v>
          </cell>
          <cell r="F47">
            <v>-1.9279346210995585E-2</v>
          </cell>
          <cell r="G47">
            <v>1258</v>
          </cell>
          <cell r="H47">
            <v>-4.7005795235028902E-2</v>
          </cell>
          <cell r="I47">
            <v>1173.37546275</v>
          </cell>
          <cell r="J47">
            <v>-6.726910751192372E-2</v>
          </cell>
          <cell r="K47">
            <v>1139.9282839554037</v>
          </cell>
          <cell r="L47">
            <v>-2.8505094793960795E-2</v>
          </cell>
          <cell r="M47">
            <v>1113.6672499945955</v>
          </cell>
        </row>
        <row r="48">
          <cell r="B48" t="str">
            <v xml:space="preserve">   Prior</v>
          </cell>
          <cell r="C48">
            <v>1346</v>
          </cell>
          <cell r="D48">
            <v>1321.4</v>
          </cell>
          <cell r="E48">
            <v>1320.05</v>
          </cell>
          <cell r="F48">
            <v>-1.9279346210995585E-2</v>
          </cell>
          <cell r="G48">
            <v>1258</v>
          </cell>
          <cell r="H48">
            <v>-4.7005795235028902E-2</v>
          </cell>
          <cell r="I48">
            <v>1224.4789892499998</v>
          </cell>
          <cell r="J48">
            <v>-2.6646272456279929E-2</v>
          </cell>
          <cell r="K48">
            <v>1203.3582650456426</v>
          </cell>
          <cell r="L48">
            <v>-1.724874366141127E-2</v>
          </cell>
          <cell r="M48">
            <v>1177.2812195978543</v>
          </cell>
        </row>
        <row r="49">
          <cell r="B49" t="str">
            <v>Cash Flow (Burn)</v>
          </cell>
          <cell r="O49" t="str">
            <v>Expect major future use of cash to remain share buybacks.</v>
          </cell>
        </row>
        <row r="50">
          <cell r="B50" t="str">
            <v xml:space="preserve">   Current</v>
          </cell>
          <cell r="C50">
            <v>2209.7999999999993</v>
          </cell>
          <cell r="E50">
            <v>2361</v>
          </cell>
          <cell r="G50">
            <v>4044</v>
          </cell>
          <cell r="I50">
            <v>1546.8396302380957</v>
          </cell>
          <cell r="K50">
            <v>3846.2174306950965</v>
          </cell>
          <cell r="M50">
            <v>4301.980800635979</v>
          </cell>
        </row>
        <row r="51">
          <cell r="B51" t="str">
            <v xml:space="preserve">   Prior</v>
          </cell>
          <cell r="C51">
            <v>2209.8000000000002</v>
          </cell>
          <cell r="E51">
            <v>2361</v>
          </cell>
          <cell r="G51">
            <v>4044</v>
          </cell>
          <cell r="I51">
            <v>1991.8408502380951</v>
          </cell>
          <cell r="K51">
            <v>4169.2864625840475</v>
          </cell>
          <cell r="M51">
            <v>4542.0155215014902</v>
          </cell>
        </row>
      </sheetData>
      <sheetData sheetId="3" refreshError="1">
        <row r="2">
          <cell r="B2" t="str">
            <v>Earnings Snapshot</v>
          </cell>
        </row>
        <row r="3">
          <cell r="C3" t="str">
            <v>1Q05</v>
          </cell>
          <cell r="D3" t="str">
            <v>1Q06</v>
          </cell>
          <cell r="E3" t="str">
            <v>1Q06</v>
          </cell>
          <cell r="F3" t="str">
            <v>% var.</v>
          </cell>
          <cell r="G3" t="str">
            <v>Y/Y</v>
          </cell>
        </row>
        <row r="4">
          <cell r="C4" t="str">
            <v>Actual</v>
          </cell>
          <cell r="D4" t="str">
            <v>MS Est</v>
          </cell>
          <cell r="E4" t="str">
            <v>Actual</v>
          </cell>
          <cell r="F4" t="str">
            <v>from est.</v>
          </cell>
          <cell r="G4" t="str">
            <v>% chg.</v>
          </cell>
          <cell r="H4" t="str">
            <v>Comments</v>
          </cell>
        </row>
        <row r="5">
          <cell r="B5" t="str">
            <v>Revenues:</v>
          </cell>
        </row>
        <row r="6">
          <cell r="B6" t="str">
            <v>Epogen</v>
          </cell>
          <cell r="C6">
            <v>583</v>
          </cell>
          <cell r="D6">
            <v>610</v>
          </cell>
          <cell r="E6">
            <v>604</v>
          </cell>
          <cell r="F6">
            <v>-9.8360655737704805E-3</v>
          </cell>
          <cell r="G6">
            <v>3.6020583190394584E-2</v>
          </cell>
        </row>
        <row r="7">
          <cell r="B7" t="str">
            <v xml:space="preserve">Aranesp - US </v>
          </cell>
          <cell r="C7">
            <v>447</v>
          </cell>
          <cell r="D7">
            <v>615</v>
          </cell>
          <cell r="E7">
            <v>596</v>
          </cell>
          <cell r="F7">
            <v>-3.0894308943089421E-2</v>
          </cell>
          <cell r="G7">
            <v>0.33333333333333326</v>
          </cell>
          <cell r="H7" t="str">
            <v xml:space="preserve">Consistent with weak IMS trends for 1Q, as physician inventory drawdowns likely weighed on early quarter results.  Wholesale inventories ended 1Q modestly below trend. </v>
          </cell>
        </row>
        <row r="8">
          <cell r="B8" t="str">
            <v>Aranesp - ex US</v>
          </cell>
          <cell r="C8">
            <v>276</v>
          </cell>
          <cell r="D8">
            <v>310</v>
          </cell>
          <cell r="E8">
            <v>297</v>
          </cell>
          <cell r="F8">
            <v>-4.1935483870967794E-2</v>
          </cell>
          <cell r="G8">
            <v>7.6086956521739024E-2</v>
          </cell>
        </row>
        <row r="9">
          <cell r="B9" t="str">
            <v>Neupogen -WW</v>
          </cell>
          <cell r="C9">
            <v>294</v>
          </cell>
          <cell r="D9">
            <v>310</v>
          </cell>
          <cell r="E9">
            <v>288</v>
          </cell>
          <cell r="F9">
            <v>-7.096774193548383E-2</v>
          </cell>
          <cell r="G9">
            <v>-2.0408163265306145E-2</v>
          </cell>
        </row>
        <row r="10">
          <cell r="B10" t="str">
            <v>Neulasta - WW</v>
          </cell>
          <cell r="C10">
            <v>501</v>
          </cell>
          <cell r="D10">
            <v>640</v>
          </cell>
          <cell r="E10">
            <v>608</v>
          </cell>
          <cell r="F10">
            <v>-5.0000000000000044E-2</v>
          </cell>
          <cell r="G10">
            <v>0.21357285429141726</v>
          </cell>
          <cell r="H10" t="str">
            <v xml:space="preserve">Consistent with weak IMS trends for 1Q, as physician inventory drawdowns likely weighed on early quarter results.  Wholesale inventories ended 1Q modestly below trend. </v>
          </cell>
        </row>
        <row r="11">
          <cell r="B11" t="str">
            <v>Enbrel</v>
          </cell>
          <cell r="C11">
            <v>592</v>
          </cell>
          <cell r="D11">
            <v>710</v>
          </cell>
          <cell r="E11">
            <v>658</v>
          </cell>
          <cell r="F11">
            <v>-7.3239436619718323E-2</v>
          </cell>
          <cell r="G11">
            <v>0.1114864864864864</v>
          </cell>
          <cell r="H11" t="str">
            <v>Weakness due to competitive pressures in anti-TNF market with slowing market growth and meaningful share loss</v>
          </cell>
        </row>
        <row r="12">
          <cell r="B12" t="str">
            <v>Sensipar</v>
          </cell>
          <cell r="C12">
            <v>25</v>
          </cell>
          <cell r="D12">
            <v>56</v>
          </cell>
          <cell r="E12">
            <v>61</v>
          </cell>
          <cell r="F12">
            <v>8.9285714285714191E-2</v>
          </cell>
        </row>
        <row r="13">
          <cell r="B13" t="str">
            <v>Other Revenue</v>
          </cell>
          <cell r="C13">
            <v>111</v>
          </cell>
          <cell r="D13">
            <v>110</v>
          </cell>
          <cell r="E13">
            <v>92</v>
          </cell>
          <cell r="F13">
            <v>-0.16363636363636369</v>
          </cell>
          <cell r="G13">
            <v>-0.1711711711711712</v>
          </cell>
        </row>
        <row r="14">
          <cell r="B14" t="str">
            <v>Total Revenues</v>
          </cell>
          <cell r="C14">
            <v>2833</v>
          </cell>
          <cell r="D14">
            <v>3376</v>
          </cell>
          <cell r="E14">
            <v>3217</v>
          </cell>
          <cell r="F14">
            <v>-4.7097156398104301E-2</v>
          </cell>
          <cell r="G14">
            <v>0.13554535827744441</v>
          </cell>
        </row>
        <row r="15">
          <cell r="B15" t="str">
            <v>Operating Expenses:</v>
          </cell>
        </row>
        <row r="16">
          <cell r="B16" t="str">
            <v xml:space="preserve">   Cost of Product Revenue</v>
          </cell>
          <cell r="C16">
            <v>489</v>
          </cell>
          <cell r="D16">
            <v>559.34100000000001</v>
          </cell>
          <cell r="E16">
            <v>552</v>
          </cell>
          <cell r="F16">
            <v>-1.312437314625603E-2</v>
          </cell>
          <cell r="G16">
            <v>0.12883435582822078</v>
          </cell>
        </row>
        <row r="17">
          <cell r="B17" t="str">
            <v xml:space="preserve">   R&amp;D</v>
          </cell>
          <cell r="C17">
            <v>521</v>
          </cell>
          <cell r="D17">
            <v>675</v>
          </cell>
          <cell r="E17">
            <v>624</v>
          </cell>
          <cell r="F17">
            <v>-7.5555555555555598E-2</v>
          </cell>
          <cell r="G17">
            <v>0.19769673704414581</v>
          </cell>
          <cell r="H17" t="str">
            <v>R&amp;D expected to ramp significantly over rest of year</v>
          </cell>
        </row>
        <row r="18">
          <cell r="B18" t="str">
            <v xml:space="preserve">   SG&amp;A</v>
          </cell>
          <cell r="C18">
            <v>577</v>
          </cell>
          <cell r="D18">
            <v>666.76</v>
          </cell>
          <cell r="E18">
            <v>652</v>
          </cell>
          <cell r="F18">
            <v>-2.21369008338832E-2</v>
          </cell>
          <cell r="G18">
            <v>0.12998266897746968</v>
          </cell>
        </row>
        <row r="19">
          <cell r="B19" t="str">
            <v>Total Operating Expenses</v>
          </cell>
          <cell r="C19">
            <v>1587</v>
          </cell>
          <cell r="D19">
            <v>1901.1009999999999</v>
          </cell>
          <cell r="E19">
            <v>1828</v>
          </cell>
          <cell r="F19">
            <v>-3.8451928645558464E-2</v>
          </cell>
          <cell r="G19">
            <v>0.15185885318210457</v>
          </cell>
        </row>
        <row r="20">
          <cell r="B20" t="str">
            <v>Operating Income (Loss)</v>
          </cell>
          <cell r="C20">
            <v>1246</v>
          </cell>
          <cell r="D20">
            <v>1474.8990000000001</v>
          </cell>
          <cell r="E20">
            <v>1389</v>
          </cell>
          <cell r="F20">
            <v>-5.8240598169773006E-2</v>
          </cell>
          <cell r="G20">
            <v>0.1147672552166934</v>
          </cell>
        </row>
        <row r="21">
          <cell r="B21" t="str">
            <v xml:space="preserve">   Net Other Income</v>
          </cell>
          <cell r="C21">
            <v>10</v>
          </cell>
          <cell r="D21">
            <v>-4</v>
          </cell>
          <cell r="E21">
            <v>80</v>
          </cell>
          <cell r="F21">
            <v>-21</v>
          </cell>
          <cell r="G21">
            <v>7</v>
          </cell>
          <cell r="H21" t="str">
            <v>Significant increase to interest income following debt offering</v>
          </cell>
        </row>
        <row r="22">
          <cell r="B22" t="str">
            <v xml:space="preserve">   Tax Rate</v>
          </cell>
          <cell r="C22">
            <v>332</v>
          </cell>
          <cell r="D22">
            <v>353.01576</v>
          </cell>
          <cell r="E22">
            <v>368</v>
          </cell>
          <cell r="F22">
            <v>4.2446376898300553E-2</v>
          </cell>
          <cell r="G22">
            <v>0.10843373493975905</v>
          </cell>
        </row>
        <row r="23">
          <cell r="B23" t="str">
            <v xml:space="preserve">Net Income (Loss)                   </v>
          </cell>
          <cell r="C23">
            <v>924</v>
          </cell>
          <cell r="D23">
            <v>1117.8832400000001</v>
          </cell>
          <cell r="E23">
            <v>1101</v>
          </cell>
          <cell r="F23">
            <v>-1.5102865304609248E-2</v>
          </cell>
          <cell r="G23">
            <v>0.19155844155844148</v>
          </cell>
        </row>
        <row r="24">
          <cell r="B24" t="str">
            <v>EPS, Basic</v>
          </cell>
          <cell r="C24">
            <v>0.73979183346677346</v>
          </cell>
          <cell r="D24">
            <v>0.90958766476810426</v>
          </cell>
          <cell r="E24">
            <v>0.91597337770382692</v>
          </cell>
          <cell r="F24">
            <v>7.0204480371340861E-3</v>
          </cell>
          <cell r="G24">
            <v>0.23815016098709929</v>
          </cell>
        </row>
        <row r="25">
          <cell r="B25" t="str">
            <v>EPS, Diluted</v>
          </cell>
          <cell r="C25">
            <v>0.72024709302325585</v>
          </cell>
          <cell r="D25">
            <v>0.90014741753821415</v>
          </cell>
          <cell r="E25">
            <v>0.90691927512355852</v>
          </cell>
          <cell r="F25">
            <v>7.5230539502790794E-3</v>
          </cell>
          <cell r="G25">
            <v>0.25917797365448769</v>
          </cell>
        </row>
        <row r="26">
          <cell r="B26" t="str">
            <v>Consensus EPS</v>
          </cell>
          <cell r="D26">
            <v>0.88</v>
          </cell>
        </row>
        <row r="27">
          <cell r="B27" t="str">
            <v xml:space="preserve">Basic Shares Outstanding </v>
          </cell>
          <cell r="C27">
            <v>1249</v>
          </cell>
          <cell r="D27">
            <v>1229</v>
          </cell>
          <cell r="E27">
            <v>1202</v>
          </cell>
          <cell r="F27">
            <v>-2.1969080553295384E-2</v>
          </cell>
          <cell r="G27">
            <v>-3.7630104083266613E-2</v>
          </cell>
          <cell r="H27" t="str">
            <v>Company purchased 47 M shares in 1Q</v>
          </cell>
        </row>
        <row r="28">
          <cell r="B28" t="str">
            <v>Diluted Shares Outstanding</v>
          </cell>
          <cell r="C28">
            <v>1290</v>
          </cell>
          <cell r="D28">
            <v>1243</v>
          </cell>
          <cell r="E28">
            <v>1214</v>
          </cell>
          <cell r="F28">
            <v>-2.3330651649235756E-2</v>
          </cell>
          <cell r="G28">
            <v>-5.8914728682170514E-2</v>
          </cell>
        </row>
        <row r="30">
          <cell r="B30" t="str">
            <v>Source: Company data and Morgan Stanley Research</v>
          </cell>
        </row>
      </sheetData>
      <sheetData sheetId="4" refreshError="1">
        <row r="1">
          <cell r="B1" t="str">
            <v>Amgen Quarterly Income Statement</v>
          </cell>
        </row>
        <row r="2">
          <cell r="B2" t="str">
            <v>(Dollars in millions except per-share data)</v>
          </cell>
        </row>
        <row r="4">
          <cell r="C4" t="str">
            <v>1Q02A</v>
          </cell>
          <cell r="D4" t="str">
            <v>2Q02A</v>
          </cell>
          <cell r="E4" t="str">
            <v>3Q02A</v>
          </cell>
          <cell r="F4" t="str">
            <v>4Q02A</v>
          </cell>
          <cell r="G4" t="str">
            <v>2002A</v>
          </cell>
          <cell r="I4" t="str">
            <v>1Q03A</v>
          </cell>
          <cell r="K4" t="str">
            <v>2Q03A</v>
          </cell>
          <cell r="M4" t="str">
            <v>3Q03A</v>
          </cell>
          <cell r="O4" t="str">
            <v>4Q03A</v>
          </cell>
          <cell r="Q4" t="str">
            <v>2003A</v>
          </cell>
          <cell r="T4" t="str">
            <v>1Q04A</v>
          </cell>
          <cell r="U4" t="str">
            <v>% chg</v>
          </cell>
          <cell r="V4" t="str">
            <v>2Q04A</v>
          </cell>
          <cell r="W4" t="str">
            <v>% chg</v>
          </cell>
          <cell r="X4" t="str">
            <v>3Q04A</v>
          </cell>
          <cell r="Y4" t="str">
            <v>% chg</v>
          </cell>
          <cell r="Z4" t="str">
            <v>4Q04A</v>
          </cell>
          <cell r="AA4" t="str">
            <v>% chg</v>
          </cell>
          <cell r="AB4" t="str">
            <v>2004A</v>
          </cell>
          <cell r="AC4" t="str">
            <v>% chg</v>
          </cell>
          <cell r="AF4" t="str">
            <v>1Q05A</v>
          </cell>
          <cell r="AG4" t="str">
            <v>% chg</v>
          </cell>
          <cell r="AH4" t="str">
            <v>2Q05A</v>
          </cell>
          <cell r="AI4" t="str">
            <v>% chg</v>
          </cell>
          <cell r="AJ4" t="str">
            <v>3Q05A</v>
          </cell>
          <cell r="AK4" t="str">
            <v>% chg</v>
          </cell>
          <cell r="AL4" t="str">
            <v>4Q05A</v>
          </cell>
          <cell r="AM4" t="str">
            <v>% chg</v>
          </cell>
          <cell r="AN4" t="str">
            <v>2005A</v>
          </cell>
          <cell r="AO4" t="str">
            <v>% chg</v>
          </cell>
          <cell r="AR4" t="str">
            <v>1Q06A</v>
          </cell>
          <cell r="AS4" t="str">
            <v>% chg</v>
          </cell>
          <cell r="AT4" t="str">
            <v>2Q06E</v>
          </cell>
          <cell r="AU4" t="str">
            <v>% chg</v>
          </cell>
          <cell r="AV4" t="str">
            <v>3Q06E</v>
          </cell>
          <cell r="AW4" t="str">
            <v>% chg</v>
          </cell>
          <cell r="AX4" t="str">
            <v>4Q06E</v>
          </cell>
          <cell r="AY4" t="str">
            <v>% chg</v>
          </cell>
          <cell r="AZ4" t="str">
            <v>2006E</v>
          </cell>
          <cell r="BA4" t="str">
            <v>% chg</v>
          </cell>
          <cell r="BB4" t="str">
            <v>guidance</v>
          </cell>
        </row>
        <row r="5">
          <cell r="B5" t="str">
            <v>Epogen</v>
          </cell>
          <cell r="C5">
            <v>512</v>
          </cell>
          <cell r="D5">
            <v>570</v>
          </cell>
          <cell r="E5">
            <v>558</v>
          </cell>
          <cell r="F5">
            <v>620</v>
          </cell>
          <cell r="G5">
            <v>2260</v>
          </cell>
          <cell r="I5">
            <v>547.1</v>
          </cell>
          <cell r="K5">
            <v>611.1</v>
          </cell>
          <cell r="M5">
            <v>625.9</v>
          </cell>
          <cell r="O5">
            <v>650.59999999999991</v>
          </cell>
          <cell r="Q5">
            <v>2434.6999999999998</v>
          </cell>
          <cell r="T5">
            <v>590</v>
          </cell>
          <cell r="U5">
            <v>7.8413452750868196E-2</v>
          </cell>
          <cell r="V5">
            <v>632.6</v>
          </cell>
          <cell r="W5">
            <v>3.5182457862870331E-2</v>
          </cell>
          <cell r="X5">
            <v>681</v>
          </cell>
          <cell r="Y5">
            <v>8.8033232145710238E-2</v>
          </cell>
          <cell r="Z5">
            <v>697</v>
          </cell>
          <cell r="AA5">
            <v>7.1318782662158187E-2</v>
          </cell>
          <cell r="AB5">
            <v>2600.6</v>
          </cell>
          <cell r="AC5">
            <v>6.8139811886474666E-2</v>
          </cell>
          <cell r="AF5">
            <v>583</v>
          </cell>
          <cell r="AG5">
            <v>-1.1864406779661052E-2</v>
          </cell>
          <cell r="AH5">
            <v>647</v>
          </cell>
          <cell r="AI5">
            <v>2.2763199494151065E-2</v>
          </cell>
          <cell r="AJ5">
            <v>599</v>
          </cell>
          <cell r="AK5">
            <v>-0.1204111600587372</v>
          </cell>
          <cell r="AL5">
            <v>626</v>
          </cell>
          <cell r="AM5">
            <v>-0.10186513629842175</v>
          </cell>
          <cell r="AN5">
            <v>2455</v>
          </cell>
          <cell r="AO5">
            <v>-5.598707990463736E-2</v>
          </cell>
          <cell r="AR5">
            <v>604</v>
          </cell>
          <cell r="AS5">
            <v>3.6020583190394584E-2</v>
          </cell>
          <cell r="AT5">
            <v>630</v>
          </cell>
          <cell r="AU5">
            <v>-2.6275115919629055E-2</v>
          </cell>
          <cell r="AV5">
            <v>640</v>
          </cell>
          <cell r="AW5">
            <v>6.8447412353923154E-2</v>
          </cell>
          <cell r="AX5">
            <v>640</v>
          </cell>
          <cell r="AY5">
            <v>2.2364217252396124E-2</v>
          </cell>
          <cell r="AZ5">
            <v>2514</v>
          </cell>
          <cell r="BA5">
            <v>2.4032586558044855E-2</v>
          </cell>
        </row>
        <row r="6">
          <cell r="B6" t="str">
            <v xml:space="preserve">Aranesp - US </v>
          </cell>
          <cell r="F6">
            <v>150</v>
          </cell>
          <cell r="I6">
            <v>157.9</v>
          </cell>
          <cell r="K6">
            <v>216.6</v>
          </cell>
          <cell r="M6">
            <v>283.89999999999998</v>
          </cell>
          <cell r="O6">
            <v>321.5</v>
          </cell>
          <cell r="Q6">
            <v>979.9</v>
          </cell>
          <cell r="T6">
            <v>329.6</v>
          </cell>
          <cell r="V6">
            <v>380.7</v>
          </cell>
          <cell r="X6">
            <v>374</v>
          </cell>
          <cell r="Z6">
            <v>449</v>
          </cell>
          <cell r="AA6">
            <v>0.39657853810264387</v>
          </cell>
          <cell r="AB6">
            <v>1533.3</v>
          </cell>
          <cell r="AF6">
            <v>447</v>
          </cell>
          <cell r="AG6">
            <v>0.3561893203883495</v>
          </cell>
          <cell r="AH6">
            <v>536</v>
          </cell>
          <cell r="AI6">
            <v>0.40793275545048591</v>
          </cell>
          <cell r="AJ6">
            <v>542</v>
          </cell>
          <cell r="AK6">
            <v>0.44919786096256686</v>
          </cell>
          <cell r="AL6">
            <v>579</v>
          </cell>
          <cell r="AM6">
            <v>0.28953229398663693</v>
          </cell>
          <cell r="AN6">
            <v>2104</v>
          </cell>
          <cell r="AO6">
            <v>0.37220374355964259</v>
          </cell>
          <cell r="AR6">
            <v>596</v>
          </cell>
          <cell r="AS6">
            <v>0.33333333333333326</v>
          </cell>
          <cell r="AT6">
            <v>645</v>
          </cell>
          <cell r="AU6">
            <v>0.20335820895522394</v>
          </cell>
          <cell r="AV6">
            <v>665</v>
          </cell>
          <cell r="AW6">
            <v>0.22693726937269365</v>
          </cell>
          <cell r="AX6">
            <v>690</v>
          </cell>
          <cell r="AY6">
            <v>0.19170984455958551</v>
          </cell>
          <cell r="AZ6">
            <v>2596</v>
          </cell>
          <cell r="BA6">
            <v>0.23384030418250945</v>
          </cell>
        </row>
        <row r="7">
          <cell r="B7" t="str">
            <v>Aranesp - ex US</v>
          </cell>
          <cell r="F7">
            <v>57</v>
          </cell>
          <cell r="I7">
            <v>96.9</v>
          </cell>
          <cell r="K7">
            <v>131.1</v>
          </cell>
          <cell r="M7">
            <v>154.4</v>
          </cell>
          <cell r="O7">
            <v>181.5</v>
          </cell>
          <cell r="Q7">
            <v>563.9</v>
          </cell>
          <cell r="T7">
            <v>213</v>
          </cell>
          <cell r="V7">
            <v>236.6</v>
          </cell>
          <cell r="X7">
            <v>234</v>
          </cell>
          <cell r="Z7">
            <v>256</v>
          </cell>
          <cell r="AA7">
            <v>0.41046831955922869</v>
          </cell>
          <cell r="AB7">
            <v>939.6</v>
          </cell>
          <cell r="AF7">
            <v>276</v>
          </cell>
          <cell r="AG7">
            <v>0.29577464788732399</v>
          </cell>
          <cell r="AH7">
            <v>301</v>
          </cell>
          <cell r="AI7">
            <v>0.27218934911242609</v>
          </cell>
          <cell r="AJ7">
            <v>298</v>
          </cell>
          <cell r="AK7">
            <v>0.27350427350427342</v>
          </cell>
          <cell r="AL7">
            <v>294</v>
          </cell>
          <cell r="AM7">
            <v>0.1484375</v>
          </cell>
          <cell r="AN7">
            <v>1169</v>
          </cell>
          <cell r="AO7">
            <v>0.2441464452958706</v>
          </cell>
          <cell r="AR7">
            <v>297</v>
          </cell>
          <cell r="AS7">
            <v>7.6086956521739024E-2</v>
          </cell>
          <cell r="AT7">
            <v>320</v>
          </cell>
          <cell r="AU7">
            <v>6.3122923588039948E-2</v>
          </cell>
          <cell r="AV7">
            <v>340</v>
          </cell>
          <cell r="AW7">
            <v>0.14093959731543615</v>
          </cell>
          <cell r="AX7">
            <v>360</v>
          </cell>
          <cell r="AY7">
            <v>0.22448979591836737</v>
          </cell>
          <cell r="AZ7">
            <v>1317</v>
          </cell>
          <cell r="BA7">
            <v>0.1266039349871686</v>
          </cell>
        </row>
        <row r="8">
          <cell r="B8" t="str">
            <v>Aranesp-WW</v>
          </cell>
          <cell r="C8">
            <v>39</v>
          </cell>
          <cell r="D8">
            <v>56</v>
          </cell>
          <cell r="E8">
            <v>114</v>
          </cell>
          <cell r="F8">
            <v>207</v>
          </cell>
          <cell r="G8">
            <v>416</v>
          </cell>
          <cell r="I8">
            <v>254.8</v>
          </cell>
          <cell r="K8">
            <v>347.7</v>
          </cell>
          <cell r="M8">
            <v>438.29999999999995</v>
          </cell>
          <cell r="O8">
            <v>503</v>
          </cell>
          <cell r="Q8">
            <v>1543.8</v>
          </cell>
          <cell r="T8">
            <v>542.6</v>
          </cell>
          <cell r="U8">
            <v>1.1295133437990579</v>
          </cell>
          <cell r="V8">
            <v>617.29999999999995</v>
          </cell>
          <cell r="W8">
            <v>0.77538107563991931</v>
          </cell>
          <cell r="X8">
            <v>608</v>
          </cell>
          <cell r="Y8">
            <v>0.38717773214693141</v>
          </cell>
          <cell r="Z8">
            <v>705</v>
          </cell>
          <cell r="AA8">
            <v>0.40159045725646125</v>
          </cell>
          <cell r="AB8">
            <v>2472.9</v>
          </cell>
          <cell r="AC8">
            <v>0.60182666148464836</v>
          </cell>
          <cell r="AF8">
            <v>723</v>
          </cell>
          <cell r="AG8">
            <v>0.33247327681533356</v>
          </cell>
          <cell r="AH8">
            <v>837</v>
          </cell>
          <cell r="AI8">
            <v>0.35590474647659165</v>
          </cell>
          <cell r="AJ8">
            <v>840</v>
          </cell>
          <cell r="AK8">
            <v>0.38157894736842102</v>
          </cell>
          <cell r="AL8">
            <v>873</v>
          </cell>
          <cell r="AM8">
            <v>0.23829787234042543</v>
          </cell>
          <cell r="AN8">
            <v>3273</v>
          </cell>
          <cell r="AO8">
            <v>0.32354725221399971</v>
          </cell>
          <cell r="AR8">
            <v>893</v>
          </cell>
          <cell r="AS8">
            <v>0.23513139695712315</v>
          </cell>
          <cell r="AT8">
            <v>965</v>
          </cell>
          <cell r="AU8">
            <v>0.15292712066905612</v>
          </cell>
          <cell r="AV8">
            <v>1005</v>
          </cell>
          <cell r="AW8">
            <v>0.1964285714285714</v>
          </cell>
          <cell r="AX8">
            <v>1050</v>
          </cell>
          <cell r="AY8">
            <v>0.20274914089347074</v>
          </cell>
          <cell r="AZ8">
            <v>3913</v>
          </cell>
          <cell r="BA8">
            <v>0.19553926061717086</v>
          </cell>
        </row>
        <row r="9">
          <cell r="B9" t="str">
            <v xml:space="preserve">    Neupogen - US</v>
          </cell>
          <cell r="M9">
            <v>227.9</v>
          </cell>
          <cell r="O9">
            <v>225.3</v>
          </cell>
          <cell r="Q9">
            <v>880.5</v>
          </cell>
          <cell r="T9">
            <v>172.3</v>
          </cell>
          <cell r="V9">
            <v>194.5</v>
          </cell>
          <cell r="X9">
            <v>207</v>
          </cell>
          <cell r="Y9">
            <v>-9.1706888986397561E-2</v>
          </cell>
          <cell r="Z9">
            <v>204</v>
          </cell>
          <cell r="AA9">
            <v>-9.4540612516644473E-2</v>
          </cell>
          <cell r="AB9">
            <v>777.8</v>
          </cell>
          <cell r="AC9">
            <v>-0.11663827370812041</v>
          </cell>
          <cell r="AF9">
            <v>182</v>
          </cell>
          <cell r="AG9">
            <v>5.6297156123041203E-2</v>
          </cell>
          <cell r="AH9">
            <v>208</v>
          </cell>
          <cell r="AI9">
            <v>6.9408740359897081E-2</v>
          </cell>
          <cell r="AJ9">
            <v>205</v>
          </cell>
          <cell r="AK9">
            <v>-9.6618357487923134E-3</v>
          </cell>
          <cell r="AL9">
            <v>210</v>
          </cell>
          <cell r="AM9">
            <v>2.9411764705882248E-2</v>
          </cell>
          <cell r="AN9">
            <v>805</v>
          </cell>
          <cell r="AO9">
            <v>3.4970429416302462E-2</v>
          </cell>
          <cell r="AR9">
            <v>191</v>
          </cell>
          <cell r="AS9">
            <v>4.9450549450549497E-2</v>
          </cell>
          <cell r="AT9">
            <v>201</v>
          </cell>
          <cell r="AV9">
            <v>210</v>
          </cell>
          <cell r="AX9">
            <v>206.99999999999997</v>
          </cell>
          <cell r="AZ9">
            <v>809</v>
          </cell>
        </row>
        <row r="10">
          <cell r="B10" t="str">
            <v xml:space="preserve">    Neupogen - ex US</v>
          </cell>
          <cell r="M10">
            <v>102.5</v>
          </cell>
          <cell r="O10">
            <v>96.2</v>
          </cell>
          <cell r="Q10">
            <v>386.2</v>
          </cell>
          <cell r="T10">
            <v>96.7</v>
          </cell>
          <cell r="V10">
            <v>100.7</v>
          </cell>
          <cell r="X10">
            <v>95</v>
          </cell>
          <cell r="Y10">
            <v>-7.3170731707317027E-2</v>
          </cell>
          <cell r="Z10">
            <v>105</v>
          </cell>
          <cell r="AA10">
            <v>9.1476091476091481E-2</v>
          </cell>
          <cell r="AB10">
            <v>397.4</v>
          </cell>
          <cell r="AC10">
            <v>2.9000517866390352E-2</v>
          </cell>
          <cell r="AF10">
            <v>112</v>
          </cell>
          <cell r="AG10">
            <v>0.15822130299896586</v>
          </cell>
          <cell r="AH10">
            <v>104</v>
          </cell>
          <cell r="AI10">
            <v>3.2770605759682159E-2</v>
          </cell>
          <cell r="AJ10">
            <v>100</v>
          </cell>
          <cell r="AK10">
            <v>5.2631578947368363E-2</v>
          </cell>
          <cell r="AL10">
            <v>95</v>
          </cell>
          <cell r="AM10">
            <v>-9.5238095238095233E-2</v>
          </cell>
          <cell r="AN10">
            <v>411</v>
          </cell>
          <cell r="AO10">
            <v>3.4222445898339338E-2</v>
          </cell>
          <cell r="AR10">
            <v>97</v>
          </cell>
          <cell r="AS10">
            <v>-0.1339285714285714</v>
          </cell>
          <cell r="AT10">
            <v>98.999999999999986</v>
          </cell>
          <cell r="AV10">
            <v>90.000000000000014</v>
          </cell>
          <cell r="AX10">
            <v>93.000000000000014</v>
          </cell>
          <cell r="AZ10">
            <v>379</v>
          </cell>
        </row>
        <row r="11">
          <cell r="B11" t="str">
            <v>Neupogen -WW</v>
          </cell>
          <cell r="C11">
            <v>355</v>
          </cell>
          <cell r="D11">
            <v>363</v>
          </cell>
          <cell r="E11">
            <v>332</v>
          </cell>
          <cell r="F11">
            <v>329</v>
          </cell>
          <cell r="G11">
            <v>1379</v>
          </cell>
          <cell r="I11">
            <v>284</v>
          </cell>
          <cell r="K11">
            <v>330.8</v>
          </cell>
          <cell r="M11">
            <v>330.4</v>
          </cell>
          <cell r="O11">
            <v>321.5</v>
          </cell>
          <cell r="Q11">
            <v>1266.7</v>
          </cell>
          <cell r="T11">
            <v>269</v>
          </cell>
          <cell r="U11">
            <v>-5.2816901408450745E-2</v>
          </cell>
          <cell r="V11">
            <v>295.2</v>
          </cell>
          <cell r="W11">
            <v>-0.10761789600967353</v>
          </cell>
          <cell r="X11">
            <v>302</v>
          </cell>
          <cell r="Y11">
            <v>-8.5956416464890939E-2</v>
          </cell>
          <cell r="Z11">
            <v>309</v>
          </cell>
          <cell r="AA11">
            <v>-3.8880248833592534E-2</v>
          </cell>
          <cell r="AB11">
            <v>1175.1999999999998</v>
          </cell>
          <cell r="AC11">
            <v>-7.2234941185758461E-2</v>
          </cell>
          <cell r="AF11">
            <v>294</v>
          </cell>
          <cell r="AG11">
            <v>9.2936802973977661E-2</v>
          </cell>
          <cell r="AH11">
            <v>312</v>
          </cell>
          <cell r="AI11">
            <v>5.6910569105691033E-2</v>
          </cell>
          <cell r="AJ11">
            <v>305</v>
          </cell>
          <cell r="AK11">
            <v>9.9337748344370258E-3</v>
          </cell>
          <cell r="AL11">
            <v>305</v>
          </cell>
          <cell r="AM11">
            <v>-1.2944983818770184E-2</v>
          </cell>
          <cell r="AN11">
            <v>1216</v>
          </cell>
          <cell r="AO11">
            <v>3.4717494894486167E-2</v>
          </cell>
          <cell r="AR11">
            <v>288</v>
          </cell>
          <cell r="AS11">
            <v>-2.0408163265306145E-2</v>
          </cell>
          <cell r="AT11">
            <v>300</v>
          </cell>
          <cell r="AU11">
            <v>-3.8461538461538436E-2</v>
          </cell>
          <cell r="AV11">
            <v>300</v>
          </cell>
          <cell r="AW11">
            <v>-1.6393442622950838E-2</v>
          </cell>
          <cell r="AX11">
            <v>300</v>
          </cell>
          <cell r="AY11">
            <v>-1.6393442622950838E-2</v>
          </cell>
          <cell r="AZ11">
            <v>1188</v>
          </cell>
          <cell r="BA11">
            <v>-2.3026315789473673E-2</v>
          </cell>
        </row>
        <row r="12">
          <cell r="B12" t="str">
            <v xml:space="preserve">    Neulasta - US</v>
          </cell>
          <cell r="M12">
            <v>304.3</v>
          </cell>
          <cell r="O12">
            <v>328</v>
          </cell>
          <cell r="Q12">
            <v>1175.7</v>
          </cell>
          <cell r="T12">
            <v>336.3</v>
          </cell>
          <cell r="V12">
            <v>362.2</v>
          </cell>
          <cell r="X12">
            <v>384</v>
          </cell>
          <cell r="Y12">
            <v>0.26191258626355562</v>
          </cell>
          <cell r="Z12">
            <v>394</v>
          </cell>
          <cell r="AA12">
            <v>0.20121951219512191</v>
          </cell>
          <cell r="AB12">
            <v>1476.5</v>
          </cell>
          <cell r="AC12">
            <v>0.25584758016500797</v>
          </cell>
          <cell r="AF12">
            <v>416</v>
          </cell>
          <cell r="AG12">
            <v>0.23699078203984536</v>
          </cell>
          <cell r="AH12">
            <v>490</v>
          </cell>
          <cell r="AI12">
            <v>0.35284373274434011</v>
          </cell>
          <cell r="AJ12">
            <v>475</v>
          </cell>
          <cell r="AK12">
            <v>0.23697916666666674</v>
          </cell>
          <cell r="AL12">
            <v>519</v>
          </cell>
          <cell r="AM12">
            <v>0.31725888324873086</v>
          </cell>
          <cell r="AN12">
            <v>1900</v>
          </cell>
          <cell r="AO12">
            <v>0.28682695563833382</v>
          </cell>
          <cell r="AR12">
            <v>497</v>
          </cell>
          <cell r="AS12">
            <v>0.19471153846153855</v>
          </cell>
          <cell r="AT12">
            <v>531.19999999999993</v>
          </cell>
          <cell r="AV12">
            <v>543.59375</v>
          </cell>
          <cell r="AX12">
            <v>572.69999999999993</v>
          </cell>
          <cell r="AZ12">
            <v>2144.4937499999996</v>
          </cell>
        </row>
        <row r="13">
          <cell r="B13" t="str">
            <v xml:space="preserve">    Neulasta - ex US</v>
          </cell>
          <cell r="M13">
            <v>22.6</v>
          </cell>
          <cell r="O13">
            <v>38.700000000000003</v>
          </cell>
          <cell r="Q13">
            <v>79.3</v>
          </cell>
          <cell r="T13">
            <v>58.4</v>
          </cell>
          <cell r="V13">
            <v>63.7</v>
          </cell>
          <cell r="X13">
            <v>66</v>
          </cell>
          <cell r="Y13">
            <v>1.9203539823008846</v>
          </cell>
          <cell r="Z13">
            <v>75</v>
          </cell>
          <cell r="AA13">
            <v>0.9379844961240309</v>
          </cell>
          <cell r="AB13">
            <v>263.10000000000002</v>
          </cell>
          <cell r="AC13">
            <v>2.3177805800756626</v>
          </cell>
          <cell r="AF13">
            <v>85</v>
          </cell>
          <cell r="AG13">
            <v>0.45547945205479445</v>
          </cell>
          <cell r="AH13">
            <v>97</v>
          </cell>
          <cell r="AI13">
            <v>0.52276295133437989</v>
          </cell>
          <cell r="AJ13">
            <v>102</v>
          </cell>
          <cell r="AK13">
            <v>0.54545454545454541</v>
          </cell>
          <cell r="AL13">
            <v>104</v>
          </cell>
          <cell r="AM13">
            <v>0.38666666666666671</v>
          </cell>
          <cell r="AN13">
            <v>388</v>
          </cell>
          <cell r="AO13">
            <v>0.47472443937666275</v>
          </cell>
          <cell r="AR13">
            <v>111</v>
          </cell>
          <cell r="AS13">
            <v>0.30588235294117649</v>
          </cell>
          <cell r="AT13">
            <v>108.80000000000003</v>
          </cell>
          <cell r="AV13">
            <v>121.40624999999999</v>
          </cell>
          <cell r="AX13">
            <v>117.30000000000003</v>
          </cell>
          <cell r="AZ13">
            <v>458.50625000000002</v>
          </cell>
        </row>
        <row r="14">
          <cell r="B14" t="str">
            <v>Neulasta - WW</v>
          </cell>
          <cell r="C14">
            <v>0</v>
          </cell>
          <cell r="D14">
            <v>110</v>
          </cell>
          <cell r="E14">
            <v>142</v>
          </cell>
          <cell r="F14">
            <v>212</v>
          </cell>
          <cell r="G14">
            <v>464</v>
          </cell>
          <cell r="I14">
            <v>257.89999999999998</v>
          </cell>
          <cell r="K14">
            <v>303.5</v>
          </cell>
          <cell r="M14">
            <v>326.90000000000003</v>
          </cell>
          <cell r="O14">
            <v>366.7</v>
          </cell>
          <cell r="Q14">
            <v>1255</v>
          </cell>
          <cell r="T14">
            <v>394.7</v>
          </cell>
          <cell r="U14">
            <v>0.53043815432338115</v>
          </cell>
          <cell r="V14">
            <v>425.9</v>
          </cell>
          <cell r="W14">
            <v>0.40329489291598009</v>
          </cell>
          <cell r="X14">
            <v>450</v>
          </cell>
          <cell r="Y14">
            <v>0.37656775772407447</v>
          </cell>
          <cell r="Z14">
            <v>469</v>
          </cell>
          <cell r="AA14">
            <v>0.27897463866921202</v>
          </cell>
          <cell r="AB14">
            <v>1739.6</v>
          </cell>
          <cell r="AC14">
            <v>0.38613545816733064</v>
          </cell>
          <cell r="AF14">
            <v>501</v>
          </cell>
          <cell r="AG14">
            <v>0.26931846972384088</v>
          </cell>
          <cell r="AH14">
            <v>587</v>
          </cell>
          <cell r="AI14">
            <v>0.37825780699694778</v>
          </cell>
          <cell r="AJ14">
            <v>577</v>
          </cell>
          <cell r="AK14">
            <v>0.28222222222222215</v>
          </cell>
          <cell r="AL14">
            <v>623</v>
          </cell>
          <cell r="AM14">
            <v>0.32835820895522394</v>
          </cell>
          <cell r="AN14">
            <v>2288</v>
          </cell>
          <cell r="AO14">
            <v>0.31524488388135219</v>
          </cell>
          <cell r="AR14">
            <v>608</v>
          </cell>
          <cell r="AS14">
            <v>0.21357285429141726</v>
          </cell>
          <cell r="AT14">
            <v>640</v>
          </cell>
          <cell r="AU14">
            <v>9.028960817717202E-2</v>
          </cell>
          <cell r="AV14">
            <v>665</v>
          </cell>
          <cell r="AW14">
            <v>0.15251299826689779</v>
          </cell>
          <cell r="AX14">
            <v>690</v>
          </cell>
          <cell r="AY14">
            <v>0.1075441412520064</v>
          </cell>
          <cell r="AZ14">
            <v>2603</v>
          </cell>
          <cell r="BA14">
            <v>0.13767482517482521</v>
          </cell>
        </row>
        <row r="15">
          <cell r="B15" t="str">
            <v>Enbrel</v>
          </cell>
          <cell r="C15">
            <v>0</v>
          </cell>
          <cell r="D15">
            <v>0</v>
          </cell>
          <cell r="E15">
            <v>158</v>
          </cell>
          <cell r="F15">
            <v>204</v>
          </cell>
          <cell r="G15">
            <v>362</v>
          </cell>
          <cell r="I15">
            <v>274</v>
          </cell>
          <cell r="K15">
            <v>304</v>
          </cell>
          <cell r="M15">
            <v>341.6</v>
          </cell>
          <cell r="O15">
            <v>380.4</v>
          </cell>
          <cell r="Q15">
            <v>1300</v>
          </cell>
          <cell r="T15">
            <v>397.3</v>
          </cell>
          <cell r="U15">
            <v>0.44999999999999996</v>
          </cell>
          <cell r="V15">
            <v>440</v>
          </cell>
          <cell r="W15">
            <v>0.44736842105263164</v>
          </cell>
          <cell r="X15">
            <v>496</v>
          </cell>
          <cell r="Y15">
            <v>0.45199063231850101</v>
          </cell>
          <cell r="Z15">
            <v>567</v>
          </cell>
          <cell r="AA15">
            <v>0.49053627760252372</v>
          </cell>
          <cell r="AB15">
            <v>1900.3</v>
          </cell>
          <cell r="AC15">
            <v>0.46176923076923071</v>
          </cell>
          <cell r="AF15">
            <v>592</v>
          </cell>
          <cell r="AG15">
            <v>0.49005789076264783</v>
          </cell>
          <cell r="AH15">
            <v>639</v>
          </cell>
          <cell r="AI15">
            <v>0.45227272727272738</v>
          </cell>
          <cell r="AJ15">
            <v>668</v>
          </cell>
          <cell r="AK15">
            <v>0.34677419354838701</v>
          </cell>
          <cell r="AL15">
            <v>674</v>
          </cell>
          <cell r="AM15">
            <v>0.18871252204585542</v>
          </cell>
          <cell r="AN15">
            <v>2573</v>
          </cell>
          <cell r="AO15">
            <v>0.35399673735725945</v>
          </cell>
          <cell r="AR15">
            <v>658</v>
          </cell>
          <cell r="AS15">
            <v>0.1114864864864864</v>
          </cell>
          <cell r="AT15">
            <v>680</v>
          </cell>
          <cell r="AU15">
            <v>6.4162754303599412E-2</v>
          </cell>
          <cell r="AV15">
            <v>715</v>
          </cell>
          <cell r="AW15">
            <v>7.0359281437125665E-2</v>
          </cell>
          <cell r="AX15">
            <v>740</v>
          </cell>
          <cell r="AY15">
            <v>9.7922848664688367E-2</v>
          </cell>
          <cell r="AZ15">
            <v>2793</v>
          </cell>
          <cell r="BA15">
            <v>8.5503303536727637E-2</v>
          </cell>
        </row>
        <row r="16">
          <cell r="B16" t="str">
            <v>Sensipar</v>
          </cell>
          <cell r="I16">
            <v>0</v>
          </cell>
          <cell r="K16">
            <v>0</v>
          </cell>
          <cell r="M16">
            <v>0</v>
          </cell>
          <cell r="O16">
            <v>0</v>
          </cell>
          <cell r="Q16">
            <v>0</v>
          </cell>
          <cell r="T16">
            <v>0</v>
          </cell>
          <cell r="V16">
            <v>7</v>
          </cell>
          <cell r="X16">
            <v>10</v>
          </cell>
          <cell r="Z16">
            <v>18</v>
          </cell>
          <cell r="AB16">
            <v>35</v>
          </cell>
          <cell r="AF16">
            <v>25</v>
          </cell>
          <cell r="AH16">
            <v>35</v>
          </cell>
          <cell r="AI16">
            <v>4</v>
          </cell>
          <cell r="AJ16">
            <v>40</v>
          </cell>
          <cell r="AK16">
            <v>3</v>
          </cell>
          <cell r="AL16">
            <v>51</v>
          </cell>
          <cell r="AM16">
            <v>1.8333333333333335</v>
          </cell>
          <cell r="AN16">
            <v>151</v>
          </cell>
          <cell r="AO16">
            <v>3.3142857142857141</v>
          </cell>
          <cell r="AR16">
            <v>61</v>
          </cell>
          <cell r="AS16">
            <v>1.44</v>
          </cell>
          <cell r="AT16">
            <v>65</v>
          </cell>
          <cell r="AU16">
            <v>0.85714285714285721</v>
          </cell>
          <cell r="AV16">
            <v>73</v>
          </cell>
          <cell r="AW16">
            <v>0.82499999999999996</v>
          </cell>
          <cell r="AX16">
            <v>84</v>
          </cell>
          <cell r="AY16">
            <v>0.64705882352941169</v>
          </cell>
          <cell r="AZ16">
            <v>283</v>
          </cell>
          <cell r="BA16">
            <v>0.8741721854304636</v>
          </cell>
        </row>
        <row r="17">
          <cell r="B17" t="str">
            <v>Panitumumab</v>
          </cell>
          <cell r="AX17">
            <v>35</v>
          </cell>
          <cell r="AZ17">
            <v>35</v>
          </cell>
        </row>
        <row r="18">
          <cell r="B18" t="str">
            <v>Palifermin</v>
          </cell>
          <cell r="AF18">
            <v>4</v>
          </cell>
          <cell r="AH18">
            <v>7</v>
          </cell>
          <cell r="AJ18">
            <v>8</v>
          </cell>
          <cell r="AL18">
            <v>13</v>
          </cell>
          <cell r="AN18">
            <v>32</v>
          </cell>
          <cell r="AR18">
            <v>13</v>
          </cell>
          <cell r="AT18">
            <v>18</v>
          </cell>
          <cell r="AU18">
            <v>1.5714285714285716</v>
          </cell>
          <cell r="AV18">
            <v>20</v>
          </cell>
          <cell r="AW18">
            <v>1.5</v>
          </cell>
          <cell r="AX18">
            <v>22</v>
          </cell>
          <cell r="AY18">
            <v>0.69230769230769229</v>
          </cell>
          <cell r="AZ18">
            <v>73</v>
          </cell>
        </row>
        <row r="19">
          <cell r="B19" t="str">
            <v xml:space="preserve">Other </v>
          </cell>
          <cell r="C19">
            <v>2.6</v>
          </cell>
          <cell r="D19">
            <v>16.2</v>
          </cell>
          <cell r="E19">
            <v>41.8</v>
          </cell>
          <cell r="F19">
            <v>49.6</v>
          </cell>
          <cell r="G19">
            <v>110.19999999999999</v>
          </cell>
          <cell r="I19">
            <v>18.100000000000001</v>
          </cell>
          <cell r="K19">
            <v>19.399999999999999</v>
          </cell>
          <cell r="M19">
            <v>15</v>
          </cell>
          <cell r="O19">
            <v>15.5</v>
          </cell>
          <cell r="Q19">
            <v>68</v>
          </cell>
          <cell r="T19">
            <v>14.2</v>
          </cell>
          <cell r="U19">
            <v>-0.21546961325966862</v>
          </cell>
          <cell r="V19">
            <v>13</v>
          </cell>
          <cell r="W19">
            <v>-0.32989690721649478</v>
          </cell>
          <cell r="X19">
            <v>13</v>
          </cell>
          <cell r="Y19">
            <v>-0.1333333333333333</v>
          </cell>
          <cell r="Z19">
            <v>13</v>
          </cell>
          <cell r="AA19">
            <v>-0.16129032258064513</v>
          </cell>
          <cell r="AB19">
            <v>53.2</v>
          </cell>
          <cell r="AC19">
            <v>-0.21764705882352942</v>
          </cell>
          <cell r="AF19">
            <v>13</v>
          </cell>
          <cell r="AG19">
            <v>-8.4507042253521125E-2</v>
          </cell>
          <cell r="AH19">
            <v>8</v>
          </cell>
          <cell r="AI19">
            <v>-0.38461538461538458</v>
          </cell>
          <cell r="AJ19">
            <v>12</v>
          </cell>
          <cell r="AK19">
            <v>-7.6923076923076872E-2</v>
          </cell>
          <cell r="AL19">
            <v>3</v>
          </cell>
          <cell r="AM19">
            <v>-0.76923076923076916</v>
          </cell>
          <cell r="AN19">
            <v>34</v>
          </cell>
          <cell r="AO19">
            <v>-0.36090225563909772</v>
          </cell>
          <cell r="AR19">
            <v>2</v>
          </cell>
          <cell r="AS19">
            <v>-0.84615384615384615</v>
          </cell>
          <cell r="AT19">
            <v>5</v>
          </cell>
          <cell r="AU19">
            <v>-0.375</v>
          </cell>
          <cell r="AV19">
            <v>5</v>
          </cell>
          <cell r="AW19">
            <v>-0.58333333333333326</v>
          </cell>
          <cell r="AX19">
            <v>5</v>
          </cell>
          <cell r="AY19">
            <v>0.66666666666666674</v>
          </cell>
          <cell r="AZ19">
            <v>17</v>
          </cell>
          <cell r="BA19">
            <v>-0.5</v>
          </cell>
        </row>
        <row r="20">
          <cell r="B20" t="str">
            <v>Total Product Sales</v>
          </cell>
          <cell r="C20">
            <v>908.6</v>
          </cell>
          <cell r="D20">
            <v>1115.2</v>
          </cell>
          <cell r="E20">
            <v>1345.8</v>
          </cell>
          <cell r="F20">
            <v>1621.6</v>
          </cell>
          <cell r="G20">
            <v>4991.2</v>
          </cell>
          <cell r="I20">
            <v>1635.8999999999996</v>
          </cell>
          <cell r="K20">
            <v>1916.5</v>
          </cell>
          <cell r="M20">
            <v>2078.1000000000004</v>
          </cell>
          <cell r="O20">
            <v>2237.6999999999998</v>
          </cell>
          <cell r="Q20">
            <v>7868.2</v>
          </cell>
          <cell r="T20">
            <v>2207.8000000000002</v>
          </cell>
          <cell r="U20">
            <v>0.34959349593495981</v>
          </cell>
          <cell r="V20">
            <v>2431</v>
          </cell>
          <cell r="W20">
            <v>0.26845812679363412</v>
          </cell>
          <cell r="X20">
            <v>2560</v>
          </cell>
          <cell r="Y20">
            <v>0.23189451903180758</v>
          </cell>
          <cell r="Z20">
            <v>2778</v>
          </cell>
          <cell r="AA20">
            <v>0.24145327791929216</v>
          </cell>
          <cell r="AB20">
            <v>9976.7999999999993</v>
          </cell>
          <cell r="AC20">
            <v>0.26799013751556888</v>
          </cell>
          <cell r="AF20">
            <v>2735</v>
          </cell>
          <cell r="AG20">
            <v>0.23878974544795706</v>
          </cell>
          <cell r="AH20">
            <v>3072</v>
          </cell>
          <cell r="AI20">
            <v>0.26367749897161663</v>
          </cell>
          <cell r="AJ20">
            <v>3049</v>
          </cell>
          <cell r="AK20">
            <v>0.19101562499999991</v>
          </cell>
          <cell r="AL20">
            <v>3168</v>
          </cell>
          <cell r="AM20">
            <v>0.14038876889848817</v>
          </cell>
          <cell r="AN20">
            <v>12022</v>
          </cell>
          <cell r="AO20">
            <v>0.20499558976826249</v>
          </cell>
          <cell r="AR20">
            <v>3127</v>
          </cell>
          <cell r="AS20">
            <v>0.1433272394881171</v>
          </cell>
          <cell r="AT20">
            <v>3303</v>
          </cell>
          <cell r="AU20">
            <v>7.51953125E-2</v>
          </cell>
          <cell r="AV20">
            <v>3423</v>
          </cell>
          <cell r="AW20">
            <v>0.12266316825188595</v>
          </cell>
          <cell r="AX20">
            <v>3566</v>
          </cell>
          <cell r="AY20">
            <v>0.12563131313131315</v>
          </cell>
          <cell r="AZ20">
            <v>13419</v>
          </cell>
          <cell r="BA20">
            <v>0.11620362668441198</v>
          </cell>
        </row>
        <row r="21">
          <cell r="B21" t="str">
            <v>Corporate Partner Rev.</v>
          </cell>
          <cell r="C21">
            <v>31.5</v>
          </cell>
          <cell r="D21">
            <v>53.9</v>
          </cell>
          <cell r="E21">
            <v>62.8</v>
          </cell>
          <cell r="F21">
            <v>52.1</v>
          </cell>
          <cell r="G21">
            <v>200.3</v>
          </cell>
          <cell r="I21">
            <v>33.9</v>
          </cell>
          <cell r="K21">
            <v>32.700000000000003</v>
          </cell>
          <cell r="M21">
            <v>28.8</v>
          </cell>
          <cell r="O21">
            <v>9.3000000000000007</v>
          </cell>
          <cell r="Q21">
            <v>104.69999999999999</v>
          </cell>
          <cell r="T21">
            <v>35</v>
          </cell>
          <cell r="U21">
            <v>3.2448377581121068E-2</v>
          </cell>
          <cell r="V21">
            <v>43.9</v>
          </cell>
          <cell r="W21">
            <v>0.34250764525993871</v>
          </cell>
          <cell r="X21">
            <v>38</v>
          </cell>
          <cell r="Y21">
            <v>0.31944444444444442</v>
          </cell>
          <cell r="Z21">
            <v>21</v>
          </cell>
          <cell r="AA21">
            <v>1.258064516129032</v>
          </cell>
          <cell r="AB21">
            <v>137.9</v>
          </cell>
          <cell r="AC21">
            <v>0.31709646609360087</v>
          </cell>
          <cell r="AF21">
            <v>0</v>
          </cell>
          <cell r="AG21">
            <v>-1</v>
          </cell>
          <cell r="AH21">
            <v>0</v>
          </cell>
          <cell r="AI21">
            <v>-1</v>
          </cell>
          <cell r="AK21">
            <v>-1</v>
          </cell>
          <cell r="AM21">
            <v>-1</v>
          </cell>
          <cell r="AN21">
            <v>0</v>
          </cell>
          <cell r="AO21">
            <v>-1</v>
          </cell>
          <cell r="AR21">
            <v>0</v>
          </cell>
          <cell r="AS21" t="e">
            <v>#DIV/0!</v>
          </cell>
          <cell r="AT21">
            <v>0</v>
          </cell>
          <cell r="AU21" t="e">
            <v>#DIV/0!</v>
          </cell>
          <cell r="AW21" t="e">
            <v>#DIV/0!</v>
          </cell>
          <cell r="AY21" t="e">
            <v>#DIV/0!</v>
          </cell>
          <cell r="AZ21">
            <v>0</v>
          </cell>
          <cell r="BA21" t="e">
            <v>#DIV/0!</v>
          </cell>
        </row>
        <row r="22">
          <cell r="B22" t="str">
            <v>Royalties/Corporate Partner</v>
          </cell>
          <cell r="C22">
            <v>68.400000000000006</v>
          </cell>
          <cell r="D22">
            <v>80</v>
          </cell>
          <cell r="E22">
            <v>90.7</v>
          </cell>
          <cell r="F22">
            <v>92.4</v>
          </cell>
          <cell r="G22">
            <v>331.5</v>
          </cell>
          <cell r="I22">
            <v>91.4</v>
          </cell>
          <cell r="K22">
            <v>91.9</v>
          </cell>
          <cell r="M22">
            <v>100.5</v>
          </cell>
          <cell r="O22">
            <v>99.3</v>
          </cell>
          <cell r="Q22">
            <v>383.1</v>
          </cell>
          <cell r="T22">
            <v>100.2</v>
          </cell>
          <cell r="U22">
            <v>9.6280087527352176E-2</v>
          </cell>
          <cell r="V22">
            <v>110</v>
          </cell>
          <cell r="W22">
            <v>0.19695321001088129</v>
          </cell>
          <cell r="X22">
            <v>115</v>
          </cell>
          <cell r="Y22">
            <v>0.14427860696517403</v>
          </cell>
          <cell r="Z22">
            <v>110</v>
          </cell>
          <cell r="AA22">
            <v>0.10775427995971798</v>
          </cell>
          <cell r="AB22">
            <v>435.2</v>
          </cell>
          <cell r="AC22">
            <v>0.13599582354476625</v>
          </cell>
          <cell r="AF22">
            <v>98</v>
          </cell>
          <cell r="AG22">
            <v>-2.1956087824351322E-2</v>
          </cell>
          <cell r="AH22">
            <v>100</v>
          </cell>
          <cell r="AI22">
            <v>-9.0909090909090939E-2</v>
          </cell>
          <cell r="AJ22">
            <v>107</v>
          </cell>
          <cell r="AK22">
            <v>-6.956521739130439E-2</v>
          </cell>
          <cell r="AL22">
            <v>103</v>
          </cell>
          <cell r="AM22">
            <v>-6.3636363636363602E-2</v>
          </cell>
          <cell r="AN22">
            <v>408</v>
          </cell>
          <cell r="AO22">
            <v>-6.25E-2</v>
          </cell>
          <cell r="AR22">
            <v>90</v>
          </cell>
          <cell r="AS22">
            <v>-8.1632653061224469E-2</v>
          </cell>
          <cell r="AT22">
            <v>90</v>
          </cell>
          <cell r="AU22">
            <v>-9.9999999999999978E-2</v>
          </cell>
          <cell r="AV22">
            <v>90</v>
          </cell>
          <cell r="AW22">
            <v>-0.15887850467289721</v>
          </cell>
          <cell r="AX22">
            <v>90</v>
          </cell>
          <cell r="AY22">
            <v>-0.12621359223300976</v>
          </cell>
          <cell r="AZ22">
            <v>360</v>
          </cell>
          <cell r="BA22">
            <v>-0.11764705882352944</v>
          </cell>
        </row>
        <row r="23">
          <cell r="B23" t="str">
            <v>Total Revenues</v>
          </cell>
          <cell r="C23">
            <v>1008.5</v>
          </cell>
          <cell r="D23">
            <v>1249.1000000000001</v>
          </cell>
          <cell r="E23">
            <v>1499.3</v>
          </cell>
          <cell r="F23">
            <v>1766.1</v>
          </cell>
          <cell r="G23">
            <v>5523</v>
          </cell>
          <cell r="I23">
            <v>1761.1999999999998</v>
          </cell>
          <cell r="K23">
            <v>2041.1000000000001</v>
          </cell>
          <cell r="M23">
            <v>2207.4000000000005</v>
          </cell>
          <cell r="O23">
            <v>2346.3000000000002</v>
          </cell>
          <cell r="Q23">
            <v>8356</v>
          </cell>
          <cell r="T23">
            <v>2343</v>
          </cell>
          <cell r="U23">
            <v>0.33034294799000685</v>
          </cell>
          <cell r="V23">
            <v>2584.9</v>
          </cell>
          <cell r="W23">
            <v>0.26642496692959683</v>
          </cell>
          <cell r="X23">
            <v>2713</v>
          </cell>
          <cell r="Y23">
            <v>0.22904774848237719</v>
          </cell>
          <cell r="Z23">
            <v>2909</v>
          </cell>
          <cell r="AA23">
            <v>0.23982440438136621</v>
          </cell>
          <cell r="AB23">
            <v>10549.9</v>
          </cell>
          <cell r="AC23">
            <v>0.26255385351842975</v>
          </cell>
          <cell r="AF23">
            <v>2833</v>
          </cell>
          <cell r="AG23">
            <v>8574.9360605018901</v>
          </cell>
          <cell r="AH23">
            <v>3172</v>
          </cell>
          <cell r="AI23">
            <v>0.22712677473016352</v>
          </cell>
          <cell r="AJ23">
            <v>3156</v>
          </cell>
          <cell r="AK23">
            <v>0.16328787320309623</v>
          </cell>
          <cell r="AL23">
            <v>3271</v>
          </cell>
          <cell r="AM23">
            <v>0.12444138879339972</v>
          </cell>
          <cell r="AN23">
            <v>12430</v>
          </cell>
          <cell r="AO23">
            <v>0.17821022000208542</v>
          </cell>
          <cell r="AR23">
            <v>3217</v>
          </cell>
          <cell r="AS23">
            <v>0.13554535827744441</v>
          </cell>
          <cell r="AT23">
            <v>3393</v>
          </cell>
          <cell r="AU23">
            <v>6.9672131147541005E-2</v>
          </cell>
          <cell r="AV23">
            <v>3513</v>
          </cell>
          <cell r="AW23">
            <v>0.1131178707224334</v>
          </cell>
          <cell r="AX23">
            <v>3656</v>
          </cell>
          <cell r="AY23">
            <v>0.11770100886579038</v>
          </cell>
          <cell r="AZ23">
            <v>13779</v>
          </cell>
          <cell r="BA23">
            <v>0.10852775543041027</v>
          </cell>
        </row>
        <row r="24">
          <cell r="B24" t="str">
            <v>Operating Expenses:</v>
          </cell>
          <cell r="AC24">
            <v>11921.386999999999</v>
          </cell>
        </row>
        <row r="25">
          <cell r="B25" t="str">
            <v xml:space="preserve">   Cost of Sales</v>
          </cell>
          <cell r="C25">
            <v>103.6</v>
          </cell>
          <cell r="D25">
            <v>131.9</v>
          </cell>
          <cell r="E25">
            <v>226.4</v>
          </cell>
          <cell r="F25">
            <v>278.39999999999998</v>
          </cell>
          <cell r="G25">
            <v>740.3</v>
          </cell>
          <cell r="I25">
            <v>283.3</v>
          </cell>
          <cell r="K25">
            <v>329.1</v>
          </cell>
          <cell r="M25">
            <v>340</v>
          </cell>
          <cell r="O25">
            <v>388.3</v>
          </cell>
          <cell r="Q25">
            <v>1340.7</v>
          </cell>
          <cell r="T25">
            <v>371.5</v>
          </cell>
          <cell r="U25">
            <v>0.31133074479350498</v>
          </cell>
          <cell r="V25">
            <v>435</v>
          </cell>
          <cell r="W25">
            <v>0.32178669097538726</v>
          </cell>
          <cell r="X25">
            <v>447</v>
          </cell>
          <cell r="Y25">
            <v>0.31470588235294117</v>
          </cell>
          <cell r="Z25">
            <v>476</v>
          </cell>
          <cell r="AA25">
            <v>0.22585629667782636</v>
          </cell>
          <cell r="AB25">
            <v>1729.5</v>
          </cell>
          <cell r="AC25">
            <v>0.28999776236294461</v>
          </cell>
          <cell r="AF25">
            <v>489</v>
          </cell>
          <cell r="AG25">
            <v>0.31628532974428003</v>
          </cell>
          <cell r="AH25">
            <v>530</v>
          </cell>
          <cell r="AI25">
            <v>0.21839080459770122</v>
          </cell>
          <cell r="AJ25">
            <v>505</v>
          </cell>
          <cell r="AK25">
            <v>0.12975391498881428</v>
          </cell>
          <cell r="AL25">
            <v>511</v>
          </cell>
          <cell r="AM25">
            <v>7.3529411764705843E-2</v>
          </cell>
          <cell r="AN25">
            <v>2035</v>
          </cell>
          <cell r="AO25">
            <v>0.17664064758600762</v>
          </cell>
          <cell r="AR25">
            <v>552</v>
          </cell>
          <cell r="AS25">
            <v>0.12883435582822078</v>
          </cell>
          <cell r="AT25">
            <v>561.51</v>
          </cell>
          <cell r="AU25">
            <v>5.9452830188679195E-2</v>
          </cell>
          <cell r="AV25">
            <v>573.35250000000008</v>
          </cell>
          <cell r="AW25">
            <v>0.13535148514851492</v>
          </cell>
          <cell r="AX25">
            <v>588.39</v>
          </cell>
          <cell r="AY25">
            <v>0.15144814090019576</v>
          </cell>
          <cell r="AZ25">
            <v>2275.2525000000001</v>
          </cell>
          <cell r="BA25">
            <v>0.11806019656019662</v>
          </cell>
        </row>
        <row r="26">
          <cell r="B26" t="str">
            <v xml:space="preserve">   % of Product Revenues</v>
          </cell>
          <cell r="C26">
            <v>0.11402157164869028</v>
          </cell>
          <cell r="D26">
            <v>0.11827474892395982</v>
          </cell>
          <cell r="E26">
            <v>0.16822707683162433</v>
          </cell>
          <cell r="F26">
            <v>0.17168228909718797</v>
          </cell>
          <cell r="G26">
            <v>0.1483210450392691</v>
          </cell>
          <cell r="I26">
            <v>0.17018155143957453</v>
          </cell>
          <cell r="K26">
            <v>0.16916253587268457</v>
          </cell>
          <cell r="M26">
            <v>0.16149367210432608</v>
          </cell>
          <cell r="O26">
            <v>0.17138132904321401</v>
          </cell>
          <cell r="Q26">
            <v>0.1679799700058463</v>
          </cell>
          <cell r="T26">
            <v>0.16826705317510643</v>
          </cell>
          <cell r="V26">
            <v>0.17893870835047307</v>
          </cell>
          <cell r="X26">
            <v>0.17460937500000001</v>
          </cell>
          <cell r="Z26">
            <v>0.17134629229661627</v>
          </cell>
          <cell r="AB26">
            <v>0.17335217705075778</v>
          </cell>
          <cell r="AF26">
            <v>0.17879341864716636</v>
          </cell>
          <cell r="AH26">
            <v>0.17252604166666666</v>
          </cell>
          <cell r="AJ26">
            <v>0.16562807477861594</v>
          </cell>
          <cell r="AL26">
            <v>0.16130050505050506</v>
          </cell>
          <cell r="AN26">
            <v>0.16927299950091498</v>
          </cell>
          <cell r="AR26">
            <v>0.17652702270546849</v>
          </cell>
          <cell r="AT26">
            <v>0.17</v>
          </cell>
          <cell r="AV26">
            <v>0.16750000000000001</v>
          </cell>
          <cell r="AX26">
            <v>0.16500000000000001</v>
          </cell>
          <cell r="AZ26">
            <v>0.16955454951933827</v>
          </cell>
        </row>
        <row r="27">
          <cell r="B27" t="str">
            <v xml:space="preserve">   R&amp;D</v>
          </cell>
          <cell r="C27">
            <v>203.4</v>
          </cell>
          <cell r="D27">
            <v>233.6</v>
          </cell>
          <cell r="E27">
            <v>312.60000000000002</v>
          </cell>
          <cell r="F27">
            <v>367</v>
          </cell>
          <cell r="G27">
            <v>1116.5999999999999</v>
          </cell>
          <cell r="I27">
            <v>351.3</v>
          </cell>
          <cell r="K27">
            <v>393.7</v>
          </cell>
          <cell r="M27">
            <v>407.5</v>
          </cell>
          <cell r="O27">
            <v>502.9</v>
          </cell>
          <cell r="Q27">
            <v>1655.4</v>
          </cell>
          <cell r="T27">
            <v>432.9</v>
          </cell>
          <cell r="U27">
            <v>0.23228010247651576</v>
          </cell>
          <cell r="V27">
            <v>460.4</v>
          </cell>
          <cell r="W27">
            <v>0.16941833883667767</v>
          </cell>
          <cell r="X27">
            <v>495</v>
          </cell>
          <cell r="Y27">
            <v>0.21472392638036819</v>
          </cell>
          <cell r="Z27">
            <v>608</v>
          </cell>
          <cell r="AA27">
            <v>0.20898787035195876</v>
          </cell>
          <cell r="AB27">
            <v>1996.3</v>
          </cell>
          <cell r="AC27">
            <v>0.20593210100277859</v>
          </cell>
          <cell r="AF27">
            <v>521</v>
          </cell>
          <cell r="AG27">
            <v>0.20351120351120366</v>
          </cell>
          <cell r="AH27">
            <v>564</v>
          </cell>
          <cell r="AI27">
            <v>0.22502172024326672</v>
          </cell>
          <cell r="AJ27">
            <v>559</v>
          </cell>
          <cell r="AK27">
            <v>0.12929292929292924</v>
          </cell>
          <cell r="AL27">
            <v>658</v>
          </cell>
          <cell r="AM27">
            <v>8.2236842105263053E-2</v>
          </cell>
          <cell r="AN27">
            <v>2302</v>
          </cell>
          <cell r="AO27">
            <v>0.15313329659870756</v>
          </cell>
          <cell r="AR27">
            <v>624</v>
          </cell>
          <cell r="AS27">
            <v>0.19769673704414581</v>
          </cell>
          <cell r="AT27">
            <v>725</v>
          </cell>
          <cell r="AU27">
            <v>0.28546099290780136</v>
          </cell>
          <cell r="AV27">
            <v>785</v>
          </cell>
          <cell r="AW27">
            <v>0.40429338103756707</v>
          </cell>
          <cell r="AX27">
            <v>875</v>
          </cell>
          <cell r="AY27">
            <v>0.32978723404255317</v>
          </cell>
          <cell r="AZ27">
            <v>3009</v>
          </cell>
          <cell r="BA27">
            <v>0.30712423979148573</v>
          </cell>
        </row>
        <row r="28">
          <cell r="B28" t="str">
            <v xml:space="preserve">   % of Total Revenues</v>
          </cell>
          <cell r="G28">
            <v>0.20217273221075502</v>
          </cell>
          <cell r="Q28">
            <v>0.19810914313068456</v>
          </cell>
          <cell r="T28">
            <v>0.18476312419974392</v>
          </cell>
          <cell r="V28">
            <v>0.17811133892993924</v>
          </cell>
          <cell r="X28">
            <v>0.18245484703280501</v>
          </cell>
          <cell r="Z28">
            <v>0.20900653145410794</v>
          </cell>
          <cell r="AB28">
            <v>0.18922454241272429</v>
          </cell>
          <cell r="AF28">
            <v>0.18390398870455349</v>
          </cell>
          <cell r="AH28">
            <v>0.17780580075662042</v>
          </cell>
          <cell r="AJ28">
            <v>0.17712294043092522</v>
          </cell>
          <cell r="AL28">
            <v>0.20116172424335066</v>
          </cell>
          <cell r="AN28">
            <v>0.18519710378117457</v>
          </cell>
          <cell r="AR28">
            <v>0.19396953683556109</v>
          </cell>
          <cell r="AT28">
            <v>0.21367521367521367</v>
          </cell>
          <cell r="AV28">
            <v>0.22345573583831482</v>
          </cell>
          <cell r="AX28">
            <v>0.23933260393873085</v>
          </cell>
          <cell r="AZ28">
            <v>0.21837578924450252</v>
          </cell>
        </row>
        <row r="29">
          <cell r="B29" t="str">
            <v xml:space="preserve">   SG&amp;A</v>
          </cell>
          <cell r="C29">
            <v>245.8</v>
          </cell>
          <cell r="D29">
            <v>320.5</v>
          </cell>
          <cell r="E29">
            <v>394.9</v>
          </cell>
          <cell r="F29">
            <v>500.9</v>
          </cell>
          <cell r="G29">
            <v>1462.1</v>
          </cell>
          <cell r="I29">
            <v>390.1</v>
          </cell>
          <cell r="K29">
            <v>453.5</v>
          </cell>
          <cell r="M29">
            <v>483</v>
          </cell>
          <cell r="O29">
            <v>626</v>
          </cell>
          <cell r="Q29">
            <v>1952.6</v>
          </cell>
          <cell r="T29">
            <v>512.4</v>
          </cell>
          <cell r="U29">
            <v>0.31350935657523693</v>
          </cell>
          <cell r="V29">
            <v>586.70000000000005</v>
          </cell>
          <cell r="W29">
            <v>0.29371554575523717</v>
          </cell>
          <cell r="X29">
            <v>635</v>
          </cell>
          <cell r="Y29">
            <v>0.31469979296066253</v>
          </cell>
          <cell r="Z29">
            <v>813</v>
          </cell>
          <cell r="AA29">
            <v>0.29872204472843444</v>
          </cell>
          <cell r="AB29">
            <v>2547.1</v>
          </cell>
          <cell r="AC29">
            <v>0.30446584041790437</v>
          </cell>
          <cell r="AF29">
            <v>577</v>
          </cell>
          <cell r="AG29">
            <v>0.12607338017174086</v>
          </cell>
          <cell r="AH29">
            <v>646</v>
          </cell>
          <cell r="AI29">
            <v>0.10107380262485077</v>
          </cell>
          <cell r="AJ29">
            <v>656</v>
          </cell>
          <cell r="AK29">
            <v>3.3070866141732269E-2</v>
          </cell>
          <cell r="AL29">
            <v>913</v>
          </cell>
          <cell r="AM29">
            <v>0.12300123001230023</v>
          </cell>
          <cell r="AN29">
            <v>2792</v>
          </cell>
          <cell r="AO29">
            <v>9.6148561108711839E-2</v>
          </cell>
          <cell r="AR29">
            <v>652</v>
          </cell>
          <cell r="AS29">
            <v>0.12998266897746968</v>
          </cell>
          <cell r="AT29">
            <v>695.56499999999994</v>
          </cell>
          <cell r="AU29">
            <v>7.6726006191950358E-2</v>
          </cell>
          <cell r="AV29">
            <v>772.86</v>
          </cell>
          <cell r="AW29">
            <v>0.1781402439024391</v>
          </cell>
          <cell r="AX29">
            <v>906.68799999999999</v>
          </cell>
          <cell r="AY29">
            <v>-6.9134720700986252E-3</v>
          </cell>
          <cell r="AZ29">
            <v>3027.1130000000003</v>
          </cell>
          <cell r="BA29">
            <v>8.4209527220630465E-2</v>
          </cell>
        </row>
        <row r="30">
          <cell r="B30" t="str">
            <v xml:space="preserve">   % of Total Revenues</v>
          </cell>
          <cell r="G30">
            <v>0.26472931377874342</v>
          </cell>
          <cell r="Q30">
            <v>0.23367640019147917</v>
          </cell>
          <cell r="T30">
            <v>0.21869398207426374</v>
          </cell>
          <cell r="V30">
            <v>0.22697202986575885</v>
          </cell>
          <cell r="X30">
            <v>0.23405823811279028</v>
          </cell>
          <cell r="Z30">
            <v>0.27947748367136471</v>
          </cell>
          <cell r="AB30">
            <v>0.2414335680906928</v>
          </cell>
          <cell r="AF30">
            <v>0.20367102012001412</v>
          </cell>
          <cell r="AH30">
            <v>0.20365699873896595</v>
          </cell>
          <cell r="AJ30">
            <v>0.20785804816223066</v>
          </cell>
          <cell r="AL30">
            <v>0.27911953531030265</v>
          </cell>
          <cell r="AN30">
            <v>0.2246178600160901</v>
          </cell>
          <cell r="AR30">
            <v>0.20267329810382345</v>
          </cell>
          <cell r="AT30">
            <v>0.20499999999999999</v>
          </cell>
          <cell r="AV30">
            <v>0.22</v>
          </cell>
          <cell r="AX30">
            <v>0.248</v>
          </cell>
          <cell r="AZ30">
            <v>0.21969032585819001</v>
          </cell>
        </row>
        <row r="31">
          <cell r="B31" t="str">
            <v xml:space="preserve">   Loss of Affiliates, Net</v>
          </cell>
          <cell r="C31">
            <v>-1.7</v>
          </cell>
          <cell r="D31">
            <v>-1.7</v>
          </cell>
          <cell r="E31">
            <v>-3.4</v>
          </cell>
          <cell r="F31">
            <v>-5.8</v>
          </cell>
          <cell r="G31">
            <v>-12.6</v>
          </cell>
          <cell r="I31">
            <v>-9.6</v>
          </cell>
          <cell r="K31">
            <v>-12.3</v>
          </cell>
          <cell r="M31">
            <v>36.200000000000003</v>
          </cell>
          <cell r="O31">
            <v>-10</v>
          </cell>
          <cell r="Q31">
            <v>4.3000000000000043</v>
          </cell>
          <cell r="T31">
            <v>0</v>
          </cell>
          <cell r="U31">
            <v>-1</v>
          </cell>
          <cell r="V31">
            <v>0</v>
          </cell>
          <cell r="W31">
            <v>-1</v>
          </cell>
          <cell r="X31">
            <v>0</v>
          </cell>
          <cell r="Y31">
            <v>-1</v>
          </cell>
          <cell r="Z31">
            <v>0</v>
          </cell>
          <cell r="AA31">
            <v>-1</v>
          </cell>
          <cell r="AB31">
            <v>0</v>
          </cell>
          <cell r="AC31">
            <v>-1</v>
          </cell>
          <cell r="AF31">
            <v>0</v>
          </cell>
          <cell r="AH31">
            <v>0</v>
          </cell>
          <cell r="AJ31">
            <v>0</v>
          </cell>
          <cell r="AL31">
            <v>0</v>
          </cell>
          <cell r="AN31">
            <v>0</v>
          </cell>
          <cell r="AR31">
            <v>0</v>
          </cell>
          <cell r="AT31">
            <v>0</v>
          </cell>
          <cell r="AV31">
            <v>0</v>
          </cell>
          <cell r="AX31">
            <v>0</v>
          </cell>
          <cell r="AZ31">
            <v>0</v>
          </cell>
        </row>
        <row r="32">
          <cell r="B32" t="str">
            <v xml:space="preserve">   Other </v>
          </cell>
          <cell r="C32">
            <v>0</v>
          </cell>
          <cell r="D32">
            <v>0</v>
          </cell>
          <cell r="E32">
            <v>-35.5</v>
          </cell>
          <cell r="F32">
            <v>0</v>
          </cell>
          <cell r="G32">
            <v>0</v>
          </cell>
          <cell r="K32">
            <v>-24</v>
          </cell>
          <cell r="Q32">
            <v>-24</v>
          </cell>
          <cell r="T32">
            <v>0</v>
          </cell>
          <cell r="V32">
            <v>0</v>
          </cell>
          <cell r="X32">
            <v>0</v>
          </cell>
          <cell r="Z32">
            <v>0</v>
          </cell>
          <cell r="AB32">
            <v>0</v>
          </cell>
          <cell r="AF32">
            <v>0</v>
          </cell>
          <cell r="AH32">
            <v>0</v>
          </cell>
          <cell r="AJ32">
            <v>0</v>
          </cell>
          <cell r="AL32">
            <v>0</v>
          </cell>
          <cell r="AN32">
            <v>0</v>
          </cell>
          <cell r="AR32">
            <v>0</v>
          </cell>
          <cell r="AT32">
            <v>0</v>
          </cell>
          <cell r="AV32">
            <v>0</v>
          </cell>
          <cell r="AX32">
            <v>0</v>
          </cell>
          <cell r="AZ32">
            <v>0</v>
          </cell>
        </row>
        <row r="33">
          <cell r="B33" t="str">
            <v xml:space="preserve">   Options Expense</v>
          </cell>
        </row>
        <row r="34">
          <cell r="B34" t="str">
            <v>Total Operating Expenses</v>
          </cell>
          <cell r="C34">
            <v>551.1</v>
          </cell>
          <cell r="D34">
            <v>684.3</v>
          </cell>
          <cell r="E34">
            <v>895</v>
          </cell>
          <cell r="F34">
            <v>1140.5</v>
          </cell>
          <cell r="G34">
            <v>3461.6</v>
          </cell>
          <cell r="I34">
            <v>1015.1</v>
          </cell>
          <cell r="K34">
            <v>1140</v>
          </cell>
          <cell r="M34">
            <v>1266.7</v>
          </cell>
          <cell r="O34">
            <v>1507.2</v>
          </cell>
          <cell r="Q34">
            <v>4929.0000000000009</v>
          </cell>
          <cell r="T34">
            <v>1316.8</v>
          </cell>
          <cell r="U34">
            <v>0.76491086985658807</v>
          </cell>
          <cell r="V34">
            <v>1482.1</v>
          </cell>
          <cell r="W34">
            <v>0.64476750638108937</v>
          </cell>
          <cell r="X34">
            <v>1577</v>
          </cell>
          <cell r="Y34">
            <v>0.67641118316147453</v>
          </cell>
          <cell r="Z34">
            <v>1897</v>
          </cell>
          <cell r="AA34">
            <v>1.2607555714455962</v>
          </cell>
          <cell r="AB34">
            <v>6272.9</v>
          </cell>
          <cell r="AC34">
            <v>0.83043478260869508</v>
          </cell>
          <cell r="AF34">
            <v>1587</v>
          </cell>
          <cell r="AG34">
            <v>0.20519441069258804</v>
          </cell>
          <cell r="AH34">
            <v>1740</v>
          </cell>
          <cell r="AI34">
            <v>0.17400985088725474</v>
          </cell>
          <cell r="AJ34">
            <v>1720</v>
          </cell>
          <cell r="AK34">
            <v>9.0678503487634732E-2</v>
          </cell>
          <cell r="AL34">
            <v>2082</v>
          </cell>
          <cell r="AM34">
            <v>9.7522403795466506E-2</v>
          </cell>
          <cell r="AN34">
            <v>7129</v>
          </cell>
          <cell r="AO34">
            <v>0.13647595211146357</v>
          </cell>
          <cell r="AR34">
            <v>1828</v>
          </cell>
          <cell r="AS34">
            <v>0.15185885318210457</v>
          </cell>
          <cell r="AT34">
            <v>1982.0749999999998</v>
          </cell>
          <cell r="AU34">
            <v>0.1391235632183907</v>
          </cell>
          <cell r="AV34">
            <v>2131.2125000000001</v>
          </cell>
          <cell r="AW34">
            <v>0.23907703488372101</v>
          </cell>
          <cell r="AX34">
            <v>2370.078</v>
          </cell>
          <cell r="AY34">
            <v>0.13836599423631113</v>
          </cell>
          <cell r="AZ34">
            <v>8311.3654999999999</v>
          </cell>
          <cell r="BA34">
            <v>0.16585292467386736</v>
          </cell>
        </row>
        <row r="35">
          <cell r="B35" t="str">
            <v xml:space="preserve">Operating Income (Loss) </v>
          </cell>
          <cell r="C35">
            <v>457.4</v>
          </cell>
          <cell r="D35">
            <v>564.80000000000018</v>
          </cell>
          <cell r="E35">
            <v>604.29999999999995</v>
          </cell>
          <cell r="F35">
            <v>625.59999999999991</v>
          </cell>
          <cell r="G35">
            <v>2061.4</v>
          </cell>
          <cell r="I35">
            <v>746.0999999999998</v>
          </cell>
          <cell r="K35">
            <v>901.10000000000014</v>
          </cell>
          <cell r="M35">
            <v>940.7000000000005</v>
          </cell>
          <cell r="O35">
            <v>839.10000000000014</v>
          </cell>
          <cell r="Q35">
            <v>3427.0000000000009</v>
          </cell>
          <cell r="T35">
            <v>1026.2</v>
          </cell>
          <cell r="U35">
            <v>0.3754188446588933</v>
          </cell>
          <cell r="V35">
            <v>1102.8000000000002</v>
          </cell>
          <cell r="W35">
            <v>0.22383753190544886</v>
          </cell>
          <cell r="X35">
            <v>1136</v>
          </cell>
          <cell r="Y35">
            <v>0.20761135324758095</v>
          </cell>
          <cell r="Z35">
            <v>1012</v>
          </cell>
          <cell r="AA35">
            <v>0.20605410558932169</v>
          </cell>
          <cell r="AB35">
            <v>4277</v>
          </cell>
          <cell r="AC35">
            <v>0.24803034724248585</v>
          </cell>
          <cell r="AF35">
            <v>1246</v>
          </cell>
          <cell r="AG35">
            <v>0.2141882673942701</v>
          </cell>
          <cell r="AH35">
            <v>1432</v>
          </cell>
          <cell r="AI35">
            <v>0.29851287631483481</v>
          </cell>
          <cell r="AJ35">
            <v>1436</v>
          </cell>
          <cell r="AK35">
            <v>0.2640845070422535</v>
          </cell>
          <cell r="AL35">
            <v>1189</v>
          </cell>
          <cell r="AM35">
            <v>0.17490118577075098</v>
          </cell>
          <cell r="AN35">
            <v>5301</v>
          </cell>
          <cell r="AO35">
            <v>0.23942015431377128</v>
          </cell>
          <cell r="AR35">
            <v>1389</v>
          </cell>
          <cell r="AS35">
            <v>0.1147672552166934</v>
          </cell>
          <cell r="AT35">
            <v>1410.9250000000002</v>
          </cell>
          <cell r="AU35">
            <v>-1.4717178770949579E-2</v>
          </cell>
          <cell r="AV35">
            <v>1381.7874999999999</v>
          </cell>
          <cell r="AW35">
            <v>-3.7752437325905386E-2</v>
          </cell>
          <cell r="AX35">
            <v>1285.922</v>
          </cell>
          <cell r="AY35">
            <v>8.1515559293523943E-2</v>
          </cell>
          <cell r="AZ35">
            <v>5467.6345000000001</v>
          </cell>
          <cell r="BA35">
            <v>3.143454065270701E-2</v>
          </cell>
        </row>
        <row r="36">
          <cell r="B36" t="str">
            <v xml:space="preserve">   Interest, Other Income</v>
          </cell>
          <cell r="C36">
            <v>43.7</v>
          </cell>
          <cell r="D36">
            <v>45.5</v>
          </cell>
          <cell r="E36">
            <v>23.7</v>
          </cell>
          <cell r="F36">
            <v>31.299999999999983</v>
          </cell>
          <cell r="G36">
            <v>144.19999999999999</v>
          </cell>
          <cell r="I36">
            <v>32.799999999999997</v>
          </cell>
          <cell r="K36">
            <v>40.4</v>
          </cell>
          <cell r="M36">
            <v>17.2</v>
          </cell>
          <cell r="O36">
            <v>23</v>
          </cell>
          <cell r="Q36">
            <v>113.39999999999999</v>
          </cell>
          <cell r="T36">
            <v>28.6</v>
          </cell>
          <cell r="U36">
            <v>-0.12804878048780477</v>
          </cell>
          <cell r="V36">
            <v>17.600000000000001</v>
          </cell>
          <cell r="W36">
            <v>-0.5643564356435643</v>
          </cell>
          <cell r="X36">
            <v>22.5</v>
          </cell>
          <cell r="Y36">
            <v>0.30813953488372103</v>
          </cell>
          <cell r="Z36">
            <v>31</v>
          </cell>
          <cell r="AA36">
            <v>0.34782608695652173</v>
          </cell>
          <cell r="AB36">
            <v>99.7</v>
          </cell>
          <cell r="AC36">
            <v>-0.120811287477954</v>
          </cell>
          <cell r="AF36">
            <v>45</v>
          </cell>
          <cell r="AH36">
            <v>20</v>
          </cell>
          <cell r="AJ36">
            <v>48</v>
          </cell>
          <cell r="AL36">
            <v>44</v>
          </cell>
          <cell r="AN36">
            <v>157</v>
          </cell>
          <cell r="AR36">
            <v>114</v>
          </cell>
          <cell r="AT36">
            <v>80</v>
          </cell>
          <cell r="AV36">
            <v>70</v>
          </cell>
          <cell r="AX36">
            <v>65</v>
          </cell>
          <cell r="AZ36">
            <v>329</v>
          </cell>
        </row>
        <row r="37">
          <cell r="B37" t="str">
            <v xml:space="preserve">   Interest, Other Expense</v>
          </cell>
          <cell r="C37">
            <v>-7</v>
          </cell>
          <cell r="D37">
            <v>-12.7</v>
          </cell>
          <cell r="E37">
            <v>-11.6</v>
          </cell>
          <cell r="F37">
            <v>-12.900000000000002</v>
          </cell>
          <cell r="G37">
            <v>-44.2</v>
          </cell>
          <cell r="I37">
            <v>-6.9</v>
          </cell>
          <cell r="K37">
            <v>-8.8000000000000007</v>
          </cell>
          <cell r="M37">
            <v>-7.8</v>
          </cell>
          <cell r="O37">
            <v>-8</v>
          </cell>
          <cell r="Q37">
            <v>-31.5</v>
          </cell>
          <cell r="T37">
            <v>-7.5</v>
          </cell>
          <cell r="U37">
            <v>8.6956521739130377E-2</v>
          </cell>
          <cell r="V37">
            <v>-7.5</v>
          </cell>
          <cell r="W37">
            <v>-0.14772727272727282</v>
          </cell>
          <cell r="X37">
            <v>-7.5</v>
          </cell>
          <cell r="Y37">
            <v>-3.8461538461538436E-2</v>
          </cell>
          <cell r="Z37">
            <v>-30</v>
          </cell>
          <cell r="AA37">
            <v>2.75</v>
          </cell>
          <cell r="AB37">
            <v>-52.5</v>
          </cell>
          <cell r="AC37">
            <v>0.66666666666666674</v>
          </cell>
          <cell r="AF37">
            <v>-35</v>
          </cell>
          <cell r="AH37">
            <v>-34</v>
          </cell>
          <cell r="AJ37">
            <v>-34</v>
          </cell>
          <cell r="AL37">
            <v>-34</v>
          </cell>
          <cell r="AN37">
            <v>-137</v>
          </cell>
          <cell r="AR37">
            <v>-34</v>
          </cell>
          <cell r="AT37">
            <v>-34</v>
          </cell>
          <cell r="AV37">
            <v>-34</v>
          </cell>
          <cell r="AX37">
            <v>-34</v>
          </cell>
          <cell r="AZ37">
            <v>-136</v>
          </cell>
        </row>
        <row r="38">
          <cell r="B38" t="str">
            <v xml:space="preserve">  One-Time Gains / (Charges)</v>
          </cell>
          <cell r="C38">
            <v>0</v>
          </cell>
          <cell r="D38">
            <v>0</v>
          </cell>
          <cell r="E38">
            <v>-2991.8</v>
          </cell>
          <cell r="F38">
            <v>0</v>
          </cell>
          <cell r="G38">
            <v>-2991.8</v>
          </cell>
          <cell r="I38" t="e">
            <v>#REF!</v>
          </cell>
          <cell r="K38" t="e">
            <v>#REF!</v>
          </cell>
          <cell r="M38" t="e">
            <v>#REF!</v>
          </cell>
          <cell r="O38" t="e">
            <v>#REF!</v>
          </cell>
          <cell r="Q38" t="e">
            <v>#REF!</v>
          </cell>
          <cell r="V38">
            <v>0</v>
          </cell>
          <cell r="X38">
            <v>0</v>
          </cell>
          <cell r="AH38">
            <v>0</v>
          </cell>
          <cell r="AJ38">
            <v>0</v>
          </cell>
          <cell r="AO38" t="e">
            <v>#DIV/0!</v>
          </cell>
          <cell r="AT38">
            <v>0</v>
          </cell>
          <cell r="AV38">
            <v>0</v>
          </cell>
          <cell r="BA38" t="e">
            <v>#DIV/0!</v>
          </cell>
        </row>
        <row r="39">
          <cell r="B39" t="str">
            <v xml:space="preserve">  Other Adjustments</v>
          </cell>
          <cell r="E39">
            <v>-11.5</v>
          </cell>
          <cell r="F39">
            <v>-36.5</v>
          </cell>
          <cell r="G39">
            <v>-48</v>
          </cell>
          <cell r="I39" t="e">
            <v>#REF!</v>
          </cell>
          <cell r="K39" t="e">
            <v>#REF!</v>
          </cell>
          <cell r="M39" t="e">
            <v>#REF!</v>
          </cell>
          <cell r="O39" t="e">
            <v>#REF!</v>
          </cell>
          <cell r="Q39" t="e">
            <v>#REF!</v>
          </cell>
          <cell r="T39">
            <v>0</v>
          </cell>
          <cell r="V39">
            <v>0</v>
          </cell>
          <cell r="X39">
            <v>0</v>
          </cell>
          <cell r="Z39">
            <v>0</v>
          </cell>
          <cell r="AB39">
            <v>0</v>
          </cell>
          <cell r="AF39">
            <v>0</v>
          </cell>
          <cell r="AH39">
            <v>0</v>
          </cell>
          <cell r="AJ39">
            <v>0</v>
          </cell>
          <cell r="AL39">
            <v>0</v>
          </cell>
          <cell r="AN39">
            <v>0</v>
          </cell>
          <cell r="AO39" t="e">
            <v>#DIV/0!</v>
          </cell>
          <cell r="AR39">
            <v>0</v>
          </cell>
          <cell r="AT39">
            <v>0</v>
          </cell>
          <cell r="AV39">
            <v>0</v>
          </cell>
          <cell r="AX39">
            <v>0</v>
          </cell>
          <cell r="AZ39">
            <v>0</v>
          </cell>
          <cell r="BA39" t="e">
            <v>#DIV/0!</v>
          </cell>
        </row>
        <row r="40">
          <cell r="B40" t="str">
            <v xml:space="preserve">Pretax Income (Loss) </v>
          </cell>
          <cell r="C40">
            <v>494.09999999999997</v>
          </cell>
          <cell r="D40">
            <v>597.60000000000014</v>
          </cell>
          <cell r="E40">
            <v>616.4</v>
          </cell>
          <cell r="F40">
            <v>643.99999999999989</v>
          </cell>
          <cell r="G40">
            <v>2161.4</v>
          </cell>
          <cell r="I40">
            <v>771.99999999999977</v>
          </cell>
          <cell r="K40">
            <v>932.70000000000016</v>
          </cell>
          <cell r="M40">
            <v>950.10000000000059</v>
          </cell>
          <cell r="O40">
            <v>854.10000000000014</v>
          </cell>
          <cell r="Q40">
            <v>3508.900000000001</v>
          </cell>
          <cell r="T40">
            <v>1047.3</v>
          </cell>
          <cell r="U40">
            <v>0.35660621761658073</v>
          </cell>
          <cell r="V40">
            <v>1112.9000000000001</v>
          </cell>
          <cell r="W40">
            <v>0.19320253028840995</v>
          </cell>
          <cell r="X40">
            <v>1151</v>
          </cell>
          <cell r="Y40">
            <v>0.21145142616566592</v>
          </cell>
          <cell r="Z40">
            <v>1013</v>
          </cell>
          <cell r="AA40">
            <v>0.18604378878351469</v>
          </cell>
          <cell r="AB40">
            <v>4324.2</v>
          </cell>
          <cell r="AC40">
            <v>0.23235201915130066</v>
          </cell>
          <cell r="AF40">
            <v>1256</v>
          </cell>
          <cell r="AG40">
            <v>0.19927432445335636</v>
          </cell>
          <cell r="AH40">
            <v>1418</v>
          </cell>
          <cell r="AI40">
            <v>0.27414862072063961</v>
          </cell>
          <cell r="AJ40">
            <v>1450</v>
          </cell>
          <cell r="AK40">
            <v>0.2597741094700261</v>
          </cell>
          <cell r="AL40">
            <v>1199</v>
          </cell>
          <cell r="AM40">
            <v>0.18361303060217171</v>
          </cell>
          <cell r="AN40">
            <v>5321</v>
          </cell>
          <cell r="AO40">
            <v>0.23051662735303635</v>
          </cell>
          <cell r="AR40">
            <v>1469</v>
          </cell>
          <cell r="AS40">
            <v>0.16958598726114649</v>
          </cell>
          <cell r="AT40">
            <v>1456.9250000000002</v>
          </cell>
          <cell r="AU40">
            <v>2.7450634696756016E-2</v>
          </cell>
          <cell r="AV40">
            <v>1417.7874999999999</v>
          </cell>
          <cell r="AW40">
            <v>-2.2215517241379379E-2</v>
          </cell>
          <cell r="AX40">
            <v>1316.922</v>
          </cell>
          <cell r="AY40">
            <v>9.8350291909925058E-2</v>
          </cell>
          <cell r="AZ40">
            <v>5660.6345000000001</v>
          </cell>
          <cell r="BA40">
            <v>6.3829073482428056E-2</v>
          </cell>
        </row>
        <row r="41">
          <cell r="B41" t="str">
            <v xml:space="preserve">   Provision For Income Taxes</v>
          </cell>
          <cell r="C41">
            <v>153.19999999999999</v>
          </cell>
          <cell r="D41">
            <v>185.2</v>
          </cell>
          <cell r="E41">
            <v>155.6</v>
          </cell>
          <cell r="F41">
            <v>172.7</v>
          </cell>
          <cell r="G41">
            <v>707.4</v>
          </cell>
          <cell r="I41">
            <v>194.8</v>
          </cell>
          <cell r="K41">
            <v>241.5</v>
          </cell>
          <cell r="M41">
            <v>254.1</v>
          </cell>
          <cell r="O41">
            <v>223.2</v>
          </cell>
          <cell r="Q41">
            <v>913.59999999999991</v>
          </cell>
          <cell r="T41">
            <v>295</v>
          </cell>
          <cell r="U41">
            <v>0.51437371663244336</v>
          </cell>
          <cell r="V41">
            <v>304.3</v>
          </cell>
          <cell r="W41">
            <v>0.26004140786749486</v>
          </cell>
          <cell r="X41">
            <v>312</v>
          </cell>
          <cell r="Y41">
            <v>0.22786304604486429</v>
          </cell>
          <cell r="Z41">
            <v>264</v>
          </cell>
          <cell r="AA41">
            <v>0.18279569892473124</v>
          </cell>
          <cell r="AB41">
            <v>1175.3</v>
          </cell>
          <cell r="AC41">
            <v>0.28644921190893169</v>
          </cell>
          <cell r="AF41">
            <v>332</v>
          </cell>
          <cell r="AG41">
            <v>0.12542372881355934</v>
          </cell>
          <cell r="AH41">
            <v>314</v>
          </cell>
          <cell r="AI41">
            <v>3.1876437725928408E-2</v>
          </cell>
          <cell r="AJ41">
            <v>381</v>
          </cell>
          <cell r="AK41">
            <v>0.22115384615384626</v>
          </cell>
          <cell r="AL41">
            <v>271</v>
          </cell>
          <cell r="AM41">
            <v>2.6515151515151603E-2</v>
          </cell>
          <cell r="AN41">
            <v>1298</v>
          </cell>
          <cell r="AO41">
            <v>0.10439887688249816</v>
          </cell>
          <cell r="AR41">
            <v>368</v>
          </cell>
          <cell r="AS41">
            <v>0.10843373493975905</v>
          </cell>
          <cell r="AT41">
            <v>331.45043750000008</v>
          </cell>
          <cell r="AU41">
            <v>5.5574641719745577E-2</v>
          </cell>
          <cell r="AV41">
            <v>326.09112499999998</v>
          </cell>
          <cell r="AW41">
            <v>-0.14411778215223103</v>
          </cell>
          <cell r="AX41">
            <v>299.59975500000002</v>
          </cell>
          <cell r="AY41">
            <v>0.10553415129151289</v>
          </cell>
          <cell r="AZ41">
            <v>1325.1413175</v>
          </cell>
          <cell r="BA41">
            <v>2.0910105932203438E-2</v>
          </cell>
        </row>
        <row r="42">
          <cell r="B42" t="str">
            <v xml:space="preserve">   Effective Tax Rate</v>
          </cell>
          <cell r="C42">
            <v>0.3100586925723538</v>
          </cell>
          <cell r="D42">
            <v>0.30990629183400259</v>
          </cell>
          <cell r="E42">
            <v>0.25243348475016225</v>
          </cell>
          <cell r="F42">
            <v>0.26816770186335409</v>
          </cell>
          <cell r="G42">
            <v>0.32728786897381323</v>
          </cell>
          <cell r="I42">
            <v>0.25233160621761669</v>
          </cell>
          <cell r="K42">
            <v>0.25892569958185907</v>
          </cell>
          <cell r="M42">
            <v>0.26744553204925781</v>
          </cell>
          <cell r="O42">
            <v>0.26132771338250788</v>
          </cell>
          <cell r="Q42">
            <v>0.26036649662287314</v>
          </cell>
          <cell r="T42">
            <v>0.2816766924472453</v>
          </cell>
          <cell r="V42">
            <v>0.27342977805732771</v>
          </cell>
          <cell r="X42">
            <v>0.27106863596872283</v>
          </cell>
          <cell r="Z42">
            <v>0.26061204343534056</v>
          </cell>
          <cell r="AB42">
            <v>0.27179593913325006</v>
          </cell>
          <cell r="AF42">
            <v>0.2643312101910828</v>
          </cell>
          <cell r="AH42">
            <v>0.22143864598025387</v>
          </cell>
          <cell r="AJ42">
            <v>0.26275862068965516</v>
          </cell>
          <cell r="AL42">
            <v>0.22602168473728107</v>
          </cell>
          <cell r="AN42">
            <v>0.24393910919000189</v>
          </cell>
          <cell r="AR42">
            <v>0.25051055139550715</v>
          </cell>
          <cell r="AT42">
            <v>0.22750000000000001</v>
          </cell>
          <cell r="AV42">
            <v>0.23</v>
          </cell>
          <cell r="AX42">
            <v>0.22750000000000001</v>
          </cell>
          <cell r="AZ42">
            <v>0.2340976647582528</v>
          </cell>
          <cell r="BB42" t="str">
            <v>&lt;24%</v>
          </cell>
        </row>
        <row r="43">
          <cell r="B43" t="str">
            <v>Net Income (Loss), pro forma</v>
          </cell>
          <cell r="C43">
            <v>340.9</v>
          </cell>
          <cell r="D43">
            <v>412.40000000000015</v>
          </cell>
          <cell r="E43">
            <v>460.79999999999995</v>
          </cell>
          <cell r="F43">
            <v>471.2999999999999</v>
          </cell>
          <cell r="G43">
            <v>1454</v>
          </cell>
          <cell r="I43">
            <v>577.19999999999982</v>
          </cell>
          <cell r="K43">
            <v>691.20000000000016</v>
          </cell>
          <cell r="M43">
            <v>696.00000000000057</v>
          </cell>
          <cell r="O43">
            <v>630.90000000000009</v>
          </cell>
          <cell r="Q43">
            <v>2595.3000000000011</v>
          </cell>
          <cell r="T43">
            <v>752.3</v>
          </cell>
          <cell r="U43">
            <v>0.30336105336105379</v>
          </cell>
          <cell r="V43">
            <v>808.60000000000014</v>
          </cell>
          <cell r="W43">
            <v>0.16984953703703698</v>
          </cell>
          <cell r="X43">
            <v>839</v>
          </cell>
          <cell r="Y43">
            <v>0.20545977011494165</v>
          </cell>
          <cell r="Z43">
            <v>749</v>
          </cell>
          <cell r="AA43">
            <v>0.18719289903312708</v>
          </cell>
          <cell r="AB43">
            <v>3148.8999999999996</v>
          </cell>
          <cell r="AC43">
            <v>0.21330867337109316</v>
          </cell>
          <cell r="AF43">
            <v>924</v>
          </cell>
          <cell r="AG43">
            <v>0.22823341751960657</v>
          </cell>
          <cell r="AH43">
            <v>1104</v>
          </cell>
          <cell r="AI43">
            <v>0.36532278011377661</v>
          </cell>
          <cell r="AJ43">
            <v>1069</v>
          </cell>
          <cell r="AK43">
            <v>0.27413587604290823</v>
          </cell>
          <cell r="AL43">
            <v>928</v>
          </cell>
          <cell r="AM43">
            <v>0.23898531375166887</v>
          </cell>
          <cell r="AN43">
            <v>4023</v>
          </cell>
          <cell r="AO43">
            <v>0.27758899933310066</v>
          </cell>
          <cell r="AR43">
            <v>1101</v>
          </cell>
          <cell r="AS43">
            <v>0.19155844155844148</v>
          </cell>
          <cell r="AT43">
            <v>1125.4745625</v>
          </cell>
          <cell r="AU43">
            <v>1.9451596467391363E-2</v>
          </cell>
          <cell r="AV43">
            <v>1091.696375</v>
          </cell>
          <cell r="AW43">
            <v>2.123140785781108E-2</v>
          </cell>
          <cell r="AX43">
            <v>1017.3222450000001</v>
          </cell>
          <cell r="AY43">
            <v>9.6252419181034554E-2</v>
          </cell>
          <cell r="AZ43">
            <v>4335.4931825000003</v>
          </cell>
          <cell r="BA43">
            <v>7.7676654859557548E-2</v>
          </cell>
        </row>
        <row r="45">
          <cell r="B45" t="str">
            <v>EPS, basic</v>
          </cell>
          <cell r="C45">
            <v>0.32665772326561904</v>
          </cell>
          <cell r="D45">
            <v>0.39707298286154458</v>
          </cell>
          <cell r="E45">
            <v>0.37110413143271315</v>
          </cell>
          <cell r="F45">
            <v>0.36654223051796542</v>
          </cell>
          <cell r="G45">
            <v>1.2605114867793672</v>
          </cell>
          <cell r="I45">
            <v>0.44726850058116996</v>
          </cell>
          <cell r="K45">
            <v>0.53668763102725381</v>
          </cell>
          <cell r="M45">
            <v>0.53978594695207116</v>
          </cell>
          <cell r="O45">
            <v>0.49081997821689749</v>
          </cell>
          <cell r="Q45">
            <v>2.0143588947531827</v>
          </cell>
          <cell r="T45">
            <v>0.58801000468969822</v>
          </cell>
          <cell r="V45">
            <v>0.63759659359722454</v>
          </cell>
          <cell r="X45">
            <v>0.65959119496855345</v>
          </cell>
          <cell r="Z45">
            <v>0.59303246239113228</v>
          </cell>
          <cell r="AB45">
            <v>2.4781804588202885</v>
          </cell>
          <cell r="AF45">
            <v>0.73979183346677346</v>
          </cell>
          <cell r="AH45">
            <v>0.89537712895377131</v>
          </cell>
          <cell r="AJ45">
            <v>0.86699107866991076</v>
          </cell>
          <cell r="AL45">
            <v>0.75508543531326278</v>
          </cell>
          <cell r="AM45">
            <v>3.2572454764037184</v>
          </cell>
          <cell r="AN45">
            <v>3.2548543689320391</v>
          </cell>
          <cell r="AR45">
            <v>0.91597337770382692</v>
          </cell>
          <cell r="AT45">
            <v>0.97029524410955836</v>
          </cell>
          <cell r="AV45">
            <v>0.95068117137336827</v>
          </cell>
          <cell r="AX45">
            <v>0.89486262735353794</v>
          </cell>
          <cell r="AZ45">
            <v>3.731777351192334</v>
          </cell>
        </row>
        <row r="46">
          <cell r="B46" t="str">
            <v>EPS, diluted</v>
          </cell>
          <cell r="C46">
            <v>0.3187350313190862</v>
          </cell>
          <cell r="D46">
            <v>0.37997702038587561</v>
          </cell>
          <cell r="E46">
            <v>0.37522650398647012</v>
          </cell>
          <cell r="F46">
            <v>0.35358375389639296</v>
          </cell>
          <cell r="G46">
            <v>1.2782618118768962</v>
          </cell>
          <cell r="I46">
            <v>0.4313791762352765</v>
          </cell>
          <cell r="K46">
            <v>0.5169404231625836</v>
          </cell>
          <cell r="M46">
            <v>0.52015635432895657</v>
          </cell>
          <cell r="O46">
            <v>0.4746408582089553</v>
          </cell>
          <cell r="Q46">
            <v>1.9433692421991091</v>
          </cell>
          <cell r="T46">
            <v>0.56841932457786115</v>
          </cell>
          <cell r="V46">
            <v>0.61752959702511956</v>
          </cell>
          <cell r="X46">
            <v>0.63948390151515144</v>
          </cell>
          <cell r="Z46">
            <v>0.57566316793893124</v>
          </cell>
          <cell r="AB46">
            <v>2.4009507215635768</v>
          </cell>
          <cell r="AF46">
            <v>0.72024709302325585</v>
          </cell>
          <cell r="AH46">
            <v>0.88400000000000001</v>
          </cell>
          <cell r="AJ46">
            <v>0.85652522017614086</v>
          </cell>
          <cell r="AL46">
            <v>0.74658085277554309</v>
          </cell>
          <cell r="AN46">
            <v>3.2027027027027026</v>
          </cell>
          <cell r="AR46">
            <v>0.90691927512355852</v>
          </cell>
          <cell r="AS46">
            <v>0.25917797365448769</v>
          </cell>
          <cell r="AT46">
            <v>0.9607041873308807</v>
          </cell>
          <cell r="AU46">
            <v>8.6769442681991826E-2</v>
          </cell>
          <cell r="AV46">
            <v>0.9412839934026267</v>
          </cell>
          <cell r="AW46">
            <v>9.8956541185156954E-2</v>
          </cell>
          <cell r="AX46">
            <v>0.8860171977586101</v>
          </cell>
          <cell r="AY46">
            <v>0.18676656984262108</v>
          </cell>
          <cell r="AZ46">
            <v>3.6698689952539394</v>
          </cell>
          <cell r="BA46">
            <v>0.14586626856030183</v>
          </cell>
          <cell r="BB46" t="str">
            <v>3.60-3.70</v>
          </cell>
        </row>
        <row r="48">
          <cell r="B48" t="str">
            <v xml:space="preserve">  Options expense</v>
          </cell>
          <cell r="AR48">
            <v>68</v>
          </cell>
          <cell r="AT48">
            <v>69.372624999999999</v>
          </cell>
          <cell r="AV48">
            <v>74.592437500000017</v>
          </cell>
          <cell r="AX48">
            <v>82.952730000000003</v>
          </cell>
          <cell r="AZ48">
            <v>294.91779250000002</v>
          </cell>
        </row>
        <row r="49">
          <cell r="B49" t="str">
            <v>% of operating expense</v>
          </cell>
          <cell r="AR49">
            <v>3.7199124726477024E-2</v>
          </cell>
          <cell r="AT49">
            <v>3.5000000000000003E-2</v>
          </cell>
          <cell r="AV49">
            <v>3.5000000000000003E-2</v>
          </cell>
          <cell r="AX49">
            <v>3.5000000000000003E-2</v>
          </cell>
          <cell r="AZ49">
            <v>3.5483675035107048E-2</v>
          </cell>
        </row>
        <row r="50">
          <cell r="B50" t="str">
            <v>Net Income (incl options exp)</v>
          </cell>
          <cell r="AR50">
            <v>1050.0347174948945</v>
          </cell>
          <cell r="AT50">
            <v>1071.8842096875001</v>
          </cell>
          <cell r="AV50">
            <v>1034.260198125</v>
          </cell>
          <cell r="AX50">
            <v>953.24126107500001</v>
          </cell>
          <cell r="AZ50">
            <v>4040.5753900000004</v>
          </cell>
        </row>
        <row r="52">
          <cell r="B52" t="str">
            <v>EPS, diluted (incl option exp)</v>
          </cell>
          <cell r="AR52">
            <v>0.8676518883415435</v>
          </cell>
          <cell r="AT52">
            <v>0.92221351610314906</v>
          </cell>
          <cell r="AV52">
            <v>0.8994791153375481</v>
          </cell>
          <cell r="AX52">
            <v>0.83905724506666113</v>
          </cell>
          <cell r="AZ52">
            <v>3.5315180425397048</v>
          </cell>
        </row>
        <row r="53">
          <cell r="B53" t="str">
            <v>EPS, Reported GAAP</v>
          </cell>
          <cell r="C53">
            <v>0.32665772326561904</v>
          </cell>
          <cell r="D53">
            <v>0.39707298286154458</v>
          </cell>
          <cell r="E53">
            <v>-2.0951920753805271</v>
          </cell>
          <cell r="F53">
            <v>0.30074661689220716</v>
          </cell>
          <cell r="G53">
            <v>-1.467706978760295</v>
          </cell>
          <cell r="I53">
            <v>0.38225493994575732</v>
          </cell>
          <cell r="K53">
            <v>0.47146517586769165</v>
          </cell>
          <cell r="M53">
            <v>0.4747169225996592</v>
          </cell>
          <cell r="O53">
            <v>0.42547067060837096</v>
          </cell>
          <cell r="Q53">
            <v>1.7537255510710965</v>
          </cell>
          <cell r="T53">
            <v>0.53947162732530862</v>
          </cell>
          <cell r="V53">
            <v>0.58989118435577992</v>
          </cell>
          <cell r="X53">
            <v>0.18600628930817609</v>
          </cell>
          <cell r="Z53">
            <v>0.54758511480601746</v>
          </cell>
          <cell r="AB53">
            <v>1.8498406327470192</v>
          </cell>
          <cell r="AF53">
            <v>0.68374699759807844</v>
          </cell>
          <cell r="AH53">
            <v>0.85482562854825628</v>
          </cell>
          <cell r="AJ53">
            <v>0.78588807785888082</v>
          </cell>
          <cell r="AL53">
            <v>0.67046379170056958</v>
          </cell>
          <cell r="AN53">
            <v>2.9724919093851132</v>
          </cell>
          <cell r="AR53">
            <v>0.8327787021630616</v>
          </cell>
          <cell r="AT53">
            <v>0.38232872888881225</v>
          </cell>
          <cell r="AV53">
            <v>0.92281463432093214</v>
          </cell>
          <cell r="AX53">
            <v>0.86671461012885487</v>
          </cell>
          <cell r="AZ53">
            <v>3.1196891571852658</v>
          </cell>
        </row>
        <row r="54">
          <cell r="B54" t="str">
            <v>EPS, Reported GAAP -Diluted</v>
          </cell>
          <cell r="C54">
            <v>0.3187350313190862</v>
          </cell>
          <cell r="D54">
            <v>0.37997702038587561</v>
          </cell>
          <cell r="E54">
            <v>-2.0910697028267697</v>
          </cell>
          <cell r="F54">
            <v>0.29079616298055505</v>
          </cell>
          <cell r="G54">
            <v>-1.4499566536627657</v>
          </cell>
          <cell r="I54">
            <v>0.36922642417956869</v>
          </cell>
          <cell r="K54">
            <v>0.4545796213808464</v>
          </cell>
          <cell r="M54">
            <v>0.45791138066622195</v>
          </cell>
          <cell r="O54">
            <v>0.41195429104477616</v>
          </cell>
          <cell r="Q54">
            <v>1.6938893016344732</v>
          </cell>
          <cell r="T54">
            <v>0.52181519699812373</v>
          </cell>
          <cell r="V54">
            <v>0.57161626318585423</v>
          </cell>
          <cell r="X54">
            <v>0.18312026515151514</v>
          </cell>
          <cell r="Z54">
            <v>0.53184637404580148</v>
          </cell>
          <cell r="AB54">
            <v>1.7961251467747434</v>
          </cell>
          <cell r="AF54">
            <v>0.66598352713178288</v>
          </cell>
          <cell r="AH54">
            <v>0.84399999999999997</v>
          </cell>
          <cell r="AJ54">
            <v>0.77646116893514805</v>
          </cell>
          <cell r="AL54">
            <v>0.66291230893000808</v>
          </cell>
          <cell r="AN54">
            <v>2.9252782193958664</v>
          </cell>
          <cell r="AR54">
            <v>0.82183908045977017</v>
          </cell>
          <cell r="AS54">
            <v>0.23402313567606758</v>
          </cell>
          <cell r="AT54">
            <v>0.31933311495420447</v>
          </cell>
          <cell r="AU54">
            <v>-0.62164322872724587</v>
          </cell>
          <cell r="AV54">
            <v>0.9136929081167714</v>
          </cell>
          <cell r="AW54">
            <v>0.17673998993384976</v>
          </cell>
          <cell r="AX54">
            <v>0.85814741464158462</v>
          </cell>
          <cell r="AY54">
            <v>0.29451120922268159</v>
          </cell>
          <cell r="AZ54">
            <v>3.0888520320730564</v>
          </cell>
          <cell r="BA54">
            <v>5.5917352268452403E-2</v>
          </cell>
        </row>
        <row r="55">
          <cell r="B55" t="str">
            <v xml:space="preserve">Basic Shares Outstanding </v>
          </cell>
          <cell r="C55">
            <v>1043.5999999999999</v>
          </cell>
          <cell r="D55">
            <v>1038.5999999999999</v>
          </cell>
          <cell r="E55">
            <v>1241.7</v>
          </cell>
          <cell r="F55">
            <v>1285.8</v>
          </cell>
          <cell r="G55">
            <v>1153.5</v>
          </cell>
          <cell r="I55">
            <v>1290.5</v>
          </cell>
          <cell r="K55">
            <v>1287.9000000000001</v>
          </cell>
          <cell r="M55">
            <v>1289.4000000000001</v>
          </cell>
          <cell r="O55">
            <v>1285.4000000000001</v>
          </cell>
          <cell r="Q55">
            <v>1288.4000000000001</v>
          </cell>
          <cell r="T55">
            <v>1279.4000000000001</v>
          </cell>
          <cell r="U55">
            <v>-8.6013173188685954E-3</v>
          </cell>
          <cell r="V55">
            <v>1268.2</v>
          </cell>
          <cell r="W55">
            <v>-1.5296218650516336E-2</v>
          </cell>
          <cell r="X55">
            <v>1272</v>
          </cell>
          <cell r="Y55">
            <v>-1.349464867380179E-2</v>
          </cell>
          <cell r="Z55">
            <v>1263</v>
          </cell>
          <cell r="AA55">
            <v>-1.7426482028940482E-2</v>
          </cell>
          <cell r="AB55">
            <v>1270.6500000000001</v>
          </cell>
          <cell r="AC55">
            <v>-1.3776777398323503E-2</v>
          </cell>
          <cell r="AF55">
            <v>1249</v>
          </cell>
          <cell r="AG55">
            <v>-2.3761138033453255E-2</v>
          </cell>
          <cell r="AH55">
            <v>1233</v>
          </cell>
          <cell r="AI55">
            <v>-2.7755874467749631E-2</v>
          </cell>
          <cell r="AJ55">
            <v>1233</v>
          </cell>
          <cell r="AK55">
            <v>-3.0660377358490587E-2</v>
          </cell>
          <cell r="AL55">
            <v>1229</v>
          </cell>
          <cell r="AM55">
            <v>-2.6920031670625511E-2</v>
          </cell>
          <cell r="AN55">
            <v>1236</v>
          </cell>
          <cell r="AO55">
            <v>-2.726950773226311E-2</v>
          </cell>
          <cell r="AR55">
            <v>1202</v>
          </cell>
          <cell r="AS55">
            <v>-3.7630104083266613E-2</v>
          </cell>
          <cell r="AT55">
            <v>1159.93</v>
          </cell>
          <cell r="AU55">
            <v>-5.926196269261963E-2</v>
          </cell>
          <cell r="AV55">
            <v>1148.3307</v>
          </cell>
          <cell r="AW55">
            <v>-6.86693430656935E-2</v>
          </cell>
          <cell r="AX55">
            <v>1136.847393</v>
          </cell>
          <cell r="AY55">
            <v>-7.4981779495524759E-2</v>
          </cell>
          <cell r="AZ55">
            <v>1161.7770232500002</v>
          </cell>
          <cell r="BA55">
            <v>-6.0050952063106622E-2</v>
          </cell>
        </row>
        <row r="56">
          <cell r="B56" t="str">
            <v>Diluted Shares Outstanding</v>
          </cell>
          <cell r="C56">
            <v>1085.5999999999999</v>
          </cell>
          <cell r="D56">
            <v>1098.8</v>
          </cell>
          <cell r="E56">
            <v>1241.7</v>
          </cell>
          <cell r="F56">
            <v>1347.4</v>
          </cell>
          <cell r="G56">
            <v>1153.5</v>
          </cell>
          <cell r="I56">
            <v>1349.9</v>
          </cell>
          <cell r="K56">
            <v>1347</v>
          </cell>
          <cell r="M56">
            <v>1347.9</v>
          </cell>
          <cell r="O56">
            <v>1340</v>
          </cell>
          <cell r="Q56">
            <v>1346</v>
          </cell>
          <cell r="T56">
            <v>1332.5</v>
          </cell>
          <cell r="U56">
            <v>-1.2889843692125424E-2</v>
          </cell>
          <cell r="V56">
            <v>1317.7</v>
          </cell>
          <cell r="W56">
            <v>-2.1752041573867786E-2</v>
          </cell>
          <cell r="X56">
            <v>1320</v>
          </cell>
          <cell r="Y56">
            <v>-2.069886490095707E-2</v>
          </cell>
          <cell r="Z56">
            <v>1310</v>
          </cell>
          <cell r="AA56">
            <v>-2.2388059701492491E-2</v>
          </cell>
          <cell r="AB56">
            <v>1320.05</v>
          </cell>
          <cell r="AC56">
            <v>-1.9279346210995585E-2</v>
          </cell>
          <cell r="AF56">
            <v>1290</v>
          </cell>
          <cell r="AG56">
            <v>-3.1894934333958735E-2</v>
          </cell>
          <cell r="AH56">
            <v>1250</v>
          </cell>
          <cell r="AI56">
            <v>-5.1377400015177987E-2</v>
          </cell>
          <cell r="AJ56">
            <v>1249</v>
          </cell>
          <cell r="AK56">
            <v>-5.3787878787878829E-2</v>
          </cell>
          <cell r="AL56">
            <v>1243</v>
          </cell>
          <cell r="AM56">
            <v>-5.1145038167938917E-2</v>
          </cell>
          <cell r="AN56">
            <v>1258</v>
          </cell>
          <cell r="AO56">
            <v>-4.7005795235028902E-2</v>
          </cell>
          <cell r="AR56">
            <v>1214</v>
          </cell>
          <cell r="AS56">
            <v>-5.8914728682170514E-2</v>
          </cell>
          <cell r="AT56">
            <v>1171.51</v>
          </cell>
          <cell r="AU56">
            <v>-6.2791999999999959E-2</v>
          </cell>
          <cell r="AV56">
            <v>1159.7948999999999</v>
          </cell>
          <cell r="AW56">
            <v>-7.1421216973578949E-2</v>
          </cell>
          <cell r="AX56">
            <v>1148.1969509999999</v>
          </cell>
          <cell r="AY56">
            <v>-7.6269548672566412E-2</v>
          </cell>
          <cell r="AZ56">
            <v>1173.37546275</v>
          </cell>
          <cell r="BA56">
            <v>-6.726910751192372E-2</v>
          </cell>
        </row>
        <row r="58">
          <cell r="B58" t="str">
            <v>Amortization of Acquired Intangibles</v>
          </cell>
          <cell r="E58">
            <v>70.599999999999994</v>
          </cell>
          <cell r="F58">
            <v>84.6</v>
          </cell>
          <cell r="G58">
            <v>155.19999999999999</v>
          </cell>
          <cell r="I58">
            <v>83.9</v>
          </cell>
          <cell r="K58">
            <v>84</v>
          </cell>
          <cell r="M58">
            <v>83.9</v>
          </cell>
          <cell r="O58">
            <v>84</v>
          </cell>
          <cell r="Q58">
            <v>335.8</v>
          </cell>
          <cell r="T58">
            <v>-98.1</v>
          </cell>
          <cell r="V58">
            <v>-96.100000000000009</v>
          </cell>
          <cell r="X58">
            <v>-100</v>
          </cell>
          <cell r="Z58">
            <v>-93</v>
          </cell>
          <cell r="AB58">
            <v>-387.2</v>
          </cell>
          <cell r="AF58">
            <v>-87</v>
          </cell>
          <cell r="AH58">
            <v>-87</v>
          </cell>
          <cell r="AJ58">
            <v>-86</v>
          </cell>
          <cell r="AL58">
            <v>-87</v>
          </cell>
          <cell r="AN58">
            <v>-347</v>
          </cell>
          <cell r="AR58">
            <v>-87</v>
          </cell>
          <cell r="AT58">
            <v>-87</v>
          </cell>
          <cell r="AV58">
            <v>-87</v>
          </cell>
          <cell r="AX58">
            <v>-87</v>
          </cell>
          <cell r="AZ58">
            <v>-97</v>
          </cell>
        </row>
        <row r="59">
          <cell r="B59" t="str">
            <v>Write off of IPR&amp;D</v>
          </cell>
          <cell r="E59">
            <v>2991.8</v>
          </cell>
          <cell r="G59">
            <v>2991.8</v>
          </cell>
          <cell r="X59">
            <v>-554</v>
          </cell>
          <cell r="AB59">
            <v>-554</v>
          </cell>
          <cell r="AN59">
            <v>0</v>
          </cell>
          <cell r="AT59">
            <v>-650</v>
          </cell>
          <cell r="AZ59">
            <v>-650</v>
          </cell>
        </row>
        <row r="60">
          <cell r="B60" t="str">
            <v>legal settlements</v>
          </cell>
          <cell r="AN60">
            <v>-49</v>
          </cell>
        </row>
        <row r="61">
          <cell r="B61" t="str">
            <v>COGS</v>
          </cell>
          <cell r="X61">
            <v>4</v>
          </cell>
          <cell r="AJ61">
            <v>-47</v>
          </cell>
          <cell r="AN61">
            <v>-47</v>
          </cell>
        </row>
        <row r="62">
          <cell r="B62" t="str">
            <v>R&amp;D</v>
          </cell>
          <cell r="X62">
            <v>8</v>
          </cell>
          <cell r="AF62">
            <v>-3</v>
          </cell>
          <cell r="AH62">
            <v>-3</v>
          </cell>
          <cell r="AJ62">
            <v>-3</v>
          </cell>
          <cell r="AL62">
            <v>-3</v>
          </cell>
          <cell r="AN62">
            <v>-12</v>
          </cell>
        </row>
        <row r="63">
          <cell r="B63" t="str">
            <v>SG&amp;A</v>
          </cell>
          <cell r="X63">
            <v>4</v>
          </cell>
          <cell r="AL63">
            <v>2</v>
          </cell>
          <cell r="AN63">
            <v>2</v>
          </cell>
        </row>
        <row r="64">
          <cell r="B64" t="str">
            <v>Interest expense</v>
          </cell>
          <cell r="AF64">
            <v>-20</v>
          </cell>
          <cell r="AN64">
            <v>0</v>
          </cell>
        </row>
        <row r="65">
          <cell r="B65" t="str">
            <v>Tax provision</v>
          </cell>
          <cell r="T65">
            <v>36</v>
          </cell>
          <cell r="V65">
            <v>35.6</v>
          </cell>
          <cell r="X65">
            <v>35.6</v>
          </cell>
          <cell r="Z65">
            <v>35.6</v>
          </cell>
          <cell r="AB65">
            <v>142.79999999999998</v>
          </cell>
          <cell r="AF65">
            <v>40</v>
          </cell>
          <cell r="AH65">
            <v>40</v>
          </cell>
          <cell r="AJ65">
            <v>36</v>
          </cell>
          <cell r="AL65">
            <v>-16</v>
          </cell>
          <cell r="AN65">
            <v>104</v>
          </cell>
          <cell r="AR65">
            <v>55</v>
          </cell>
          <cell r="AT65">
            <v>55</v>
          </cell>
          <cell r="AV65">
            <v>55</v>
          </cell>
          <cell r="AX65">
            <v>55</v>
          </cell>
          <cell r="AZ65">
            <v>35.89</v>
          </cell>
        </row>
        <row r="66">
          <cell r="B66" t="str">
            <v>implied tax rate</v>
          </cell>
          <cell r="T66">
            <v>-0.3669724770642202</v>
          </cell>
          <cell r="V66">
            <v>-0.37044745057232048</v>
          </cell>
          <cell r="X66">
            <v>-0.35600000000000004</v>
          </cell>
          <cell r="Z66">
            <v>-0.3827956989247312</v>
          </cell>
          <cell r="AB66">
            <v>-0.36880165289256195</v>
          </cell>
          <cell r="AF66">
            <v>-0.45977011494252873</v>
          </cell>
          <cell r="AH66">
            <v>-0.45977011494252873</v>
          </cell>
          <cell r="AJ66">
            <v>-0.41860465116279072</v>
          </cell>
          <cell r="AL66">
            <v>0.18390804597701149</v>
          </cell>
          <cell r="AN66">
            <v>-0.29971181556195964</v>
          </cell>
          <cell r="AR66">
            <v>-0.63218390804597702</v>
          </cell>
          <cell r="AT66">
            <v>-0.63218390804597702</v>
          </cell>
          <cell r="AV66">
            <v>-0.63218390804597702</v>
          </cell>
          <cell r="AX66">
            <v>-0.63218390804597702</v>
          </cell>
        </row>
        <row r="67">
          <cell r="B67" t="str">
            <v>GAAP net income</v>
          </cell>
          <cell r="AR67">
            <v>1001</v>
          </cell>
          <cell r="AT67">
            <v>374.10193750000008</v>
          </cell>
          <cell r="AV67">
            <v>985.10393750000003</v>
          </cell>
          <cell r="AX67">
            <v>902.36951500000009</v>
          </cell>
          <cell r="AZ67">
            <v>3329.4653900000003</v>
          </cell>
        </row>
        <row r="68">
          <cell r="B68" t="str">
            <v>GAAP diluted share count</v>
          </cell>
          <cell r="AR68">
            <v>1218</v>
          </cell>
          <cell r="AT68">
            <v>1171.51</v>
          </cell>
          <cell r="AV68">
            <v>1159.7948999999999</v>
          </cell>
          <cell r="AX68">
            <v>1148.1969509999999</v>
          </cell>
          <cell r="AZ68">
            <v>1173.37546275</v>
          </cell>
        </row>
        <row r="69">
          <cell r="AR69">
            <v>1.0133111480865225</v>
          </cell>
        </row>
        <row r="70">
          <cell r="B70" t="str">
            <v>Convertible interest add-back</v>
          </cell>
          <cell r="C70">
            <v>5.1187500000000004</v>
          </cell>
          <cell r="D70">
            <v>5.1187500000000004</v>
          </cell>
          <cell r="E70">
            <v>5.1187500000000004</v>
          </cell>
          <cell r="F70">
            <v>5.1187500000000004</v>
          </cell>
          <cell r="G70">
            <v>20.475000000000001</v>
          </cell>
          <cell r="I70">
            <v>5.1187500000000004</v>
          </cell>
          <cell r="K70">
            <v>5.1187500000000004</v>
          </cell>
          <cell r="M70">
            <v>5.1187500000000004</v>
          </cell>
          <cell r="O70">
            <v>5.1187500000000004</v>
          </cell>
          <cell r="Q70">
            <v>20.475000000000001</v>
          </cell>
          <cell r="T70">
            <v>5.1187500000000004</v>
          </cell>
          <cell r="V70">
            <v>5.1187500000000004</v>
          </cell>
          <cell r="X70">
            <v>5.1187500000000004</v>
          </cell>
          <cell r="Z70">
            <v>5.1187500000000004</v>
          </cell>
          <cell r="AB70">
            <v>20.475000000000001</v>
          </cell>
          <cell r="AF70">
            <v>5.1187500000000004</v>
          </cell>
          <cell r="AH70">
            <v>1</v>
          </cell>
          <cell r="AJ70">
            <v>0.8</v>
          </cell>
          <cell r="AN70">
            <v>6</v>
          </cell>
          <cell r="AR70">
            <v>0</v>
          </cell>
          <cell r="AT70">
            <v>0</v>
          </cell>
          <cell r="AV70">
            <v>0</v>
          </cell>
          <cell r="AX70">
            <v>0</v>
          </cell>
          <cell r="AZ70">
            <v>0</v>
          </cell>
        </row>
        <row r="72">
          <cell r="B72" t="str">
            <v>EPS, GAAP</v>
          </cell>
          <cell r="Q72">
            <v>1.6938893016344732</v>
          </cell>
        </row>
        <row r="74">
          <cell r="B74" t="str">
            <v>CHECK GAAP</v>
          </cell>
          <cell r="E74">
            <v>3957.4</v>
          </cell>
        </row>
      </sheetData>
      <sheetData sheetId="5" refreshError="1"/>
      <sheetData sheetId="6" refreshError="1">
        <row r="1">
          <cell r="B1" t="str">
            <v>Amgen Annual Income Statement</v>
          </cell>
          <cell r="AO1" t="str">
            <v>ElementName</v>
          </cell>
          <cell r="AP1" t="str">
            <v>ScaleOverride</v>
          </cell>
          <cell r="AQ1" t="str">
            <v>UnitOverride</v>
          </cell>
          <cell r="AR1" t="str">
            <v>ReverseSign</v>
          </cell>
          <cell r="AS1" t="str">
            <v>IsDrivingAssumption</v>
          </cell>
          <cell r="AT1" t="str">
            <v>SegmentID</v>
          </cell>
        </row>
        <row r="2">
          <cell r="B2" t="str">
            <v>(Dollars in thousands except per-share data)</v>
          </cell>
        </row>
        <row r="4">
          <cell r="C4" t="str">
            <v>1993</v>
          </cell>
          <cell r="E4" t="str">
            <v>1994</v>
          </cell>
          <cell r="G4" t="str">
            <v>1995</v>
          </cell>
          <cell r="I4" t="str">
            <v>1996</v>
          </cell>
          <cell r="K4" t="str">
            <v>1997</v>
          </cell>
          <cell r="M4" t="str">
            <v>1998</v>
          </cell>
          <cell r="O4" t="str">
            <v>1999</v>
          </cell>
          <cell r="Q4" t="str">
            <v>2000</v>
          </cell>
          <cell r="S4" t="str">
            <v>2001A</v>
          </cell>
          <cell r="U4" t="str">
            <v>2002A</v>
          </cell>
          <cell r="W4" t="str">
            <v>2003A</v>
          </cell>
          <cell r="X4" t="str">
            <v>% chg</v>
          </cell>
          <cell r="Y4" t="str">
            <v>2004A</v>
          </cell>
          <cell r="Z4" t="str">
            <v>% chg</v>
          </cell>
          <cell r="AA4" t="str">
            <v>2005A</v>
          </cell>
          <cell r="AB4" t="str">
            <v>% chg</v>
          </cell>
          <cell r="AC4" t="str">
            <v>2006E</v>
          </cell>
          <cell r="AD4" t="str">
            <v>% chg</v>
          </cell>
          <cell r="AE4" t="str">
            <v>2007E</v>
          </cell>
          <cell r="AF4" t="str">
            <v>% chg</v>
          </cell>
          <cell r="AG4" t="str">
            <v>2008E</v>
          </cell>
          <cell r="AH4" t="str">
            <v>% chg</v>
          </cell>
          <cell r="AI4" t="str">
            <v>2009E</v>
          </cell>
          <cell r="AJ4" t="str">
            <v>% chg</v>
          </cell>
          <cell r="AK4" t="str">
            <v>2010E</v>
          </cell>
          <cell r="AL4" t="str">
            <v>% chg</v>
          </cell>
        </row>
        <row r="5">
          <cell r="B5" t="str">
            <v>Epogen</v>
          </cell>
          <cell r="C5">
            <v>586.9</v>
          </cell>
          <cell r="E5">
            <v>720.6</v>
          </cell>
          <cell r="G5">
            <v>882.6</v>
          </cell>
          <cell r="I5">
            <v>1071.9000000000001</v>
          </cell>
          <cell r="K5">
            <v>1160.8</v>
          </cell>
          <cell r="M5">
            <v>1382.1</v>
          </cell>
          <cell r="O5">
            <v>1759.1</v>
          </cell>
          <cell r="Q5">
            <v>1962.2</v>
          </cell>
          <cell r="S5">
            <v>2108.5</v>
          </cell>
          <cell r="U5">
            <v>2260.6</v>
          </cell>
          <cell r="W5">
            <v>2434.6999999999998</v>
          </cell>
          <cell r="X5">
            <v>7.701495178271256E-2</v>
          </cell>
          <cell r="Y5">
            <v>2600.6</v>
          </cell>
          <cell r="Z5">
            <v>6.8139811886474666E-2</v>
          </cell>
          <cell r="AA5">
            <v>2455</v>
          </cell>
          <cell r="AB5">
            <v>-5.598707990463736E-2</v>
          </cell>
          <cell r="AC5">
            <v>2514</v>
          </cell>
          <cell r="AD5">
            <v>2.4032586558044855E-2</v>
          </cell>
          <cell r="AE5">
            <v>2572.1174973954289</v>
          </cell>
          <cell r="AF5">
            <v>2.3117540730083208E-2</v>
          </cell>
          <cell r="AG5">
            <v>2632.2299063233218</v>
          </cell>
          <cell r="AH5">
            <v>2.3370786516853759E-2</v>
          </cell>
          <cell r="AI5">
            <v>2708.8786464932482</v>
          </cell>
          <cell r="AJ5">
            <v>2.9119318181818343E-2</v>
          </cell>
          <cell r="AK5">
            <v>2787.6683168398231</v>
          </cell>
          <cell r="AL5">
            <v>2.9085714285714159E-2</v>
          </cell>
        </row>
        <row r="6">
          <cell r="B6" t="str">
            <v>Aranesp - US</v>
          </cell>
          <cell r="S6">
            <v>27</v>
          </cell>
          <cell r="U6">
            <v>284.7</v>
          </cell>
          <cell r="W6">
            <v>979.9</v>
          </cell>
          <cell r="Y6">
            <v>1533.3</v>
          </cell>
          <cell r="AA6">
            <v>2104</v>
          </cell>
          <cell r="AB6">
            <v>0.37220374355964259</v>
          </cell>
          <cell r="AC6">
            <v>2596</v>
          </cell>
          <cell r="AD6">
            <v>0.23384030418250945</v>
          </cell>
          <cell r="AE6">
            <v>2975</v>
          </cell>
          <cell r="AF6">
            <v>0.14599383667180277</v>
          </cell>
          <cell r="AG6">
            <v>3300</v>
          </cell>
          <cell r="AH6">
            <v>0.10924369747899165</v>
          </cell>
          <cell r="AI6">
            <v>3600</v>
          </cell>
          <cell r="AJ6">
            <v>9.0909090909090828E-2</v>
          </cell>
          <cell r="AK6">
            <v>3850</v>
          </cell>
          <cell r="AL6">
            <v>6.944444444444442E-2</v>
          </cell>
        </row>
        <row r="7">
          <cell r="B7" t="str">
            <v>Aranesp, Intl.</v>
          </cell>
          <cell r="S7">
            <v>14.5</v>
          </cell>
          <cell r="U7">
            <v>130.9</v>
          </cell>
          <cell r="W7">
            <v>563.9</v>
          </cell>
          <cell r="Y7">
            <v>939.6</v>
          </cell>
          <cell r="AA7">
            <v>1169</v>
          </cell>
          <cell r="AB7">
            <v>0.2441464452958706</v>
          </cell>
          <cell r="AC7">
            <v>1317</v>
          </cell>
          <cell r="AD7">
            <v>0.1266039349871686</v>
          </cell>
          <cell r="AE7">
            <v>1375</v>
          </cell>
          <cell r="AF7">
            <v>4.4039483675019087E-2</v>
          </cell>
          <cell r="AG7">
            <v>1425</v>
          </cell>
          <cell r="AH7">
            <v>3.6363636363636376E-2</v>
          </cell>
          <cell r="AI7">
            <v>1450</v>
          </cell>
          <cell r="AJ7">
            <v>1.7543859649122862E-2</v>
          </cell>
          <cell r="AK7">
            <v>1485</v>
          </cell>
          <cell r="AL7">
            <v>2.4137931034482696E-2</v>
          </cell>
        </row>
        <row r="8">
          <cell r="B8" t="str">
            <v>Aranesp</v>
          </cell>
          <cell r="C8">
            <v>0</v>
          </cell>
          <cell r="E8">
            <v>0</v>
          </cell>
          <cell r="G8">
            <v>0</v>
          </cell>
          <cell r="I8">
            <v>0</v>
          </cell>
          <cell r="K8">
            <v>0</v>
          </cell>
          <cell r="M8">
            <v>0</v>
          </cell>
          <cell r="O8">
            <v>0</v>
          </cell>
          <cell r="Q8">
            <v>0</v>
          </cell>
          <cell r="S8">
            <v>41.5</v>
          </cell>
          <cell r="U8">
            <v>415.6</v>
          </cell>
          <cell r="W8">
            <v>1543.8</v>
          </cell>
          <cell r="X8">
            <v>2.7146294513955724</v>
          </cell>
          <cell r="Y8">
            <v>2472.9</v>
          </cell>
          <cell r="Z8">
            <v>0.60182666148464836</v>
          </cell>
          <cell r="AA8">
            <v>3273</v>
          </cell>
          <cell r="AB8">
            <v>0.32354725221399971</v>
          </cell>
          <cell r="AC8">
            <v>3913</v>
          </cell>
          <cell r="AD8">
            <v>0.19553926061717086</v>
          </cell>
          <cell r="AE8">
            <v>4350</v>
          </cell>
          <cell r="AF8">
            <v>0.1116790186557628</v>
          </cell>
          <cell r="AG8">
            <v>4725</v>
          </cell>
          <cell r="AH8">
            <v>8.6206896551724199E-2</v>
          </cell>
          <cell r="AI8">
            <v>5050</v>
          </cell>
          <cell r="AJ8">
            <v>6.8783068783068835E-2</v>
          </cell>
          <cell r="AK8">
            <v>5335</v>
          </cell>
          <cell r="AL8">
            <v>5.6435643564356486E-2</v>
          </cell>
        </row>
        <row r="9">
          <cell r="B9" t="str">
            <v>Neupogen, U.S.</v>
          </cell>
          <cell r="C9">
            <v>545.5</v>
          </cell>
          <cell r="E9">
            <v>617.20000000000005</v>
          </cell>
          <cell r="G9">
            <v>661.8</v>
          </cell>
          <cell r="I9">
            <v>731.6</v>
          </cell>
          <cell r="K9">
            <v>790</v>
          </cell>
          <cell r="M9">
            <v>853.2</v>
          </cell>
          <cell r="O9">
            <v>921.45600000000013</v>
          </cell>
          <cell r="Q9">
            <v>985.95792000000017</v>
          </cell>
          <cell r="S9">
            <v>1050.5999999999999</v>
          </cell>
          <cell r="U9">
            <v>1041.7</v>
          </cell>
          <cell r="W9">
            <v>880.5</v>
          </cell>
          <cell r="X9">
            <v>-0.15474704809446105</v>
          </cell>
          <cell r="Y9">
            <v>777.8</v>
          </cell>
          <cell r="AA9">
            <v>805</v>
          </cell>
          <cell r="AB9">
            <v>3.4970429416302462E-2</v>
          </cell>
          <cell r="AC9">
            <v>809</v>
          </cell>
          <cell r="AD9">
            <v>4.9689440993789802E-3</v>
          </cell>
          <cell r="AE9">
            <v>819.71999999999991</v>
          </cell>
          <cell r="AF9">
            <v>1.3250927070457275E-2</v>
          </cell>
          <cell r="AG9">
            <v>831.59999999999991</v>
          </cell>
          <cell r="AH9">
            <v>1.449275362318847E-2</v>
          </cell>
          <cell r="AI9">
            <v>831.59999999999991</v>
          </cell>
          <cell r="AJ9">
            <v>0</v>
          </cell>
          <cell r="AK9">
            <v>831.59999999999991</v>
          </cell>
          <cell r="AL9">
            <v>0</v>
          </cell>
        </row>
        <row r="10">
          <cell r="B10" t="str">
            <v>Neupogen, Intl.</v>
          </cell>
          <cell r="C10">
            <v>173.9</v>
          </cell>
          <cell r="E10">
            <v>211.7</v>
          </cell>
          <cell r="G10">
            <v>274.2</v>
          </cell>
          <cell r="I10">
            <v>284.7</v>
          </cell>
          <cell r="K10">
            <v>294.66449999999998</v>
          </cell>
          <cell r="M10">
            <v>309.39772499999998</v>
          </cell>
          <cell r="O10">
            <v>324.86761124999998</v>
          </cell>
          <cell r="Q10">
            <v>341.1109918125</v>
          </cell>
          <cell r="S10">
            <v>295.8</v>
          </cell>
          <cell r="U10">
            <v>337.9</v>
          </cell>
          <cell r="W10">
            <v>386.2</v>
          </cell>
          <cell r="X10">
            <v>0.14294169872743412</v>
          </cell>
          <cell r="Y10">
            <v>397.4</v>
          </cell>
          <cell r="AA10">
            <v>411</v>
          </cell>
          <cell r="AB10">
            <v>3.4222445898339338E-2</v>
          </cell>
          <cell r="AC10">
            <v>379</v>
          </cell>
          <cell r="AD10">
            <v>-7.7858880778588824E-2</v>
          </cell>
          <cell r="AE10">
            <v>368.28000000000009</v>
          </cell>
          <cell r="AF10">
            <v>-2.828496042216333E-2</v>
          </cell>
          <cell r="AG10">
            <v>356.40000000000003</v>
          </cell>
          <cell r="AH10">
            <v>-3.2258064516129115E-2</v>
          </cell>
          <cell r="AI10">
            <v>356.40000000000003</v>
          </cell>
          <cell r="AJ10">
            <v>0</v>
          </cell>
          <cell r="AK10">
            <v>356.40000000000003</v>
          </cell>
          <cell r="AL10">
            <v>0</v>
          </cell>
        </row>
        <row r="11">
          <cell r="B11" t="str">
            <v>Neupogen</v>
          </cell>
          <cell r="C11">
            <v>719.4</v>
          </cell>
          <cell r="E11">
            <v>828.90000000000009</v>
          </cell>
          <cell r="G11">
            <v>936</v>
          </cell>
          <cell r="I11">
            <v>1016.3</v>
          </cell>
          <cell r="K11">
            <v>1055.7</v>
          </cell>
          <cell r="M11">
            <v>1116.5999999999999</v>
          </cell>
          <cell r="O11">
            <v>1256.5999999999999</v>
          </cell>
          <cell r="Q11">
            <v>1223.7</v>
          </cell>
          <cell r="S11">
            <v>1346.3999999999999</v>
          </cell>
          <cell r="U11">
            <v>1379.6</v>
          </cell>
          <cell r="W11">
            <v>1266.7</v>
          </cell>
          <cell r="X11">
            <v>-8.1835314583937224E-2</v>
          </cell>
          <cell r="Y11">
            <v>1175.1999999999998</v>
          </cell>
          <cell r="Z11">
            <v>-7.2234941185758461E-2</v>
          </cell>
          <cell r="AA11">
            <v>1216</v>
          </cell>
          <cell r="AB11">
            <v>3.4717494894486167E-2</v>
          </cell>
          <cell r="AC11">
            <v>1188</v>
          </cell>
          <cell r="AD11">
            <v>-2.3026315789473673E-2</v>
          </cell>
          <cell r="AE11">
            <v>1188</v>
          </cell>
          <cell r="AF11">
            <v>0</v>
          </cell>
          <cell r="AG11">
            <v>1188</v>
          </cell>
          <cell r="AH11">
            <v>0</v>
          </cell>
          <cell r="AI11">
            <v>1188</v>
          </cell>
          <cell r="AJ11">
            <v>0</v>
          </cell>
          <cell r="AK11">
            <v>1188</v>
          </cell>
          <cell r="AL11">
            <v>0</v>
          </cell>
        </row>
        <row r="12">
          <cell r="B12" t="str">
            <v>Neulasta, U.S.</v>
          </cell>
          <cell r="Y12">
            <v>1476.5</v>
          </cell>
          <cell r="AA12">
            <v>1900</v>
          </cell>
          <cell r="AB12">
            <v>0.28682695563833382</v>
          </cell>
          <cell r="AC12">
            <v>2144.4937499999996</v>
          </cell>
          <cell r="AD12">
            <v>0.1286809210526314</v>
          </cell>
          <cell r="AE12">
            <v>2613.9768510000004</v>
          </cell>
          <cell r="AF12">
            <v>0.2189249099000643</v>
          </cell>
          <cell r="AG12">
            <v>2737.4321432400006</v>
          </cell>
          <cell r="AH12">
            <v>4.7228915662650639E-2</v>
          </cell>
          <cell r="AI12">
            <v>2764.1387982960005</v>
          </cell>
          <cell r="AJ12">
            <v>9.7560975609756184E-3</v>
          </cell>
          <cell r="AK12">
            <v>2764.1387982960005</v>
          </cell>
          <cell r="AL12">
            <v>0</v>
          </cell>
        </row>
        <row r="13">
          <cell r="B13" t="str">
            <v>Neulasta, Intl.</v>
          </cell>
          <cell r="Y13">
            <v>263.10000000000002</v>
          </cell>
          <cell r="AA13">
            <v>388</v>
          </cell>
          <cell r="AB13">
            <v>0.47472443937666275</v>
          </cell>
          <cell r="AC13">
            <v>458.50625000000002</v>
          </cell>
          <cell r="AD13">
            <v>0.18171713917525789</v>
          </cell>
          <cell r="AE13">
            <v>535.39284900000018</v>
          </cell>
          <cell r="AF13">
            <v>0.16768931503114759</v>
          </cell>
          <cell r="AG13">
            <v>600.89973876000033</v>
          </cell>
          <cell r="AH13">
            <v>0.12235294117647078</v>
          </cell>
          <cell r="AI13">
            <v>691.034699574</v>
          </cell>
          <cell r="AJ13">
            <v>0.14999999999999947</v>
          </cell>
          <cell r="AK13">
            <v>691.034699574</v>
          </cell>
          <cell r="AL13">
            <v>0</v>
          </cell>
        </row>
        <row r="14">
          <cell r="B14" t="str">
            <v>Neulasta</v>
          </cell>
          <cell r="C14">
            <v>0</v>
          </cell>
          <cell r="E14">
            <v>0</v>
          </cell>
          <cell r="G14">
            <v>0</v>
          </cell>
          <cell r="I14">
            <v>0</v>
          </cell>
          <cell r="K14">
            <v>0</v>
          </cell>
          <cell r="M14">
            <v>0</v>
          </cell>
          <cell r="O14">
            <v>0</v>
          </cell>
          <cell r="Q14">
            <v>0</v>
          </cell>
          <cell r="S14">
            <v>0</v>
          </cell>
          <cell r="U14">
            <v>463.5</v>
          </cell>
          <cell r="W14">
            <v>1255</v>
          </cell>
          <cell r="X14">
            <v>1.7076591154261056</v>
          </cell>
          <cell r="Y14">
            <v>1739.6</v>
          </cell>
          <cell r="Z14">
            <v>0.38613545816733064</v>
          </cell>
          <cell r="AA14">
            <v>2288</v>
          </cell>
          <cell r="AB14">
            <v>0.31524488388135219</v>
          </cell>
          <cell r="AC14">
            <v>2603</v>
          </cell>
          <cell r="AD14">
            <v>0.13767482517482521</v>
          </cell>
          <cell r="AE14">
            <v>2889.3300000000004</v>
          </cell>
          <cell r="AF14">
            <v>0.11</v>
          </cell>
          <cell r="AG14">
            <v>3149.3697000000006</v>
          </cell>
          <cell r="AH14">
            <v>0.09</v>
          </cell>
          <cell r="AI14">
            <v>3338.3318820000009</v>
          </cell>
          <cell r="AJ14">
            <v>0.06</v>
          </cell>
          <cell r="AK14">
            <v>3455.1734978700006</v>
          </cell>
          <cell r="AL14">
            <v>3.5000000000000003E-2</v>
          </cell>
        </row>
        <row r="15">
          <cell r="B15" t="str">
            <v xml:space="preserve">Enbrel </v>
          </cell>
          <cell r="C15">
            <v>0</v>
          </cell>
          <cell r="E15">
            <v>0</v>
          </cell>
          <cell r="G15">
            <v>0</v>
          </cell>
          <cell r="I15">
            <v>0</v>
          </cell>
          <cell r="K15">
            <v>0</v>
          </cell>
          <cell r="M15">
            <v>0</v>
          </cell>
          <cell r="O15">
            <v>0</v>
          </cell>
          <cell r="Q15">
            <v>0</v>
          </cell>
          <cell r="S15">
            <v>0</v>
          </cell>
          <cell r="U15">
            <v>362.09999999999997</v>
          </cell>
          <cell r="W15">
            <v>1300</v>
          </cell>
          <cell r="X15">
            <v>2.5901684617508978</v>
          </cell>
          <cell r="Y15">
            <v>1900.3</v>
          </cell>
          <cell r="Z15">
            <v>0.46176923076923071</v>
          </cell>
          <cell r="AA15">
            <v>2573</v>
          </cell>
          <cell r="AB15">
            <v>0.35399673735725945</v>
          </cell>
          <cell r="AC15">
            <v>2793</v>
          </cell>
          <cell r="AD15">
            <v>8.5503303536727637E-2</v>
          </cell>
          <cell r="AE15">
            <v>3016.8307284116399</v>
          </cell>
          <cell r="AF15">
            <v>8.013989560030077E-2</v>
          </cell>
          <cell r="AG15">
            <v>3233.3473223083402</v>
          </cell>
          <cell r="AH15">
            <v>7.1769553345373271E-2</v>
          </cell>
          <cell r="AI15">
            <v>3421.4242764919281</v>
          </cell>
          <cell r="AJ15">
            <v>5.8167878497295655E-2</v>
          </cell>
          <cell r="AK15">
            <v>3609.367628534259</v>
          </cell>
          <cell r="AL15">
            <v>5.4931320074408818E-2</v>
          </cell>
          <cell r="AM15">
            <v>0.19989101492097358</v>
          </cell>
          <cell r="AN15">
            <v>7.0035697760095078E-2</v>
          </cell>
        </row>
        <row r="16">
          <cell r="B16" t="str">
            <v>Sensipar</v>
          </cell>
          <cell r="C16">
            <v>0</v>
          </cell>
          <cell r="E16">
            <v>0</v>
          </cell>
          <cell r="G16">
            <v>0</v>
          </cell>
          <cell r="I16">
            <v>0</v>
          </cell>
          <cell r="K16">
            <v>0</v>
          </cell>
          <cell r="M16">
            <v>0</v>
          </cell>
          <cell r="O16">
            <v>0</v>
          </cell>
          <cell r="Q16">
            <v>0</v>
          </cell>
          <cell r="S16">
            <v>0</v>
          </cell>
          <cell r="U16">
            <v>0</v>
          </cell>
          <cell r="W16">
            <v>0</v>
          </cell>
          <cell r="Y16">
            <v>35</v>
          </cell>
          <cell r="Z16" t="str">
            <v>NM</v>
          </cell>
          <cell r="AA16">
            <v>151</v>
          </cell>
          <cell r="AB16">
            <v>3.3142857142857141</v>
          </cell>
          <cell r="AC16">
            <v>283</v>
          </cell>
          <cell r="AD16">
            <v>0.8741721854304636</v>
          </cell>
          <cell r="AE16">
            <v>382.05</v>
          </cell>
          <cell r="AF16">
            <v>0.35</v>
          </cell>
          <cell r="AG16">
            <v>458.46</v>
          </cell>
          <cell r="AH16">
            <v>0.2</v>
          </cell>
          <cell r="AI16">
            <v>495.13679999999999</v>
          </cell>
          <cell r="AJ16">
            <v>0.08</v>
          </cell>
          <cell r="AK16">
            <v>519.89364</v>
          </cell>
          <cell r="AL16">
            <v>0.05</v>
          </cell>
        </row>
        <row r="17">
          <cell r="B17" t="str">
            <v>Palifermin</v>
          </cell>
          <cell r="C17">
            <v>0</v>
          </cell>
          <cell r="E17">
            <v>0</v>
          </cell>
          <cell r="G17">
            <v>0</v>
          </cell>
          <cell r="I17">
            <v>0</v>
          </cell>
          <cell r="K17">
            <v>0</v>
          </cell>
          <cell r="M17">
            <v>0</v>
          </cell>
          <cell r="O17">
            <v>0</v>
          </cell>
          <cell r="Q17">
            <v>0</v>
          </cell>
          <cell r="S17">
            <v>0</v>
          </cell>
          <cell r="U17">
            <v>0</v>
          </cell>
          <cell r="W17">
            <v>0</v>
          </cell>
          <cell r="Y17">
            <v>0</v>
          </cell>
          <cell r="Z17" t="str">
            <v>NM</v>
          </cell>
          <cell r="AA17">
            <v>32</v>
          </cell>
          <cell r="AC17">
            <v>73</v>
          </cell>
          <cell r="AE17">
            <v>98.550000000000011</v>
          </cell>
          <cell r="AF17">
            <v>0.35</v>
          </cell>
          <cell r="AG17">
            <v>123.18750000000001</v>
          </cell>
          <cell r="AH17">
            <v>0.25</v>
          </cell>
          <cell r="AI17">
            <v>166.30312500000002</v>
          </cell>
          <cell r="AJ17">
            <v>0.35</v>
          </cell>
          <cell r="AK17">
            <v>224.50921875000006</v>
          </cell>
          <cell r="AL17">
            <v>0.35</v>
          </cell>
        </row>
        <row r="18">
          <cell r="B18" t="str">
            <v>Panitumumab</v>
          </cell>
          <cell r="U18">
            <v>0</v>
          </cell>
          <cell r="W18">
            <v>0</v>
          </cell>
          <cell r="Y18">
            <v>0</v>
          </cell>
          <cell r="Z18" t="str">
            <v>NM</v>
          </cell>
          <cell r="AA18">
            <v>0</v>
          </cell>
          <cell r="AC18">
            <v>35</v>
          </cell>
          <cell r="AE18">
            <v>225</v>
          </cell>
          <cell r="AG18">
            <v>475</v>
          </cell>
          <cell r="AI18">
            <v>700</v>
          </cell>
          <cell r="AK18">
            <v>850</v>
          </cell>
        </row>
        <row r="19">
          <cell r="B19" t="str">
            <v>AMG162</v>
          </cell>
          <cell r="AC19">
            <v>0</v>
          </cell>
          <cell r="AG19">
            <v>0</v>
          </cell>
          <cell r="AI19">
            <v>350</v>
          </cell>
          <cell r="AK19">
            <v>850</v>
          </cell>
        </row>
        <row r="20">
          <cell r="B20" t="str">
            <v xml:space="preserve">Other </v>
          </cell>
          <cell r="C20">
            <v>0</v>
          </cell>
          <cell r="E20">
            <v>0</v>
          </cell>
          <cell r="G20">
            <v>0</v>
          </cell>
          <cell r="I20">
            <v>0</v>
          </cell>
          <cell r="K20">
            <v>3.3</v>
          </cell>
          <cell r="M20">
            <v>15.8</v>
          </cell>
          <cell r="O20">
            <v>27.1</v>
          </cell>
          <cell r="Q20">
            <v>16.3</v>
          </cell>
          <cell r="S20">
            <v>14.600000000000001</v>
          </cell>
          <cell r="U20">
            <v>109.8</v>
          </cell>
          <cell r="W20">
            <v>68</v>
          </cell>
          <cell r="X20">
            <v>-0.38069216757741342</v>
          </cell>
          <cell r="Y20">
            <v>53.2</v>
          </cell>
          <cell r="Z20">
            <v>-0.21764705882352942</v>
          </cell>
          <cell r="AA20">
            <v>34</v>
          </cell>
          <cell r="AB20">
            <v>-0.36090225563909772</v>
          </cell>
          <cell r="AC20">
            <v>17</v>
          </cell>
          <cell r="AD20">
            <v>-0.5</v>
          </cell>
          <cell r="AE20">
            <v>18.700000000000003</v>
          </cell>
          <cell r="AF20">
            <v>0.1</v>
          </cell>
          <cell r="AG20">
            <v>65.450000000000017</v>
          </cell>
          <cell r="AH20">
            <v>2.5</v>
          </cell>
          <cell r="AI20">
            <v>196.35000000000005</v>
          </cell>
          <cell r="AJ20">
            <v>2</v>
          </cell>
          <cell r="AK20">
            <v>392.7000000000001</v>
          </cell>
          <cell r="AL20">
            <v>1</v>
          </cell>
        </row>
        <row r="21">
          <cell r="B21" t="str">
            <v>Total Product Sales</v>
          </cell>
          <cell r="C21">
            <v>1306.3</v>
          </cell>
          <cell r="E21">
            <v>1549.5</v>
          </cell>
          <cell r="G21">
            <v>1818.6</v>
          </cell>
          <cell r="I21">
            <v>2088.1999999999998</v>
          </cell>
          <cell r="K21">
            <v>2219.8000000000002</v>
          </cell>
          <cell r="M21">
            <v>2514.5</v>
          </cell>
          <cell r="O21">
            <v>3042.7999999999997</v>
          </cell>
          <cell r="Q21">
            <v>3202.2</v>
          </cell>
          <cell r="S21">
            <v>3511</v>
          </cell>
          <cell r="U21">
            <v>4991.1999999999989</v>
          </cell>
          <cell r="W21">
            <v>7868.2</v>
          </cell>
          <cell r="X21">
            <v>0.57641448950152308</v>
          </cell>
          <cell r="Y21">
            <v>9976.7999999999993</v>
          </cell>
          <cell r="Z21">
            <v>0.26799013751556888</v>
          </cell>
          <cell r="AA21">
            <v>12022</v>
          </cell>
          <cell r="AB21">
            <v>0.20499558976826249</v>
          </cell>
          <cell r="AC21">
            <v>13419</v>
          </cell>
          <cell r="AD21">
            <v>0.11620362668441198</v>
          </cell>
          <cell r="AE21">
            <v>14740.578225807069</v>
          </cell>
          <cell r="AF21">
            <v>9.8485596974966061E-2</v>
          </cell>
          <cell r="AG21">
            <v>16050.044428631663</v>
          </cell>
          <cell r="AH21">
            <v>8.883411374813277E-2</v>
          </cell>
          <cell r="AI21">
            <v>17614.424729985178</v>
          </cell>
          <cell r="AJ21">
            <v>9.7468907846935071E-2</v>
          </cell>
          <cell r="AK21">
            <v>19212.312301994083</v>
          </cell>
          <cell r="AL21">
            <v>9.0714717994099914E-2</v>
          </cell>
        </row>
        <row r="22">
          <cell r="B22" t="str">
            <v>Corporate Partner Rev.</v>
          </cell>
          <cell r="C22">
            <v>48.6</v>
          </cell>
          <cell r="E22">
            <v>70.400000000000006</v>
          </cell>
          <cell r="G22">
            <v>85.2</v>
          </cell>
          <cell r="I22">
            <v>109.9</v>
          </cell>
          <cell r="K22">
            <v>125.9</v>
          </cell>
          <cell r="M22">
            <v>127.9</v>
          </cell>
          <cell r="O22">
            <v>161.4</v>
          </cell>
          <cell r="Q22">
            <v>246.2</v>
          </cell>
          <cell r="S22">
            <v>252</v>
          </cell>
          <cell r="U22">
            <v>200.3</v>
          </cell>
          <cell r="W22">
            <v>104.69999999999999</v>
          </cell>
          <cell r="X22">
            <v>-0.47728407388916638</v>
          </cell>
          <cell r="Y22">
            <v>137.9</v>
          </cell>
          <cell r="Z22">
            <v>0.31709646609360087</v>
          </cell>
          <cell r="AA22">
            <v>0</v>
          </cell>
          <cell r="AC22">
            <v>0</v>
          </cell>
          <cell r="AE22">
            <v>0</v>
          </cell>
          <cell r="AG22">
            <v>0</v>
          </cell>
          <cell r="AI22">
            <v>0</v>
          </cell>
          <cell r="AK22">
            <v>0</v>
          </cell>
        </row>
        <row r="23">
          <cell r="B23" t="str">
            <v>Royalties</v>
          </cell>
          <cell r="C23">
            <v>18.899999999999999</v>
          </cell>
          <cell r="E23">
            <v>27.9</v>
          </cell>
          <cell r="G23">
            <v>36.1</v>
          </cell>
          <cell r="I23">
            <v>41.7</v>
          </cell>
          <cell r="K23">
            <v>55.3</v>
          </cell>
          <cell r="M23">
            <v>75.900000000000006</v>
          </cell>
          <cell r="O23">
            <v>135.9</v>
          </cell>
          <cell r="Q23">
            <v>181</v>
          </cell>
          <cell r="S23">
            <v>252.7</v>
          </cell>
          <cell r="U23">
            <v>331.5</v>
          </cell>
          <cell r="W23">
            <v>383.1</v>
          </cell>
          <cell r="X23">
            <v>0.15565610859728518</v>
          </cell>
          <cell r="Y23">
            <v>435.2</v>
          </cell>
          <cell r="Z23">
            <v>0.13599582354476625</v>
          </cell>
          <cell r="AA23">
            <v>408</v>
          </cell>
          <cell r="AB23">
            <v>-6.25E-2</v>
          </cell>
          <cell r="AC23">
            <v>360</v>
          </cell>
          <cell r="AD23">
            <v>-0.11764705882352944</v>
          </cell>
          <cell r="AE23">
            <v>349.2</v>
          </cell>
          <cell r="AF23">
            <v>-0.03</v>
          </cell>
          <cell r="AG23">
            <v>321.26400000000001</v>
          </cell>
          <cell r="AH23">
            <v>-0.08</v>
          </cell>
          <cell r="AI23">
            <v>305.20080000000002</v>
          </cell>
          <cell r="AJ23">
            <v>-0.05</v>
          </cell>
          <cell r="AK23">
            <v>289.94076000000001</v>
          </cell>
          <cell r="AL23">
            <v>-0.05</v>
          </cell>
        </row>
        <row r="24">
          <cell r="B24" t="str">
            <v>Total Revenues</v>
          </cell>
          <cell r="C24">
            <v>1373.8</v>
          </cell>
          <cell r="D24" t="e">
            <v>#DIV/0!</v>
          </cell>
          <cell r="E24">
            <v>1647.8</v>
          </cell>
          <cell r="F24">
            <v>0.19944678992575349</v>
          </cell>
          <cell r="G24">
            <v>1939.8999999999999</v>
          </cell>
          <cell r="H24">
            <v>0.17726665857506974</v>
          </cell>
          <cell r="I24">
            <v>2239.7999999999997</v>
          </cell>
          <cell r="J24">
            <v>0.15459559771122211</v>
          </cell>
          <cell r="K24">
            <v>2401</v>
          </cell>
          <cell r="L24">
            <v>7.1970711670684917E-2</v>
          </cell>
          <cell r="M24">
            <v>2718.2</v>
          </cell>
          <cell r="N24">
            <v>0.13211162015826727</v>
          </cell>
          <cell r="O24">
            <v>3340.1</v>
          </cell>
          <cell r="P24">
            <v>0.22879111176513867</v>
          </cell>
          <cell r="Q24">
            <v>3629.3999999999996</v>
          </cell>
          <cell r="R24">
            <v>8.6614173228346303E-2</v>
          </cell>
          <cell r="S24">
            <v>4015.7</v>
          </cell>
          <cell r="T24">
            <v>0.10643632556345417</v>
          </cell>
          <cell r="U24">
            <v>5522.9999999999991</v>
          </cell>
          <cell r="V24">
            <v>0.37535174440321728</v>
          </cell>
          <cell r="W24">
            <v>8356</v>
          </cell>
          <cell r="X24">
            <v>0.51294586275574883</v>
          </cell>
          <cell r="Y24">
            <v>10549.9</v>
          </cell>
          <cell r="Z24">
            <v>0.26255385351842975</v>
          </cell>
          <cell r="AA24">
            <v>12430</v>
          </cell>
          <cell r="AB24">
            <v>0.17821022000208542</v>
          </cell>
          <cell r="AC24">
            <v>13779</v>
          </cell>
          <cell r="AD24">
            <v>0.10852775543041027</v>
          </cell>
          <cell r="AE24">
            <v>15089.778225807069</v>
          </cell>
          <cell r="AF24">
            <v>9.5128690457004783E-2</v>
          </cell>
          <cell r="AG24">
            <v>16371.308428631663</v>
          </cell>
          <cell r="AH24">
            <v>8.4927040255162511E-2</v>
          </cell>
          <cell r="AI24">
            <v>17919.625529985176</v>
          </cell>
          <cell r="AJ24">
            <v>9.4575037059693612E-2</v>
          </cell>
          <cell r="AK24">
            <v>19502.253061994084</v>
          </cell>
          <cell r="AL24">
            <v>8.8318114090089272E-2</v>
          </cell>
          <cell r="AO24" t="str">
            <v>mstag:revenueNet</v>
          </cell>
          <cell r="AP24">
            <v>6</v>
          </cell>
          <cell r="AQ24" t="str">
            <v>ISO4217:USD</v>
          </cell>
          <cell r="AR24" t="b">
            <v>0</v>
          </cell>
          <cell r="AS24" t="b">
            <v>0</v>
          </cell>
        </row>
        <row r="25">
          <cell r="B25" t="str">
            <v>Operating Expenses:</v>
          </cell>
        </row>
        <row r="26">
          <cell r="B26" t="str">
            <v xml:space="preserve">   Cost of Sales</v>
          </cell>
          <cell r="C26">
            <v>220</v>
          </cell>
          <cell r="E26">
            <v>238.1</v>
          </cell>
          <cell r="G26">
            <v>272.89999999999998</v>
          </cell>
          <cell r="I26">
            <v>283.2</v>
          </cell>
          <cell r="K26">
            <v>300.8</v>
          </cell>
          <cell r="M26">
            <v>345.2</v>
          </cell>
          <cell r="O26">
            <v>402.1</v>
          </cell>
          <cell r="Q26">
            <v>408.4</v>
          </cell>
          <cell r="S26">
            <v>443</v>
          </cell>
          <cell r="U26">
            <v>735.7</v>
          </cell>
          <cell r="W26">
            <v>1340.7</v>
          </cell>
          <cell r="X26">
            <v>0.82234606497213525</v>
          </cell>
          <cell r="Y26">
            <v>1731</v>
          </cell>
          <cell r="Z26">
            <v>0.29111658089057957</v>
          </cell>
          <cell r="AA26">
            <v>2035</v>
          </cell>
          <cell r="AB26">
            <v>0.17562102830733672</v>
          </cell>
          <cell r="AC26">
            <v>2275.2525000000001</v>
          </cell>
          <cell r="AD26">
            <v>0.11806019656019662</v>
          </cell>
          <cell r="AE26">
            <v>2471.3026127583394</v>
          </cell>
          <cell r="AF26">
            <v>8.6166310226376774E-2</v>
          </cell>
          <cell r="AG26">
            <v>2663.674218929084</v>
          </cell>
          <cell r="AH26">
            <v>7.7842189450052501E-2</v>
          </cell>
          <cell r="AI26">
            <v>2921.8139905241542</v>
          </cell>
          <cell r="AJ26">
            <v>9.6911164946760664E-2</v>
          </cell>
          <cell r="AK26">
            <v>3229.9239384968482</v>
          </cell>
          <cell r="AL26">
            <v>0.10545159581408581</v>
          </cell>
          <cell r="AO26" t="str">
            <v>mstag:costOfSalesWithDepreciation</v>
          </cell>
          <cell r="AP26">
            <v>6</v>
          </cell>
          <cell r="AQ26" t="str">
            <v>ISO4217:USD</v>
          </cell>
          <cell r="AR26" t="b">
            <v>0</v>
          </cell>
          <cell r="AS26" t="b">
            <v>0</v>
          </cell>
        </row>
        <row r="27">
          <cell r="B27" t="str">
            <v xml:space="preserve">   % of Product Revenues</v>
          </cell>
          <cell r="C27">
            <v>0.16841460613947792</v>
          </cell>
          <cell r="E27">
            <v>0.15366247176508552</v>
          </cell>
          <cell r="G27">
            <v>0.15006048608819972</v>
          </cell>
          <cell r="I27">
            <v>0.13561919356383489</v>
          </cell>
          <cell r="K27">
            <v>0.1355077033967024</v>
          </cell>
          <cell r="M27">
            <v>0.13728375422549213</v>
          </cell>
          <cell r="O27">
            <v>0.13214802155909033</v>
          </cell>
          <cell r="Q27">
            <v>0.1275373180938105</v>
          </cell>
          <cell r="S27">
            <v>0.12617487895186558</v>
          </cell>
          <cell r="U27">
            <v>0.14739942298445269</v>
          </cell>
          <cell r="W27">
            <v>0.1703947535649831</v>
          </cell>
          <cell r="Y27">
            <v>0.17335217705075778</v>
          </cell>
          <cell r="AA27">
            <v>0.16927299950091498</v>
          </cell>
          <cell r="AC27">
            <v>0.16955454951933827</v>
          </cell>
          <cell r="AE27">
            <v>0.1676530306275032</v>
          </cell>
          <cell r="AG27">
            <v>0.16596055112329516</v>
          </cell>
          <cell r="AI27">
            <v>0.1658762085797969</v>
          </cell>
          <cell r="AK27">
            <v>0.16811739720479185</v>
          </cell>
        </row>
        <row r="28">
          <cell r="B28" t="str">
            <v xml:space="preserve">   R&amp;D</v>
          </cell>
          <cell r="C28">
            <v>255.3</v>
          </cell>
          <cell r="E28">
            <v>323.60000000000002</v>
          </cell>
          <cell r="G28">
            <v>451.7</v>
          </cell>
          <cell r="I28">
            <v>528.29999999999995</v>
          </cell>
          <cell r="K28">
            <v>630.79999999999995</v>
          </cell>
          <cell r="M28">
            <v>663.3</v>
          </cell>
          <cell r="O28">
            <v>822.8</v>
          </cell>
          <cell r="Q28">
            <v>845</v>
          </cell>
          <cell r="S28">
            <v>865</v>
          </cell>
          <cell r="U28">
            <v>1116.5999999999999</v>
          </cell>
          <cell r="W28">
            <v>1655.4</v>
          </cell>
          <cell r="X28">
            <v>0.48253627082213879</v>
          </cell>
          <cell r="Y28">
            <v>2028</v>
          </cell>
          <cell r="Z28">
            <v>0.22508155128669793</v>
          </cell>
          <cell r="AA28">
            <v>2302</v>
          </cell>
          <cell r="AB28">
            <v>0.13510848126232733</v>
          </cell>
          <cell r="AC28">
            <v>3009</v>
          </cell>
          <cell r="AD28">
            <v>0.30712423979148573</v>
          </cell>
          <cell r="AE28">
            <v>3327.2960987904589</v>
          </cell>
          <cell r="AF28">
            <v>0.10578135553022894</v>
          </cell>
          <cell r="AG28">
            <v>3601.6878542989657</v>
          </cell>
          <cell r="AH28">
            <v>8.2466888236443436E-2</v>
          </cell>
          <cell r="AI28">
            <v>3897.5185527717758</v>
          </cell>
          <cell r="AJ28">
            <v>8.2136684365833545E-2</v>
          </cell>
          <cell r="AK28">
            <v>4192.984408328728</v>
          </cell>
          <cell r="AL28">
            <v>7.5808710479858377E-2</v>
          </cell>
          <cell r="AO28" t="str">
            <v>mstag:researchAndDevelopment</v>
          </cell>
          <cell r="AP28">
            <v>6</v>
          </cell>
          <cell r="AQ28" t="str">
            <v>ISO4217:USD</v>
          </cell>
          <cell r="AR28" t="b">
            <v>0</v>
          </cell>
          <cell r="AS28" t="b">
            <v>0</v>
          </cell>
        </row>
        <row r="29">
          <cell r="B29" t="str">
            <v xml:space="preserve">   % of Total Revenues</v>
          </cell>
          <cell r="C29">
            <v>0.18583491046731695</v>
          </cell>
          <cell r="E29">
            <v>0.19638305619614033</v>
          </cell>
          <cell r="G29">
            <v>0.23284705397185423</v>
          </cell>
          <cell r="I29">
            <v>0.23586927404232522</v>
          </cell>
          <cell r="K29">
            <v>0.26272386505622658</v>
          </cell>
          <cell r="M29">
            <v>0.24402177911853432</v>
          </cell>
          <cell r="O29">
            <v>0.24633992994221729</v>
          </cell>
          <cell r="Q29">
            <v>0.23282085193144875</v>
          </cell>
          <cell r="S29">
            <v>0.21540453719152328</v>
          </cell>
          <cell r="U29">
            <v>0.20217273221075505</v>
          </cell>
          <cell r="W29">
            <v>0.19810914313068456</v>
          </cell>
          <cell r="Y29">
            <v>0.19222931023042872</v>
          </cell>
          <cell r="AA29">
            <v>0.21</v>
          </cell>
          <cell r="AC29">
            <v>0.21837578924450252</v>
          </cell>
          <cell r="AE29">
            <v>0.2205</v>
          </cell>
          <cell r="AG29">
            <v>0.22</v>
          </cell>
          <cell r="AI29">
            <v>0.2175</v>
          </cell>
          <cell r="AK29">
            <v>0.215</v>
          </cell>
        </row>
        <row r="30">
          <cell r="B30" t="str">
            <v xml:space="preserve">   SG&amp;A</v>
          </cell>
          <cell r="C30">
            <v>114.3</v>
          </cell>
          <cell r="E30">
            <v>122.9</v>
          </cell>
          <cell r="G30">
            <v>418.4</v>
          </cell>
          <cell r="I30">
            <v>470.6</v>
          </cell>
          <cell r="K30">
            <v>483.8</v>
          </cell>
          <cell r="M30">
            <v>515.4</v>
          </cell>
          <cell r="O30">
            <v>654.29999999999995</v>
          </cell>
          <cell r="Q30">
            <v>826.9</v>
          </cell>
          <cell r="S30">
            <v>970.7</v>
          </cell>
          <cell r="U30">
            <v>1462.1</v>
          </cell>
          <cell r="W30">
            <v>1952.6</v>
          </cell>
          <cell r="X30">
            <v>0.3354763696053622</v>
          </cell>
          <cell r="Y30">
            <v>2556</v>
          </cell>
          <cell r="Z30">
            <v>0.30902386561507744</v>
          </cell>
          <cell r="AA30">
            <v>2792</v>
          </cell>
          <cell r="AB30">
            <v>9.2331768388106417E-2</v>
          </cell>
          <cell r="AC30">
            <v>3027.1130000000003</v>
          </cell>
          <cell r="AD30">
            <v>8.4209527220630465E-2</v>
          </cell>
          <cell r="AE30">
            <v>3266.9369858872305</v>
          </cell>
          <cell r="AF30">
            <v>7.9225316625851194E-2</v>
          </cell>
          <cell r="AG30">
            <v>3544.388274798755</v>
          </cell>
          <cell r="AH30">
            <v>8.4927040255162511E-2</v>
          </cell>
          <cell r="AI30">
            <v>4255.911063371479</v>
          </cell>
          <cell r="AJ30">
            <v>0.20074628776756209</v>
          </cell>
          <cell r="AK30">
            <v>4875.5632654985211</v>
          </cell>
          <cell r="AL30">
            <v>0.14559801483167312</v>
          </cell>
          <cell r="AO30" t="str">
            <v>mstag:sellingGeneralAndAdministrativeExpenses</v>
          </cell>
          <cell r="AP30">
            <v>6</v>
          </cell>
          <cell r="AQ30" t="str">
            <v>ISO4217:USD</v>
          </cell>
          <cell r="AR30" t="b">
            <v>0</v>
          </cell>
          <cell r="AS30" t="b">
            <v>0</v>
          </cell>
        </row>
        <row r="31">
          <cell r="B31" t="str">
            <v xml:space="preserve">   % of Total Revenues</v>
          </cell>
          <cell r="C31">
            <v>8.3199883534721214E-2</v>
          </cell>
          <cell r="E31">
            <v>7.4584294210462435E-2</v>
          </cell>
          <cell r="G31">
            <v>0.21568122068147844</v>
          </cell>
          <cell r="I31">
            <v>0.21010804536119301</v>
          </cell>
          <cell r="K31">
            <v>0.2014993752603082</v>
          </cell>
          <cell r="M31">
            <v>0.18961077183430211</v>
          </cell>
          <cell r="O31">
            <v>0.19589233855273794</v>
          </cell>
          <cell r="Q31">
            <v>0.22783380173031356</v>
          </cell>
          <cell r="S31">
            <v>0.2417262245685684</v>
          </cell>
          <cell r="U31">
            <v>0.26472931377874348</v>
          </cell>
          <cell r="W31">
            <v>0.23367640019147917</v>
          </cell>
          <cell r="Y31">
            <v>0.24227717798272971</v>
          </cell>
          <cell r="AA31">
            <v>0.23</v>
          </cell>
          <cell r="AC31">
            <v>0.21969032585819001</v>
          </cell>
          <cell r="AE31">
            <v>0.2165</v>
          </cell>
          <cell r="AG31">
            <v>0.2165</v>
          </cell>
          <cell r="AI31">
            <v>0.23749999999999999</v>
          </cell>
          <cell r="AK31">
            <v>0.25</v>
          </cell>
        </row>
        <row r="32">
          <cell r="B32" t="str">
            <v xml:space="preserve">   Loss of Affiliates, Net</v>
          </cell>
          <cell r="C32">
            <v>12.6</v>
          </cell>
          <cell r="E32">
            <v>31.2</v>
          </cell>
          <cell r="G32">
            <v>53.3</v>
          </cell>
          <cell r="I32">
            <v>52.8</v>
          </cell>
          <cell r="K32">
            <v>36.1</v>
          </cell>
          <cell r="M32">
            <v>28.6</v>
          </cell>
          <cell r="O32">
            <v>16.8</v>
          </cell>
          <cell r="Q32">
            <v>23.9</v>
          </cell>
          <cell r="S32">
            <v>2.7</v>
          </cell>
          <cell r="U32">
            <v>-12.6</v>
          </cell>
          <cell r="W32">
            <v>4.3</v>
          </cell>
          <cell r="X32" t="str">
            <v>NM</v>
          </cell>
          <cell r="Y32">
            <v>0</v>
          </cell>
          <cell r="AA32">
            <v>0</v>
          </cell>
          <cell r="AC32">
            <v>0</v>
          </cell>
          <cell r="AE32">
            <v>0</v>
          </cell>
          <cell r="AG32">
            <v>0</v>
          </cell>
          <cell r="AI32">
            <v>0</v>
          </cell>
          <cell r="AK32">
            <v>0</v>
          </cell>
          <cell r="AO32" t="str">
            <v>mstag:otherOperatingExpense</v>
          </cell>
          <cell r="AP32">
            <v>6</v>
          </cell>
          <cell r="AQ32" t="str">
            <v>ISO4217:USD</v>
          </cell>
          <cell r="AR32" t="b">
            <v>0</v>
          </cell>
          <cell r="AS32" t="b">
            <v>0</v>
          </cell>
        </row>
        <row r="33">
          <cell r="B33" t="str">
            <v xml:space="preserve">   Other </v>
          </cell>
          <cell r="C33">
            <v>-13.9</v>
          </cell>
          <cell r="E33">
            <v>116.4</v>
          </cell>
          <cell r="G33">
            <v>0</v>
          </cell>
          <cell r="I33">
            <v>0</v>
          </cell>
          <cell r="K33">
            <v>157</v>
          </cell>
          <cell r="M33">
            <v>-23</v>
          </cell>
          <cell r="O33">
            <v>-49</v>
          </cell>
          <cell r="Q33">
            <v>-18.8</v>
          </cell>
          <cell r="S33">
            <v>203.1</v>
          </cell>
          <cell r="U33">
            <v>-141.30000000000001</v>
          </cell>
          <cell r="W33">
            <v>-24</v>
          </cell>
          <cell r="Y33">
            <v>0</v>
          </cell>
          <cell r="AA33">
            <v>0</v>
          </cell>
          <cell r="AC33">
            <v>0</v>
          </cell>
          <cell r="AE33">
            <v>0</v>
          </cell>
          <cell r="AG33">
            <v>0</v>
          </cell>
          <cell r="AI33">
            <v>0</v>
          </cell>
          <cell r="AK33">
            <v>0</v>
          </cell>
          <cell r="AO33" t="str">
            <v>mstag:otherOperatingExpense</v>
          </cell>
          <cell r="AP33">
            <v>6</v>
          </cell>
          <cell r="AQ33" t="str">
            <v>ISO4217:USD</v>
          </cell>
          <cell r="AR33" t="b">
            <v>0</v>
          </cell>
          <cell r="AS33" t="b">
            <v>0</v>
          </cell>
        </row>
        <row r="34">
          <cell r="B34" t="str">
            <v>Total Operating Expenses</v>
          </cell>
          <cell r="C34">
            <v>588.29999999999995</v>
          </cell>
          <cell r="E34">
            <v>832.2</v>
          </cell>
          <cell r="G34">
            <v>1196.3</v>
          </cell>
          <cell r="I34">
            <v>1334.8999999999999</v>
          </cell>
          <cell r="K34">
            <v>1608.4999999999998</v>
          </cell>
          <cell r="M34">
            <v>1529.5</v>
          </cell>
          <cell r="O34">
            <v>1847</v>
          </cell>
          <cell r="Q34">
            <v>2085.4</v>
          </cell>
          <cell r="S34">
            <v>2484.5</v>
          </cell>
          <cell r="U34">
            <v>3160.5</v>
          </cell>
          <cell r="W34">
            <v>4929.0000000000009</v>
          </cell>
          <cell r="X34">
            <v>0.55956336022781228</v>
          </cell>
          <cell r="Y34">
            <v>6315</v>
          </cell>
          <cell r="Z34">
            <v>0.28119293974436976</v>
          </cell>
          <cell r="AA34">
            <v>7129</v>
          </cell>
          <cell r="AB34">
            <v>0.12889944576405377</v>
          </cell>
          <cell r="AC34">
            <v>8311.3654999999999</v>
          </cell>
          <cell r="AD34">
            <v>0.16585292467386736</v>
          </cell>
          <cell r="AE34">
            <v>9065.5356974360293</v>
          </cell>
          <cell r="AF34">
            <v>9.073962605013941E-2</v>
          </cell>
          <cell r="AG34">
            <v>9809.7503480268042</v>
          </cell>
          <cell r="AH34">
            <v>8.2092738413821253E-2</v>
          </cell>
          <cell r="AI34">
            <v>11075.243606667409</v>
          </cell>
          <cell r="AJ34">
            <v>0.12900361515266834</v>
          </cell>
          <cell r="AK34">
            <v>12298.471612324098</v>
          </cell>
          <cell r="AL34">
            <v>0.11044705192040127</v>
          </cell>
        </row>
        <row r="35">
          <cell r="B35" t="str">
            <v xml:space="preserve">Operating Income (Loss) </v>
          </cell>
          <cell r="C35">
            <v>785.5</v>
          </cell>
          <cell r="E35">
            <v>815.59999999999991</v>
          </cell>
          <cell r="G35">
            <v>743.59999999999991</v>
          </cell>
          <cell r="I35">
            <v>904.89999999999986</v>
          </cell>
          <cell r="K35">
            <v>792.50000000000023</v>
          </cell>
          <cell r="M35">
            <v>1188.6999999999998</v>
          </cell>
          <cell r="O35">
            <v>1493.1</v>
          </cell>
          <cell r="Q35">
            <v>1543.9999999999995</v>
          </cell>
          <cell r="S35">
            <v>1531.1999999999998</v>
          </cell>
          <cell r="U35">
            <v>2362.4999999999991</v>
          </cell>
          <cell r="W35">
            <v>3426.9999999999991</v>
          </cell>
          <cell r="X35">
            <v>0.45058201058201086</v>
          </cell>
          <cell r="Y35">
            <v>4234.8999999999996</v>
          </cell>
          <cell r="Z35">
            <v>0.23574555004377018</v>
          </cell>
          <cell r="AA35">
            <v>5301</v>
          </cell>
          <cell r="AB35">
            <v>0.25174148149897291</v>
          </cell>
          <cell r="AC35">
            <v>5467.6345000000001</v>
          </cell>
          <cell r="AD35">
            <v>3.143454065270701E-2</v>
          </cell>
          <cell r="AE35">
            <v>6024.24252837104</v>
          </cell>
          <cell r="AF35">
            <v>0.10180051873822937</v>
          </cell>
          <cell r="AG35">
            <v>6561.5580806048583</v>
          </cell>
          <cell r="AH35">
            <v>8.919221789350984E-2</v>
          </cell>
          <cell r="AI35">
            <v>6844.3819233177674</v>
          </cell>
          <cell r="AJ35">
            <v>4.3103153128964955E-2</v>
          </cell>
          <cell r="AK35">
            <v>7203.7814496699866</v>
          </cell>
          <cell r="AL35">
            <v>5.2510150716136961E-2</v>
          </cell>
        </row>
        <row r="36">
          <cell r="B36" t="str">
            <v>Operatin Margins</v>
          </cell>
          <cell r="C36">
            <v>0.57177172805357401</v>
          </cell>
          <cell r="E36">
            <v>0.49496298094428931</v>
          </cell>
          <cell r="G36">
            <v>0.38331872776947262</v>
          </cell>
          <cell r="I36">
            <v>0.40400928654344137</v>
          </cell>
          <cell r="K36">
            <v>0.33007080383173687</v>
          </cell>
          <cell r="M36">
            <v>0.43731145611066141</v>
          </cell>
          <cell r="O36">
            <v>0.44702254423520255</v>
          </cell>
          <cell r="Q36">
            <v>0.42541466909130976</v>
          </cell>
          <cell r="S36">
            <v>0.38130338421694843</v>
          </cell>
          <cell r="U36">
            <v>0.42775665399239532</v>
          </cell>
          <cell r="W36">
            <v>0.41012446146481557</v>
          </cell>
          <cell r="Y36">
            <v>0.40141612716708214</v>
          </cell>
          <cell r="AA36">
            <v>0.42646822204344326</v>
          </cell>
          <cell r="AC36">
            <v>0.39680923869656726</v>
          </cell>
          <cell r="AE36">
            <v>0.39922671083847799</v>
          </cell>
          <cell r="AG36">
            <v>0.40079619226581775</v>
          </cell>
          <cell r="AI36">
            <v>0.38194893703916755</v>
          </cell>
          <cell r="AK36">
            <v>0.36938201072309373</v>
          </cell>
        </row>
        <row r="37">
          <cell r="B37" t="str">
            <v xml:space="preserve">   Interest, Other Income</v>
          </cell>
          <cell r="C37">
            <v>27.2</v>
          </cell>
          <cell r="E37">
            <v>21.5</v>
          </cell>
          <cell r="G37">
            <v>66.099999999999994</v>
          </cell>
          <cell r="I37">
            <v>63.6</v>
          </cell>
          <cell r="K37">
            <v>72.599999999999994</v>
          </cell>
          <cell r="M37">
            <v>45.7</v>
          </cell>
          <cell r="O37">
            <v>88.3</v>
          </cell>
          <cell r="Q37">
            <v>146.19999999999999</v>
          </cell>
          <cell r="S37">
            <v>168.7</v>
          </cell>
          <cell r="U37">
            <v>144.19999999999999</v>
          </cell>
          <cell r="W37">
            <v>113.4</v>
          </cell>
          <cell r="X37">
            <v>-0.21359223300970864</v>
          </cell>
          <cell r="Y37">
            <v>99.7</v>
          </cell>
          <cell r="AA37">
            <v>157</v>
          </cell>
          <cell r="AC37">
            <v>329</v>
          </cell>
          <cell r="AE37">
            <v>210.7171588806757</v>
          </cell>
          <cell r="AG37">
            <v>265.32581027251831</v>
          </cell>
          <cell r="AI37">
            <v>323.62060238808283</v>
          </cell>
          <cell r="AK37">
            <v>403.8061044023068</v>
          </cell>
          <cell r="AO37" t="str">
            <v>mstag:interestAndDividendIncome</v>
          </cell>
          <cell r="AP37">
            <v>6</v>
          </cell>
          <cell r="AQ37" t="str">
            <v>ISO4217:USD</v>
          </cell>
          <cell r="AR37" t="b">
            <v>0</v>
          </cell>
          <cell r="AS37" t="b">
            <v>0</v>
          </cell>
        </row>
        <row r="38">
          <cell r="B38" t="str">
            <v xml:space="preserve">   Interest, Other Expense</v>
          </cell>
          <cell r="C38">
            <v>-6.2</v>
          </cell>
          <cell r="E38">
            <v>-12</v>
          </cell>
          <cell r="G38">
            <v>-15.3</v>
          </cell>
          <cell r="I38">
            <v>-6.2</v>
          </cell>
          <cell r="K38">
            <v>-3.7</v>
          </cell>
          <cell r="M38">
            <v>-10</v>
          </cell>
          <cell r="O38">
            <v>-15.2</v>
          </cell>
          <cell r="Q38">
            <v>-15.9</v>
          </cell>
          <cell r="S38">
            <v>-13.6</v>
          </cell>
          <cell r="U38">
            <v>-44.2</v>
          </cell>
          <cell r="W38">
            <v>-31.5</v>
          </cell>
          <cell r="X38">
            <v>-0.28733031674208154</v>
          </cell>
          <cell r="Y38">
            <v>-52.5</v>
          </cell>
          <cell r="AA38">
            <v>-137</v>
          </cell>
          <cell r="AC38">
            <v>-136</v>
          </cell>
          <cell r="AE38">
            <v>-128.80025000000001</v>
          </cell>
          <cell r="AG38">
            <v>-128.80025000000001</v>
          </cell>
          <cell r="AI38">
            <v>-88.888750000000002</v>
          </cell>
          <cell r="AK38">
            <v>-88.888750000000002</v>
          </cell>
          <cell r="AO38" t="str">
            <v>mstag:interestExpense</v>
          </cell>
          <cell r="AP38">
            <v>6</v>
          </cell>
          <cell r="AQ38" t="str">
            <v>ISO4217:USD</v>
          </cell>
          <cell r="AR38" t="b">
            <v>1</v>
          </cell>
          <cell r="AS38" t="b">
            <v>0</v>
          </cell>
        </row>
        <row r="39">
          <cell r="B39" t="str">
            <v xml:space="preserve">Pretax Income (Loss) </v>
          </cell>
          <cell r="C39">
            <v>806.5</v>
          </cell>
          <cell r="E39">
            <v>825.09999999999991</v>
          </cell>
          <cell r="G39">
            <v>794.4</v>
          </cell>
          <cell r="I39">
            <v>962.29999999999984</v>
          </cell>
          <cell r="K39">
            <v>861.4000000000002</v>
          </cell>
          <cell r="M39">
            <v>1224.3999999999999</v>
          </cell>
          <cell r="O39">
            <v>1566.1999999999998</v>
          </cell>
          <cell r="Q39">
            <v>1674.2999999999995</v>
          </cell>
          <cell r="S39">
            <v>1686.3</v>
          </cell>
          <cell r="U39">
            <v>2462.4999999999991</v>
          </cell>
          <cell r="V39">
            <v>0.46029769317440494</v>
          </cell>
          <cell r="W39">
            <v>3508.8999999999992</v>
          </cell>
          <cell r="X39">
            <v>0.42493401015228449</v>
          </cell>
          <cell r="Y39">
            <v>4282.0999999999995</v>
          </cell>
          <cell r="Z39">
            <v>0.2203539570805666</v>
          </cell>
          <cell r="AA39">
            <v>5321</v>
          </cell>
          <cell r="AB39">
            <v>0.24261460498353626</v>
          </cell>
          <cell r="AC39">
            <v>5660.6345000000001</v>
          </cell>
          <cell r="AD39">
            <v>6.3829073482428056E-2</v>
          </cell>
          <cell r="AE39">
            <v>6106.1594372517156</v>
          </cell>
          <cell r="AF39">
            <v>7.8705830106451158E-2</v>
          </cell>
          <cell r="AG39">
            <v>6698.0836408773766</v>
          </cell>
          <cell r="AH39">
            <v>9.6938871267350457E-2</v>
          </cell>
          <cell r="AI39">
            <v>7079.1137757058505</v>
          </cell>
          <cell r="AJ39">
            <v>5.6886440250328629E-2</v>
          </cell>
          <cell r="AK39">
            <v>7518.6988040722936</v>
          </cell>
          <cell r="AL39">
            <v>6.2096053587246125E-2</v>
          </cell>
        </row>
        <row r="40">
          <cell r="B40" t="str">
            <v xml:space="preserve">   Provision For Income Taxes</v>
          </cell>
          <cell r="C40">
            <v>217.8</v>
          </cell>
          <cell r="E40">
            <v>268.60000000000002</v>
          </cell>
          <cell r="G40">
            <v>256.7</v>
          </cell>
          <cell r="I40">
            <v>282.5</v>
          </cell>
          <cell r="K40">
            <v>217.1</v>
          </cell>
          <cell r="M40">
            <v>361.2</v>
          </cell>
          <cell r="O40">
            <v>469.8</v>
          </cell>
          <cell r="Q40">
            <v>535.79999999999995</v>
          </cell>
          <cell r="S40">
            <v>566.6</v>
          </cell>
          <cell r="U40">
            <v>707.4</v>
          </cell>
          <cell r="W40">
            <v>913.6</v>
          </cell>
          <cell r="X40">
            <v>0.29148996324568843</v>
          </cell>
          <cell r="Y40">
            <v>1175.3</v>
          </cell>
          <cell r="AA40">
            <v>1298</v>
          </cell>
          <cell r="AC40">
            <v>1325.1413175</v>
          </cell>
          <cell r="AE40">
            <v>1434.9474677541532</v>
          </cell>
          <cell r="AG40">
            <v>1540.5592374017967</v>
          </cell>
          <cell r="AI40">
            <v>1592.8005995338165</v>
          </cell>
          <cell r="AK40">
            <v>1687.9478815142299</v>
          </cell>
          <cell r="AO40" t="str">
            <v>mstag:taxExpenseIncome</v>
          </cell>
          <cell r="AP40">
            <v>6</v>
          </cell>
          <cell r="AQ40" t="str">
            <v>ISO4217:USD</v>
          </cell>
          <cell r="AR40" t="b">
            <v>0</v>
          </cell>
          <cell r="AS40" t="b">
            <v>0</v>
          </cell>
        </row>
        <row r="41">
          <cell r="B41" t="str">
            <v xml:space="preserve">   Effective Tax Rate</v>
          </cell>
          <cell r="C41">
            <v>0.27005579665220086</v>
          </cell>
          <cell r="E41">
            <v>0.32553629863046912</v>
          </cell>
          <cell r="G41">
            <v>0.32313695871097681</v>
          </cell>
          <cell r="I41">
            <v>0.29356749454432096</v>
          </cell>
          <cell r="K41">
            <v>0.25203157650336655</v>
          </cell>
          <cell r="M41">
            <v>0.29500163345311992</v>
          </cell>
          <cell r="O41">
            <v>0.29996169071638362</v>
          </cell>
          <cell r="Q41">
            <v>0.32001433434868309</v>
          </cell>
          <cell r="S41">
            <v>0.33600189764573329</v>
          </cell>
          <cell r="U41">
            <v>0.28726903553299504</v>
          </cell>
          <cell r="W41">
            <v>0.28792033027638597</v>
          </cell>
          <cell r="Y41">
            <v>0.27179593913325006</v>
          </cell>
          <cell r="AA41">
            <v>0.24393910919000189</v>
          </cell>
          <cell r="AC41">
            <v>0.2340976647582528</v>
          </cell>
          <cell r="AE41">
            <v>0.23499999999999999</v>
          </cell>
          <cell r="AG41">
            <v>0.23</v>
          </cell>
          <cell r="AI41">
            <v>0.22500000000000001</v>
          </cell>
          <cell r="AK41">
            <v>0.22450000000000001</v>
          </cell>
        </row>
        <row r="42">
          <cell r="B42" t="str">
            <v>Net Income (Loss)</v>
          </cell>
          <cell r="C42">
            <v>588.70000000000005</v>
          </cell>
          <cell r="E42">
            <v>556.49999999999989</v>
          </cell>
          <cell r="G42">
            <v>537.70000000000005</v>
          </cell>
          <cell r="I42">
            <v>679.79999999999984</v>
          </cell>
          <cell r="K42">
            <v>644.30000000000018</v>
          </cell>
          <cell r="M42">
            <v>863.19999999999982</v>
          </cell>
          <cell r="O42">
            <v>1096.3999999999999</v>
          </cell>
          <cell r="Q42">
            <v>1138.4999999999995</v>
          </cell>
          <cell r="S42">
            <v>1119.6999999999998</v>
          </cell>
          <cell r="U42">
            <v>1755.099999999999</v>
          </cell>
          <cell r="W42">
            <v>2595.2999999999993</v>
          </cell>
          <cell r="X42">
            <v>0.47871916130135084</v>
          </cell>
          <cell r="Y42">
            <v>3106.7999999999993</v>
          </cell>
          <cell r="Z42">
            <v>0.19708704196046711</v>
          </cell>
          <cell r="AA42">
            <v>4023</v>
          </cell>
          <cell r="AB42">
            <v>0.29490150637311729</v>
          </cell>
          <cell r="AC42">
            <v>4335.4931825000003</v>
          </cell>
          <cell r="AD42">
            <v>7.7676654859557548E-2</v>
          </cell>
          <cell r="AE42">
            <v>4671.2119694975627</v>
          </cell>
          <cell r="AF42">
            <v>7.7434970570977812E-2</v>
          </cell>
          <cell r="AG42">
            <v>5157.5244034755797</v>
          </cell>
          <cell r="AH42">
            <v>0.1041084063736728</v>
          </cell>
          <cell r="AI42">
            <v>5486.3131761720342</v>
          </cell>
          <cell r="AJ42">
            <v>6.3749339212993084E-2</v>
          </cell>
          <cell r="AK42">
            <v>5830.7509225580634</v>
          </cell>
          <cell r="AL42">
            <v>6.2781276847625023E-2</v>
          </cell>
        </row>
        <row r="44">
          <cell r="B44" t="str">
            <v>EPS, basic</v>
          </cell>
          <cell r="C44">
            <v>0.51244777158774379</v>
          </cell>
          <cell r="E44">
            <v>0.49758583690987113</v>
          </cell>
          <cell r="G44">
            <v>0.47889205557534742</v>
          </cell>
          <cell r="I44">
            <v>0.64156285390713463</v>
          </cell>
          <cell r="K44">
            <v>0.60990155244225686</v>
          </cell>
          <cell r="M44">
            <v>0.84644047852520088</v>
          </cell>
          <cell r="O44">
            <v>1.0731134383870018</v>
          </cell>
          <cell r="Q44">
            <v>1.1057692307692304</v>
          </cell>
          <cell r="S44">
            <v>1.0709708273553322</v>
          </cell>
          <cell r="U44">
            <v>1.5215431296055475</v>
          </cell>
          <cell r="W44">
            <v>2.0143588947531814</v>
          </cell>
          <cell r="X44">
            <v>0.32389207743022963</v>
          </cell>
          <cell r="Y44">
            <v>2.4450478101758937</v>
          </cell>
          <cell r="Z44">
            <v>0.21380942420168103</v>
          </cell>
          <cell r="AA44">
            <v>3.2548543689320391</v>
          </cell>
          <cell r="AB44">
            <v>0.33120275005906286</v>
          </cell>
          <cell r="AC44">
            <v>3.731777351192334</v>
          </cell>
          <cell r="AD44">
            <v>0.14652667314783119</v>
          </cell>
          <cell r="AE44">
            <v>4.1673836241099211</v>
          </cell>
          <cell r="AF44">
            <v>0.11672890205478281</v>
          </cell>
          <cell r="AG44">
            <v>4.7082436114742245</v>
          </cell>
          <cell r="AH44">
            <v>0.12978406505108375</v>
          </cell>
          <cell r="AI44">
            <v>5.1215025778275436</v>
          </cell>
          <cell r="AJ44">
            <v>8.7773488471621697E-2</v>
          </cell>
          <cell r="AK44">
            <v>5.5598159963447911</v>
          </cell>
          <cell r="AL44">
            <v>8.5582973327951173E-2</v>
          </cell>
        </row>
        <row r="45">
          <cell r="B45" t="str">
            <v>EPS, diluted</v>
          </cell>
          <cell r="C45">
            <v>0.50996188496188499</v>
          </cell>
          <cell r="D45" t="e">
            <v>#DIV/0!</v>
          </cell>
          <cell r="E45">
            <v>0.49300141743444359</v>
          </cell>
          <cell r="F45">
            <v>-3.3258304252893445E-2</v>
          </cell>
          <cell r="G45">
            <v>0.49676644493717664</v>
          </cell>
          <cell r="H45">
            <v>7.6369506650226793E-3</v>
          </cell>
          <cell r="I45">
            <v>0.6054506590666191</v>
          </cell>
          <cell r="J45">
            <v>0.21878332410955648</v>
          </cell>
          <cell r="K45">
            <v>0.58658048069919899</v>
          </cell>
          <cell r="L45">
            <v>-3.1167161328242599E-2</v>
          </cell>
          <cell r="M45">
            <v>0.81665089877010388</v>
          </cell>
          <cell r="N45">
            <v>0.3922231060206145</v>
          </cell>
          <cell r="O45">
            <v>1.0167856811647964</v>
          </cell>
          <cell r="P45">
            <v>0.24506773052732855</v>
          </cell>
          <cell r="Q45">
            <v>1.0495989674564392</v>
          </cell>
          <cell r="R45">
            <v>3.227158574268385E-2</v>
          </cell>
          <cell r="S45">
            <v>1.0327430363401584</v>
          </cell>
          <cell r="T45">
            <v>-1.6059401389398209E-2</v>
          </cell>
          <cell r="U45">
            <v>1.5215431296055475</v>
          </cell>
          <cell r="V45">
            <v>0.47330272494269443</v>
          </cell>
          <cell r="W45">
            <v>1.9281575037147096</v>
          </cell>
          <cell r="X45">
            <v>0.26723815197704903</v>
          </cell>
          <cell r="Y45">
            <v>2.36950115525927</v>
          </cell>
          <cell r="Z45">
            <v>0.22889398334642563</v>
          </cell>
          <cell r="AA45">
            <v>3.2027027027027026</v>
          </cell>
          <cell r="AB45">
            <v>0.35163584773701628</v>
          </cell>
          <cell r="AC45">
            <v>3.6698689952539394</v>
          </cell>
          <cell r="AD45">
            <v>0.14586626856030183</v>
          </cell>
          <cell r="AE45">
            <v>4.1013211403748855</v>
          </cell>
          <cell r="AF45">
            <v>0.11756608905629107</v>
          </cell>
          <cell r="AG45">
            <v>4.6347096976234399</v>
          </cell>
          <cell r="AH45">
            <v>0.13005286320978016</v>
          </cell>
          <cell r="AI45">
            <v>5.0526778224740756</v>
          </cell>
          <cell r="AJ45">
            <v>9.0182158564312997E-2</v>
          </cell>
          <cell r="AK45">
            <v>5.4875839896915242</v>
          </cell>
          <cell r="AL45">
            <v>8.607439114423765E-2</v>
          </cell>
          <cell r="AM45">
            <v>0.1311025203958521</v>
          </cell>
          <cell r="AO45" t="str">
            <v>mstag:adjEpsForConsensus</v>
          </cell>
          <cell r="AP45">
            <v>0</v>
          </cell>
          <cell r="AQ45" t="str">
            <v>ISO4217:USD</v>
          </cell>
          <cell r="AR45" t="b">
            <v>0</v>
          </cell>
          <cell r="AS45" t="b">
            <v>0</v>
          </cell>
        </row>
        <row r="47">
          <cell r="B47" t="str">
            <v xml:space="preserve">  Options expense</v>
          </cell>
          <cell r="AC47">
            <v>294.91779250000002</v>
          </cell>
          <cell r="AE47">
            <v>271.96607092308085</v>
          </cell>
          <cell r="AG47">
            <v>294.29251044080411</v>
          </cell>
          <cell r="AI47">
            <v>332.25730820002224</v>
          </cell>
          <cell r="AK47">
            <v>368.95414836972293</v>
          </cell>
          <cell r="AO47" t="str">
            <v>mstag:stockCompensation</v>
          </cell>
          <cell r="AP47">
            <v>6</v>
          </cell>
          <cell r="AQ47" t="str">
            <v>ISO4217:USD</v>
          </cell>
          <cell r="AR47" t="b">
            <v>0</v>
          </cell>
          <cell r="AS47" t="b">
            <v>0</v>
          </cell>
        </row>
        <row r="48">
          <cell r="B48" t="str">
            <v>% of operating expense</v>
          </cell>
          <cell r="AC48">
            <v>3.5483675035107048E-2</v>
          </cell>
          <cell r="AE48">
            <v>0.03</v>
          </cell>
          <cell r="AG48">
            <v>0.03</v>
          </cell>
          <cell r="AI48">
            <v>0.03</v>
          </cell>
          <cell r="AK48">
            <v>0.03</v>
          </cell>
        </row>
        <row r="49">
          <cell r="B49" t="str">
            <v>Net Income (incl options exp)</v>
          </cell>
          <cell r="AC49">
            <v>4040.5753900000004</v>
          </cell>
          <cell r="AE49">
            <v>4399.2458985744815</v>
          </cell>
          <cell r="AG49">
            <v>4863.2318930347756</v>
          </cell>
          <cell r="AI49">
            <v>5154.0558679720116</v>
          </cell>
          <cell r="AK49">
            <v>5461.7967741883404</v>
          </cell>
        </row>
        <row r="51">
          <cell r="B51" t="str">
            <v>EPS, diluted (incl option exp)</v>
          </cell>
          <cell r="AC51">
            <v>3.4469575326902331</v>
          </cell>
          <cell r="AE51">
            <v>3.8627394026015285</v>
          </cell>
          <cell r="AG51">
            <v>4.3704543642262941</v>
          </cell>
          <cell r="AI51">
            <v>4.7469048950237553</v>
          </cell>
          <cell r="AK51">
            <v>5.1405825659124416</v>
          </cell>
        </row>
        <row r="52">
          <cell r="B52" t="str">
            <v>EPS, GAAP, Diluted (incl option exp)</v>
          </cell>
          <cell r="C52">
            <v>0.50996188496188499</v>
          </cell>
          <cell r="E52">
            <v>0.49300141743444359</v>
          </cell>
          <cell r="G52">
            <v>0.49676644493717664</v>
          </cell>
          <cell r="I52">
            <v>0.6054506590666191</v>
          </cell>
          <cell r="K52">
            <v>0.58658048069919899</v>
          </cell>
          <cell r="M52">
            <v>0.81665089877010388</v>
          </cell>
          <cell r="O52">
            <v>1.0167856811647964</v>
          </cell>
          <cell r="Q52">
            <v>1.0495989674564392</v>
          </cell>
          <cell r="S52">
            <v>1.0327430363401584</v>
          </cell>
          <cell r="U52">
            <v>-1.2066753359341147</v>
          </cell>
          <cell r="W52">
            <v>1.6939078751857348</v>
          </cell>
          <cell r="Y52">
            <v>1.8057346312639668</v>
          </cell>
          <cell r="AA52">
            <v>2.9252782193958664</v>
          </cell>
          <cell r="AC52">
            <v>2.8409196338463318</v>
          </cell>
          <cell r="AE52">
            <v>3.6709641803555715</v>
          </cell>
          <cell r="AG52">
            <v>4.1741569513311401</v>
          </cell>
          <cell r="AI52">
            <v>4.5457203972860176</v>
          </cell>
          <cell r="AK52">
            <v>4.9349798329237098</v>
          </cell>
        </row>
        <row r="54">
          <cell r="B54" t="str">
            <v xml:space="preserve">Basic Shares Outstanding </v>
          </cell>
          <cell r="C54">
            <v>1148.8</v>
          </cell>
          <cell r="E54">
            <v>1118.4000000000001</v>
          </cell>
          <cell r="G54">
            <v>1122.8</v>
          </cell>
          <cell r="I54">
            <v>1059.5999999999999</v>
          </cell>
          <cell r="K54">
            <v>1056.4000000000001</v>
          </cell>
          <cell r="M54">
            <v>1019.8</v>
          </cell>
          <cell r="O54">
            <v>1021.7</v>
          </cell>
          <cell r="Q54">
            <v>1029.5999999999999</v>
          </cell>
          <cell r="S54">
            <v>1045.5</v>
          </cell>
          <cell r="U54">
            <v>1153.5</v>
          </cell>
          <cell r="W54">
            <v>1288.4000000000001</v>
          </cell>
          <cell r="X54">
            <v>0.11694841785869103</v>
          </cell>
          <cell r="Y54">
            <v>1270.6500000000001</v>
          </cell>
          <cell r="Z54">
            <v>-1.3776777398323503E-2</v>
          </cell>
          <cell r="AA54">
            <v>1236</v>
          </cell>
          <cell r="AB54">
            <v>-2.726950773226311E-2</v>
          </cell>
          <cell r="AC54">
            <v>1161.7770232500002</v>
          </cell>
          <cell r="AD54">
            <v>-6.0050952063106622E-2</v>
          </cell>
          <cell r="AE54">
            <v>1120.8980000000001</v>
          </cell>
          <cell r="AF54">
            <v>-3.5186634295489405E-2</v>
          </cell>
          <cell r="AG54">
            <v>1095.4242875</v>
          </cell>
          <cell r="AH54">
            <v>-2.2726164646560298E-2</v>
          </cell>
          <cell r="AI54">
            <v>1071.23116562</v>
          </cell>
          <cell r="AJ54">
            <v>-2.2085617560310022E-2</v>
          </cell>
          <cell r="AK54">
            <v>1048.7309159855999</v>
          </cell>
          <cell r="AL54">
            <v>-2.1004102901895583E-2</v>
          </cell>
          <cell r="AM54" t="str">
            <v>CAGR</v>
          </cell>
          <cell r="AN54" t="str">
            <v>Target PEG</v>
          </cell>
          <cell r="AO54" t="str">
            <v>mstag:averageBasicSharesOutstanding</v>
          </cell>
          <cell r="AP54">
            <v>6</v>
          </cell>
          <cell r="AQ54" t="str">
            <v>ms_eqr_gcim_Decimal:ms_eqr_gcim_decimal</v>
          </cell>
          <cell r="AR54" t="b">
            <v>0</v>
          </cell>
          <cell r="AS54" t="b">
            <v>0</v>
          </cell>
        </row>
        <row r="55">
          <cell r="B55" t="str">
            <v>Diluted Shares Outstanding</v>
          </cell>
          <cell r="C55">
            <v>1154.4000000000001</v>
          </cell>
          <cell r="E55">
            <v>1128.8</v>
          </cell>
          <cell r="G55">
            <v>1082.4000000000001</v>
          </cell>
          <cell r="I55">
            <v>1122.8</v>
          </cell>
          <cell r="K55">
            <v>1098.4000000000001</v>
          </cell>
          <cell r="M55">
            <v>1057</v>
          </cell>
          <cell r="O55">
            <v>1078.3</v>
          </cell>
          <cell r="Q55">
            <v>1084.7</v>
          </cell>
          <cell r="S55">
            <v>1084.2</v>
          </cell>
          <cell r="U55">
            <v>1153.5</v>
          </cell>
          <cell r="W55">
            <v>1346</v>
          </cell>
          <cell r="X55">
            <v>0.16688339835283927</v>
          </cell>
          <cell r="Y55">
            <v>1320.05</v>
          </cell>
          <cell r="Z55">
            <v>-1.9279346210995585E-2</v>
          </cell>
          <cell r="AA55">
            <v>1258</v>
          </cell>
          <cell r="AB55">
            <v>-4.7005795235028902E-2</v>
          </cell>
          <cell r="AC55">
            <v>1173.37546275</v>
          </cell>
          <cell r="AD55">
            <v>-6.726910751192372E-2</v>
          </cell>
          <cell r="AE55">
            <v>1139.9282839554037</v>
          </cell>
          <cell r="AF55">
            <v>-2.8505094793960795E-2</v>
          </cell>
          <cell r="AG55">
            <v>1113.6672499945955</v>
          </cell>
          <cell r="AH55">
            <v>-2.3037443960672532E-2</v>
          </cell>
          <cell r="AI55">
            <v>1086.6145376915538</v>
          </cell>
          <cell r="AJ55">
            <v>-2.4291557736992875E-2</v>
          </cell>
          <cell r="AK55">
            <v>1063.2640764166335</v>
          </cell>
          <cell r="AL55">
            <v>-2.1489185414845347E-2</v>
          </cell>
          <cell r="AM55">
            <v>0.11371203000907149</v>
          </cell>
          <cell r="AN55">
            <v>1.6</v>
          </cell>
          <cell r="AO55" t="str">
            <v>mstag:averageDilutedSharesOutstanding</v>
          </cell>
          <cell r="AP55">
            <v>6</v>
          </cell>
          <cell r="AQ55" t="str">
            <v>ms_eqr_gcim_Decimal:ms_eqr_gcim_decimal</v>
          </cell>
          <cell r="AR55" t="b">
            <v>0</v>
          </cell>
          <cell r="AS55" t="b">
            <v>0</v>
          </cell>
        </row>
        <row r="56">
          <cell r="AN56" t="str">
            <v>Traget PE</v>
          </cell>
        </row>
        <row r="57">
          <cell r="AN57">
            <v>18.193924801451438</v>
          </cell>
        </row>
        <row r="58">
          <cell r="W58" t="str">
            <v>2003-FY</v>
          </cell>
          <cell r="Y58" t="str">
            <v>2004-FY</v>
          </cell>
          <cell r="AA58" t="str">
            <v>2005-FY</v>
          </cell>
          <cell r="AC58" t="str">
            <v>2006-FY</v>
          </cell>
          <cell r="AE58" t="str">
            <v>2007-FY</v>
          </cell>
          <cell r="AG58" t="str">
            <v>2008-FY</v>
          </cell>
          <cell r="AI58" t="str">
            <v>2009-FY</v>
          </cell>
          <cell r="AK58" t="str">
            <v>2010-FY</v>
          </cell>
        </row>
        <row r="59">
          <cell r="AN59" t="str">
            <v>2005 Target</v>
          </cell>
        </row>
        <row r="60">
          <cell r="B60" t="str">
            <v>Reconciliation to GAAP earnings/loss</v>
          </cell>
          <cell r="AN60">
            <v>58.269732134378252</v>
          </cell>
        </row>
        <row r="61">
          <cell r="B61" t="str">
            <v>Adjustments to pro-forma earnings:</v>
          </cell>
        </row>
        <row r="62">
          <cell r="B62" t="str">
            <v xml:space="preserve">   Amortization of intangible assets</v>
          </cell>
          <cell r="C62">
            <v>0</v>
          </cell>
          <cell r="E62">
            <v>0</v>
          </cell>
          <cell r="G62">
            <v>0</v>
          </cell>
          <cell r="I62">
            <v>0</v>
          </cell>
          <cell r="K62">
            <v>0</v>
          </cell>
          <cell r="M62">
            <v>0</v>
          </cell>
          <cell r="O62">
            <v>0</v>
          </cell>
          <cell r="Q62">
            <v>0</v>
          </cell>
          <cell r="S62">
            <v>0</v>
          </cell>
          <cell r="U62">
            <v>-155.19999999999999</v>
          </cell>
          <cell r="W62">
            <v>-335.8</v>
          </cell>
          <cell r="Y62">
            <v>-333</v>
          </cell>
          <cell r="AA62">
            <v>-347</v>
          </cell>
          <cell r="AC62">
            <v>-97</v>
          </cell>
          <cell r="AE62">
            <v>-347</v>
          </cell>
          <cell r="AG62">
            <v>-347</v>
          </cell>
          <cell r="AI62">
            <v>-347</v>
          </cell>
          <cell r="AK62">
            <v>-347</v>
          </cell>
          <cell r="AO62" t="str">
            <v>mstag:amortizationOfIntangiblesAssumedToHaveIndefiniteLifeIncomeStatement</v>
          </cell>
          <cell r="AP62">
            <v>6</v>
          </cell>
          <cell r="AQ62" t="str">
            <v>ISO4217:USD</v>
          </cell>
          <cell r="AR62" t="b">
            <v>1</v>
          </cell>
          <cell r="AS62" t="b">
            <v>0</v>
          </cell>
        </row>
        <row r="63">
          <cell r="B63" t="str">
            <v xml:space="preserve">   Write-off of acquired in-process R&amp;D</v>
          </cell>
          <cell r="C63">
            <v>0</v>
          </cell>
          <cell r="E63">
            <v>0</v>
          </cell>
          <cell r="G63">
            <v>0</v>
          </cell>
          <cell r="I63">
            <v>0</v>
          </cell>
          <cell r="K63">
            <v>0</v>
          </cell>
          <cell r="M63">
            <v>0</v>
          </cell>
          <cell r="O63">
            <v>0</v>
          </cell>
          <cell r="Q63">
            <v>0</v>
          </cell>
          <cell r="S63">
            <v>0</v>
          </cell>
          <cell r="U63">
            <v>-2991.8</v>
          </cell>
          <cell r="W63">
            <v>0</v>
          </cell>
          <cell r="Y63">
            <v>-554</v>
          </cell>
          <cell r="AA63">
            <v>0</v>
          </cell>
          <cell r="AC63">
            <v>-650</v>
          </cell>
          <cell r="AE63">
            <v>0</v>
          </cell>
          <cell r="AG63">
            <v>0</v>
          </cell>
          <cell r="AI63">
            <v>0</v>
          </cell>
          <cell r="AK63">
            <v>0</v>
          </cell>
          <cell r="AO63" t="str">
            <v>mstag:acquiredInProcessRAndDOneTime</v>
          </cell>
          <cell r="AP63">
            <v>6</v>
          </cell>
          <cell r="AQ63" t="str">
            <v>ISO4217:USD</v>
          </cell>
          <cell r="AR63" t="b">
            <v>1</v>
          </cell>
          <cell r="AS63" t="b">
            <v>0</v>
          </cell>
        </row>
        <row r="64">
          <cell r="B64" t="str">
            <v xml:space="preserve">   Legal Settlement</v>
          </cell>
          <cell r="AA64">
            <v>-49</v>
          </cell>
          <cell r="AO64" t="str">
            <v>mstag:otherProvisionsOneTime</v>
          </cell>
          <cell r="AP64">
            <v>6</v>
          </cell>
          <cell r="AQ64" t="str">
            <v>ISO4217:USD</v>
          </cell>
          <cell r="AR64" t="b">
            <v>1</v>
          </cell>
          <cell r="AS64" t="b">
            <v>0</v>
          </cell>
        </row>
        <row r="65">
          <cell r="B65" t="str">
            <v xml:space="preserve">   COGS</v>
          </cell>
          <cell r="AA65">
            <v>-47</v>
          </cell>
          <cell r="AO65" t="str">
            <v>mstag:otherProvisionsOneTime</v>
          </cell>
          <cell r="AP65">
            <v>6</v>
          </cell>
          <cell r="AQ65" t="str">
            <v>ISO4217:USD</v>
          </cell>
          <cell r="AR65" t="b">
            <v>1</v>
          </cell>
          <cell r="AS65" t="b">
            <v>0</v>
          </cell>
        </row>
        <row r="66">
          <cell r="B66" t="str">
            <v xml:space="preserve">   R&amp;D</v>
          </cell>
          <cell r="AA66">
            <v>-12</v>
          </cell>
          <cell r="AO66" t="str">
            <v>mstag:otherProvisionsOneTime</v>
          </cell>
          <cell r="AP66">
            <v>6</v>
          </cell>
          <cell r="AQ66" t="str">
            <v>ISO4217:USD</v>
          </cell>
          <cell r="AR66" t="b">
            <v>1</v>
          </cell>
          <cell r="AS66" t="b">
            <v>0</v>
          </cell>
        </row>
        <row r="67">
          <cell r="B67" t="str">
            <v xml:space="preserve">   SG&amp;A</v>
          </cell>
          <cell r="AA67">
            <v>2</v>
          </cell>
          <cell r="AO67" t="str">
            <v>mstag:otherProvisionsOneTime</v>
          </cell>
          <cell r="AP67">
            <v>6</v>
          </cell>
          <cell r="AQ67" t="str">
            <v>ISO4217:USD</v>
          </cell>
          <cell r="AR67" t="b">
            <v>1</v>
          </cell>
          <cell r="AS67" t="b">
            <v>0</v>
          </cell>
        </row>
        <row r="68">
          <cell r="B68" t="str">
            <v xml:space="preserve">   Interest expense</v>
          </cell>
          <cell r="AA68">
            <v>0</v>
          </cell>
          <cell r="AO68" t="str">
            <v>mstag:otherProvisionsOneTime</v>
          </cell>
          <cell r="AP68">
            <v>6</v>
          </cell>
          <cell r="AQ68" t="str">
            <v>ISO4217:USD</v>
          </cell>
          <cell r="AR68" t="b">
            <v>1</v>
          </cell>
          <cell r="AS68" t="b">
            <v>0</v>
          </cell>
        </row>
        <row r="69">
          <cell r="B69" t="str">
            <v xml:space="preserve">   Tax effects of adjustments</v>
          </cell>
          <cell r="C69">
            <v>0</v>
          </cell>
          <cell r="E69">
            <v>0</v>
          </cell>
          <cell r="G69">
            <v>0</v>
          </cell>
          <cell r="I69">
            <v>0</v>
          </cell>
          <cell r="K69">
            <v>0</v>
          </cell>
          <cell r="M69">
            <v>0</v>
          </cell>
          <cell r="O69">
            <v>0</v>
          </cell>
          <cell r="Q69">
            <v>0</v>
          </cell>
          <cell r="S69">
            <v>0</v>
          </cell>
          <cell r="U69">
            <v>0</v>
          </cell>
          <cell r="W69">
            <v>0</v>
          </cell>
          <cell r="Y69">
            <v>142.79999999999998</v>
          </cell>
          <cell r="AA69">
            <v>104</v>
          </cell>
          <cell r="AC69">
            <v>35.89</v>
          </cell>
          <cell r="AE69">
            <v>128.38999999999999</v>
          </cell>
          <cell r="AG69">
            <v>128.38999999999999</v>
          </cell>
          <cell r="AI69">
            <v>128.38999999999999</v>
          </cell>
          <cell r="AK69">
            <v>128.38999999999999</v>
          </cell>
          <cell r="AO69" t="str">
            <v>mstag:taxOnIncomeLossFromExtraordinaryItems</v>
          </cell>
          <cell r="AP69">
            <v>6</v>
          </cell>
          <cell r="AQ69" t="str">
            <v>ISO4217:USD</v>
          </cell>
          <cell r="AR69" t="b">
            <v>1</v>
          </cell>
          <cell r="AS69" t="b">
            <v>0</v>
          </cell>
        </row>
        <row r="70">
          <cell r="B70" t="str">
            <v>GAAP Net Income</v>
          </cell>
          <cell r="C70">
            <v>588.70000000000005</v>
          </cell>
          <cell r="E70">
            <v>556.49999999999989</v>
          </cell>
          <cell r="G70">
            <v>537.70000000000005</v>
          </cell>
          <cell r="I70">
            <v>679.79999999999984</v>
          </cell>
          <cell r="K70">
            <v>644.30000000000018</v>
          </cell>
          <cell r="M70">
            <v>863.19999999999982</v>
          </cell>
          <cell r="O70">
            <v>1096.3999999999999</v>
          </cell>
          <cell r="Q70">
            <v>1138.4999999999995</v>
          </cell>
          <cell r="S70">
            <v>1119.6999999999998</v>
          </cell>
          <cell r="U70">
            <v>-1391.9000000000012</v>
          </cell>
          <cell r="W70">
            <v>2259.4999999999991</v>
          </cell>
          <cell r="Y70">
            <v>2362.5999999999995</v>
          </cell>
          <cell r="AA70">
            <v>3674</v>
          </cell>
          <cell r="AC70">
            <v>3329.4653900000003</v>
          </cell>
          <cell r="AE70">
            <v>4180.6358985744819</v>
          </cell>
          <cell r="AG70">
            <v>4644.6218930347759</v>
          </cell>
          <cell r="AI70">
            <v>4935.4458679720119</v>
          </cell>
          <cell r="AK70">
            <v>5243.1867741883407</v>
          </cell>
        </row>
        <row r="71">
          <cell r="B71" t="str">
            <v>GAAP (loss) EPS</v>
          </cell>
          <cell r="W71">
            <v>1.7537255510710952</v>
          </cell>
          <cell r="Y71">
            <v>1.8593633179868565</v>
          </cell>
          <cell r="AA71">
            <v>2.9724919093851132</v>
          </cell>
          <cell r="AC71">
            <v>2.8658385588363804</v>
          </cell>
          <cell r="AE71">
            <v>3.7297201873627048</v>
          </cell>
          <cell r="AG71">
            <v>4.2400209179539265</v>
          </cell>
          <cell r="AI71">
            <v>4.607265010923677</v>
          </cell>
          <cell r="AK71">
            <v>4.9995539315828985</v>
          </cell>
        </row>
        <row r="72">
          <cell r="B72" t="str">
            <v>GAAP (loss) EPS diluted</v>
          </cell>
          <cell r="C72">
            <v>0.50996188496188499</v>
          </cell>
          <cell r="E72">
            <v>0.49300141743444359</v>
          </cell>
          <cell r="G72">
            <v>0.49676644493717664</v>
          </cell>
          <cell r="I72">
            <v>0.6054506590666191</v>
          </cell>
          <cell r="K72">
            <v>0.58658048069919899</v>
          </cell>
          <cell r="M72">
            <v>0.81665089877010388</v>
          </cell>
          <cell r="O72">
            <v>1.0167856811647964</v>
          </cell>
          <cell r="Q72">
            <v>1.0495989674564392</v>
          </cell>
          <cell r="S72">
            <v>1.0327430363401584</v>
          </cell>
          <cell r="U72">
            <v>-1.2066753359341147</v>
          </cell>
          <cell r="W72">
            <v>1.6939078751857348</v>
          </cell>
          <cell r="Y72">
            <v>1.8057346312639668</v>
          </cell>
          <cell r="AA72">
            <v>2.9252782193958664</v>
          </cell>
          <cell r="AC72">
            <v>2.8409196338463318</v>
          </cell>
          <cell r="AE72">
            <v>3.6709641803555715</v>
          </cell>
          <cell r="AG72">
            <v>4.1741569513311401</v>
          </cell>
          <cell r="AI72">
            <v>4.5457203972860176</v>
          </cell>
          <cell r="AK72">
            <v>4.9349798329237098</v>
          </cell>
        </row>
        <row r="73">
          <cell r="B73" t="str">
            <v>Current Actual Basic Share Count</v>
          </cell>
          <cell r="U73">
            <v>1268.2</v>
          </cell>
          <cell r="AO73" t="str">
            <v>mstag:currentBasicSharesOutstanding</v>
          </cell>
          <cell r="AP73">
            <v>6</v>
          </cell>
          <cell r="AQ73" t="str">
            <v>ms_eqr_gcim_Decimal:ms_eqr_gcim_decimal</v>
          </cell>
          <cell r="AR73" t="b">
            <v>0</v>
          </cell>
          <cell r="AS73" t="b">
            <v>0</v>
          </cell>
        </row>
        <row r="74">
          <cell r="B74" t="str">
            <v>Current Actual Diluted Share Count</v>
          </cell>
          <cell r="U74">
            <v>1317.7</v>
          </cell>
          <cell r="AO74" t="str">
            <v>mstag:currentDilutedSharesOutstanding</v>
          </cell>
          <cell r="AP74">
            <v>6</v>
          </cell>
          <cell r="AQ74" t="str">
            <v>ms_eqr_gcim_Decimal:ms_eqr_gcim_decimal</v>
          </cell>
          <cell r="AR74" t="b">
            <v>0</v>
          </cell>
          <cell r="AS74" t="b">
            <v>0</v>
          </cell>
        </row>
        <row r="75">
          <cell r="B75" t="str">
            <v>INTEREST CALCULATIONS</v>
          </cell>
        </row>
        <row r="76">
          <cell r="B76" t="str">
            <v>Cash and Equivalents</v>
          </cell>
          <cell r="U76">
            <v>3663.0499999999997</v>
          </cell>
          <cell r="W76">
            <v>4893.3999999999996</v>
          </cell>
          <cell r="Y76">
            <v>5465.4500000000007</v>
          </cell>
          <cell r="AA76">
            <v>5531.5</v>
          </cell>
          <cell r="AC76">
            <v>4977.6425651190475</v>
          </cell>
          <cell r="AE76">
            <v>5267.9289720168927</v>
          </cell>
          <cell r="AG76">
            <v>6633.1452568129571</v>
          </cell>
          <cell r="AI76">
            <v>8090.5150597020702</v>
          </cell>
          <cell r="AK76">
            <v>10095.15261005767</v>
          </cell>
        </row>
        <row r="77">
          <cell r="B77" t="str">
            <v>Return on assets</v>
          </cell>
          <cell r="U77">
            <v>3.9366102018809461E-2</v>
          </cell>
          <cell r="W77">
            <v>2.3174071197940085E-2</v>
          </cell>
          <cell r="Y77">
            <v>0.02</v>
          </cell>
          <cell r="AA77">
            <v>2.7699999999999999E-2</v>
          </cell>
          <cell r="AC77">
            <v>3.5000000000000003E-2</v>
          </cell>
          <cell r="AE77">
            <v>0.04</v>
          </cell>
          <cell r="AG77">
            <v>0.04</v>
          </cell>
          <cell r="AI77">
            <v>0.04</v>
          </cell>
          <cell r="AK77">
            <v>0.04</v>
          </cell>
        </row>
        <row r="78">
          <cell r="B78" t="str">
            <v>Interst Income</v>
          </cell>
          <cell r="C78">
            <v>27.2</v>
          </cell>
          <cell r="E78">
            <v>21.5</v>
          </cell>
          <cell r="G78">
            <v>66.099999999999994</v>
          </cell>
          <cell r="I78">
            <v>63.6</v>
          </cell>
          <cell r="K78">
            <v>72.599999999999994</v>
          </cell>
          <cell r="M78">
            <v>45.7</v>
          </cell>
          <cell r="O78">
            <v>88.3</v>
          </cell>
          <cell r="Q78">
            <v>146.19999999999999</v>
          </cell>
          <cell r="S78">
            <v>168.7</v>
          </cell>
          <cell r="U78">
            <v>144.19999999999999</v>
          </cell>
          <cell r="W78">
            <v>113.4</v>
          </cell>
          <cell r="Y78">
            <v>109.30900000000001</v>
          </cell>
          <cell r="AA78">
            <v>153.22254999999998</v>
          </cell>
          <cell r="AC78">
            <v>174.21748977916667</v>
          </cell>
          <cell r="AE78">
            <v>210.7171588806757</v>
          </cell>
          <cell r="AG78">
            <v>265.32581027251831</v>
          </cell>
          <cell r="AI78">
            <v>323.62060238808283</v>
          </cell>
          <cell r="AK78">
            <v>403.8061044023068</v>
          </cell>
        </row>
        <row r="79">
          <cell r="B79" t="str">
            <v>Test</v>
          </cell>
          <cell r="U79">
            <v>144.19999999999999</v>
          </cell>
          <cell r="W79">
            <v>113.4</v>
          </cell>
          <cell r="Y79">
            <v>99.7</v>
          </cell>
          <cell r="AA79">
            <v>157</v>
          </cell>
          <cell r="AC79">
            <v>329</v>
          </cell>
          <cell r="AE79">
            <v>210.7171588806757</v>
          </cell>
          <cell r="AG79">
            <v>265.32581027251831</v>
          </cell>
          <cell r="AI79">
            <v>323.62060238808283</v>
          </cell>
          <cell r="AK79">
            <v>403.8061044023068</v>
          </cell>
        </row>
        <row r="80">
          <cell r="B80" t="str">
            <v>Interest Bearing Obligations</v>
          </cell>
        </row>
        <row r="81">
          <cell r="B81" t="str">
            <v>Convertible Bond - 30 year</v>
          </cell>
          <cell r="W81">
            <v>2880</v>
          </cell>
          <cell r="Y81">
            <v>2912.4</v>
          </cell>
          <cell r="AA81">
            <v>1759</v>
          </cell>
          <cell r="AC81">
            <v>1778.7887499999999</v>
          </cell>
          <cell r="AE81">
            <v>1798.5774999999999</v>
          </cell>
          <cell r="AG81">
            <v>1818.3662499999998</v>
          </cell>
          <cell r="AI81">
            <v>1838.1549999999997</v>
          </cell>
          <cell r="AK81">
            <v>1857.9437499999997</v>
          </cell>
        </row>
        <row r="82">
          <cell r="B82" t="str">
            <v>Interest Rate</v>
          </cell>
          <cell r="W82">
            <v>1.125E-2</v>
          </cell>
          <cell r="Y82">
            <v>1.125E-2</v>
          </cell>
          <cell r="AA82">
            <v>1.125E-2</v>
          </cell>
          <cell r="AC82">
            <v>1.125E-2</v>
          </cell>
          <cell r="AE82">
            <v>1.125E-2</v>
          </cell>
          <cell r="AG82">
            <v>1.125E-2</v>
          </cell>
          <cell r="AI82">
            <v>1.125E-2</v>
          </cell>
          <cell r="AK82">
            <v>1.125E-2</v>
          </cell>
        </row>
        <row r="83">
          <cell r="B83" t="str">
            <v>Interest Expense</v>
          </cell>
          <cell r="W83">
            <v>32.4</v>
          </cell>
          <cell r="Y83">
            <v>32.4</v>
          </cell>
          <cell r="AA83">
            <v>19.78875</v>
          </cell>
          <cell r="AC83">
            <v>19.78875</v>
          </cell>
          <cell r="AE83">
            <v>19.78875</v>
          </cell>
          <cell r="AG83">
            <v>19.78875</v>
          </cell>
          <cell r="AI83">
            <v>19.78875</v>
          </cell>
          <cell r="AK83">
            <v>19.78875</v>
          </cell>
        </row>
        <row r="84">
          <cell r="B84" t="str">
            <v>Convertible Bond - 2011</v>
          </cell>
          <cell r="AC84">
            <v>2500</v>
          </cell>
          <cell r="AE84">
            <v>2500</v>
          </cell>
          <cell r="AG84">
            <v>2500</v>
          </cell>
          <cell r="AI84">
            <v>2500</v>
          </cell>
          <cell r="AK84">
            <v>2500</v>
          </cell>
        </row>
        <row r="85">
          <cell r="B85" t="str">
            <v>Interest Rate</v>
          </cell>
          <cell r="AC85">
            <v>1.25E-3</v>
          </cell>
          <cell r="AE85">
            <v>1.25E-3</v>
          </cell>
          <cell r="AG85">
            <v>1.25E-3</v>
          </cell>
          <cell r="AI85">
            <v>1.25E-3</v>
          </cell>
          <cell r="AK85">
            <v>1.25E-3</v>
          </cell>
        </row>
        <row r="86">
          <cell r="B86" t="str">
            <v>Interest Expense</v>
          </cell>
          <cell r="AC86">
            <v>3.125</v>
          </cell>
          <cell r="AE86">
            <v>3.125</v>
          </cell>
          <cell r="AG86">
            <v>3.125</v>
          </cell>
          <cell r="AI86">
            <v>3.125</v>
          </cell>
          <cell r="AK86">
            <v>3.125</v>
          </cell>
        </row>
        <row r="87">
          <cell r="B87" t="str">
            <v>Convertible Bond - 2013</v>
          </cell>
          <cell r="AC87">
            <v>2500</v>
          </cell>
          <cell r="AE87">
            <v>2500</v>
          </cell>
          <cell r="AG87">
            <v>2500</v>
          </cell>
          <cell r="AI87">
            <v>2500</v>
          </cell>
          <cell r="AK87">
            <v>2500</v>
          </cell>
        </row>
        <row r="88">
          <cell r="B88" t="str">
            <v>Interest Rate</v>
          </cell>
          <cell r="AC88">
            <v>3.7499999999999999E-3</v>
          </cell>
          <cell r="AE88">
            <v>3.7499999999999999E-3</v>
          </cell>
          <cell r="AG88">
            <v>3.7499999999999999E-3</v>
          </cell>
          <cell r="AI88">
            <v>3.7499999999999999E-3</v>
          </cell>
          <cell r="AK88">
            <v>3.7499999999999999E-3</v>
          </cell>
        </row>
        <row r="89">
          <cell r="B89" t="str">
            <v>Interest Expense</v>
          </cell>
          <cell r="AC89">
            <v>9.375</v>
          </cell>
          <cell r="AE89">
            <v>9.375</v>
          </cell>
          <cell r="AG89">
            <v>9.375</v>
          </cell>
          <cell r="AI89">
            <v>9.375</v>
          </cell>
          <cell r="AK89">
            <v>9.375</v>
          </cell>
        </row>
        <row r="90">
          <cell r="B90" t="str">
            <v>6.5% Debt</v>
          </cell>
          <cell r="W90">
            <v>100</v>
          </cell>
          <cell r="Y90">
            <v>100</v>
          </cell>
          <cell r="AA90">
            <v>100</v>
          </cell>
          <cell r="AC90">
            <v>100</v>
          </cell>
          <cell r="AE90">
            <v>0</v>
          </cell>
          <cell r="AG90">
            <v>0</v>
          </cell>
          <cell r="AI90">
            <v>0</v>
          </cell>
          <cell r="AK90">
            <v>0</v>
          </cell>
        </row>
        <row r="91">
          <cell r="B91" t="str">
            <v>Interest Rate</v>
          </cell>
          <cell r="W91">
            <v>6.5000000000000002E-2</v>
          </cell>
          <cell r="Y91">
            <v>6.5000000000000002E-2</v>
          </cell>
          <cell r="AA91">
            <v>6.5000000000000002E-2</v>
          </cell>
          <cell r="AC91">
            <v>6.5000000000000002E-2</v>
          </cell>
          <cell r="AE91">
            <v>6.5000000000000002E-2</v>
          </cell>
          <cell r="AG91">
            <v>6.5000000000000002E-2</v>
          </cell>
          <cell r="AI91">
            <v>6.5000000000000002E-2</v>
          </cell>
          <cell r="AK91">
            <v>6.5000000000000002E-2</v>
          </cell>
        </row>
        <row r="92">
          <cell r="B92" t="str">
            <v>Interest Expense</v>
          </cell>
          <cell r="W92">
            <v>6.5</v>
          </cell>
          <cell r="Y92">
            <v>6.5</v>
          </cell>
          <cell r="AA92">
            <v>6.5</v>
          </cell>
          <cell r="AC92">
            <v>6.5</v>
          </cell>
          <cell r="AE92">
            <v>0</v>
          </cell>
          <cell r="AG92">
            <v>0</v>
          </cell>
          <cell r="AI92">
            <v>0</v>
          </cell>
          <cell r="AK92">
            <v>0</v>
          </cell>
        </row>
        <row r="93">
          <cell r="B93" t="str">
            <v>8.1% Debt</v>
          </cell>
          <cell r="W93">
            <v>100</v>
          </cell>
          <cell r="Y93">
            <v>100</v>
          </cell>
          <cell r="AA93">
            <v>100</v>
          </cell>
          <cell r="AC93">
            <v>100</v>
          </cell>
          <cell r="AE93">
            <v>100</v>
          </cell>
          <cell r="AG93">
            <v>100</v>
          </cell>
          <cell r="AI93">
            <v>100</v>
          </cell>
          <cell r="AK93">
            <v>100</v>
          </cell>
        </row>
        <row r="94">
          <cell r="B94" t="str">
            <v>Interest Rate</v>
          </cell>
          <cell r="W94">
            <v>8.1000000000000003E-2</v>
          </cell>
          <cell r="Y94">
            <v>8.1000000000000003E-2</v>
          </cell>
          <cell r="AA94">
            <v>8.1000000000000003E-2</v>
          </cell>
          <cell r="AC94">
            <v>8.1000000000000003E-2</v>
          </cell>
          <cell r="AE94">
            <v>8.1000000000000003E-2</v>
          </cell>
          <cell r="AG94">
            <v>8.1000000000000003E-2</v>
          </cell>
          <cell r="AI94">
            <v>8.1000000000000003E-2</v>
          </cell>
          <cell r="AK94">
            <v>8.1000000000000003E-2</v>
          </cell>
        </row>
        <row r="95">
          <cell r="B95" t="str">
            <v>Interest Expense</v>
          </cell>
          <cell r="W95">
            <v>8.1</v>
          </cell>
          <cell r="Y95">
            <v>8.1</v>
          </cell>
          <cell r="AA95">
            <v>8.1</v>
          </cell>
          <cell r="AC95">
            <v>8.1</v>
          </cell>
          <cell r="AE95">
            <v>8.1</v>
          </cell>
          <cell r="AG95">
            <v>8.1</v>
          </cell>
          <cell r="AI95">
            <v>8.1</v>
          </cell>
          <cell r="AK95">
            <v>8.1</v>
          </cell>
        </row>
        <row r="96">
          <cell r="B96" t="str">
            <v>Senior Notes</v>
          </cell>
          <cell r="Y96">
            <v>2000</v>
          </cell>
          <cell r="AA96">
            <v>1998</v>
          </cell>
          <cell r="AC96">
            <v>1998</v>
          </cell>
          <cell r="AE96">
            <v>1998</v>
          </cell>
          <cell r="AG96">
            <v>1998</v>
          </cell>
          <cell r="AI96">
            <v>1000</v>
          </cell>
          <cell r="AK96">
            <v>1000</v>
          </cell>
        </row>
        <row r="97">
          <cell r="B97" t="str">
            <v>Interest Rate</v>
          </cell>
          <cell r="Y97">
            <v>4.4249999999999998E-2</v>
          </cell>
          <cell r="AA97">
            <v>4.4249999999999998E-2</v>
          </cell>
          <cell r="AC97">
            <v>4.4249999999999998E-2</v>
          </cell>
          <cell r="AE97">
            <v>4.4249999999999998E-2</v>
          </cell>
          <cell r="AG97">
            <v>4.4249999999999998E-2</v>
          </cell>
          <cell r="AI97">
            <v>4.8500000000000001E-2</v>
          </cell>
          <cell r="AK97">
            <v>4.8500000000000001E-2</v>
          </cell>
        </row>
        <row r="98">
          <cell r="B98" t="str">
            <v>Interest Expense</v>
          </cell>
          <cell r="C98">
            <v>785.5</v>
          </cell>
          <cell r="E98">
            <v>815.59999999999991</v>
          </cell>
          <cell r="G98">
            <v>743.59999999999991</v>
          </cell>
          <cell r="I98">
            <v>904.89999999999986</v>
          </cell>
          <cell r="K98">
            <v>792.50000000000023</v>
          </cell>
          <cell r="M98">
            <v>1188.6999999999998</v>
          </cell>
          <cell r="O98">
            <v>1493.1</v>
          </cell>
          <cell r="Q98">
            <v>1543.9999999999995</v>
          </cell>
          <cell r="S98">
            <v>1531.1999999999998</v>
          </cell>
          <cell r="Y98">
            <v>8.85</v>
          </cell>
          <cell r="AA98">
            <v>88.41149999999999</v>
          </cell>
          <cell r="AC98">
            <v>88.41149999999999</v>
          </cell>
          <cell r="AE98">
            <v>88.41149999999999</v>
          </cell>
          <cell r="AG98">
            <v>88.41149999999999</v>
          </cell>
          <cell r="AI98">
            <v>48.5</v>
          </cell>
          <cell r="AK98">
            <v>48.5</v>
          </cell>
        </row>
        <row r="99">
          <cell r="B99" t="str">
            <v>Total Interest</v>
          </cell>
          <cell r="W99">
            <v>47</v>
          </cell>
          <cell r="Y99">
            <v>47</v>
          </cell>
          <cell r="AA99">
            <v>122.80024999999999</v>
          </cell>
          <cell r="AC99">
            <v>135.30025000000001</v>
          </cell>
          <cell r="AE99">
            <v>128.80025000000001</v>
          </cell>
          <cell r="AG99">
            <v>128.80025000000001</v>
          </cell>
          <cell r="AI99">
            <v>88.888750000000002</v>
          </cell>
          <cell r="AK99">
            <v>88.888750000000002</v>
          </cell>
        </row>
        <row r="100">
          <cell r="B100" t="str">
            <v>Total Debt</v>
          </cell>
          <cell r="W100">
            <v>3080</v>
          </cell>
          <cell r="Y100">
            <v>5112.3999999999996</v>
          </cell>
          <cell r="AA100">
            <v>3957</v>
          </cell>
          <cell r="AC100">
            <v>8976.7887499999997</v>
          </cell>
          <cell r="AE100">
            <v>8896.5774999999994</v>
          </cell>
          <cell r="AG100">
            <v>8916.3662499999991</v>
          </cell>
          <cell r="AI100">
            <v>7938.1549999999997</v>
          </cell>
          <cell r="AK100">
            <v>7957.9437499999995</v>
          </cell>
        </row>
        <row r="101">
          <cell r="B101" t="str">
            <v>CHECK</v>
          </cell>
          <cell r="W101">
            <v>-31.5</v>
          </cell>
          <cell r="Y101">
            <v>-52.5</v>
          </cell>
          <cell r="AA101">
            <v>-137</v>
          </cell>
          <cell r="AC101">
            <v>-136</v>
          </cell>
          <cell r="AE101">
            <v>-128.80025000000001</v>
          </cell>
          <cell r="AG101">
            <v>-128.80025000000001</v>
          </cell>
          <cell r="AI101">
            <v>-88.888750000000002</v>
          </cell>
          <cell r="AK101">
            <v>-88.888750000000002</v>
          </cell>
        </row>
        <row r="105">
          <cell r="B105" t="str">
            <v>Statuatory Tax</v>
          </cell>
          <cell r="C105">
            <v>0.35</v>
          </cell>
          <cell r="E105">
            <v>0.35</v>
          </cell>
          <cell r="G105">
            <v>0.35</v>
          </cell>
          <cell r="I105">
            <v>0.35</v>
          </cell>
          <cell r="K105">
            <v>0.35</v>
          </cell>
          <cell r="M105">
            <v>0.35</v>
          </cell>
          <cell r="O105">
            <v>0.35</v>
          </cell>
          <cell r="Q105">
            <v>0.35</v>
          </cell>
          <cell r="S105">
            <v>0.35</v>
          </cell>
          <cell r="U105">
            <v>0.35</v>
          </cell>
          <cell r="W105">
            <v>0.35</v>
          </cell>
          <cell r="Y105">
            <v>0.27179593913325006</v>
          </cell>
          <cell r="AA105">
            <v>0.24393910919000189</v>
          </cell>
          <cell r="AC105">
            <v>0.2340976647582528</v>
          </cell>
          <cell r="AE105">
            <v>0.23499999999999999</v>
          </cell>
          <cell r="AG105">
            <v>0.23</v>
          </cell>
          <cell r="AI105">
            <v>0.22500000000000001</v>
          </cell>
          <cell r="AK105">
            <v>0.22450000000000001</v>
          </cell>
          <cell r="AO105" t="str">
            <v>mstag:statutoryTaxRate</v>
          </cell>
          <cell r="AP105">
            <v>0</v>
          </cell>
          <cell r="AQ105" t="str">
            <v>ms_eqr_gcim_Decimal:ms_eqr_gcim_decimal</v>
          </cell>
          <cell r="AR105" t="b">
            <v>0</v>
          </cell>
          <cell r="AS105" t="b">
            <v>0</v>
          </cell>
        </row>
        <row r="106">
          <cell r="B106" t="str">
            <v>Common Dividends</v>
          </cell>
          <cell r="C106">
            <v>0</v>
          </cell>
          <cell r="E106">
            <v>0</v>
          </cell>
          <cell r="G106">
            <v>0</v>
          </cell>
          <cell r="I106">
            <v>0</v>
          </cell>
          <cell r="K106">
            <v>0</v>
          </cell>
          <cell r="M106">
            <v>0</v>
          </cell>
          <cell r="O106">
            <v>0</v>
          </cell>
          <cell r="Q106">
            <v>0</v>
          </cell>
          <cell r="S106">
            <v>0</v>
          </cell>
          <cell r="U106">
            <v>0</v>
          </cell>
          <cell r="W106">
            <v>0</v>
          </cell>
          <cell r="Y106">
            <v>0</v>
          </cell>
          <cell r="AA106">
            <v>0</v>
          </cell>
          <cell r="AC106">
            <v>0</v>
          </cell>
          <cell r="AE106">
            <v>0</v>
          </cell>
          <cell r="AG106">
            <v>0</v>
          </cell>
          <cell r="AI106">
            <v>0</v>
          </cell>
          <cell r="AK106">
            <v>0</v>
          </cell>
          <cell r="AO106" t="str">
            <v>mstag:commonDividends</v>
          </cell>
          <cell r="AP106">
            <v>6</v>
          </cell>
          <cell r="AQ106" t="str">
            <v>ISO4217:USD</v>
          </cell>
          <cell r="AR106" t="b">
            <v>0</v>
          </cell>
          <cell r="AS106" t="b">
            <v>0</v>
          </cell>
        </row>
        <row r="107">
          <cell r="B107" t="str">
            <v>Unrecorded Goodwill</v>
          </cell>
          <cell r="C107">
            <v>0</v>
          </cell>
          <cell r="E107">
            <v>0</v>
          </cell>
          <cell r="G107">
            <v>0</v>
          </cell>
          <cell r="I107">
            <v>0</v>
          </cell>
          <cell r="K107">
            <v>0</v>
          </cell>
          <cell r="M107">
            <v>0</v>
          </cell>
          <cell r="O107">
            <v>0</v>
          </cell>
          <cell r="Q107">
            <v>0</v>
          </cell>
          <cell r="S107">
            <v>0</v>
          </cell>
          <cell r="U107">
            <v>0</v>
          </cell>
          <cell r="W107">
            <v>0</v>
          </cell>
          <cell r="Y107">
            <v>0</v>
          </cell>
          <cell r="AA107">
            <v>0</v>
          </cell>
          <cell r="AC107">
            <v>0</v>
          </cell>
          <cell r="AE107">
            <v>0</v>
          </cell>
          <cell r="AG107">
            <v>0</v>
          </cell>
          <cell r="AI107">
            <v>0</v>
          </cell>
          <cell r="AK107">
            <v>0</v>
          </cell>
          <cell r="AO107" t="str">
            <v>mstag:unrecordedGoodwillFromPoolingAndAmortizedOrWrittenOffGoodwill</v>
          </cell>
          <cell r="AP107">
            <v>6</v>
          </cell>
          <cell r="AQ107" t="str">
            <v>ISO4217:USD</v>
          </cell>
          <cell r="AR107" t="b">
            <v>0</v>
          </cell>
          <cell r="AS107" t="b">
            <v>0</v>
          </cell>
        </row>
        <row r="109">
          <cell r="B109" t="str">
            <v>If-Converted Calculation</v>
          </cell>
        </row>
        <row r="110">
          <cell r="Y110" t="str">
            <v>2004E</v>
          </cell>
          <cell r="AA110" t="str">
            <v>2005E</v>
          </cell>
          <cell r="AC110" t="str">
            <v>2006E</v>
          </cell>
          <cell r="AE110" t="str">
            <v>2007E</v>
          </cell>
          <cell r="AG110" t="str">
            <v>2008E</v>
          </cell>
          <cell r="AI110" t="str">
            <v>2009E</v>
          </cell>
          <cell r="AK110" t="str">
            <v>2010E</v>
          </cell>
        </row>
        <row r="111">
          <cell r="B111" t="str">
            <v>Net Earnings</v>
          </cell>
          <cell r="Y111">
            <v>3106.7999999999993</v>
          </cell>
          <cell r="AA111">
            <v>4023</v>
          </cell>
          <cell r="AC111">
            <v>4335.4931825000003</v>
          </cell>
          <cell r="AE111">
            <v>4671.2119694975627</v>
          </cell>
          <cell r="AG111">
            <v>5157.5244034755797</v>
          </cell>
          <cell r="AI111">
            <v>5486.3131761720342</v>
          </cell>
          <cell r="AK111">
            <v>5830.7509225580634</v>
          </cell>
        </row>
        <row r="112">
          <cell r="B112" t="str">
            <v>Diluted Share Count</v>
          </cell>
          <cell r="Y112">
            <v>1285.05</v>
          </cell>
          <cell r="AA112">
            <v>1236</v>
          </cell>
          <cell r="AC112">
            <v>1173.37546275</v>
          </cell>
          <cell r="AE112">
            <v>1131.9282839554037</v>
          </cell>
          <cell r="AG112">
            <v>1105.6672499945955</v>
          </cell>
          <cell r="AI112">
            <v>1078.6145376915538</v>
          </cell>
          <cell r="AK112">
            <v>1055.2640764166335</v>
          </cell>
        </row>
        <row r="113">
          <cell r="B113" t="str">
            <v>EPS, diluted</v>
          </cell>
          <cell r="Y113">
            <v>2.4176491187113336</v>
          </cell>
          <cell r="AA113">
            <v>3.2548543689320391</v>
          </cell>
          <cell r="AC113">
            <v>3.6948899309169572</v>
          </cell>
          <cell r="AE113">
            <v>4.1267737856805793</v>
          </cell>
          <cell r="AG113">
            <v>4.6646261825162947</v>
          </cell>
          <cell r="AI113">
            <v>5.0864446792213815</v>
          </cell>
          <cell r="AK113">
            <v>5.5253950673253076</v>
          </cell>
        </row>
        <row r="115">
          <cell r="B115" t="str">
            <v>Interest add-back</v>
          </cell>
          <cell r="Y115">
            <v>21.06</v>
          </cell>
          <cell r="AA115">
            <v>6</v>
          </cell>
          <cell r="AC115">
            <v>4</v>
          </cell>
          <cell r="AE115">
            <v>4</v>
          </cell>
          <cell r="AG115">
            <v>4</v>
          </cell>
          <cell r="AI115">
            <v>4</v>
          </cell>
          <cell r="AK115">
            <v>4</v>
          </cell>
        </row>
        <row r="116">
          <cell r="B116" t="str">
            <v>If-converted shares</v>
          </cell>
          <cell r="Y116">
            <v>35</v>
          </cell>
          <cell r="AA116">
            <v>22</v>
          </cell>
          <cell r="AC116">
            <v>8</v>
          </cell>
          <cell r="AE116">
            <v>8</v>
          </cell>
          <cell r="AG116">
            <v>8</v>
          </cell>
          <cell r="AI116">
            <v>8</v>
          </cell>
          <cell r="AK116">
            <v>8</v>
          </cell>
        </row>
        <row r="117">
          <cell r="B117" t="str">
            <v>"If converted" EPS</v>
          </cell>
          <cell r="Y117">
            <v>2.36950115525927</v>
          </cell>
          <cell r="AA117">
            <v>3.2027027027027026</v>
          </cell>
          <cell r="AC117">
            <v>3.6732548790191979</v>
          </cell>
          <cell r="AE117">
            <v>4.1013211403748855</v>
          </cell>
          <cell r="AG117">
            <v>4.6347096976234399</v>
          </cell>
          <cell r="AI117">
            <v>5.0526778224740756</v>
          </cell>
          <cell r="AK117">
            <v>5.4875839896915242</v>
          </cell>
        </row>
        <row r="118">
          <cell r="B118" t="str">
            <v>EPS dilution</v>
          </cell>
          <cell r="Y118">
            <v>-1.9915199058218813E-2</v>
          </cell>
          <cell r="AA118">
            <v>-1.6022734143539608E-2</v>
          </cell>
          <cell r="AC118">
            <v>-5.8553982127391713E-3</v>
          </cell>
          <cell r="AE118">
            <v>-6.167686097554359E-3</v>
          </cell>
          <cell r="AG118">
            <v>-6.4134796063586297E-3</v>
          </cell>
          <cell r="AI118">
            <v>-6.6385970706114295E-3</v>
          </cell>
          <cell r="AK118">
            <v>-6.8431446390830875E-3</v>
          </cell>
        </row>
        <row r="119">
          <cell r="B119" t="str">
            <v>Modelware adjustment</v>
          </cell>
          <cell r="U119">
            <v>20.5</v>
          </cell>
          <cell r="W119">
            <v>20.5</v>
          </cell>
          <cell r="Y119">
            <v>21.06</v>
          </cell>
          <cell r="AA119">
            <v>6</v>
          </cell>
          <cell r="AC119">
            <v>4</v>
          </cell>
          <cell r="AE119">
            <v>4</v>
          </cell>
          <cell r="AG119">
            <v>4</v>
          </cell>
          <cell r="AI119">
            <v>4</v>
          </cell>
          <cell r="AK119">
            <v>4</v>
          </cell>
          <cell r="AO119" t="str">
            <v>mstag:adjustmentToNetIncomeForDilutiveItems</v>
          </cell>
          <cell r="AP119">
            <v>6</v>
          </cell>
          <cell r="AQ119" t="str">
            <v>ISO4217:USD</v>
          </cell>
          <cell r="AR119" t="b">
            <v>0</v>
          </cell>
          <cell r="AS119" t="b">
            <v>0</v>
          </cell>
        </row>
      </sheetData>
      <sheetData sheetId="7" refreshError="1">
        <row r="1">
          <cell r="B1" t="str">
            <v>Amgen Balance Sheet</v>
          </cell>
          <cell r="AO1" t="str">
            <v>ElementName</v>
          </cell>
          <cell r="AP1" t="str">
            <v>ScaleOverride</v>
          </cell>
          <cell r="AQ1" t="str">
            <v>UnitOverride</v>
          </cell>
          <cell r="AR1" t="str">
            <v>ReverseSign</v>
          </cell>
          <cell r="AS1" t="str">
            <v>IsDrivingAssumption</v>
          </cell>
          <cell r="AT1" t="str">
            <v>SegmentID</v>
          </cell>
        </row>
        <row r="2">
          <cell r="B2" t="str">
            <v>(Dollars in millions)</v>
          </cell>
        </row>
        <row r="4">
          <cell r="C4" t="str">
            <v>1993A</v>
          </cell>
          <cell r="E4" t="str">
            <v>1994A</v>
          </cell>
          <cell r="G4" t="str">
            <v>1995A</v>
          </cell>
          <cell r="I4" t="str">
            <v>1996A</v>
          </cell>
          <cell r="K4" t="str">
            <v>1997A</v>
          </cell>
          <cell r="M4" t="str">
            <v>1998A</v>
          </cell>
          <cell r="O4" t="str">
            <v>1999A</v>
          </cell>
          <cell r="Q4" t="str">
            <v>2000A</v>
          </cell>
          <cell r="S4" t="str">
            <v>2001A</v>
          </cell>
          <cell r="U4" t="str">
            <v>2002A</v>
          </cell>
          <cell r="W4" t="str">
            <v>2003A</v>
          </cell>
          <cell r="Y4" t="str">
            <v>2004A</v>
          </cell>
          <cell r="AA4" t="str">
            <v>2005A</v>
          </cell>
          <cell r="AC4" t="str">
            <v>2006E</v>
          </cell>
          <cell r="AE4" t="str">
            <v>2007E</v>
          </cell>
          <cell r="AG4" t="str">
            <v>2008E</v>
          </cell>
          <cell r="AI4" t="str">
            <v>2009E</v>
          </cell>
          <cell r="AK4" t="str">
            <v>2010E</v>
          </cell>
        </row>
        <row r="5">
          <cell r="B5" t="str">
            <v>Current assets:</v>
          </cell>
        </row>
        <row r="6">
          <cell r="B6" t="str">
            <v>Cash and Equivalents</v>
          </cell>
          <cell r="C6">
            <v>128.505</v>
          </cell>
          <cell r="E6">
            <v>211.32300000000001</v>
          </cell>
          <cell r="G6">
            <v>66.7</v>
          </cell>
          <cell r="I6">
            <v>169.3</v>
          </cell>
          <cell r="K6">
            <v>239.1</v>
          </cell>
          <cell r="M6">
            <v>201.1</v>
          </cell>
          <cell r="O6">
            <v>130.9</v>
          </cell>
          <cell r="Q6">
            <v>226.5</v>
          </cell>
          <cell r="S6">
            <v>689.1</v>
          </cell>
          <cell r="U6">
            <v>1851.7</v>
          </cell>
          <cell r="W6">
            <v>836.6</v>
          </cell>
          <cell r="Y6">
            <v>1526</v>
          </cell>
          <cell r="AA6">
            <v>1840</v>
          </cell>
          <cell r="AC6">
            <v>1595.73967569264</v>
          </cell>
          <cell r="AE6">
            <v>2878.8628570857336</v>
          </cell>
          <cell r="AG6">
            <v>4488.7177429048934</v>
          </cell>
          <cell r="AI6">
            <v>5822.949278354683</v>
          </cell>
          <cell r="AK6">
            <v>8527.1936550496484</v>
          </cell>
          <cell r="AO6" t="str">
            <v>mstag:cashAndCashEquivalents</v>
          </cell>
          <cell r="AP6">
            <v>6</v>
          </cell>
          <cell r="AQ6" t="str">
            <v>ISO4217:USD</v>
          </cell>
          <cell r="AR6" t="b">
            <v>0</v>
          </cell>
          <cell r="AS6" t="b">
            <v>0</v>
          </cell>
        </row>
        <row r="7">
          <cell r="B7" t="str">
            <v>Marketable Securities</v>
          </cell>
          <cell r="C7">
            <v>594.67899999999997</v>
          </cell>
          <cell r="E7">
            <v>485.358</v>
          </cell>
          <cell r="G7">
            <v>983.6</v>
          </cell>
          <cell r="I7">
            <v>907.7</v>
          </cell>
          <cell r="K7">
            <v>787.4</v>
          </cell>
          <cell r="M7">
            <v>1074.9000000000001</v>
          </cell>
          <cell r="O7">
            <v>1202.0999999999999</v>
          </cell>
          <cell r="Q7">
            <v>1801.6</v>
          </cell>
          <cell r="S7">
            <v>1973.1</v>
          </cell>
          <cell r="U7">
            <v>2812.2</v>
          </cell>
          <cell r="W7">
            <v>4286.3</v>
          </cell>
          <cell r="Y7">
            <v>4282</v>
          </cell>
          <cell r="AA7">
            <v>3415</v>
          </cell>
          <cell r="AC7">
            <v>3104.5454545454545</v>
          </cell>
          <cell r="AE7">
            <v>2956.7099567099567</v>
          </cell>
          <cell r="AG7">
            <v>2941.99995692533</v>
          </cell>
          <cell r="AI7">
            <v>2927.363141219234</v>
          </cell>
          <cell r="AK7">
            <v>2912.7991454917751</v>
          </cell>
          <cell r="AO7" t="str">
            <v>mstag:shortTermInvestments</v>
          </cell>
          <cell r="AP7">
            <v>6</v>
          </cell>
          <cell r="AQ7" t="str">
            <v>ISO4217:USD</v>
          </cell>
          <cell r="AR7" t="b">
            <v>0</v>
          </cell>
          <cell r="AS7" t="b">
            <v>0</v>
          </cell>
        </row>
        <row r="8">
          <cell r="B8" t="str">
            <v>Trade Receivables, net</v>
          </cell>
          <cell r="C8">
            <v>164.33699999999999</v>
          </cell>
          <cell r="E8">
            <v>194.71199999999999</v>
          </cell>
          <cell r="G8">
            <v>199.3</v>
          </cell>
          <cell r="I8">
            <v>225.4</v>
          </cell>
          <cell r="K8">
            <v>269</v>
          </cell>
          <cell r="M8">
            <v>319.89999999999998</v>
          </cell>
          <cell r="O8">
            <v>412.2</v>
          </cell>
          <cell r="Q8">
            <v>389.2</v>
          </cell>
          <cell r="S8">
            <v>497.2</v>
          </cell>
          <cell r="U8">
            <v>752.4</v>
          </cell>
          <cell r="W8">
            <v>1007.9</v>
          </cell>
          <cell r="Y8">
            <v>1461</v>
          </cell>
          <cell r="AA8">
            <v>1769</v>
          </cell>
          <cell r="AC8">
            <v>1968.4285714285713</v>
          </cell>
          <cell r="AE8">
            <v>2155.6826036867242</v>
          </cell>
          <cell r="AG8">
            <v>2372.6533954538641</v>
          </cell>
          <cell r="AI8">
            <v>2597.047178258721</v>
          </cell>
          <cell r="AK8">
            <v>2826.4134872455193</v>
          </cell>
          <cell r="AO8" t="str">
            <v>mstag:tradeReceivables</v>
          </cell>
          <cell r="AP8">
            <v>6</v>
          </cell>
          <cell r="AQ8" t="str">
            <v>ISO4217:USD</v>
          </cell>
          <cell r="AR8" t="b">
            <v>0</v>
          </cell>
          <cell r="AS8" t="b">
            <v>0</v>
          </cell>
        </row>
        <row r="9">
          <cell r="B9" t="str">
            <v>Inventories</v>
          </cell>
          <cell r="C9">
            <v>74.712000000000003</v>
          </cell>
          <cell r="E9">
            <v>98.004000000000005</v>
          </cell>
          <cell r="G9">
            <v>88.8</v>
          </cell>
          <cell r="I9">
            <v>97.4</v>
          </cell>
          <cell r="K9">
            <v>109.2</v>
          </cell>
          <cell r="M9">
            <v>110.8</v>
          </cell>
          <cell r="O9">
            <v>184.3</v>
          </cell>
          <cell r="Q9">
            <v>305.2</v>
          </cell>
          <cell r="S9">
            <v>355.6</v>
          </cell>
          <cell r="U9">
            <v>544.9</v>
          </cell>
          <cell r="W9">
            <v>712.6</v>
          </cell>
          <cell r="Y9">
            <v>888</v>
          </cell>
          <cell r="AA9">
            <v>1258</v>
          </cell>
          <cell r="AC9">
            <v>1422.0328124999999</v>
          </cell>
          <cell r="AE9">
            <v>1544.5641329739619</v>
          </cell>
          <cell r="AG9">
            <v>1664.7963868306774</v>
          </cell>
          <cell r="AI9">
            <v>1826.1337440775962</v>
          </cell>
          <cell r="AK9">
            <v>2018.7024615605301</v>
          </cell>
          <cell r="AO9" t="str">
            <v>mstag:inventories</v>
          </cell>
          <cell r="AP9">
            <v>6</v>
          </cell>
          <cell r="AQ9" t="str">
            <v>ISO4217:USD</v>
          </cell>
          <cell r="AR9" t="b">
            <v>0</v>
          </cell>
          <cell r="AS9" t="b">
            <v>0</v>
          </cell>
        </row>
        <row r="10">
          <cell r="B10" t="str">
            <v>Deferred Taxes, Net</v>
          </cell>
          <cell r="C10">
            <v>58.936999999999998</v>
          </cell>
          <cell r="E10">
            <v>70.176000000000002</v>
          </cell>
          <cell r="G10">
            <v>51.7</v>
          </cell>
          <cell r="O10">
            <v>0</v>
          </cell>
          <cell r="Q10">
            <v>0</v>
          </cell>
          <cell r="S10">
            <v>0</v>
          </cell>
          <cell r="U10">
            <v>0</v>
          </cell>
          <cell r="W10">
            <v>0</v>
          </cell>
          <cell r="Y10">
            <v>0</v>
          </cell>
          <cell r="AA10">
            <v>0</v>
          </cell>
          <cell r="AC10">
            <v>0</v>
          </cell>
          <cell r="AE10">
            <v>0</v>
          </cell>
          <cell r="AG10">
            <v>0</v>
          </cell>
          <cell r="AI10">
            <v>0</v>
          </cell>
          <cell r="AK10">
            <v>0</v>
          </cell>
          <cell r="AO10" t="str">
            <v>mstag:deferredTaxAssets</v>
          </cell>
          <cell r="AP10">
            <v>6</v>
          </cell>
          <cell r="AQ10" t="str">
            <v>ISO4217:USD</v>
          </cell>
          <cell r="AR10" t="b">
            <v>0</v>
          </cell>
          <cell r="AS10" t="b">
            <v>0</v>
          </cell>
        </row>
        <row r="11">
          <cell r="B11" t="str">
            <v>Other Current Assets</v>
          </cell>
          <cell r="C11">
            <v>33.340000000000003</v>
          </cell>
          <cell r="E11">
            <v>56.064999999999998</v>
          </cell>
          <cell r="G11">
            <v>64</v>
          </cell>
          <cell r="I11">
            <v>102.8</v>
          </cell>
          <cell r="K11">
            <v>138.80000000000001</v>
          </cell>
          <cell r="M11">
            <v>156.6</v>
          </cell>
          <cell r="O11">
            <v>135.80000000000001</v>
          </cell>
          <cell r="Q11">
            <v>214.6</v>
          </cell>
          <cell r="S11">
            <v>343.6</v>
          </cell>
          <cell r="U11">
            <v>442.3</v>
          </cell>
          <cell r="W11">
            <v>558.79999999999995</v>
          </cell>
          <cell r="Y11">
            <v>1013</v>
          </cell>
          <cell r="AA11">
            <v>953</v>
          </cell>
          <cell r="AC11">
            <v>964.53000000000009</v>
          </cell>
          <cell r="AE11">
            <v>1207.1822580645655</v>
          </cell>
          <cell r="AG11">
            <v>1473.4177585768496</v>
          </cell>
          <cell r="AI11">
            <v>1612.7662976986658</v>
          </cell>
          <cell r="AK11">
            <v>1755.2027755794675</v>
          </cell>
          <cell r="AO11" t="str">
            <v>mstag:otherAssets</v>
          </cell>
          <cell r="AP11">
            <v>6</v>
          </cell>
          <cell r="AQ11" t="str">
            <v>ISO4217:USD</v>
          </cell>
          <cell r="AR11" t="b">
            <v>0</v>
          </cell>
          <cell r="AS11" t="b">
            <v>0</v>
          </cell>
        </row>
        <row r="12">
          <cell r="B12" t="str">
            <v>Total current assets</v>
          </cell>
          <cell r="C12">
            <v>1054.51</v>
          </cell>
          <cell r="E12">
            <v>1115.6380000000001</v>
          </cell>
          <cell r="G12">
            <v>1454.1</v>
          </cell>
          <cell r="I12">
            <v>1502.6000000000001</v>
          </cell>
          <cell r="K12">
            <v>1543.5</v>
          </cell>
          <cell r="M12">
            <v>1863.3</v>
          </cell>
          <cell r="O12">
            <v>2065.3000000000002</v>
          </cell>
          <cell r="Q12">
            <v>2937.0999999999995</v>
          </cell>
          <cell r="S12">
            <v>3858.5999999999995</v>
          </cell>
          <cell r="U12">
            <v>6403.4999999999991</v>
          </cell>
          <cell r="W12">
            <v>7402.2000000000007</v>
          </cell>
          <cell r="Y12">
            <v>9170</v>
          </cell>
          <cell r="AA12">
            <v>9235</v>
          </cell>
          <cell r="AC12">
            <v>9055.2765141666659</v>
          </cell>
          <cell r="AE12">
            <v>10743.001808520943</v>
          </cell>
          <cell r="AG12">
            <v>12941.585240691616</v>
          </cell>
          <cell r="AI12">
            <v>14786.259639608899</v>
          </cell>
          <cell r="AK12">
            <v>18040.311524926939</v>
          </cell>
        </row>
        <row r="14">
          <cell r="B14" t="str">
            <v>Property, Plant &amp; Equipment</v>
          </cell>
          <cell r="C14">
            <v>586.91200000000003</v>
          </cell>
          <cell r="E14">
            <v>665.31399999999996</v>
          </cell>
          <cell r="G14">
            <v>743.8</v>
          </cell>
          <cell r="I14">
            <v>910.5</v>
          </cell>
          <cell r="K14">
            <v>1186.2</v>
          </cell>
          <cell r="M14">
            <v>1450.2</v>
          </cell>
          <cell r="O14">
            <v>1553.6</v>
          </cell>
          <cell r="Q14">
            <v>1781.5</v>
          </cell>
          <cell r="S14">
            <v>1946.1</v>
          </cell>
          <cell r="U14">
            <v>2813.5</v>
          </cell>
          <cell r="W14">
            <v>3799.4</v>
          </cell>
          <cell r="Y14">
            <v>4712</v>
          </cell>
          <cell r="AA14">
            <v>5038</v>
          </cell>
          <cell r="AC14">
            <v>5980.5493333333325</v>
          </cell>
          <cell r="AE14">
            <v>6577.3994462366118</v>
          </cell>
          <cell r="AG14">
            <v>7084.1184670405946</v>
          </cell>
          <cell r="AI14">
            <v>7351.437436320256</v>
          </cell>
          <cell r="AK14">
            <v>7696.185373274071</v>
          </cell>
          <cell r="AO14" t="str">
            <v>mstag:propertyPlantAndEquipmentNet</v>
          </cell>
          <cell r="AP14">
            <v>6</v>
          </cell>
          <cell r="AQ14" t="str">
            <v>ISO4217:USD</v>
          </cell>
          <cell r="AR14" t="b">
            <v>0</v>
          </cell>
          <cell r="AS14" t="b">
            <v>0</v>
          </cell>
        </row>
        <row r="15">
          <cell r="B15" t="str">
            <v>Intangible Assets, net</v>
          </cell>
          <cell r="O15">
            <v>0</v>
          </cell>
          <cell r="Q15">
            <v>0</v>
          </cell>
          <cell r="S15">
            <v>34.1</v>
          </cell>
          <cell r="U15">
            <v>4801.8999999999996</v>
          </cell>
          <cell r="W15">
            <v>4455.5</v>
          </cell>
          <cell r="Y15">
            <v>4033</v>
          </cell>
          <cell r="AA15">
            <v>3742</v>
          </cell>
          <cell r="AC15">
            <v>3680.89</v>
          </cell>
          <cell r="AE15">
            <v>3462.2799999999997</v>
          </cell>
          <cell r="AG15">
            <v>3243.6699999999996</v>
          </cell>
          <cell r="AI15">
            <v>3025.0599999999995</v>
          </cell>
          <cell r="AK15">
            <v>2806.4499999999994</v>
          </cell>
          <cell r="AO15" t="str">
            <v>mstag:otherIntangibleAssets</v>
          </cell>
          <cell r="AP15">
            <v>6</v>
          </cell>
          <cell r="AQ15" t="str">
            <v>ISO4217:USD</v>
          </cell>
          <cell r="AR15" t="b">
            <v>0</v>
          </cell>
          <cell r="AS15" t="b">
            <v>0</v>
          </cell>
        </row>
        <row r="16">
          <cell r="B16" t="str">
            <v>Goodwill</v>
          </cell>
          <cell r="O16">
            <v>0</v>
          </cell>
          <cell r="Q16">
            <v>0</v>
          </cell>
          <cell r="S16">
            <v>97.2</v>
          </cell>
          <cell r="U16">
            <v>9871.1</v>
          </cell>
          <cell r="W16">
            <v>9715.9</v>
          </cell>
          <cell r="Y16">
            <v>10525</v>
          </cell>
          <cell r="AA16">
            <v>10495</v>
          </cell>
          <cell r="AC16">
            <v>10995</v>
          </cell>
          <cell r="AE16">
            <v>10995</v>
          </cell>
          <cell r="AG16">
            <v>10995</v>
          </cell>
          <cell r="AI16">
            <v>10995</v>
          </cell>
          <cell r="AK16">
            <v>10995</v>
          </cell>
          <cell r="AO16" t="str">
            <v>mstag:goodwill</v>
          </cell>
          <cell r="AP16">
            <v>6</v>
          </cell>
          <cell r="AQ16" t="str">
            <v>ISO4217:USD</v>
          </cell>
          <cell r="AR16" t="b">
            <v>0</v>
          </cell>
          <cell r="AS16" t="b">
            <v>0</v>
          </cell>
        </row>
        <row r="17">
          <cell r="B17" t="str">
            <v>Other Assets</v>
          </cell>
          <cell r="C17">
            <v>124.1</v>
          </cell>
          <cell r="E17">
            <v>213.2</v>
          </cell>
          <cell r="G17">
            <v>234.9</v>
          </cell>
          <cell r="I17">
            <v>352.5</v>
          </cell>
          <cell r="K17">
            <v>380.5</v>
          </cell>
          <cell r="M17">
            <v>358.7</v>
          </cell>
          <cell r="O17">
            <v>458.7</v>
          </cell>
          <cell r="Q17">
            <v>681</v>
          </cell>
          <cell r="S17">
            <v>507.1</v>
          </cell>
          <cell r="U17">
            <v>566.29999999999995</v>
          </cell>
          <cell r="W17">
            <v>803.5</v>
          </cell>
          <cell r="Y17">
            <v>781</v>
          </cell>
          <cell r="AA17">
            <v>787</v>
          </cell>
          <cell r="AC17">
            <v>787</v>
          </cell>
          <cell r="AE17">
            <v>787</v>
          </cell>
          <cell r="AG17">
            <v>787</v>
          </cell>
          <cell r="AI17">
            <v>787</v>
          </cell>
          <cell r="AK17">
            <v>787</v>
          </cell>
          <cell r="AO17" t="str">
            <v>mstag:otherAssetsNonOperating</v>
          </cell>
          <cell r="AP17">
            <v>6</v>
          </cell>
          <cell r="AQ17" t="str">
            <v>ISO4217:USD</v>
          </cell>
          <cell r="AR17" t="b">
            <v>0</v>
          </cell>
          <cell r="AS17" t="b">
            <v>0</v>
          </cell>
        </row>
        <row r="19">
          <cell r="B19" t="str">
            <v>Total assets</v>
          </cell>
          <cell r="C19">
            <v>1765.5219999999999</v>
          </cell>
          <cell r="E19">
            <v>1994.1520000000003</v>
          </cell>
          <cell r="G19">
            <v>2432.7999999999997</v>
          </cell>
          <cell r="I19">
            <v>2765.6000000000004</v>
          </cell>
          <cell r="K19">
            <v>3110.2</v>
          </cell>
          <cell r="M19">
            <v>3672.2</v>
          </cell>
          <cell r="O19">
            <v>4077.6</v>
          </cell>
          <cell r="Q19">
            <v>5399.5999999999995</v>
          </cell>
          <cell r="S19">
            <v>6443.0999999999995</v>
          </cell>
          <cell r="U19">
            <v>24456.3</v>
          </cell>
          <cell r="W19">
            <v>26176.5</v>
          </cell>
          <cell r="Y19">
            <v>29221</v>
          </cell>
          <cell r="AA19">
            <v>29297</v>
          </cell>
          <cell r="AC19">
            <v>30498.7158475</v>
          </cell>
          <cell r="AE19">
            <v>32564.681254757554</v>
          </cell>
          <cell r="AG19">
            <v>35051.373707732208</v>
          </cell>
          <cell r="AI19">
            <v>36944.757075929156</v>
          </cell>
          <cell r="AK19">
            <v>40324.946898201015</v>
          </cell>
        </row>
        <row r="21">
          <cell r="B21" t="str">
            <v>Current liabilities:</v>
          </cell>
        </row>
        <row r="22">
          <cell r="B22" t="str">
            <v>Accounts Payable</v>
          </cell>
          <cell r="C22">
            <v>23.056000000000001</v>
          </cell>
          <cell r="E22">
            <v>30.475999999999999</v>
          </cell>
          <cell r="G22">
            <v>54.4</v>
          </cell>
          <cell r="I22">
            <v>75</v>
          </cell>
          <cell r="K22">
            <v>111.1</v>
          </cell>
          <cell r="M22">
            <v>121.6</v>
          </cell>
          <cell r="O22">
            <v>83.4</v>
          </cell>
          <cell r="Q22">
            <v>143.19999999999999</v>
          </cell>
          <cell r="S22">
            <v>136.69999999999999</v>
          </cell>
          <cell r="U22">
            <v>254.6</v>
          </cell>
          <cell r="W22">
            <v>327.2</v>
          </cell>
          <cell r="Y22">
            <v>507</v>
          </cell>
          <cell r="AA22">
            <v>596</v>
          </cell>
          <cell r="AC22">
            <v>664.90923999999995</v>
          </cell>
          <cell r="AE22">
            <v>725.2428557948823</v>
          </cell>
          <cell r="AG22">
            <v>817.47919566890039</v>
          </cell>
          <cell r="AI22">
            <v>922.93696722228412</v>
          </cell>
          <cell r="AK22">
            <v>1024.8726343603414</v>
          </cell>
          <cell r="AO22" t="str">
            <v>mstag:tradeAndOtherPayables</v>
          </cell>
          <cell r="AP22">
            <v>6</v>
          </cell>
          <cell r="AQ22" t="str">
            <v>ISO4217:USD</v>
          </cell>
          <cell r="AR22" t="b">
            <v>0</v>
          </cell>
          <cell r="AS22" t="b">
            <v>0</v>
          </cell>
        </row>
        <row r="23">
          <cell r="B23" t="str">
            <v>Commercial Paper</v>
          </cell>
          <cell r="C23">
            <v>109.767</v>
          </cell>
          <cell r="E23">
            <v>99.667000000000002</v>
          </cell>
          <cell r="G23">
            <v>69.7</v>
          </cell>
          <cell r="I23">
            <v>0</v>
          </cell>
          <cell r="K23">
            <v>-302.2</v>
          </cell>
          <cell r="M23">
            <v>99.7</v>
          </cell>
          <cell r="O23">
            <v>99.5</v>
          </cell>
          <cell r="Q23">
            <v>99.7</v>
          </cell>
          <cell r="S23">
            <v>99.9</v>
          </cell>
          <cell r="U23">
            <v>0</v>
          </cell>
          <cell r="W23">
            <v>0</v>
          </cell>
          <cell r="Y23">
            <v>0</v>
          </cell>
          <cell r="AA23">
            <v>0</v>
          </cell>
          <cell r="AC23">
            <v>0</v>
          </cell>
          <cell r="AE23">
            <v>0</v>
          </cell>
          <cell r="AG23">
            <v>0</v>
          </cell>
          <cell r="AI23">
            <v>0</v>
          </cell>
          <cell r="AK23">
            <v>0</v>
          </cell>
          <cell r="AO23" t="str">
            <v>mstag:shortTermBorrowings</v>
          </cell>
          <cell r="AP23">
            <v>6</v>
          </cell>
          <cell r="AQ23" t="str">
            <v>ISO4217:USD</v>
          </cell>
          <cell r="AR23" t="b">
            <v>0</v>
          </cell>
          <cell r="AS23" t="b">
            <v>0</v>
          </cell>
        </row>
        <row r="24">
          <cell r="B24" t="str">
            <v>Accrued Liabilities</v>
          </cell>
          <cell r="C24">
            <v>279.43799999999999</v>
          </cell>
          <cell r="E24">
            <v>406.28699999999998</v>
          </cell>
          <cell r="G24">
            <v>459.7</v>
          </cell>
          <cell r="I24">
            <v>449.7</v>
          </cell>
          <cell r="K24">
            <v>608</v>
          </cell>
          <cell r="M24">
            <v>659.7</v>
          </cell>
          <cell r="O24">
            <v>648.20000000000005</v>
          </cell>
          <cell r="Q24">
            <v>619.20000000000005</v>
          </cell>
          <cell r="S24">
            <v>766.3</v>
          </cell>
          <cell r="U24">
            <v>1151.7</v>
          </cell>
          <cell r="W24">
            <v>1919.1</v>
          </cell>
          <cell r="Y24">
            <v>2477</v>
          </cell>
          <cell r="AA24">
            <v>2999</v>
          </cell>
          <cell r="AC24">
            <v>2908.9779249999997</v>
          </cell>
          <cell r="AE24">
            <v>3172.9374941026099</v>
          </cell>
          <cell r="AG24">
            <v>3335.3151183291138</v>
          </cell>
          <cell r="AI24">
            <v>3765.5828262669193</v>
          </cell>
          <cell r="AK24">
            <v>4181.4803481901936</v>
          </cell>
          <cell r="AO24" t="str">
            <v>mstag:accruedExpenses</v>
          </cell>
          <cell r="AP24">
            <v>6</v>
          </cell>
          <cell r="AQ24" t="str">
            <v>ISO4217:USD</v>
          </cell>
          <cell r="AR24" t="b">
            <v>0</v>
          </cell>
          <cell r="AS24" t="b">
            <v>0</v>
          </cell>
        </row>
        <row r="25">
          <cell r="B25" t="str">
            <v>Current Portion Long Term Debt</v>
          </cell>
          <cell r="I25">
            <v>118.2</v>
          </cell>
          <cell r="K25">
            <v>30</v>
          </cell>
          <cell r="M25">
            <v>6</v>
          </cell>
          <cell r="O25">
            <v>0</v>
          </cell>
          <cell r="Q25">
            <v>0</v>
          </cell>
          <cell r="S25">
            <v>0</v>
          </cell>
          <cell r="U25">
            <v>122.9</v>
          </cell>
          <cell r="W25">
            <v>0</v>
          </cell>
          <cell r="Y25">
            <v>1173</v>
          </cell>
          <cell r="AA25">
            <v>0</v>
          </cell>
          <cell r="AC25">
            <v>0</v>
          </cell>
          <cell r="AE25">
            <v>0</v>
          </cell>
          <cell r="AG25">
            <v>0</v>
          </cell>
          <cell r="AI25">
            <v>0</v>
          </cell>
          <cell r="AK25">
            <v>0</v>
          </cell>
          <cell r="AO25" t="str">
            <v>mstag:shortTermBorrowings</v>
          </cell>
          <cell r="AP25">
            <v>6</v>
          </cell>
          <cell r="AQ25" t="str">
            <v>ISO4217:USD</v>
          </cell>
          <cell r="AR25" t="b">
            <v>0</v>
          </cell>
          <cell r="AS25" t="b">
            <v>0</v>
          </cell>
        </row>
        <row r="26">
          <cell r="B26" t="str">
            <v>Total current liabilities</v>
          </cell>
          <cell r="C26">
            <v>412.26099999999997</v>
          </cell>
          <cell r="E26">
            <v>536.42999999999995</v>
          </cell>
          <cell r="G26">
            <v>583.79999999999995</v>
          </cell>
          <cell r="I26">
            <v>642.90000000000009</v>
          </cell>
          <cell r="K26">
            <v>446.9</v>
          </cell>
          <cell r="M26">
            <v>887</v>
          </cell>
          <cell r="O26">
            <v>831.1</v>
          </cell>
          <cell r="Q26">
            <v>862.1</v>
          </cell>
          <cell r="S26">
            <v>1002.9</v>
          </cell>
          <cell r="U26">
            <v>1529.2</v>
          </cell>
          <cell r="W26">
            <v>2246.2999999999997</v>
          </cell>
          <cell r="Y26">
            <v>4157</v>
          </cell>
          <cell r="AA26">
            <v>3595</v>
          </cell>
          <cell r="AC26">
            <v>3573.8871649999996</v>
          </cell>
          <cell r="AE26">
            <v>3898.1803498974923</v>
          </cell>
          <cell r="AG26">
            <v>4152.7943139980143</v>
          </cell>
          <cell r="AI26">
            <v>4688.519793489203</v>
          </cell>
          <cell r="AK26">
            <v>5206.3529825505348</v>
          </cell>
        </row>
        <row r="28">
          <cell r="B28" t="str">
            <v>Deferred Tax Liabilities</v>
          </cell>
          <cell r="C28">
            <v>0</v>
          </cell>
          <cell r="E28">
            <v>0</v>
          </cell>
          <cell r="G28">
            <v>0</v>
          </cell>
          <cell r="I28">
            <v>0</v>
          </cell>
          <cell r="K28">
            <v>0</v>
          </cell>
          <cell r="M28">
            <v>0</v>
          </cell>
          <cell r="O28">
            <v>0</v>
          </cell>
          <cell r="Q28">
            <v>0</v>
          </cell>
          <cell r="S28">
            <v>0</v>
          </cell>
          <cell r="U28">
            <v>1593.4</v>
          </cell>
          <cell r="W28">
            <v>1461.6</v>
          </cell>
          <cell r="Y28">
            <v>1294</v>
          </cell>
          <cell r="AA28">
            <v>1294</v>
          </cell>
          <cell r="AC28">
            <v>994</v>
          </cell>
          <cell r="AE28">
            <v>994</v>
          </cell>
          <cell r="AG28">
            <v>994</v>
          </cell>
          <cell r="AI28">
            <v>994</v>
          </cell>
          <cell r="AK28">
            <v>994</v>
          </cell>
          <cell r="AO28" t="str">
            <v>mstag:deferredTaxLiabilities</v>
          </cell>
          <cell r="AP28">
            <v>6</v>
          </cell>
          <cell r="AQ28" t="str">
            <v>ISO4217:USD</v>
          </cell>
          <cell r="AR28" t="b">
            <v>0</v>
          </cell>
          <cell r="AS28" t="b">
            <v>0</v>
          </cell>
        </row>
        <row r="29">
          <cell r="B29" t="str">
            <v xml:space="preserve">Long-Term Debt </v>
          </cell>
          <cell r="C29">
            <v>181.24199999999999</v>
          </cell>
          <cell r="E29">
            <v>183.40700000000001</v>
          </cell>
          <cell r="G29">
            <v>177.2</v>
          </cell>
          <cell r="I29">
            <v>59</v>
          </cell>
          <cell r="K29">
            <v>229</v>
          </cell>
          <cell r="M29">
            <v>223</v>
          </cell>
          <cell r="O29">
            <v>223</v>
          </cell>
          <cell r="Q29">
            <v>223</v>
          </cell>
          <cell r="S29">
            <v>223</v>
          </cell>
          <cell r="U29">
            <v>3047.7</v>
          </cell>
          <cell r="W29">
            <v>3079.5</v>
          </cell>
          <cell r="Y29">
            <v>4065</v>
          </cell>
          <cell r="AA29">
            <v>3957</v>
          </cell>
          <cell r="AC29">
            <v>8976.7887499999997</v>
          </cell>
          <cell r="AE29">
            <v>8896.5774999999994</v>
          </cell>
          <cell r="AG29">
            <v>8916.3662499999991</v>
          </cell>
          <cell r="AI29">
            <v>7938.1549999999988</v>
          </cell>
          <cell r="AK29">
            <v>7957.9437499999985</v>
          </cell>
          <cell r="AO29" t="str">
            <v>mstag:longTermDebt</v>
          </cell>
          <cell r="AP29">
            <v>6</v>
          </cell>
          <cell r="AQ29" t="str">
            <v>ISO4217:USD</v>
          </cell>
          <cell r="AR29" t="b">
            <v>0</v>
          </cell>
          <cell r="AS29" t="b">
            <v>0</v>
          </cell>
        </row>
        <row r="30">
          <cell r="B30" t="str">
            <v>Put Warrants</v>
          </cell>
          <cell r="C30">
            <v>0</v>
          </cell>
          <cell r="E30">
            <v>0</v>
          </cell>
          <cell r="G30">
            <v>0</v>
          </cell>
          <cell r="I30">
            <v>157.4</v>
          </cell>
          <cell r="K30">
            <v>0</v>
          </cell>
          <cell r="M30">
            <v>0</v>
          </cell>
          <cell r="O30">
            <v>0</v>
          </cell>
          <cell r="Q30">
            <v>0</v>
          </cell>
          <cell r="S30">
            <v>0</v>
          </cell>
          <cell r="U30">
            <v>0</v>
          </cell>
          <cell r="W30">
            <v>0</v>
          </cell>
          <cell r="Y30">
            <v>0</v>
          </cell>
          <cell r="AA30">
            <v>0</v>
          </cell>
          <cell r="AC30">
            <v>0</v>
          </cell>
          <cell r="AE30">
            <v>0</v>
          </cell>
          <cell r="AG30">
            <v>0</v>
          </cell>
          <cell r="AI30">
            <v>0</v>
          </cell>
          <cell r="AK30">
            <v>0</v>
          </cell>
          <cell r="AO30" t="str">
            <v>mstag:otherLiabilitiesNonOperating</v>
          </cell>
          <cell r="AP30">
            <v>6</v>
          </cell>
          <cell r="AQ30" t="str">
            <v>ISO4217:USD</v>
          </cell>
          <cell r="AR30" t="b">
            <v>0</v>
          </cell>
          <cell r="AS30" t="b">
            <v>0</v>
          </cell>
        </row>
        <row r="31">
          <cell r="B31" t="str">
            <v>Total liabilities</v>
          </cell>
          <cell r="C31">
            <v>593.50299999999993</v>
          </cell>
          <cell r="E31">
            <v>719.83699999999999</v>
          </cell>
          <cell r="G31">
            <v>761</v>
          </cell>
          <cell r="I31">
            <v>701.90000000000009</v>
          </cell>
          <cell r="K31">
            <v>675.9</v>
          </cell>
          <cell r="M31">
            <v>1110</v>
          </cell>
          <cell r="O31">
            <v>1054.0999999999999</v>
          </cell>
          <cell r="Q31">
            <v>1085.0999999999999</v>
          </cell>
          <cell r="S31">
            <v>1225.9000000000001</v>
          </cell>
          <cell r="U31">
            <v>6170.3</v>
          </cell>
          <cell r="W31">
            <v>6787.4</v>
          </cell>
          <cell r="Y31">
            <v>9516</v>
          </cell>
          <cell r="AA31">
            <v>8846</v>
          </cell>
          <cell r="AC31">
            <v>13544.675915</v>
          </cell>
          <cell r="AE31">
            <v>13788.757849897491</v>
          </cell>
          <cell r="AG31">
            <v>14063.160563998013</v>
          </cell>
          <cell r="AI31">
            <v>13620.674793489201</v>
          </cell>
          <cell r="AK31">
            <v>14158.296732550534</v>
          </cell>
        </row>
        <row r="33">
          <cell r="B33" t="str">
            <v>Stockholders' equity:</v>
          </cell>
        </row>
        <row r="34">
          <cell r="B34" t="str">
            <v>Preferred Stock</v>
          </cell>
          <cell r="S34">
            <v>0</v>
          </cell>
          <cell r="U34">
            <v>0</v>
          </cell>
          <cell r="W34">
            <v>0</v>
          </cell>
          <cell r="Y34">
            <v>0</v>
          </cell>
          <cell r="AA34">
            <v>0</v>
          </cell>
          <cell r="AC34">
            <v>0</v>
          </cell>
          <cell r="AE34">
            <v>0</v>
          </cell>
          <cell r="AG34">
            <v>0</v>
          </cell>
          <cell r="AI34">
            <v>0</v>
          </cell>
          <cell r="AK34">
            <v>0</v>
          </cell>
          <cell r="AO34" t="str">
            <v>mstag:preferredEquity</v>
          </cell>
          <cell r="AP34">
            <v>6</v>
          </cell>
          <cell r="AQ34" t="str">
            <v>ISO4217:USD</v>
          </cell>
          <cell r="AR34" t="b">
            <v>0</v>
          </cell>
          <cell r="AS34" t="b">
            <v>0</v>
          </cell>
        </row>
        <row r="35">
          <cell r="B35" t="str">
            <v>Common Stock and APIC</v>
          </cell>
          <cell r="C35">
            <v>583.19878761447876</v>
          </cell>
          <cell r="E35">
            <v>634.09843436545998</v>
          </cell>
          <cell r="G35">
            <v>831.89001308329694</v>
          </cell>
          <cell r="I35">
            <v>1026.9000000000001</v>
          </cell>
          <cell r="K35">
            <v>1196.0999999999999</v>
          </cell>
          <cell r="M35">
            <v>1671.9</v>
          </cell>
          <cell r="O35">
            <v>2072.3000000000002</v>
          </cell>
          <cell r="Q35">
            <v>2947.3</v>
          </cell>
          <cell r="S35">
            <v>3474.1</v>
          </cell>
          <cell r="U35">
            <v>19344.3</v>
          </cell>
          <cell r="W35">
            <v>19995.3</v>
          </cell>
          <cell r="Y35">
            <v>22078</v>
          </cell>
          <cell r="AA35">
            <v>23561</v>
          </cell>
          <cell r="AC35">
            <v>16734.574542499999</v>
          </cell>
          <cell r="AE35">
            <v>14375.822116285579</v>
          </cell>
          <cell r="AG35">
            <v>11943.489962124937</v>
          </cell>
          <cell r="AI35">
            <v>9343.913232858682</v>
          </cell>
          <cell r="AK35">
            <v>6943.2943418808663</v>
          </cell>
          <cell r="AO35" t="str">
            <v>mstag:totalShareCapital</v>
          </cell>
          <cell r="AP35">
            <v>6</v>
          </cell>
          <cell r="AQ35" t="str">
            <v>ISO4217:USD</v>
          </cell>
          <cell r="AR35" t="b">
            <v>0</v>
          </cell>
          <cell r="AS35" t="b">
            <v>0</v>
          </cell>
        </row>
        <row r="36">
          <cell r="B36" t="str">
            <v>Retained Earnings</v>
          </cell>
          <cell r="C36">
            <v>499.43033774288898</v>
          </cell>
          <cell r="E36">
            <v>543.01895333624066</v>
          </cell>
          <cell r="G36">
            <v>712.4005039492173</v>
          </cell>
          <cell r="I36">
            <v>879.4</v>
          </cell>
          <cell r="K36">
            <v>943.2</v>
          </cell>
          <cell r="M36">
            <v>894.3</v>
          </cell>
          <cell r="O36">
            <v>966</v>
          </cell>
          <cell r="Q36">
            <v>1304.5999999999999</v>
          </cell>
          <cell r="S36">
            <v>1686.8</v>
          </cell>
          <cell r="U36">
            <v>-1125.5</v>
          </cell>
          <cell r="W36">
            <v>-667</v>
          </cell>
          <cell r="Y36">
            <v>-2376</v>
          </cell>
          <cell r="AA36">
            <v>-3132</v>
          </cell>
          <cell r="AC36">
            <v>197.4653900000003</v>
          </cell>
          <cell r="AE36">
            <v>4378.1012885744822</v>
          </cell>
          <cell r="AG36">
            <v>9022.7231816092572</v>
          </cell>
          <cell r="AI36">
            <v>13958.169049581269</v>
          </cell>
          <cell r="AK36">
            <v>19201.355823769609</v>
          </cell>
          <cell r="AO36" t="str">
            <v>mstag:retainedEarnings</v>
          </cell>
          <cell r="AP36">
            <v>6</v>
          </cell>
          <cell r="AQ36" t="str">
            <v>ISO4217:USD</v>
          </cell>
          <cell r="AR36" t="b">
            <v>0</v>
          </cell>
          <cell r="AS36" t="b">
            <v>0</v>
          </cell>
        </row>
        <row r="37">
          <cell r="B37" t="str">
            <v>AOCI</v>
          </cell>
          <cell r="C37">
            <v>89.390874642632141</v>
          </cell>
          <cell r="E37">
            <v>97.192612298299153</v>
          </cell>
          <cell r="G37">
            <v>127.50948296748555</v>
          </cell>
          <cell r="I37">
            <v>157.4</v>
          </cell>
          <cell r="K37">
            <v>295</v>
          </cell>
          <cell r="M37">
            <v>-4</v>
          </cell>
          <cell r="O37">
            <v>-14.8</v>
          </cell>
          <cell r="Q37">
            <v>62.6</v>
          </cell>
          <cell r="S37">
            <v>56.3</v>
          </cell>
          <cell r="U37">
            <v>67.2</v>
          </cell>
          <cell r="W37">
            <v>60.8</v>
          </cell>
          <cell r="Y37">
            <v>3</v>
          </cell>
          <cell r="AA37">
            <v>22</v>
          </cell>
          <cell r="AC37">
            <v>22</v>
          </cell>
          <cell r="AE37">
            <v>22</v>
          </cell>
          <cell r="AG37">
            <v>22</v>
          </cell>
          <cell r="AI37">
            <v>22</v>
          </cell>
          <cell r="AK37">
            <v>22</v>
          </cell>
          <cell r="AO37" t="str">
            <v>mstag:accumulatedOtherComprehensiveIncomeLossAndReserves</v>
          </cell>
          <cell r="AP37">
            <v>6</v>
          </cell>
          <cell r="AQ37" t="str">
            <v>ISO4217:USD</v>
          </cell>
          <cell r="AR37" t="b">
            <v>0</v>
          </cell>
          <cell r="AS37" t="b">
            <v>0</v>
          </cell>
        </row>
        <row r="38">
          <cell r="B38" t="str">
            <v>Total stockholders' equity</v>
          </cell>
          <cell r="C38">
            <v>1172.02</v>
          </cell>
          <cell r="E38">
            <v>1274.31</v>
          </cell>
          <cell r="G38">
            <v>1671.8</v>
          </cell>
          <cell r="I38">
            <v>2063.7000000000003</v>
          </cell>
          <cell r="K38">
            <v>2434.3000000000002</v>
          </cell>
          <cell r="M38">
            <v>2562.1999999999998</v>
          </cell>
          <cell r="O38">
            <v>3023.5</v>
          </cell>
          <cell r="Q38">
            <v>4314.5</v>
          </cell>
          <cell r="S38">
            <v>5217.2</v>
          </cell>
          <cell r="U38">
            <v>18286</v>
          </cell>
          <cell r="W38">
            <v>19389.099999999999</v>
          </cell>
          <cell r="Y38">
            <v>19705</v>
          </cell>
          <cell r="AA38">
            <v>20451</v>
          </cell>
          <cell r="AC38">
            <v>16954.0399325</v>
          </cell>
          <cell r="AE38">
            <v>18775.923404860063</v>
          </cell>
          <cell r="AG38">
            <v>20988.213143734196</v>
          </cell>
          <cell r="AI38">
            <v>23324.082282439951</v>
          </cell>
          <cell r="AK38">
            <v>26166.650165650477</v>
          </cell>
        </row>
        <row r="40">
          <cell r="B40" t="str">
            <v>Total Liabilities and Equity</v>
          </cell>
          <cell r="C40">
            <v>1765.5229999999999</v>
          </cell>
          <cell r="E40">
            <v>1994.1469999999999</v>
          </cell>
          <cell r="G40">
            <v>2432.8000000000002</v>
          </cell>
          <cell r="I40">
            <v>2765.6000000000004</v>
          </cell>
          <cell r="K40">
            <v>3110.2000000000003</v>
          </cell>
          <cell r="M40">
            <v>3672.2</v>
          </cell>
          <cell r="O40">
            <v>4077.6</v>
          </cell>
          <cell r="Q40">
            <v>5399.6</v>
          </cell>
          <cell r="S40">
            <v>6443.1</v>
          </cell>
          <cell r="U40">
            <v>24456.3</v>
          </cell>
          <cell r="W40">
            <v>26176.5</v>
          </cell>
          <cell r="Y40">
            <v>29221</v>
          </cell>
          <cell r="AA40">
            <v>29297</v>
          </cell>
          <cell r="AC40">
            <v>30498.7158475</v>
          </cell>
          <cell r="AE40">
            <v>32564.681254757554</v>
          </cell>
          <cell r="AG40">
            <v>35051.373707732208</v>
          </cell>
          <cell r="AI40">
            <v>36944.757075929156</v>
          </cell>
          <cell r="AK40">
            <v>40324.946898201015</v>
          </cell>
        </row>
        <row r="42">
          <cell r="C42">
            <v>-9.9999999997635314E-4</v>
          </cell>
          <cell r="E42">
            <v>5.000000000336513E-3</v>
          </cell>
          <cell r="G42">
            <v>0</v>
          </cell>
          <cell r="I42">
            <v>0</v>
          </cell>
          <cell r="K42">
            <v>0</v>
          </cell>
          <cell r="M42">
            <v>0</v>
          </cell>
          <cell r="O42">
            <v>0</v>
          </cell>
          <cell r="Q42">
            <v>0</v>
          </cell>
          <cell r="S42">
            <v>0</v>
          </cell>
          <cell r="U42">
            <v>0</v>
          </cell>
          <cell r="W42">
            <v>0</v>
          </cell>
          <cell r="Y42">
            <v>0</v>
          </cell>
          <cell r="AA42">
            <v>0</v>
          </cell>
          <cell r="AC42">
            <v>0</v>
          </cell>
          <cell r="AE42">
            <v>0</v>
          </cell>
          <cell r="AG42">
            <v>0</v>
          </cell>
          <cell r="AI42">
            <v>0</v>
          </cell>
          <cell r="AK42">
            <v>0</v>
          </cell>
        </row>
        <row r="43">
          <cell r="C43">
            <v>-4.9999999998817657E-4</v>
          </cell>
          <cell r="E43">
            <v>2.5000000001682565E-3</v>
          </cell>
          <cell r="G43">
            <v>0</v>
          </cell>
          <cell r="I43">
            <v>0</v>
          </cell>
          <cell r="K43">
            <v>0</v>
          </cell>
          <cell r="M43">
            <v>0</v>
          </cell>
          <cell r="O43">
            <v>0</v>
          </cell>
          <cell r="Q43">
            <v>0</v>
          </cell>
          <cell r="S43">
            <v>0</v>
          </cell>
          <cell r="U43">
            <v>0</v>
          </cell>
          <cell r="W43">
            <v>0</v>
          </cell>
          <cell r="Y43">
            <v>0</v>
          </cell>
          <cell r="AA43">
            <v>0</v>
          </cell>
          <cell r="AC43">
            <v>0</v>
          </cell>
          <cell r="AE43">
            <v>0</v>
          </cell>
          <cell r="AG43">
            <v>0</v>
          </cell>
          <cell r="AI43">
            <v>0</v>
          </cell>
          <cell r="AK43">
            <v>0</v>
          </cell>
        </row>
        <row r="44">
          <cell r="B44" t="str">
            <v>Common Stock and APIC</v>
          </cell>
          <cell r="U44">
            <v>15870.199999999999</v>
          </cell>
          <cell r="W44">
            <v>651</v>
          </cell>
          <cell r="Y44">
            <v>2082.7000000000007</v>
          </cell>
          <cell r="AA44">
            <v>1483</v>
          </cell>
          <cell r="AC44">
            <v>-6826.4254575000014</v>
          </cell>
          <cell r="AE44">
            <v>-2358.7524262144198</v>
          </cell>
          <cell r="AG44">
            <v>-2432.3321541606419</v>
          </cell>
          <cell r="AI44">
            <v>-2599.5767292662549</v>
          </cell>
        </row>
        <row r="45">
          <cell r="B45" t="str">
            <v>Retained Earnings</v>
          </cell>
          <cell r="U45">
            <v>-2812.3</v>
          </cell>
          <cell r="W45">
            <v>2461.5</v>
          </cell>
          <cell r="Y45">
            <v>-1709</v>
          </cell>
          <cell r="AA45">
            <v>-756</v>
          </cell>
          <cell r="AC45">
            <v>3329.4653900000003</v>
          </cell>
          <cell r="AE45">
            <v>4180.6358985744819</v>
          </cell>
          <cell r="AG45">
            <v>4644.621893034775</v>
          </cell>
          <cell r="AI45">
            <v>4935.4458679720119</v>
          </cell>
        </row>
        <row r="46">
          <cell r="B46" t="str">
            <v>AOCI</v>
          </cell>
          <cell r="U46">
            <v>10.900000000000006</v>
          </cell>
          <cell r="W46">
            <v>-6.4000000000000057</v>
          </cell>
          <cell r="Y46">
            <v>-57.8</v>
          </cell>
          <cell r="AA46">
            <v>19</v>
          </cell>
          <cell r="AC46">
            <v>0</v>
          </cell>
          <cell r="AE46">
            <v>0</v>
          </cell>
          <cell r="AG46">
            <v>0</v>
          </cell>
          <cell r="AI46">
            <v>0</v>
          </cell>
        </row>
        <row r="48">
          <cell r="B48" t="str">
            <v>CALCULATIONS</v>
          </cell>
        </row>
        <row r="49">
          <cell r="W49" t="str">
            <v>2003-FY</v>
          </cell>
          <cell r="Y49" t="str">
            <v>2004-FY</v>
          </cell>
          <cell r="AA49" t="str">
            <v>2005-FY</v>
          </cell>
          <cell r="AC49" t="str">
            <v>2006-FY</v>
          </cell>
          <cell r="AE49" t="str">
            <v>2007-FY</v>
          </cell>
          <cell r="AG49" t="str">
            <v>2008-FY</v>
          </cell>
          <cell r="AI49" t="str">
            <v>2009-FY</v>
          </cell>
          <cell r="AK49" t="str">
            <v>2010-FY</v>
          </cell>
        </row>
        <row r="50">
          <cell r="A50" t="str">
            <v>Revenues</v>
          </cell>
          <cell r="O50">
            <v>3340.1</v>
          </cell>
          <cell r="Q50">
            <v>3629.3999999999996</v>
          </cell>
          <cell r="S50">
            <v>4015.7</v>
          </cell>
          <cell r="U50">
            <v>5522.9999999999991</v>
          </cell>
          <cell r="W50">
            <v>8356</v>
          </cell>
          <cell r="Y50">
            <v>10549.9</v>
          </cell>
          <cell r="AA50">
            <v>12430</v>
          </cell>
          <cell r="AC50">
            <v>13779</v>
          </cell>
          <cell r="AE50">
            <v>15089.778225807069</v>
          </cell>
          <cell r="AG50">
            <v>16371.308428631663</v>
          </cell>
          <cell r="AI50">
            <v>17919.625529985176</v>
          </cell>
          <cell r="AK50">
            <v>19502.253061994084</v>
          </cell>
        </row>
        <row r="51">
          <cell r="A51" t="str">
            <v>Operating expenses</v>
          </cell>
          <cell r="O51">
            <v>1847</v>
          </cell>
          <cell r="Q51">
            <v>2085.4</v>
          </cell>
          <cell r="S51">
            <v>2484.5</v>
          </cell>
          <cell r="U51">
            <v>3160.5</v>
          </cell>
          <cell r="W51">
            <v>4929.0000000000009</v>
          </cell>
          <cell r="Y51">
            <v>6315</v>
          </cell>
          <cell r="AA51">
            <v>7129</v>
          </cell>
          <cell r="AC51">
            <v>8311.3654999999999</v>
          </cell>
          <cell r="AE51">
            <v>9065.5356974360293</v>
          </cell>
          <cell r="AG51">
            <v>9809.7503480268042</v>
          </cell>
          <cell r="AI51">
            <v>11075.243606667409</v>
          </cell>
          <cell r="AK51">
            <v>12298.471612324098</v>
          </cell>
        </row>
        <row r="52">
          <cell r="A52" t="str">
            <v>COGS</v>
          </cell>
          <cell r="O52">
            <v>402.1</v>
          </cell>
          <cell r="Q52">
            <v>408.4</v>
          </cell>
          <cell r="S52">
            <v>443</v>
          </cell>
          <cell r="U52">
            <v>735.7</v>
          </cell>
          <cell r="W52">
            <v>1340.7</v>
          </cell>
          <cell r="Y52">
            <v>1731</v>
          </cell>
          <cell r="AA52">
            <v>2035</v>
          </cell>
          <cell r="AC52">
            <v>2275.2525000000001</v>
          </cell>
          <cell r="AE52">
            <v>2471.3026127583394</v>
          </cell>
          <cell r="AG52">
            <v>2663.674218929084</v>
          </cell>
          <cell r="AI52">
            <v>2921.8139905241542</v>
          </cell>
          <cell r="AK52">
            <v>3229.9239384968482</v>
          </cell>
        </row>
        <row r="54">
          <cell r="B54" t="str">
            <v>Depreciation and Amortization from</v>
          </cell>
          <cell r="AL54">
            <v>7.5</v>
          </cell>
        </row>
        <row r="55">
          <cell r="A55" t="str">
            <v xml:space="preserve">Existing PP&amp;E </v>
          </cell>
          <cell r="O55">
            <v>176.8</v>
          </cell>
          <cell r="Q55">
            <v>211.8</v>
          </cell>
          <cell r="S55">
            <v>265.89999999999998</v>
          </cell>
          <cell r="U55">
            <v>204.3</v>
          </cell>
          <cell r="W55">
            <v>77.599999999999994</v>
          </cell>
          <cell r="Y55">
            <v>0</v>
          </cell>
          <cell r="AA55">
            <v>0</v>
          </cell>
          <cell r="AC55">
            <v>0</v>
          </cell>
          <cell r="AE55">
            <v>0</v>
          </cell>
          <cell r="AG55">
            <v>0</v>
          </cell>
          <cell r="AI55">
            <v>0</v>
          </cell>
          <cell r="AK55">
            <v>0</v>
          </cell>
        </row>
        <row r="56">
          <cell r="A56" t="str">
            <v>2002 capital expenditures</v>
          </cell>
          <cell r="U56">
            <v>87.8</v>
          </cell>
          <cell r="W56">
            <v>87.8</v>
          </cell>
          <cell r="Y56">
            <v>87.8</v>
          </cell>
          <cell r="AA56">
            <v>87.8</v>
          </cell>
          <cell r="AC56">
            <v>87.8</v>
          </cell>
          <cell r="AE56">
            <v>87.8</v>
          </cell>
          <cell r="AG56">
            <v>87.8</v>
          </cell>
          <cell r="AI56">
            <v>87.8</v>
          </cell>
          <cell r="AK56">
            <v>87.8</v>
          </cell>
        </row>
        <row r="57">
          <cell r="A57" t="str">
            <v>2003 capital expenditures</v>
          </cell>
          <cell r="W57">
            <v>180.93333333333334</v>
          </cell>
          <cell r="Y57">
            <v>180.93333333333334</v>
          </cell>
          <cell r="AA57">
            <v>180.93333333333334</v>
          </cell>
          <cell r="AC57">
            <v>180.93333333333334</v>
          </cell>
          <cell r="AE57">
            <v>180.93333333333334</v>
          </cell>
          <cell r="AG57">
            <v>180.93333333333334</v>
          </cell>
          <cell r="AI57">
            <v>180.93333333333334</v>
          </cell>
          <cell r="AK57">
            <v>180.93333333333334</v>
          </cell>
        </row>
        <row r="58">
          <cell r="A58" t="str">
            <v>2004 capital expenditures</v>
          </cell>
          <cell r="Y58">
            <v>106.13333333333333</v>
          </cell>
          <cell r="AA58">
            <v>106.13333333333333</v>
          </cell>
          <cell r="AC58">
            <v>106.13333333333333</v>
          </cell>
          <cell r="AE58">
            <v>106.13333333333333</v>
          </cell>
          <cell r="AG58">
            <v>106.13333333333333</v>
          </cell>
          <cell r="AI58">
            <v>106.13333333333333</v>
          </cell>
          <cell r="AK58">
            <v>106.13333333333333</v>
          </cell>
        </row>
        <row r="59">
          <cell r="A59" t="str">
            <v>2005 capital expenditures</v>
          </cell>
          <cell r="AA59">
            <v>115.6</v>
          </cell>
          <cell r="AC59">
            <v>115.6</v>
          </cell>
          <cell r="AE59">
            <v>115.6</v>
          </cell>
          <cell r="AG59">
            <v>115.6</v>
          </cell>
          <cell r="AI59">
            <v>115.6</v>
          </cell>
          <cell r="AK59">
            <v>115.6</v>
          </cell>
        </row>
        <row r="60">
          <cell r="A60" t="str">
            <v>2006 capital expenditures</v>
          </cell>
          <cell r="AC60">
            <v>220.464</v>
          </cell>
          <cell r="AE60">
            <v>220.464</v>
          </cell>
          <cell r="AG60">
            <v>220.464</v>
          </cell>
          <cell r="AI60">
            <v>220.464</v>
          </cell>
          <cell r="AK60">
            <v>220.464</v>
          </cell>
        </row>
        <row r="61">
          <cell r="A61" t="str">
            <v>2007 capital expenditures</v>
          </cell>
          <cell r="AE61">
            <v>201.19704301076092</v>
          </cell>
          <cell r="AG61">
            <v>201.19704301076092</v>
          </cell>
          <cell r="AI61">
            <v>201.19704301076092</v>
          </cell>
          <cell r="AK61">
            <v>201.19704301076092</v>
          </cell>
        </row>
        <row r="62">
          <cell r="A62" t="str">
            <v>2008 capital expenditures</v>
          </cell>
          <cell r="AG62">
            <v>218.28411238175553</v>
          </cell>
          <cell r="AI62">
            <v>218.28411238175553</v>
          </cell>
          <cell r="AK62">
            <v>218.28411238175553</v>
          </cell>
        </row>
        <row r="63">
          <cell r="A63" t="str">
            <v>2009 capital expenditures</v>
          </cell>
          <cell r="AI63">
            <v>215.03550635982211</v>
          </cell>
          <cell r="AK63">
            <v>215.03550635982211</v>
          </cell>
        </row>
        <row r="64">
          <cell r="A64" t="str">
            <v>2010 capital expenditures</v>
          </cell>
          <cell r="AK64">
            <v>260.03004082658782</v>
          </cell>
        </row>
        <row r="65">
          <cell r="A65" t="str">
            <v>Total depreciation</v>
          </cell>
          <cell r="U65">
            <v>292.10000000000002</v>
          </cell>
          <cell r="W65">
            <v>350.7</v>
          </cell>
          <cell r="Y65">
            <v>374.86666666666667</v>
          </cell>
          <cell r="AA65">
            <v>598</v>
          </cell>
          <cell r="AC65">
            <v>710.93066666666664</v>
          </cell>
          <cell r="AE65">
            <v>912.12770967742756</v>
          </cell>
          <cell r="AG65">
            <v>1130.4118220591831</v>
          </cell>
          <cell r="AI65">
            <v>1345.4473284190053</v>
          </cell>
          <cell r="AK65">
            <v>1605.4773692455931</v>
          </cell>
        </row>
        <row r="66">
          <cell r="A66" t="str">
            <v>Amortization of Existing Intangible Assets</v>
          </cell>
          <cell r="U66">
            <v>155.19999999999999</v>
          </cell>
          <cell r="W66">
            <v>335.8</v>
          </cell>
          <cell r="Y66">
            <v>744.2</v>
          </cell>
          <cell r="AA66">
            <v>243</v>
          </cell>
          <cell r="AC66">
            <v>61.11</v>
          </cell>
          <cell r="AE66">
            <v>218.61</v>
          </cell>
          <cell r="AG66">
            <v>218.61</v>
          </cell>
          <cell r="AI66">
            <v>218.61</v>
          </cell>
          <cell r="AK66">
            <v>218.61</v>
          </cell>
        </row>
        <row r="67">
          <cell r="A67" t="str">
            <v>Total depreciation and amortization</v>
          </cell>
          <cell r="O67" t="e">
            <v>#REF!</v>
          </cell>
          <cell r="Q67">
            <v>211.8</v>
          </cell>
          <cell r="S67">
            <v>265.89999999999998</v>
          </cell>
          <cell r="U67">
            <v>447.3</v>
          </cell>
          <cell r="W67">
            <v>686.5</v>
          </cell>
          <cell r="Y67">
            <v>1119.0666666666666</v>
          </cell>
          <cell r="AA67">
            <v>841</v>
          </cell>
          <cell r="AC67">
            <v>772.04066666666665</v>
          </cell>
          <cell r="AE67">
            <v>1130.7377096774276</v>
          </cell>
          <cell r="AG67">
            <v>1349.0218220591833</v>
          </cell>
          <cell r="AI67">
            <v>1564.0573284190054</v>
          </cell>
          <cell r="AK67">
            <v>1824.087369245593</v>
          </cell>
        </row>
        <row r="68">
          <cell r="A68" t="str">
            <v xml:space="preserve">     Depreciation as % operating expenses</v>
          </cell>
          <cell r="U68">
            <v>9.2422085113115018E-2</v>
          </cell>
          <cell r="W68">
            <v>7.1150334753499675E-2</v>
          </cell>
          <cell r="Y68">
            <v>5.9361309052520454E-2</v>
          </cell>
          <cell r="AA68">
            <v>8.3882732501052035E-2</v>
          </cell>
          <cell r="AC68">
            <v>8.5537167949919501E-2</v>
          </cell>
          <cell r="AE68">
            <v>0.10061487154425977</v>
          </cell>
          <cell r="AG68">
            <v>0.11523349544635061</v>
          </cell>
          <cell r="AI68">
            <v>0.12148241394970602</v>
          </cell>
          <cell r="AK68">
            <v>0.13054283652911558</v>
          </cell>
        </row>
        <row r="69">
          <cell r="A69" t="str">
            <v xml:space="preserve">    Amortization as % of operating expenses</v>
          </cell>
          <cell r="U69">
            <v>4.9106154089542789E-2</v>
          </cell>
          <cell r="W69">
            <v>6.8127409210793258E-2</v>
          </cell>
          <cell r="Y69">
            <v>0.11784639746634996</v>
          </cell>
          <cell r="AA69">
            <v>3.4086127086547902E-2</v>
          </cell>
          <cell r="AC69">
            <v>7.3525824366645889E-3</v>
          </cell>
          <cell r="AE69">
            <v>2.4114405071707857E-2</v>
          </cell>
          <cell r="AG69">
            <v>2.2284970793774853E-2</v>
          </cell>
          <cell r="AI69">
            <v>1.973861774637576E-2</v>
          </cell>
          <cell r="AK69">
            <v>1.7775379485442281E-2</v>
          </cell>
        </row>
        <row r="71">
          <cell r="A71" t="str">
            <v>Working Capital</v>
          </cell>
        </row>
        <row r="72">
          <cell r="A72" t="str">
            <v>Trade receivables</v>
          </cell>
          <cell r="O72">
            <v>412.2</v>
          </cell>
          <cell r="Q72">
            <v>389.2</v>
          </cell>
          <cell r="S72">
            <v>497.2</v>
          </cell>
          <cell r="U72">
            <v>752.4</v>
          </cell>
          <cell r="W72">
            <v>1007.9</v>
          </cell>
          <cell r="Y72">
            <v>1461</v>
          </cell>
          <cell r="AA72">
            <v>1769</v>
          </cell>
          <cell r="AC72">
            <v>1968.4285714285713</v>
          </cell>
          <cell r="AE72">
            <v>2155.6826036867242</v>
          </cell>
          <cell r="AG72">
            <v>2372.6533954538641</v>
          </cell>
          <cell r="AI72">
            <v>2597.047178258721</v>
          </cell>
          <cell r="AK72">
            <v>2826.4134872455193</v>
          </cell>
        </row>
        <row r="73">
          <cell r="A73" t="str">
            <v>% revenue</v>
          </cell>
          <cell r="O73">
            <v>0.12340947875812101</v>
          </cell>
          <cell r="Q73">
            <v>0.10723535570617734</v>
          </cell>
          <cell r="S73">
            <v>0.12381402993251488</v>
          </cell>
          <cell r="U73">
            <v>0.13623030961434004</v>
          </cell>
          <cell r="W73">
            <v>0.12061991383437051</v>
          </cell>
          <cell r="Y73">
            <v>0.13848472497369643</v>
          </cell>
          <cell r="AA73">
            <v>0.14231697506033789</v>
          </cell>
          <cell r="AC73">
            <v>0.14285714285714285</v>
          </cell>
          <cell r="AE73">
            <v>0.14285714285714285</v>
          </cell>
          <cell r="AG73">
            <v>0.14492753623188406</v>
          </cell>
          <cell r="AI73">
            <v>0.14492753623188404</v>
          </cell>
          <cell r="AK73">
            <v>0.14492753623188404</v>
          </cell>
        </row>
        <row r="74">
          <cell r="A74" t="str">
            <v>Days receivables outstanding (CHECK)</v>
          </cell>
          <cell r="O74">
            <v>45.044459746714175</v>
          </cell>
          <cell r="Q74">
            <v>39.140904832754728</v>
          </cell>
          <cell r="S74">
            <v>45.192120925367938</v>
          </cell>
          <cell r="U74">
            <v>49.724063009234122</v>
          </cell>
          <cell r="W74">
            <v>44.026268549545236</v>
          </cell>
          <cell r="Y74">
            <v>50.546924615399199</v>
          </cell>
          <cell r="AA74">
            <v>51.945695897023327</v>
          </cell>
          <cell r="AC74">
            <v>52.142857142857146</v>
          </cell>
          <cell r="AE74">
            <v>52.142857142857146</v>
          </cell>
          <cell r="AG74">
            <v>52.89855072463768</v>
          </cell>
          <cell r="AI74">
            <v>52.89855072463768</v>
          </cell>
          <cell r="AK74">
            <v>52.89855072463768</v>
          </cell>
        </row>
        <row r="75">
          <cell r="A75" t="str">
            <v>Accounts receivable turnover</v>
          </cell>
          <cell r="O75">
            <v>8.1031052886948078</v>
          </cell>
          <cell r="Q75">
            <v>9.3252826310380268</v>
          </cell>
          <cell r="S75">
            <v>8.0766291230892993</v>
          </cell>
          <cell r="U75">
            <v>7.3405103668261553</v>
          </cell>
          <cell r="W75">
            <v>8.2905050104177</v>
          </cell>
          <cell r="Y75">
            <v>7.2210130047912386</v>
          </cell>
          <cell r="AA75">
            <v>7.0265686828716793</v>
          </cell>
          <cell r="AC75">
            <v>7</v>
          </cell>
          <cell r="AE75">
            <v>7</v>
          </cell>
          <cell r="AG75">
            <v>6.9</v>
          </cell>
          <cell r="AI75">
            <v>6.9</v>
          </cell>
          <cell r="AK75">
            <v>6.9</v>
          </cell>
        </row>
        <row r="76">
          <cell r="A76" t="str">
            <v>Inventories</v>
          </cell>
          <cell r="O76">
            <v>184.3</v>
          </cell>
          <cell r="Q76">
            <v>305.2</v>
          </cell>
          <cell r="S76">
            <v>355.6</v>
          </cell>
          <cell r="U76">
            <v>544.9</v>
          </cell>
          <cell r="W76">
            <v>712.6</v>
          </cell>
          <cell r="Y76">
            <v>888</v>
          </cell>
          <cell r="AA76">
            <v>1258</v>
          </cell>
          <cell r="AC76">
            <v>1422.0328124999999</v>
          </cell>
          <cell r="AE76">
            <v>1544.5641329739619</v>
          </cell>
          <cell r="AG76">
            <v>1664.7963868306774</v>
          </cell>
          <cell r="AI76">
            <v>1826.1337440775962</v>
          </cell>
          <cell r="AK76">
            <v>2018.7024615605301</v>
          </cell>
        </row>
        <row r="77">
          <cell r="A77" t="str">
            <v>% revenue</v>
          </cell>
          <cell r="O77">
            <v>5.5177988682973571E-2</v>
          </cell>
          <cell r="Q77">
            <v>8.4091034330743372E-2</v>
          </cell>
          <cell r="S77">
            <v>8.8552431705555698E-2</v>
          </cell>
          <cell r="U77">
            <v>9.8660148470034417E-2</v>
          </cell>
          <cell r="W77">
            <v>8.5280038295835331E-2</v>
          </cell>
          <cell r="Y77">
            <v>8.4171413947051632E-2</v>
          </cell>
          <cell r="AA77">
            <v>0.10120675784392598</v>
          </cell>
          <cell r="AC77">
            <v>0.10320290387546265</v>
          </cell>
          <cell r="AE77">
            <v>0.10235830572595123</v>
          </cell>
          <cell r="AG77">
            <v>0.10168987983386392</v>
          </cell>
          <cell r="AI77">
            <v>0.10190691435052029</v>
          </cell>
          <cell r="AK77">
            <v>0.10351124329806639</v>
          </cell>
        </row>
        <row r="78">
          <cell r="A78" t="str">
            <v>Days inventory outstanding (CHECK)</v>
          </cell>
          <cell r="O78">
            <v>167.29544889331012</v>
          </cell>
          <cell r="Q78">
            <v>272.76689520078355</v>
          </cell>
          <cell r="S78">
            <v>292.98871331828445</v>
          </cell>
          <cell r="U78">
            <v>270.33913279869506</v>
          </cell>
          <cell r="W78">
            <v>194.00238681285896</v>
          </cell>
          <cell r="Y78">
            <v>187.24436741767764</v>
          </cell>
          <cell r="AA78">
            <v>225.63636363636363</v>
          </cell>
          <cell r="AC78">
            <v>228.125</v>
          </cell>
          <cell r="AE78">
            <v>228.125</v>
          </cell>
          <cell r="AG78">
            <v>228.125</v>
          </cell>
          <cell r="AI78">
            <v>228.125</v>
          </cell>
          <cell r="AK78">
            <v>228.125</v>
          </cell>
        </row>
        <row r="79">
          <cell r="A79" t="str">
            <v>Inventory Turnover</v>
          </cell>
          <cell r="O79">
            <v>2.1817688551275096</v>
          </cell>
          <cell r="Q79">
            <v>1.3381389252948885</v>
          </cell>
          <cell r="S79">
            <v>1.2457817772778401</v>
          </cell>
          <cell r="U79">
            <v>1.350155991925124</v>
          </cell>
          <cell r="W79">
            <v>1.8814201515576761</v>
          </cell>
          <cell r="Y79">
            <v>1.9493243243243243</v>
          </cell>
          <cell r="AA79">
            <v>1.6176470588235294</v>
          </cell>
          <cell r="AC79">
            <v>1.6</v>
          </cell>
          <cell r="AE79">
            <v>1.6</v>
          </cell>
          <cell r="AG79">
            <v>1.6</v>
          </cell>
          <cell r="AI79">
            <v>1.6</v>
          </cell>
          <cell r="AK79">
            <v>1.6</v>
          </cell>
        </row>
        <row r="80">
          <cell r="A80" t="str">
            <v>Other current assets</v>
          </cell>
          <cell r="O80">
            <v>135.80000000000001</v>
          </cell>
          <cell r="Q80">
            <v>214.6</v>
          </cell>
          <cell r="S80">
            <v>343.6</v>
          </cell>
          <cell r="U80">
            <v>442.3</v>
          </cell>
          <cell r="W80">
            <v>558.79999999999995</v>
          </cell>
          <cell r="Y80">
            <v>1013</v>
          </cell>
          <cell r="AA80">
            <v>953</v>
          </cell>
          <cell r="AC80">
            <v>964.53000000000009</v>
          </cell>
          <cell r="AE80">
            <v>1207.1822580645655</v>
          </cell>
          <cell r="AG80">
            <v>1473.4177585768496</v>
          </cell>
          <cell r="AI80">
            <v>1612.7662976986658</v>
          </cell>
          <cell r="AK80">
            <v>1755.2027755794675</v>
          </cell>
        </row>
        <row r="81">
          <cell r="A81" t="str">
            <v>% revenue</v>
          </cell>
          <cell r="O81">
            <v>4.0657465345348948E-2</v>
          </cell>
          <cell r="Q81">
            <v>5.9128230561525323E-2</v>
          </cell>
          <cell r="S81">
            <v>8.5564160669372724E-2</v>
          </cell>
          <cell r="U81">
            <v>8.0083288068078962E-2</v>
          </cell>
          <cell r="W81">
            <v>6.6874102441359495E-2</v>
          </cell>
          <cell r="Y81">
            <v>9.6019867486895616E-2</v>
          </cell>
          <cell r="AA81">
            <v>7.6669348350764277E-2</v>
          </cell>
          <cell r="AC81">
            <v>7.0000000000000007E-2</v>
          </cell>
          <cell r="AE81">
            <v>0.08</v>
          </cell>
          <cell r="AG81">
            <v>0.09</v>
          </cell>
          <cell r="AI81">
            <v>0.09</v>
          </cell>
          <cell r="AK81">
            <v>0.09</v>
          </cell>
        </row>
        <row r="82">
          <cell r="A82" t="str">
            <v>% total current assets</v>
          </cell>
          <cell r="O82">
            <v>6.5753159347310311E-2</v>
          </cell>
          <cell r="Q82">
            <v>7.3065268462088467E-2</v>
          </cell>
          <cell r="S82">
            <v>8.9047841185922377E-2</v>
          </cell>
          <cell r="U82">
            <v>6.9071601467947233E-2</v>
          </cell>
          <cell r="W82">
            <v>7.5491070222366313E-2</v>
          </cell>
          <cell r="Y82">
            <v>0.11046892039258452</v>
          </cell>
          <cell r="AA82">
            <v>0.10319436924742827</v>
          </cell>
          <cell r="AC82">
            <v>0.10651579755637791</v>
          </cell>
          <cell r="AE82">
            <v>0.11236917572768854</v>
          </cell>
          <cell r="AG82">
            <v>0.11385141241770379</v>
          </cell>
          <cell r="AI82">
            <v>0.10907195849438796</v>
          </cell>
          <cell r="AK82">
            <v>9.7293373961654786E-2</v>
          </cell>
        </row>
        <row r="83">
          <cell r="A83" t="str">
            <v xml:space="preserve">Accounts payable </v>
          </cell>
          <cell r="O83">
            <v>83.4</v>
          </cell>
          <cell r="Q83">
            <v>143.19999999999999</v>
          </cell>
          <cell r="S83">
            <v>136.69999999999999</v>
          </cell>
          <cell r="U83">
            <v>254.6</v>
          </cell>
          <cell r="W83">
            <v>327.2</v>
          </cell>
          <cell r="Y83">
            <v>507</v>
          </cell>
          <cell r="AA83">
            <v>596</v>
          </cell>
          <cell r="AC83">
            <v>664.90923999999995</v>
          </cell>
          <cell r="AE83">
            <v>725.2428557948823</v>
          </cell>
          <cell r="AG83">
            <v>817.47919566890039</v>
          </cell>
          <cell r="AI83">
            <v>922.93696722228412</v>
          </cell>
          <cell r="AK83">
            <v>1024.8726343603414</v>
          </cell>
        </row>
        <row r="84">
          <cell r="A84" t="str">
            <v>% operating expenses</v>
          </cell>
          <cell r="O84">
            <v>4.5154304277206285E-2</v>
          </cell>
          <cell r="Q84">
            <v>6.86678814615901E-2</v>
          </cell>
          <cell r="S84">
            <v>5.5021131012276105E-2</v>
          </cell>
          <cell r="U84">
            <v>8.0556873912355637E-2</v>
          </cell>
          <cell r="W84">
            <v>6.6382633394197588E-2</v>
          </cell>
          <cell r="Y84">
            <v>8.0285035629453688E-2</v>
          </cell>
          <cell r="AA84">
            <v>8.3602188245195677E-2</v>
          </cell>
          <cell r="AC84">
            <v>0.08</v>
          </cell>
          <cell r="AE84">
            <v>0.08</v>
          </cell>
          <cell r="AG84">
            <v>8.3333333333333343E-2</v>
          </cell>
          <cell r="AI84">
            <v>8.3333333333333343E-2</v>
          </cell>
          <cell r="AK84">
            <v>8.3333333333333329E-2</v>
          </cell>
        </row>
        <row r="85">
          <cell r="A85" t="str">
            <v>Days payable outstanding (CHECK)</v>
          </cell>
          <cell r="O85">
            <v>75.705048495399154</v>
          </cell>
          <cell r="Q85">
            <v>127.98237022526935</v>
          </cell>
          <cell r="S85">
            <v>20.082712819480779</v>
          </cell>
          <cell r="U85">
            <v>29.403258978009809</v>
          </cell>
          <cell r="W85">
            <v>24.229661188882123</v>
          </cell>
          <cell r="Y85">
            <v>29.304038004750595</v>
          </cell>
          <cell r="AA85">
            <v>30.514798709496421</v>
          </cell>
          <cell r="AC85">
            <v>29.2</v>
          </cell>
          <cell r="AE85">
            <v>29.2</v>
          </cell>
          <cell r="AG85">
            <v>30.416666666666668</v>
          </cell>
          <cell r="AI85">
            <v>30.416666666666668</v>
          </cell>
          <cell r="AK85">
            <v>30.416666666666668</v>
          </cell>
        </row>
        <row r="86">
          <cell r="A86" t="str">
            <v>Accounts payable turnover</v>
          </cell>
          <cell r="O86">
            <v>5.3114027134456823</v>
          </cell>
          <cell r="Q86">
            <v>3.1910645136603657</v>
          </cell>
          <cell r="S86">
            <v>18.17483540599854</v>
          </cell>
          <cell r="U86">
            <v>12.413589945011783</v>
          </cell>
          <cell r="W86">
            <v>15.064180929095357</v>
          </cell>
          <cell r="Y86">
            <v>12.455621301775148</v>
          </cell>
          <cell r="AA86">
            <v>11.961409395973154</v>
          </cell>
          <cell r="AC86">
            <v>12.5</v>
          </cell>
          <cell r="AE86">
            <v>12.5</v>
          </cell>
          <cell r="AG86">
            <v>12</v>
          </cell>
          <cell r="AI86">
            <v>12</v>
          </cell>
          <cell r="AK86">
            <v>12</v>
          </cell>
        </row>
        <row r="87">
          <cell r="A87" t="str">
            <v>Accrued liabilities</v>
          </cell>
          <cell r="O87">
            <v>648.20000000000005</v>
          </cell>
          <cell r="Q87">
            <v>619.20000000000005</v>
          </cell>
          <cell r="S87">
            <v>766.3</v>
          </cell>
          <cell r="U87">
            <v>1151.7</v>
          </cell>
          <cell r="W87">
            <v>1919.1</v>
          </cell>
          <cell r="Y87">
            <v>2477</v>
          </cell>
          <cell r="AA87">
            <v>2999</v>
          </cell>
          <cell r="AC87">
            <v>2908.9779249999997</v>
          </cell>
          <cell r="AE87">
            <v>3172.9374941026099</v>
          </cell>
          <cell r="AG87">
            <v>3335.3151183291138</v>
          </cell>
          <cell r="AI87">
            <v>3765.5828262669193</v>
          </cell>
          <cell r="AK87">
            <v>4181.4803481901936</v>
          </cell>
        </row>
        <row r="88">
          <cell r="A88" t="str">
            <v>% operating expenses</v>
          </cell>
          <cell r="O88">
            <v>0.35094748240389823</v>
          </cell>
          <cell r="Q88">
            <v>0.29692145391771363</v>
          </cell>
          <cell r="S88">
            <v>0.30843228013684842</v>
          </cell>
          <cell r="U88">
            <v>0.36440436639772189</v>
          </cell>
          <cell r="W88">
            <v>0.38934875228241012</v>
          </cell>
          <cell r="Y88">
            <v>0.39224069675376089</v>
          </cell>
          <cell r="AA88">
            <v>0.42067611165661384</v>
          </cell>
          <cell r="AC88">
            <v>0.35</v>
          </cell>
          <cell r="AE88">
            <v>0.35</v>
          </cell>
          <cell r="AG88">
            <v>0.34</v>
          </cell>
          <cell r="AI88">
            <v>0.34</v>
          </cell>
          <cell r="AK88">
            <v>0.34</v>
          </cell>
        </row>
        <row r="89">
          <cell r="A89" t="str">
            <v>% total current liabilities</v>
          </cell>
          <cell r="O89">
            <v>0.7799302129707617</v>
          </cell>
          <cell r="Q89">
            <v>0.71824614313884705</v>
          </cell>
          <cell r="S89">
            <v>0.76408415594775148</v>
          </cell>
          <cell r="U89">
            <v>0.75313889615485219</v>
          </cell>
          <cell r="W89">
            <v>0.85433824511418788</v>
          </cell>
          <cell r="Y89">
            <v>0.59586240076978592</v>
          </cell>
          <cell r="AA89">
            <v>0.83421418636995825</v>
          </cell>
          <cell r="AC89">
            <v>0.81395348837209303</v>
          </cell>
          <cell r="AE89">
            <v>0.81395348837209303</v>
          </cell>
          <cell r="AG89">
            <v>0.80314960629921262</v>
          </cell>
          <cell r="AI89">
            <v>0.80314960629921262</v>
          </cell>
          <cell r="AK89">
            <v>0.80314960629921262</v>
          </cell>
        </row>
        <row r="91">
          <cell r="A91" t="str">
            <v>Property and Equipment, Net</v>
          </cell>
        </row>
        <row r="92">
          <cell r="A92" t="str">
            <v>Beginning balance</v>
          </cell>
          <cell r="O92">
            <v>1450.2</v>
          </cell>
          <cell r="Q92">
            <v>1553.6</v>
          </cell>
          <cell r="S92">
            <v>1781.5</v>
          </cell>
          <cell r="U92">
            <v>1946.1</v>
          </cell>
          <cell r="W92">
            <v>2813.5</v>
          </cell>
          <cell r="Y92">
            <v>3799.4</v>
          </cell>
          <cell r="AA92">
            <v>4712</v>
          </cell>
          <cell r="AC92">
            <v>5038</v>
          </cell>
          <cell r="AE92">
            <v>5980.5493333333325</v>
          </cell>
          <cell r="AG92">
            <v>6577.3994462366118</v>
          </cell>
          <cell r="AI92">
            <v>7084.1184670405946</v>
          </cell>
          <cell r="AK92">
            <v>7351.437436320256</v>
          </cell>
        </row>
        <row r="93">
          <cell r="A93" t="str">
            <v>Capital expenditures</v>
          </cell>
          <cell r="O93">
            <v>304.2</v>
          </cell>
          <cell r="Q93">
            <v>437.7</v>
          </cell>
          <cell r="S93">
            <v>441.8</v>
          </cell>
          <cell r="U93">
            <v>658.5</v>
          </cell>
          <cell r="W93">
            <v>1357</v>
          </cell>
          <cell r="Y93">
            <v>1336</v>
          </cell>
          <cell r="AA93">
            <v>867</v>
          </cell>
          <cell r="AC93">
            <v>1653.48</v>
          </cell>
          <cell r="AE93">
            <v>1508.977822580707</v>
          </cell>
          <cell r="AG93">
            <v>1637.1308428631664</v>
          </cell>
          <cell r="AI93">
            <v>1612.7662976986658</v>
          </cell>
          <cell r="AK93">
            <v>1950.2253061994086</v>
          </cell>
        </row>
        <row r="94">
          <cell r="A94" t="str">
            <v>% revenue</v>
          </cell>
          <cell r="O94">
            <v>9.1075117511451753E-2</v>
          </cell>
          <cell r="Q94">
            <v>0.12059844602413623</v>
          </cell>
          <cell r="S94">
            <v>0.11001817864880345</v>
          </cell>
          <cell r="U94">
            <v>0.11922868006518199</v>
          </cell>
          <cell r="W94">
            <v>0.16239827668741025</v>
          </cell>
          <cell r="Y94">
            <v>0.12663627143385245</v>
          </cell>
          <cell r="AA94">
            <v>6.9750603378921958E-2</v>
          </cell>
          <cell r="AC94">
            <v>0.12</v>
          </cell>
          <cell r="AE94">
            <v>0.1</v>
          </cell>
          <cell r="AG94">
            <v>0.1</v>
          </cell>
          <cell r="AI94">
            <v>0.09</v>
          </cell>
          <cell r="AK94">
            <v>0.1</v>
          </cell>
        </row>
        <row r="95">
          <cell r="A95" t="str">
            <v>Depreciation</v>
          </cell>
          <cell r="O95">
            <v>-176.8</v>
          </cell>
          <cell r="Q95">
            <v>-211.8</v>
          </cell>
          <cell r="S95">
            <v>-265.89999999999998</v>
          </cell>
          <cell r="U95">
            <v>-447.3</v>
          </cell>
          <cell r="W95">
            <v>-350.7</v>
          </cell>
          <cell r="Y95">
            <v>-374.86666666666667</v>
          </cell>
          <cell r="AA95">
            <v>-598</v>
          </cell>
          <cell r="AC95">
            <v>-710.93066666666664</v>
          </cell>
          <cell r="AE95">
            <v>-912.12770967742756</v>
          </cell>
          <cell r="AG95">
            <v>-1130.4118220591831</v>
          </cell>
          <cell r="AI95">
            <v>-1345.4473284190053</v>
          </cell>
          <cell r="AK95">
            <v>-1605.4773692455931</v>
          </cell>
        </row>
        <row r="96">
          <cell r="A96" t="str">
            <v>Ending balance</v>
          </cell>
          <cell r="O96">
            <v>1577.6000000000001</v>
          </cell>
          <cell r="Q96">
            <v>1779.5</v>
          </cell>
          <cell r="S96">
            <v>1946.1</v>
          </cell>
          <cell r="U96">
            <v>2813.5</v>
          </cell>
          <cell r="W96">
            <v>3799.4</v>
          </cell>
          <cell r="Y96">
            <v>4712</v>
          </cell>
          <cell r="AA96">
            <v>5038</v>
          </cell>
          <cell r="AC96">
            <v>5980.5493333333325</v>
          </cell>
          <cell r="AE96">
            <v>6577.3994462366118</v>
          </cell>
          <cell r="AG96">
            <v>7084.1184670405946</v>
          </cell>
          <cell r="AI96">
            <v>7351.437436320256</v>
          </cell>
          <cell r="AK96">
            <v>7696.185373274071</v>
          </cell>
        </row>
        <row r="97">
          <cell r="A97" t="str">
            <v>Fixed Asset Turnover (CHECK)</v>
          </cell>
          <cell r="Q97">
            <v>2.1764864621750473</v>
          </cell>
          <cell r="S97">
            <v>2.154576671316665</v>
          </cell>
          <cell r="U97">
            <v>2.3207832590974027</v>
          </cell>
          <cell r="W97">
            <v>2.5271817205764493</v>
          </cell>
          <cell r="Y97">
            <v>2.4790046290856966</v>
          </cell>
          <cell r="AA97">
            <v>2.5497435897435898</v>
          </cell>
          <cell r="AC97">
            <v>2.501055190326325</v>
          </cell>
          <cell r="AE97">
            <v>2.4032234070513274</v>
          </cell>
          <cell r="AG97">
            <v>2.3967041631180521</v>
          </cell>
          <cell r="AI97">
            <v>2.4827066792506649</v>
          </cell>
          <cell r="AK97">
            <v>2.6528489470157131</v>
          </cell>
        </row>
        <row r="99">
          <cell r="A99" t="str">
            <v>Employee Stock Option Analysis</v>
          </cell>
          <cell r="AC99">
            <v>1</v>
          </cell>
          <cell r="AE99">
            <v>2</v>
          </cell>
          <cell r="AG99">
            <v>3</v>
          </cell>
          <cell r="AI99">
            <v>4</v>
          </cell>
          <cell r="AK99">
            <v>5</v>
          </cell>
        </row>
        <row r="100">
          <cell r="O100">
            <v>1999</v>
          </cell>
          <cell r="Q100">
            <v>2000</v>
          </cell>
          <cell r="S100" t="str">
            <v>2001</v>
          </cell>
          <cell r="U100" t="str">
            <v>2002</v>
          </cell>
          <cell r="W100" t="str">
            <v>2003</v>
          </cell>
          <cell r="Y100" t="str">
            <v>2004</v>
          </cell>
          <cell r="AA100" t="str">
            <v>2005</v>
          </cell>
          <cell r="AC100" t="str">
            <v>2006E</v>
          </cell>
          <cell r="AE100" t="str">
            <v>2007E</v>
          </cell>
          <cell r="AG100" t="str">
            <v>2008E</v>
          </cell>
          <cell r="AI100" t="str">
            <v>2009E</v>
          </cell>
          <cell r="AK100" t="str">
            <v>2010E</v>
          </cell>
        </row>
        <row r="101">
          <cell r="A101" t="str">
            <v xml:space="preserve">Stock Price (average) </v>
          </cell>
          <cell r="S101">
            <v>62.31</v>
          </cell>
          <cell r="U101">
            <v>49.42</v>
          </cell>
          <cell r="W101">
            <v>61.4</v>
          </cell>
          <cell r="Y101">
            <v>63</v>
          </cell>
          <cell r="AA101">
            <v>70</v>
          </cell>
          <cell r="AC101">
            <v>75.775000000000006</v>
          </cell>
          <cell r="AE101">
            <v>82.026437500000014</v>
          </cell>
          <cell r="AG101">
            <v>88.793618593750011</v>
          </cell>
          <cell r="AI101">
            <v>96.11909212773439</v>
          </cell>
          <cell r="AK101">
            <v>104.04891722827247</v>
          </cell>
          <cell r="AM101">
            <v>8.2500000000000004E-2</v>
          </cell>
          <cell r="AN101" t="str">
            <v>Cost of Equity</v>
          </cell>
        </row>
        <row r="102">
          <cell r="A102" t="str">
            <v>Option Balance (Beginning Year)</v>
          </cell>
          <cell r="Q102">
            <v>115.8</v>
          </cell>
          <cell r="S102">
            <v>98.7</v>
          </cell>
          <cell r="U102">
            <v>94.399999999999991</v>
          </cell>
          <cell r="W102">
            <v>102.99999999999999</v>
          </cell>
          <cell r="Y102">
            <v>95</v>
          </cell>
          <cell r="AA102">
            <v>89</v>
          </cell>
          <cell r="AC102">
            <v>68</v>
          </cell>
          <cell r="AE102">
            <v>66.98</v>
          </cell>
          <cell r="AG102">
            <v>62.626300000000001</v>
          </cell>
          <cell r="AI102">
            <v>56.989932999999994</v>
          </cell>
          <cell r="AK102">
            <v>50.151141039999999</v>
          </cell>
          <cell r="AL102">
            <v>44.133004115199995</v>
          </cell>
        </row>
        <row r="103">
          <cell r="A103" t="str">
            <v xml:space="preserve"> Average Options In-the-Money</v>
          </cell>
          <cell r="S103">
            <v>53.4</v>
          </cell>
          <cell r="U103">
            <v>62.4</v>
          </cell>
          <cell r="W103">
            <v>53.4</v>
          </cell>
          <cell r="Y103">
            <v>47</v>
          </cell>
          <cell r="AA103">
            <v>34</v>
          </cell>
          <cell r="AC103">
            <v>30.370500000000003</v>
          </cell>
          <cell r="AE103">
            <v>29.161417500000002</v>
          </cell>
          <cell r="AG103">
            <v>26.913652424999999</v>
          </cell>
          <cell r="AI103">
            <v>21.428214808</v>
          </cell>
          <cell r="AK103">
            <v>18.85682903104</v>
          </cell>
          <cell r="AM103">
            <v>58</v>
          </cell>
          <cell r="AN103" t="str">
            <v>Target Price</v>
          </cell>
        </row>
        <row r="104">
          <cell r="A104" t="str">
            <v xml:space="preserve">   % Exercisable</v>
          </cell>
          <cell r="S104">
            <v>0.55308130502330399</v>
          </cell>
          <cell r="U104">
            <v>0.63221884498480252</v>
          </cell>
          <cell r="W104">
            <v>0.53939393939393943</v>
          </cell>
          <cell r="Y104">
            <v>0.51086956521739135</v>
          </cell>
          <cell r="AA104">
            <v>0.43312101910828027</v>
          </cell>
          <cell r="AC104">
            <v>0.45</v>
          </cell>
          <cell r="AE104">
            <v>0.45</v>
          </cell>
          <cell r="AG104">
            <v>0.45</v>
          </cell>
          <cell r="AI104">
            <v>0.4</v>
          </cell>
          <cell r="AK104">
            <v>0.4</v>
          </cell>
        </row>
        <row r="105">
          <cell r="A105" t="str">
            <v>Weighted Average Exercise Price of exercisable</v>
          </cell>
          <cell r="S105">
            <v>20.81</v>
          </cell>
          <cell r="U105">
            <v>27.03</v>
          </cell>
          <cell r="W105">
            <v>34.28</v>
          </cell>
          <cell r="Y105">
            <v>34.28</v>
          </cell>
          <cell r="AA105">
            <v>51.77</v>
          </cell>
          <cell r="AC105">
            <v>47</v>
          </cell>
          <cell r="AE105">
            <v>51</v>
          </cell>
          <cell r="AG105">
            <v>55</v>
          </cell>
          <cell r="AI105">
            <v>63</v>
          </cell>
          <cell r="AK105">
            <v>68</v>
          </cell>
        </row>
        <row r="106">
          <cell r="A106" t="str">
            <v>Options Cancelled</v>
          </cell>
          <cell r="S106">
            <v>2.2999999999999998</v>
          </cell>
          <cell r="U106">
            <v>4.9000000000000004</v>
          </cell>
          <cell r="W106">
            <v>3.8</v>
          </cell>
          <cell r="Y106">
            <v>6</v>
          </cell>
          <cell r="AA106">
            <v>6</v>
          </cell>
          <cell r="AC106">
            <v>4.42</v>
          </cell>
          <cell r="AE106">
            <v>4.3537000000000008</v>
          </cell>
          <cell r="AG106">
            <v>3.7575780000000001</v>
          </cell>
          <cell r="AI106">
            <v>3.4193959799999996</v>
          </cell>
          <cell r="AK106">
            <v>3.0090684623999997</v>
          </cell>
        </row>
        <row r="107">
          <cell r="A107" t="str">
            <v xml:space="preserve">   % Cancelled </v>
          </cell>
          <cell r="S107">
            <v>2.3302938196555215E-2</v>
          </cell>
          <cell r="U107">
            <v>5.1906779661016957E-2</v>
          </cell>
          <cell r="W107">
            <v>3.6893203883495151E-2</v>
          </cell>
          <cell r="Y107">
            <v>6.3157894736842107E-2</v>
          </cell>
          <cell r="AA107">
            <v>6.741573033707865E-2</v>
          </cell>
          <cell r="AC107">
            <v>6.5000000000000002E-2</v>
          </cell>
          <cell r="AE107">
            <v>6.5000000000000002E-2</v>
          </cell>
          <cell r="AG107">
            <v>0.06</v>
          </cell>
          <cell r="AI107">
            <v>0.06</v>
          </cell>
          <cell r="AK107">
            <v>0.06</v>
          </cell>
        </row>
        <row r="108">
          <cell r="A108" t="str">
            <v>Options Exercised</v>
          </cell>
          <cell r="Q108">
            <v>28.2</v>
          </cell>
          <cell r="S108">
            <v>20.6</v>
          </cell>
          <cell r="U108">
            <v>26.2</v>
          </cell>
          <cell r="W108">
            <v>23</v>
          </cell>
          <cell r="Y108">
            <v>20</v>
          </cell>
          <cell r="AA108">
            <v>25</v>
          </cell>
          <cell r="AC108">
            <v>10.199999999999999</v>
          </cell>
          <cell r="AE108">
            <v>13.396000000000001</v>
          </cell>
          <cell r="AG108">
            <v>15.656575</v>
          </cell>
          <cell r="AI108">
            <v>15.957181239999999</v>
          </cell>
          <cell r="AK108">
            <v>14.042319491200001</v>
          </cell>
        </row>
        <row r="109">
          <cell r="A109" t="str">
            <v xml:space="preserve">   % Exercised</v>
          </cell>
          <cell r="Q109">
            <v>0.24352331606217617</v>
          </cell>
          <cell r="S109">
            <v>0.2087132725430598</v>
          </cell>
          <cell r="U109">
            <v>0.27754237288135597</v>
          </cell>
          <cell r="W109">
            <v>0.22330097087378645</v>
          </cell>
          <cell r="Y109">
            <v>0.21052631578947367</v>
          </cell>
          <cell r="AA109">
            <v>0.2808988764044944</v>
          </cell>
          <cell r="AC109">
            <v>0.15</v>
          </cell>
          <cell r="AE109">
            <v>0.2</v>
          </cell>
          <cell r="AG109">
            <v>0.25</v>
          </cell>
          <cell r="AI109">
            <v>0.28000000000000003</v>
          </cell>
          <cell r="AK109">
            <v>0.28000000000000003</v>
          </cell>
        </row>
        <row r="110">
          <cell r="A110" t="str">
            <v>Weighted Average Exercise Price</v>
          </cell>
          <cell r="S110">
            <v>13.12</v>
          </cell>
          <cell r="U110">
            <v>15.9</v>
          </cell>
          <cell r="W110">
            <v>20.98</v>
          </cell>
          <cell r="Y110">
            <v>20.420000000000002</v>
          </cell>
          <cell r="AA110">
            <v>39.729999999999997</v>
          </cell>
          <cell r="AC110">
            <v>28</v>
          </cell>
          <cell r="AE110">
            <v>30.520000000000003</v>
          </cell>
          <cell r="AG110">
            <v>33.266800000000003</v>
          </cell>
          <cell r="AI110">
            <v>36.260812000000008</v>
          </cell>
          <cell r="AK110">
            <v>39.524285080000013</v>
          </cell>
          <cell r="AM110">
            <v>0.09</v>
          </cell>
        </row>
        <row r="111">
          <cell r="A111" t="str">
            <v xml:space="preserve">   Statuatory  Tax rate</v>
          </cell>
          <cell r="S111">
            <v>0.35</v>
          </cell>
          <cell r="U111">
            <v>0.35</v>
          </cell>
          <cell r="W111">
            <v>0.35</v>
          </cell>
          <cell r="Y111">
            <v>0.35</v>
          </cell>
          <cell r="AA111">
            <v>0.35</v>
          </cell>
          <cell r="AC111">
            <v>0.35</v>
          </cell>
          <cell r="AE111">
            <v>0.35</v>
          </cell>
          <cell r="AG111">
            <v>0.35</v>
          </cell>
          <cell r="AI111">
            <v>0.35</v>
          </cell>
          <cell r="AK111">
            <v>0.35</v>
          </cell>
        </row>
        <row r="112">
          <cell r="A112" t="str">
            <v>Proceeds from option</v>
          </cell>
          <cell r="Q112">
            <v>333.7</v>
          </cell>
          <cell r="S112">
            <v>282.3</v>
          </cell>
          <cell r="U112">
            <v>435.4</v>
          </cell>
          <cell r="W112">
            <v>537.70000000000005</v>
          </cell>
          <cell r="Y112">
            <v>513</v>
          </cell>
          <cell r="AA112">
            <v>1207</v>
          </cell>
          <cell r="AC112">
            <v>285.59999999999997</v>
          </cell>
          <cell r="AE112">
            <v>408.84592000000009</v>
          </cell>
          <cell r="AG112">
            <v>520.84414921000007</v>
          </cell>
          <cell r="AI112">
            <v>578.62034899356695</v>
          </cell>
          <cell r="AK112">
            <v>555.01263875462951</v>
          </cell>
        </row>
        <row r="113">
          <cell r="A113" t="str">
            <v>Tax Benefit from Options</v>
          </cell>
          <cell r="Q113">
            <v>376.6</v>
          </cell>
          <cell r="S113">
            <v>244.5</v>
          </cell>
          <cell r="U113">
            <v>251.6</v>
          </cell>
          <cell r="W113">
            <v>113.3</v>
          </cell>
          <cell r="Y113">
            <v>167</v>
          </cell>
          <cell r="AA113">
            <v>276</v>
          </cell>
          <cell r="AC113">
            <v>170.55674999999999</v>
          </cell>
          <cell r="AE113">
            <v>241.49308286250007</v>
          </cell>
          <cell r="AG113">
            <v>304.2759299385545</v>
          </cell>
          <cell r="AI113">
            <v>334.30929864953174</v>
          </cell>
          <cell r="AK113">
            <v>317.12642488736873</v>
          </cell>
        </row>
        <row r="114">
          <cell r="A114" t="str">
            <v>Options Granted</v>
          </cell>
          <cell r="Q114">
            <v>13.1</v>
          </cell>
          <cell r="S114">
            <v>18.600000000000001</v>
          </cell>
          <cell r="U114">
            <v>39.700000000000003</v>
          </cell>
          <cell r="W114">
            <v>18.5</v>
          </cell>
          <cell r="Y114">
            <v>16</v>
          </cell>
          <cell r="AA114">
            <v>10</v>
          </cell>
          <cell r="AC114">
            <v>13.600000000000001</v>
          </cell>
          <cell r="AE114">
            <v>13.396000000000001</v>
          </cell>
          <cell r="AG114">
            <v>13.777786000000001</v>
          </cell>
          <cell r="AI114">
            <v>12.537785259999998</v>
          </cell>
          <cell r="AK114">
            <v>11.033251028800001</v>
          </cell>
        </row>
        <row r="115">
          <cell r="A115" t="str">
            <v xml:space="preserve">     % of Outstanding Options</v>
          </cell>
          <cell r="Q115">
            <v>0.11312607944732297</v>
          </cell>
          <cell r="S115">
            <v>0.18844984802431611</v>
          </cell>
          <cell r="U115">
            <v>0.42055084745762716</v>
          </cell>
          <cell r="W115">
            <v>0.17961165048543692</v>
          </cell>
          <cell r="Y115">
            <v>0.16842105263157894</v>
          </cell>
          <cell r="AA115">
            <v>0.11235955056179775</v>
          </cell>
          <cell r="AC115">
            <v>0.2</v>
          </cell>
          <cell r="AE115">
            <v>0.2</v>
          </cell>
          <cell r="AG115">
            <v>0.22</v>
          </cell>
          <cell r="AI115">
            <v>0.22</v>
          </cell>
          <cell r="AK115">
            <v>0.22</v>
          </cell>
        </row>
        <row r="116">
          <cell r="A116" t="str">
            <v>Shares Issued</v>
          </cell>
          <cell r="S116">
            <v>0</v>
          </cell>
          <cell r="U116">
            <v>0</v>
          </cell>
          <cell r="W116">
            <v>0</v>
          </cell>
          <cell r="Y116">
            <v>22.6</v>
          </cell>
          <cell r="AA116">
            <v>0</v>
          </cell>
          <cell r="AC116">
            <v>0</v>
          </cell>
          <cell r="AE116">
            <v>0</v>
          </cell>
          <cell r="AG116">
            <v>0</v>
          </cell>
          <cell r="AI116">
            <v>0</v>
          </cell>
          <cell r="AK116">
            <v>0</v>
          </cell>
        </row>
        <row r="117">
          <cell r="A117" t="str">
            <v>Proceeds from share issuance</v>
          </cell>
          <cell r="S117">
            <v>0</v>
          </cell>
          <cell r="U117">
            <v>0</v>
          </cell>
          <cell r="W117">
            <v>0</v>
          </cell>
          <cell r="Y117">
            <v>0</v>
          </cell>
          <cell r="AA117">
            <v>0</v>
          </cell>
          <cell r="AC117">
            <v>0</v>
          </cell>
          <cell r="AE117">
            <v>0</v>
          </cell>
          <cell r="AG117">
            <v>0</v>
          </cell>
          <cell r="AI117">
            <v>0</v>
          </cell>
          <cell r="AK117">
            <v>0</v>
          </cell>
        </row>
        <row r="118">
          <cell r="A118" t="str">
            <v>Shares Repurchased (mm)</v>
          </cell>
          <cell r="S118">
            <v>12.7</v>
          </cell>
          <cell r="U118">
            <v>28</v>
          </cell>
          <cell r="W118">
            <v>29.7</v>
          </cell>
          <cell r="Y118">
            <v>69</v>
          </cell>
          <cell r="AA118">
            <v>63</v>
          </cell>
          <cell r="AC118">
            <v>100</v>
          </cell>
          <cell r="AE118">
            <v>40</v>
          </cell>
          <cell r="AG118">
            <v>40</v>
          </cell>
          <cell r="AI118">
            <v>40</v>
          </cell>
          <cell r="AK118">
            <v>35</v>
          </cell>
        </row>
        <row r="119">
          <cell r="A119" t="str">
            <v>Share Repurchase Cost</v>
          </cell>
          <cell r="Q119">
            <v>799.9</v>
          </cell>
          <cell r="S119">
            <v>737.5</v>
          </cell>
          <cell r="U119">
            <v>1420.4</v>
          </cell>
          <cell r="W119">
            <v>1801</v>
          </cell>
          <cell r="Y119">
            <v>4072</v>
          </cell>
          <cell r="AA119">
            <v>4430</v>
          </cell>
          <cell r="AC119">
            <v>7577.5000000000009</v>
          </cell>
          <cell r="AE119">
            <v>3281.0575000000008</v>
          </cell>
          <cell r="AG119">
            <v>3551.7447437500005</v>
          </cell>
          <cell r="AI119">
            <v>3844.7636851093757</v>
          </cell>
          <cell r="AK119">
            <v>3641.7121029895366</v>
          </cell>
        </row>
        <row r="120">
          <cell r="A120" t="str">
            <v>Share Issuance from Acquisitions</v>
          </cell>
          <cell r="Q120">
            <v>164.7</v>
          </cell>
          <cell r="U120">
            <v>15183.2</v>
          </cell>
          <cell r="Y120">
            <v>1403</v>
          </cell>
        </row>
        <row r="121">
          <cell r="A121" t="str">
            <v>Stock options expense</v>
          </cell>
          <cell r="AC121">
            <v>294.91779250000002</v>
          </cell>
          <cell r="AE121">
            <v>271.96607092308085</v>
          </cell>
          <cell r="AG121">
            <v>294.29251044080411</v>
          </cell>
          <cell r="AI121">
            <v>332.25730820002224</v>
          </cell>
          <cell r="AK121">
            <v>368.95414836972293</v>
          </cell>
        </row>
        <row r="122">
          <cell r="A122" t="str">
            <v>Total Change in APIC</v>
          </cell>
          <cell r="K122">
            <v>169.19999999999982</v>
          </cell>
          <cell r="M122">
            <v>475.80000000000018</v>
          </cell>
          <cell r="O122">
            <v>0</v>
          </cell>
          <cell r="Q122">
            <v>75.100000000000023</v>
          </cell>
          <cell r="S122">
            <v>-210.7</v>
          </cell>
          <cell r="U122">
            <v>14449.800000000001</v>
          </cell>
          <cell r="W122">
            <v>-1150</v>
          </cell>
          <cell r="Y122">
            <v>-1989</v>
          </cell>
          <cell r="AA122">
            <v>-2947</v>
          </cell>
          <cell r="AC122">
            <v>-6826.4254575000004</v>
          </cell>
          <cell r="AE122">
            <v>-2358.7524262144198</v>
          </cell>
          <cell r="AG122">
            <v>-2432.3321541606419</v>
          </cell>
          <cell r="AI122">
            <v>-2599.5767292662549</v>
          </cell>
          <cell r="AK122">
            <v>-2400.6188909778157</v>
          </cell>
          <cell r="AO122" t="str">
            <v>mstag:netIssuanceRepurchaseOfCommonStock</v>
          </cell>
          <cell r="AP122">
            <v>6</v>
          </cell>
          <cell r="AQ122" t="str">
            <v>ISO4217:USD</v>
          </cell>
          <cell r="AR122" t="b">
            <v>0</v>
          </cell>
          <cell r="AS122" t="b">
            <v>0</v>
          </cell>
        </row>
        <row r="123">
          <cell r="A123" t="str">
            <v>Beginning Period Shares</v>
          </cell>
          <cell r="Q123">
            <v>1021.8</v>
          </cell>
          <cell r="S123">
            <v>1037.4000000000001</v>
          </cell>
          <cell r="U123">
            <v>1045.8</v>
          </cell>
          <cell r="W123">
            <v>1289.0999999999999</v>
          </cell>
          <cell r="Y123">
            <v>1283.7</v>
          </cell>
          <cell r="AA123">
            <v>1260</v>
          </cell>
          <cell r="AC123">
            <v>1224</v>
          </cell>
          <cell r="AE123">
            <v>1134.2</v>
          </cell>
          <cell r="AG123">
            <v>1107.596</v>
          </cell>
          <cell r="AI123">
            <v>1083.252575</v>
          </cell>
          <cell r="AK123">
            <v>1059.2097562399999</v>
          </cell>
        </row>
        <row r="124">
          <cell r="A124" t="str">
            <v>End of Period Shares</v>
          </cell>
          <cell r="O124">
            <v>1021.8</v>
          </cell>
          <cell r="Q124">
            <v>1037.4000000000001</v>
          </cell>
          <cell r="S124">
            <v>1045.8</v>
          </cell>
          <cell r="U124">
            <v>1289.0999999999999</v>
          </cell>
          <cell r="W124">
            <v>1283.7</v>
          </cell>
          <cell r="Y124">
            <v>1260</v>
          </cell>
          <cell r="AA124">
            <v>1224</v>
          </cell>
          <cell r="AC124">
            <v>1134.2</v>
          </cell>
          <cell r="AE124">
            <v>1107.596</v>
          </cell>
          <cell r="AG124">
            <v>1083.252575</v>
          </cell>
          <cell r="AI124">
            <v>1059.2097562399999</v>
          </cell>
          <cell r="AK124">
            <v>1038.2520757312</v>
          </cell>
          <cell r="AO124" t="str">
            <v>mstag:periodEndBasicSharesOutstanding</v>
          </cell>
          <cell r="AP124">
            <v>6</v>
          </cell>
          <cell r="AQ124" t="str">
            <v>ms_eqr_gcim_Decimal:ms_eqr_gcim_decimal</v>
          </cell>
          <cell r="AR124" t="b">
            <v>0</v>
          </cell>
          <cell r="AS124" t="b">
            <v>0</v>
          </cell>
        </row>
        <row r="125">
          <cell r="A125" t="str">
            <v xml:space="preserve">Average Shares Outstanding-basic </v>
          </cell>
          <cell r="O125">
            <v>1021.7</v>
          </cell>
          <cell r="Q125">
            <v>1029.5999999999999</v>
          </cell>
          <cell r="S125">
            <v>1045.5</v>
          </cell>
          <cell r="U125">
            <v>1153.5</v>
          </cell>
          <cell r="W125">
            <v>1288.4000000000001</v>
          </cell>
          <cell r="Y125">
            <v>1270.6500000000001</v>
          </cell>
          <cell r="AA125">
            <v>1236</v>
          </cell>
          <cell r="AC125">
            <v>1179.0999999999999</v>
          </cell>
          <cell r="AE125">
            <v>1120.8980000000001</v>
          </cell>
          <cell r="AG125">
            <v>1095.4242875</v>
          </cell>
          <cell r="AI125">
            <v>1071.23116562</v>
          </cell>
          <cell r="AK125">
            <v>1048.7309159855999</v>
          </cell>
        </row>
        <row r="126">
          <cell r="A126" t="str">
            <v>Average Shares Outstanding-diluted</v>
          </cell>
          <cell r="O126">
            <v>1078.3</v>
          </cell>
          <cell r="Q126">
            <v>1084.7</v>
          </cell>
          <cell r="S126">
            <v>1084.2</v>
          </cell>
          <cell r="U126">
            <v>1153.5</v>
          </cell>
          <cell r="W126">
            <v>1346</v>
          </cell>
          <cell r="Y126">
            <v>1285.05</v>
          </cell>
          <cell r="AA126">
            <v>1258</v>
          </cell>
          <cell r="AC126">
            <v>1190.6329744308807</v>
          </cell>
          <cell r="AE126">
            <v>1131.9282839554037</v>
          </cell>
          <cell r="AG126">
            <v>1105.6672499945955</v>
          </cell>
          <cell r="AI126">
            <v>1078.6145376915538</v>
          </cell>
          <cell r="AK126">
            <v>1055.2640764166335</v>
          </cell>
        </row>
        <row r="130">
          <cell r="B130" t="str">
            <v>Amgen</v>
          </cell>
          <cell r="S130" t="str">
            <v>2001A</v>
          </cell>
          <cell r="U130" t="str">
            <v>2002A</v>
          </cell>
          <cell r="W130" t="str">
            <v>2003A</v>
          </cell>
          <cell r="Y130" t="str">
            <v>2004A</v>
          </cell>
          <cell r="AA130" t="str">
            <v>2005A</v>
          </cell>
          <cell r="AC130" t="str">
            <v>2006E</v>
          </cell>
          <cell r="AE130" t="str">
            <v>2007E</v>
          </cell>
          <cell r="AG130" t="str">
            <v>2008E</v>
          </cell>
          <cell r="AI130" t="str">
            <v>2009E</v>
          </cell>
          <cell r="AK130" t="str">
            <v>2010E</v>
          </cell>
        </row>
        <row r="131">
          <cell r="B131" t="str">
            <v>Current diluted EPS</v>
          </cell>
          <cell r="S131">
            <v>1.0327430363401584</v>
          </cell>
          <cell r="U131">
            <v>1.5215431296055475</v>
          </cell>
          <cell r="W131">
            <v>1.9281575037147096</v>
          </cell>
          <cell r="Y131">
            <v>2.36950115525927</v>
          </cell>
          <cell r="AA131">
            <v>3.2027027027027026</v>
          </cell>
          <cell r="AC131">
            <v>3.6698689952539394</v>
          </cell>
          <cell r="AE131">
            <v>4.1013211403748855</v>
          </cell>
          <cell r="AG131">
            <v>4.6347096976234399</v>
          </cell>
          <cell r="AI131">
            <v>5.0526778224740756</v>
          </cell>
          <cell r="AK131">
            <v>5.4875839896915242</v>
          </cell>
        </row>
        <row r="132">
          <cell r="B132" t="str">
            <v>Option expense</v>
          </cell>
          <cell r="S132">
            <v>189.1</v>
          </cell>
          <cell r="U132">
            <v>189.8</v>
          </cell>
          <cell r="W132">
            <v>198</v>
          </cell>
          <cell r="Y132">
            <v>200</v>
          </cell>
          <cell r="AA132">
            <v>200</v>
          </cell>
          <cell r="AC132">
            <v>200</v>
          </cell>
          <cell r="AE132">
            <v>200</v>
          </cell>
          <cell r="AG132">
            <v>200</v>
          </cell>
          <cell r="AI132">
            <v>200</v>
          </cell>
          <cell r="AK132">
            <v>200</v>
          </cell>
        </row>
        <row r="133">
          <cell r="B133" t="str">
            <v>Diluted EPS, pro forma</v>
          </cell>
          <cell r="S133">
            <v>0.85832872163807394</v>
          </cell>
          <cell r="U133">
            <v>1.3570004334633714</v>
          </cell>
          <cell r="W133">
            <v>1.7810549777117379</v>
          </cell>
          <cell r="Y133">
            <v>2.2179917427370168</v>
          </cell>
          <cell r="AA133">
            <v>3.0437201907790143</v>
          </cell>
          <cell r="AC133">
            <v>3.4994205698784278</v>
          </cell>
          <cell r="AE133">
            <v>3.925871506555795</v>
          </cell>
          <cell r="AG133">
            <v>4.4551228416743482</v>
          </cell>
          <cell r="AI133">
            <v>4.8686199131947765</v>
          </cell>
          <cell r="AK133">
            <v>5.2994839640854385</v>
          </cell>
        </row>
        <row r="134">
          <cell r="B134" t="str">
            <v>difference</v>
          </cell>
          <cell r="S134">
            <v>-0.16888452263999287</v>
          </cell>
          <cell r="U134">
            <v>-0.10814198621161197</v>
          </cell>
          <cell r="W134">
            <v>-7.6291758178245295E-2</v>
          </cell>
          <cell r="Y134">
            <v>-6.3941480756811497E-2</v>
          </cell>
          <cell r="AA134">
            <v>-4.9640109208240246E-2</v>
          </cell>
          <cell r="AC134">
            <v>-4.6445370555718513E-2</v>
          </cell>
          <cell r="AE134">
            <v>-4.2778809026169928E-2</v>
          </cell>
          <cell r="AG134">
            <v>-3.8748242644232711E-2</v>
          </cell>
          <cell r="AI134">
            <v>-3.6427794477735809E-2</v>
          </cell>
          <cell r="AK134">
            <v>-3.4277384357019991E-2</v>
          </cell>
        </row>
        <row r="136">
          <cell r="B136" t="str">
            <v>diluted shares</v>
          </cell>
          <cell r="S136">
            <v>1084.2</v>
          </cell>
          <cell r="U136">
            <v>1153.5</v>
          </cell>
          <cell r="W136">
            <v>1346</v>
          </cell>
          <cell r="Y136">
            <v>1320.05</v>
          </cell>
          <cell r="AA136">
            <v>1258</v>
          </cell>
          <cell r="AC136">
            <v>1173.37546275</v>
          </cell>
          <cell r="AE136">
            <v>1139.9282839554037</v>
          </cell>
          <cell r="AG136">
            <v>1113.6672499945955</v>
          </cell>
          <cell r="AI136">
            <v>1086.6145376915538</v>
          </cell>
          <cell r="AK136">
            <v>1063.2640764166335</v>
          </cell>
        </row>
      </sheetData>
      <sheetData sheetId="8" refreshError="1"/>
      <sheetData sheetId="9" refreshError="1">
        <row r="1">
          <cell r="B1" t="str">
            <v>Amgen Cash Flow Statements</v>
          </cell>
          <cell r="AN1" t="str">
            <v>ElementName</v>
          </cell>
          <cell r="AO1" t="str">
            <v>ScaleOverride</v>
          </cell>
          <cell r="AP1" t="str">
            <v>UnitOverride</v>
          </cell>
          <cell r="AQ1" t="str">
            <v>ReverseSign</v>
          </cell>
          <cell r="AR1" t="str">
            <v>IsDrivingAssumption</v>
          </cell>
          <cell r="AS1" t="str">
            <v>SegmentID</v>
          </cell>
        </row>
        <row r="2">
          <cell r="B2" t="str">
            <v>(Dollars in thousands)</v>
          </cell>
        </row>
        <row r="4">
          <cell r="C4" t="str">
            <v>1993A</v>
          </cell>
          <cell r="E4" t="str">
            <v>1994A</v>
          </cell>
          <cell r="G4" t="str">
            <v>1995A</v>
          </cell>
          <cell r="I4" t="str">
            <v>1996A</v>
          </cell>
          <cell r="K4" t="str">
            <v>1997A</v>
          </cell>
          <cell r="M4" t="str">
            <v>1998A</v>
          </cell>
          <cell r="O4" t="str">
            <v>1999A</v>
          </cell>
          <cell r="Q4" t="str">
            <v>2000A</v>
          </cell>
          <cell r="S4" t="str">
            <v>2001A</v>
          </cell>
          <cell r="U4" t="str">
            <v>2002A</v>
          </cell>
          <cell r="W4" t="str">
            <v>2003A</v>
          </cell>
          <cell r="Y4" t="str">
            <v>2004A</v>
          </cell>
          <cell r="AA4" t="str">
            <v>2005A</v>
          </cell>
          <cell r="AC4" t="str">
            <v>2006E</v>
          </cell>
          <cell r="AE4" t="str">
            <v>2007E</v>
          </cell>
          <cell r="AG4" t="str">
            <v>2008E</v>
          </cell>
          <cell r="AI4" t="str">
            <v>2009E</v>
          </cell>
          <cell r="AK4" t="str">
            <v>2010E</v>
          </cell>
        </row>
        <row r="5">
          <cell r="B5" t="str">
            <v>CASH FLOWS FROM OPERATING ACTIVITIES</v>
          </cell>
        </row>
        <row r="6">
          <cell r="B6" t="str">
            <v>Net Income (Loss)</v>
          </cell>
          <cell r="C6">
            <v>383.3</v>
          </cell>
          <cell r="E6">
            <v>319.7</v>
          </cell>
          <cell r="G6">
            <v>537.70000000000005</v>
          </cell>
          <cell r="I6">
            <v>679.8</v>
          </cell>
          <cell r="K6">
            <v>644.29999999999995</v>
          </cell>
          <cell r="M6">
            <v>863.2</v>
          </cell>
          <cell r="O6">
            <v>1096.4000000000001</v>
          </cell>
          <cell r="Q6">
            <v>1138.5</v>
          </cell>
          <cell r="S6">
            <v>1119.7</v>
          </cell>
          <cell r="U6">
            <v>-1391.9</v>
          </cell>
          <cell r="W6">
            <v>2259.4999999999991</v>
          </cell>
          <cell r="Y6">
            <v>2363</v>
          </cell>
          <cell r="AA6">
            <v>3674</v>
          </cell>
          <cell r="AC6">
            <v>3329.4653900000003</v>
          </cell>
          <cell r="AE6">
            <v>4180.6358985744819</v>
          </cell>
          <cell r="AG6">
            <v>4644.6218930347759</v>
          </cell>
          <cell r="AI6">
            <v>4935.4458679720119</v>
          </cell>
          <cell r="AK6">
            <v>5243.1867741883407</v>
          </cell>
          <cell r="AN6" t="str">
            <v>mstag:netIncomeReported</v>
          </cell>
          <cell r="AO6">
            <v>6</v>
          </cell>
          <cell r="AP6" t="str">
            <v>ISO4217:USD</v>
          </cell>
          <cell r="AQ6" t="b">
            <v>0</v>
          </cell>
          <cell r="AR6" t="b">
            <v>0</v>
          </cell>
        </row>
        <row r="7">
          <cell r="B7" t="str">
            <v>Write-Off Of In-Process Research and Development</v>
          </cell>
          <cell r="C7">
            <v>0</v>
          </cell>
          <cell r="E7">
            <v>116.4</v>
          </cell>
          <cell r="G7">
            <v>0</v>
          </cell>
          <cell r="I7">
            <v>0</v>
          </cell>
          <cell r="K7">
            <v>0</v>
          </cell>
          <cell r="M7">
            <v>0</v>
          </cell>
          <cell r="O7">
            <v>0</v>
          </cell>
          <cell r="Q7">
            <v>30.1</v>
          </cell>
          <cell r="S7">
            <v>0</v>
          </cell>
          <cell r="U7">
            <v>2991.8</v>
          </cell>
          <cell r="W7">
            <v>0</v>
          </cell>
          <cell r="Y7">
            <v>554</v>
          </cell>
          <cell r="AA7">
            <v>0</v>
          </cell>
          <cell r="AC7">
            <v>0</v>
          </cell>
          <cell r="AE7">
            <v>0</v>
          </cell>
          <cell r="AG7">
            <v>0</v>
          </cell>
          <cell r="AI7">
            <v>0</v>
          </cell>
          <cell r="AK7">
            <v>0</v>
          </cell>
          <cell r="AN7" t="str">
            <v>mstag:acquiredInProcessRAndD</v>
          </cell>
          <cell r="AO7">
            <v>6</v>
          </cell>
          <cell r="AP7" t="str">
            <v>ISO4217:USD</v>
          </cell>
          <cell r="AQ7" t="b">
            <v>0</v>
          </cell>
          <cell r="AR7" t="b">
            <v>0</v>
          </cell>
        </row>
        <row r="8">
          <cell r="B8" t="str">
            <v>Depreciation &amp; Amort.</v>
          </cell>
          <cell r="C8">
            <v>50.7</v>
          </cell>
          <cell r="E8">
            <v>74.5</v>
          </cell>
          <cell r="G8">
            <v>84.2</v>
          </cell>
          <cell r="I8">
            <v>100.3</v>
          </cell>
          <cell r="K8">
            <v>117.1</v>
          </cell>
          <cell r="M8">
            <v>143.80000000000001</v>
          </cell>
          <cell r="O8">
            <v>176.8</v>
          </cell>
          <cell r="Q8">
            <v>211.8</v>
          </cell>
          <cell r="S8">
            <v>265.89999999999998</v>
          </cell>
          <cell r="U8">
            <v>447.3</v>
          </cell>
          <cell r="W8">
            <v>686.5</v>
          </cell>
          <cell r="Y8">
            <v>734</v>
          </cell>
          <cell r="AA8">
            <v>841</v>
          </cell>
          <cell r="AC8">
            <v>772.04066666666665</v>
          </cell>
          <cell r="AE8">
            <v>1130.7377096774276</v>
          </cell>
          <cell r="AG8">
            <v>1349.0218220591833</v>
          </cell>
          <cell r="AI8">
            <v>1564.0573284190054</v>
          </cell>
          <cell r="AK8">
            <v>1824.087369245593</v>
          </cell>
        </row>
        <row r="9">
          <cell r="B9" t="str">
            <v xml:space="preserve">     Depreciation</v>
          </cell>
          <cell r="C9">
            <v>50.7</v>
          </cell>
          <cell r="E9">
            <v>74.5</v>
          </cell>
          <cell r="G9">
            <v>84.2</v>
          </cell>
          <cell r="I9">
            <v>100.3</v>
          </cell>
          <cell r="K9">
            <v>117.1</v>
          </cell>
          <cell r="M9">
            <v>143.80000000000001</v>
          </cell>
          <cell r="O9">
            <v>176.8</v>
          </cell>
          <cell r="Q9">
            <v>211.8</v>
          </cell>
          <cell r="S9">
            <v>265.89999999999998</v>
          </cell>
          <cell r="U9">
            <v>292.10000000000002</v>
          </cell>
          <cell r="W9">
            <v>350.7</v>
          </cell>
          <cell r="Y9">
            <v>374.86666666666667</v>
          </cell>
          <cell r="AA9">
            <v>598</v>
          </cell>
          <cell r="AC9">
            <v>710.93066666666664</v>
          </cell>
          <cell r="AE9">
            <v>912.12770967742756</v>
          </cell>
          <cell r="AG9">
            <v>1130.4118220591831</v>
          </cell>
          <cell r="AI9">
            <v>1345.4473284190053</v>
          </cell>
          <cell r="AK9">
            <v>1605.4773692455931</v>
          </cell>
          <cell r="AN9" t="str">
            <v>mstag:depreciation</v>
          </cell>
          <cell r="AO9">
            <v>6</v>
          </cell>
          <cell r="AP9" t="str">
            <v>ISO4217:USD</v>
          </cell>
          <cell r="AQ9" t="b">
            <v>0</v>
          </cell>
          <cell r="AR9" t="b">
            <v>0</v>
          </cell>
        </row>
        <row r="10">
          <cell r="B10" t="str">
            <v xml:space="preserve">     Amortization</v>
          </cell>
          <cell r="U10">
            <v>155.19999999999999</v>
          </cell>
          <cell r="W10">
            <v>335.8</v>
          </cell>
          <cell r="Y10">
            <v>359.13333333333333</v>
          </cell>
          <cell r="AA10">
            <v>243</v>
          </cell>
          <cell r="AC10">
            <v>61.11</v>
          </cell>
          <cell r="AE10">
            <v>218.61</v>
          </cell>
          <cell r="AG10">
            <v>218.61</v>
          </cell>
          <cell r="AI10">
            <v>218.61</v>
          </cell>
          <cell r="AK10">
            <v>218.61</v>
          </cell>
          <cell r="AN10" t="str">
            <v>mstag:amortizationOfOtherIntangibles</v>
          </cell>
          <cell r="AO10">
            <v>6</v>
          </cell>
          <cell r="AP10" t="str">
            <v>ISO4217:USD</v>
          </cell>
          <cell r="AQ10" t="b">
            <v>0</v>
          </cell>
          <cell r="AR10" t="b">
            <v>0</v>
          </cell>
        </row>
        <row r="11">
          <cell r="B11" t="str">
            <v>Tax Benefits Related to Employee Stock Options</v>
          </cell>
          <cell r="C11">
            <v>0</v>
          </cell>
          <cell r="E11">
            <v>0</v>
          </cell>
          <cell r="G11">
            <v>0</v>
          </cell>
          <cell r="I11">
            <v>48.6</v>
          </cell>
          <cell r="K11">
            <v>54.7</v>
          </cell>
          <cell r="M11">
            <v>108.2</v>
          </cell>
          <cell r="O11">
            <v>151.80000000000001</v>
          </cell>
          <cell r="Q11">
            <v>376.6</v>
          </cell>
          <cell r="S11">
            <v>244.5</v>
          </cell>
          <cell r="U11">
            <v>251.6</v>
          </cell>
          <cell r="W11">
            <v>268.60000000000002</v>
          </cell>
          <cell r="Y11">
            <v>203</v>
          </cell>
          <cell r="AA11">
            <v>315</v>
          </cell>
          <cell r="AC11">
            <v>0</v>
          </cell>
          <cell r="AE11">
            <v>0</v>
          </cell>
          <cell r="AG11">
            <v>0</v>
          </cell>
          <cell r="AI11">
            <v>0</v>
          </cell>
          <cell r="AK11">
            <v>0</v>
          </cell>
          <cell r="AN11" t="str">
            <v>mstag:taxBenefitFromExerciseOfEsosCashFlowStatement</v>
          </cell>
          <cell r="AO11">
            <v>6</v>
          </cell>
          <cell r="AP11" t="str">
            <v>ISO4217:USD</v>
          </cell>
          <cell r="AQ11" t="b">
            <v>0</v>
          </cell>
          <cell r="AR11" t="b">
            <v>0</v>
          </cell>
        </row>
        <row r="12">
          <cell r="B12" t="str">
            <v>Options expense (add back)</v>
          </cell>
          <cell r="AA12">
            <v>0</v>
          </cell>
          <cell r="AC12">
            <v>294.91779250000002</v>
          </cell>
          <cell r="AE12">
            <v>271.96607092308085</v>
          </cell>
          <cell r="AG12">
            <v>294.29251044080411</v>
          </cell>
          <cell r="AI12">
            <v>332.25730820002224</v>
          </cell>
          <cell r="AK12">
            <v>368.95414836972293</v>
          </cell>
          <cell r="AN12" t="str">
            <v>mstag:otherCashFlow</v>
          </cell>
          <cell r="AO12">
            <v>6</v>
          </cell>
          <cell r="AP12" t="str">
            <v>ISO4217:USD</v>
          </cell>
          <cell r="AQ12" t="b">
            <v>0</v>
          </cell>
          <cell r="AR12" t="b">
            <v>0</v>
          </cell>
        </row>
        <row r="13">
          <cell r="B13" t="str">
            <v>Other</v>
          </cell>
          <cell r="C13">
            <v>7.9</v>
          </cell>
          <cell r="E13">
            <v>2.8</v>
          </cell>
          <cell r="G13">
            <v>0.1</v>
          </cell>
          <cell r="I13">
            <v>0</v>
          </cell>
          <cell r="K13">
            <v>0</v>
          </cell>
          <cell r="M13">
            <v>15.8</v>
          </cell>
          <cell r="O13">
            <v>0</v>
          </cell>
          <cell r="Q13">
            <v>-8.3000000000000007</v>
          </cell>
          <cell r="S13">
            <v>97.8</v>
          </cell>
          <cell r="U13">
            <v>24.9</v>
          </cell>
          <cell r="W13">
            <v>99</v>
          </cell>
          <cell r="Y13">
            <v>161</v>
          </cell>
          <cell r="AA13">
            <v>166</v>
          </cell>
          <cell r="AC13">
            <v>0</v>
          </cell>
          <cell r="AE13">
            <v>0</v>
          </cell>
          <cell r="AG13">
            <v>0</v>
          </cell>
          <cell r="AI13">
            <v>0</v>
          </cell>
          <cell r="AK13">
            <v>0</v>
          </cell>
          <cell r="AN13" t="str">
            <v>mstag:otherProvisionsRecurringCashFlowStatement</v>
          </cell>
          <cell r="AO13">
            <v>6</v>
          </cell>
          <cell r="AP13" t="str">
            <v>ISO4217:USD</v>
          </cell>
          <cell r="AQ13" t="b">
            <v>0</v>
          </cell>
          <cell r="AR13" t="b">
            <v>0</v>
          </cell>
        </row>
        <row r="14">
          <cell r="B14" t="str">
            <v>Deferred Income Taxes</v>
          </cell>
          <cell r="C14">
            <v>17.399999999999999</v>
          </cell>
          <cell r="E14">
            <v>2.4</v>
          </cell>
          <cell r="G14">
            <v>23.9</v>
          </cell>
          <cell r="I14">
            <v>25.6</v>
          </cell>
          <cell r="K14">
            <v>-31.4</v>
          </cell>
          <cell r="M14">
            <v>-5.6</v>
          </cell>
          <cell r="O14">
            <v>9.8000000000000007</v>
          </cell>
          <cell r="Q14">
            <v>6.6</v>
          </cell>
          <cell r="S14">
            <v>-148.30000000000001</v>
          </cell>
          <cell r="U14">
            <v>174.7</v>
          </cell>
          <cell r="W14">
            <v>-189.6</v>
          </cell>
          <cell r="Y14">
            <v>57</v>
          </cell>
          <cell r="AA14">
            <v>-95</v>
          </cell>
          <cell r="AC14">
            <v>-300</v>
          </cell>
          <cell r="AE14">
            <v>0</v>
          </cell>
          <cell r="AG14">
            <v>0</v>
          </cell>
          <cell r="AI14">
            <v>0</v>
          </cell>
          <cell r="AK14">
            <v>0</v>
          </cell>
          <cell r="AN14" t="str">
            <v>mstag:deferredTax</v>
          </cell>
          <cell r="AO14">
            <v>6</v>
          </cell>
          <cell r="AP14" t="str">
            <v>ISO4217:USD</v>
          </cell>
          <cell r="AQ14" t="b">
            <v>0</v>
          </cell>
          <cell r="AR14" t="b">
            <v>0</v>
          </cell>
        </row>
        <row r="15">
          <cell r="B15" t="str">
            <v>Loss Of Affiliates, Net</v>
          </cell>
          <cell r="C15">
            <v>12.6</v>
          </cell>
          <cell r="E15">
            <v>31.2</v>
          </cell>
          <cell r="G15">
            <v>53.3</v>
          </cell>
          <cell r="I15">
            <v>52.8</v>
          </cell>
          <cell r="K15">
            <v>36.1</v>
          </cell>
          <cell r="M15">
            <v>28.6</v>
          </cell>
          <cell r="O15">
            <v>16.8</v>
          </cell>
          <cell r="Q15">
            <v>0</v>
          </cell>
          <cell r="S15">
            <v>0</v>
          </cell>
          <cell r="U15">
            <v>0</v>
          </cell>
          <cell r="W15">
            <v>0</v>
          </cell>
          <cell r="Y15">
            <v>0</v>
          </cell>
          <cell r="AA15">
            <v>0</v>
          </cell>
          <cell r="AC15">
            <v>0</v>
          </cell>
          <cell r="AE15">
            <v>0</v>
          </cell>
          <cell r="AG15">
            <v>0</v>
          </cell>
          <cell r="AI15">
            <v>0</v>
          </cell>
          <cell r="AK15">
            <v>0</v>
          </cell>
          <cell r="AN15" t="str">
            <v>mstag:incomeLossFromInvestmentsAccountedForUnderTheEquityMethodNonOperating</v>
          </cell>
          <cell r="AO15">
            <v>6</v>
          </cell>
          <cell r="AP15" t="str">
            <v>ISO4217:USD</v>
          </cell>
          <cell r="AQ15" t="b">
            <v>1</v>
          </cell>
          <cell r="AR15" t="b">
            <v>0</v>
          </cell>
        </row>
        <row r="16">
          <cell r="B16" t="str">
            <v>Changes in operating assets and liabilities</v>
          </cell>
        </row>
        <row r="17">
          <cell r="B17" t="str">
            <v xml:space="preserve">     net of the acquisition:</v>
          </cell>
        </row>
        <row r="18">
          <cell r="B18" t="str">
            <v>Trade Receivables</v>
          </cell>
          <cell r="C18">
            <v>-8.3000000000000007</v>
          </cell>
          <cell r="E18">
            <v>-30.4</v>
          </cell>
          <cell r="G18">
            <v>-4.5999999999999996</v>
          </cell>
          <cell r="I18">
            <v>-26.1</v>
          </cell>
          <cell r="K18">
            <v>-43.6</v>
          </cell>
          <cell r="M18">
            <v>-50.9</v>
          </cell>
          <cell r="O18">
            <v>-92.3</v>
          </cell>
          <cell r="Q18">
            <v>23</v>
          </cell>
          <cell r="S18">
            <v>-123</v>
          </cell>
          <cell r="U18">
            <v>-121.9</v>
          </cell>
          <cell r="W18">
            <v>-255.5</v>
          </cell>
          <cell r="Y18">
            <v>-453</v>
          </cell>
          <cell r="AA18">
            <v>-308</v>
          </cell>
          <cell r="AC18">
            <v>-199.42857142857133</v>
          </cell>
          <cell r="AE18">
            <v>-187.25403225815285</v>
          </cell>
          <cell r="AG18">
            <v>-216.97079176713987</v>
          </cell>
          <cell r="AI18">
            <v>-224.39378280485698</v>
          </cell>
          <cell r="AK18">
            <v>-229.36630898679823</v>
          </cell>
          <cell r="AN18" t="str">
            <v>mstag:netDecreaseInTradeReceivables</v>
          </cell>
          <cell r="AO18">
            <v>6</v>
          </cell>
          <cell r="AP18" t="str">
            <v>ISO4217:USD</v>
          </cell>
          <cell r="AQ18" t="b">
            <v>0</v>
          </cell>
          <cell r="AR18" t="b">
            <v>0</v>
          </cell>
        </row>
        <row r="19">
          <cell r="B19" t="str">
            <v>Inventories</v>
          </cell>
          <cell r="C19">
            <v>-17.899999999999999</v>
          </cell>
          <cell r="E19">
            <v>-23.3</v>
          </cell>
          <cell r="G19">
            <v>9.1999999999999993</v>
          </cell>
          <cell r="I19">
            <v>-8.6</v>
          </cell>
          <cell r="K19">
            <v>-11.8</v>
          </cell>
          <cell r="M19">
            <v>-1.6</v>
          </cell>
          <cell r="O19">
            <v>-73.5</v>
          </cell>
          <cell r="Q19">
            <v>-120.9</v>
          </cell>
          <cell r="S19">
            <v>-85.5</v>
          </cell>
          <cell r="U19">
            <v>-101.7</v>
          </cell>
          <cell r="W19">
            <v>-167.7</v>
          </cell>
          <cell r="Y19">
            <v>-175</v>
          </cell>
          <cell r="AA19">
            <v>-370</v>
          </cell>
          <cell r="AC19">
            <v>-164.03281249999986</v>
          </cell>
          <cell r="AE19">
            <v>-122.53132047396207</v>
          </cell>
          <cell r="AG19">
            <v>-120.23225385671549</v>
          </cell>
          <cell r="AI19">
            <v>-161.33735724691883</v>
          </cell>
          <cell r="AK19">
            <v>-192.56871748293383</v>
          </cell>
          <cell r="AN19" t="str">
            <v>mstag:netDecreaseInInventories</v>
          </cell>
          <cell r="AO19">
            <v>6</v>
          </cell>
          <cell r="AP19" t="str">
            <v>ISO4217:USD</v>
          </cell>
          <cell r="AQ19" t="b">
            <v>0</v>
          </cell>
          <cell r="AR19" t="b">
            <v>0</v>
          </cell>
        </row>
        <row r="20">
          <cell r="B20" t="str">
            <v>Other Current Assets</v>
          </cell>
          <cell r="C20">
            <v>-4.8</v>
          </cell>
          <cell r="E20">
            <v>1.8</v>
          </cell>
          <cell r="G20">
            <v>-8</v>
          </cell>
          <cell r="I20">
            <v>-11.8</v>
          </cell>
          <cell r="K20">
            <v>5</v>
          </cell>
          <cell r="M20">
            <v>-21.2</v>
          </cell>
          <cell r="O20">
            <v>-9</v>
          </cell>
          <cell r="Q20">
            <v>-51.4</v>
          </cell>
          <cell r="S20">
            <v>-31.5</v>
          </cell>
          <cell r="U20">
            <v>-5.2</v>
          </cell>
          <cell r="W20">
            <v>-32.799999999999997</v>
          </cell>
          <cell r="Y20">
            <v>-85</v>
          </cell>
          <cell r="AA20">
            <v>-47</v>
          </cell>
          <cell r="AC20">
            <v>-11.530000000000086</v>
          </cell>
          <cell r="AE20">
            <v>-242.65225806456544</v>
          </cell>
          <cell r="AG20">
            <v>-266.23550051228403</v>
          </cell>
          <cell r="AI20">
            <v>-139.3485391218162</v>
          </cell>
          <cell r="AK20">
            <v>-142.4364778808017</v>
          </cell>
          <cell r="AN20" t="str">
            <v>mstag:netDecreaseInOtherAssets</v>
          </cell>
          <cell r="AO20">
            <v>6</v>
          </cell>
          <cell r="AP20" t="str">
            <v>ISO4217:USD</v>
          </cell>
          <cell r="AQ20" t="b">
            <v>0</v>
          </cell>
          <cell r="AR20" t="b">
            <v>0</v>
          </cell>
        </row>
        <row r="21">
          <cell r="B21" t="str">
            <v>Goodwill</v>
          </cell>
          <cell r="AA21">
            <v>0</v>
          </cell>
          <cell r="AC21">
            <v>-500</v>
          </cell>
          <cell r="AE21">
            <v>0</v>
          </cell>
          <cell r="AG21">
            <v>0</v>
          </cell>
          <cell r="AI21">
            <v>0</v>
          </cell>
          <cell r="AK21">
            <v>0</v>
          </cell>
          <cell r="AN21" t="str">
            <v>mstag:premiumGoodwillOnAcquisions</v>
          </cell>
          <cell r="AO21">
            <v>6</v>
          </cell>
          <cell r="AP21" t="str">
            <v>ISO4217:USD</v>
          </cell>
          <cell r="AQ21" t="b">
            <v>1</v>
          </cell>
          <cell r="AR21" t="b">
            <v>0</v>
          </cell>
        </row>
        <row r="22">
          <cell r="B22" t="str">
            <v>Accounts Payable</v>
          </cell>
          <cell r="C22">
            <v>-14.9</v>
          </cell>
          <cell r="E22">
            <v>4.5999999999999996</v>
          </cell>
          <cell r="G22">
            <v>23.9</v>
          </cell>
          <cell r="I22">
            <v>20.6</v>
          </cell>
          <cell r="K22">
            <v>28.9</v>
          </cell>
          <cell r="M22">
            <v>17.7</v>
          </cell>
          <cell r="O22">
            <v>-38.200000000000003</v>
          </cell>
          <cell r="Q22">
            <v>59.8</v>
          </cell>
          <cell r="S22">
            <v>-6.5</v>
          </cell>
          <cell r="U22">
            <v>11</v>
          </cell>
          <cell r="W22">
            <v>74</v>
          </cell>
          <cell r="Y22">
            <v>179</v>
          </cell>
          <cell r="AA22">
            <v>72</v>
          </cell>
          <cell r="AC22">
            <v>68.909239999999954</v>
          </cell>
          <cell r="AE22">
            <v>60.333615794882348</v>
          </cell>
          <cell r="AG22">
            <v>92.236339874018086</v>
          </cell>
          <cell r="AI22">
            <v>105.45777155338374</v>
          </cell>
          <cell r="AK22">
            <v>101.93566713805728</v>
          </cell>
          <cell r="AN22" t="str">
            <v>mstag:netIncreaseInTradeAndOtherPayables</v>
          </cell>
          <cell r="AO22">
            <v>6</v>
          </cell>
          <cell r="AP22" t="str">
            <v>ISO4217:USD</v>
          </cell>
          <cell r="AQ22" t="b">
            <v>0</v>
          </cell>
          <cell r="AR22" t="b">
            <v>0</v>
          </cell>
        </row>
        <row r="23">
          <cell r="B23" t="str">
            <v>Accrued Liabilities</v>
          </cell>
          <cell r="C23">
            <v>7</v>
          </cell>
          <cell r="E23">
            <v>32.200000000000003</v>
          </cell>
          <cell r="G23">
            <v>53.5</v>
          </cell>
          <cell r="I23">
            <v>-10</v>
          </cell>
          <cell r="K23">
            <v>158.30000000000001</v>
          </cell>
          <cell r="M23">
            <v>51.7</v>
          </cell>
          <cell r="O23">
            <v>-11.5</v>
          </cell>
          <cell r="Q23">
            <v>-31.2</v>
          </cell>
          <cell r="S23">
            <v>147.1</v>
          </cell>
          <cell r="U23">
            <v>-31.8</v>
          </cell>
          <cell r="W23">
            <v>824.6</v>
          </cell>
          <cell r="Y23">
            <v>159</v>
          </cell>
          <cell r="AA23">
            <v>663</v>
          </cell>
          <cell r="AC23">
            <v>-90.022075000000314</v>
          </cell>
          <cell r="AE23">
            <v>263.9595691026102</v>
          </cell>
          <cell r="AG23">
            <v>162.37762422650394</v>
          </cell>
          <cell r="AI23">
            <v>430.26770793780543</v>
          </cell>
          <cell r="AK23">
            <v>415.89752192327433</v>
          </cell>
          <cell r="AN23" t="str">
            <v>mstag:netIncreaseInAccruedExpenses</v>
          </cell>
          <cell r="AO23">
            <v>6</v>
          </cell>
          <cell r="AP23" t="str">
            <v>ISO4217:USD</v>
          </cell>
          <cell r="AQ23" t="b">
            <v>0</v>
          </cell>
          <cell r="AR23" t="b">
            <v>0</v>
          </cell>
        </row>
        <row r="24">
          <cell r="B24" t="str">
            <v>Net cash provided by (used in) operating activities</v>
          </cell>
          <cell r="C24">
            <v>433</v>
          </cell>
          <cell r="E24">
            <v>531.9</v>
          </cell>
          <cell r="G24">
            <v>773.2</v>
          </cell>
          <cell r="I24">
            <v>871.19999999999993</v>
          </cell>
          <cell r="K24">
            <v>957.6</v>
          </cell>
          <cell r="M24">
            <v>1149.7</v>
          </cell>
          <cell r="O24">
            <v>1227.1000000000001</v>
          </cell>
          <cell r="Q24">
            <v>1634.6</v>
          </cell>
          <cell r="S24">
            <v>1480.1999999999998</v>
          </cell>
          <cell r="U24">
            <v>2248.8000000000002</v>
          </cell>
          <cell r="W24">
            <v>3566.5999999999995</v>
          </cell>
          <cell r="Y24">
            <v>3697</v>
          </cell>
          <cell r="AA24">
            <v>4911</v>
          </cell>
          <cell r="AC24">
            <v>3200.3196302380957</v>
          </cell>
          <cell r="AE24">
            <v>5355.1952532758032</v>
          </cell>
          <cell r="AG24">
            <v>5939.1116434991454</v>
          </cell>
          <cell r="AI24">
            <v>6842.4063049086362</v>
          </cell>
          <cell r="AK24">
            <v>7389.6899765144535</v>
          </cell>
        </row>
        <row r="26">
          <cell r="B26" t="str">
            <v>CASH FLOWS FROM INVESTING ACTIVITIES</v>
          </cell>
        </row>
        <row r="27">
          <cell r="B27" t="str">
            <v>Purchases of PP&amp;E</v>
          </cell>
          <cell r="C27">
            <v>-209.9</v>
          </cell>
          <cell r="E27">
            <v>-130.80000000000001</v>
          </cell>
          <cell r="G27">
            <v>-162.69999999999999</v>
          </cell>
          <cell r="I27">
            <v>-266.89999999999998</v>
          </cell>
          <cell r="K27">
            <v>-387.8</v>
          </cell>
          <cell r="M27">
            <v>-407.8</v>
          </cell>
          <cell r="O27">
            <v>-304.2</v>
          </cell>
          <cell r="Q27">
            <v>-437.7</v>
          </cell>
          <cell r="S27">
            <v>-441.8</v>
          </cell>
          <cell r="U27">
            <v>-658.5</v>
          </cell>
          <cell r="W27">
            <v>-1356.8</v>
          </cell>
          <cell r="Y27">
            <v>-1336</v>
          </cell>
          <cell r="AA27">
            <v>-867</v>
          </cell>
          <cell r="AC27">
            <v>-1653.48</v>
          </cell>
          <cell r="AE27">
            <v>-1508.977822580707</v>
          </cell>
          <cell r="AG27">
            <v>-1637.1308428631664</v>
          </cell>
          <cell r="AI27">
            <v>-1612.7662976986658</v>
          </cell>
          <cell r="AK27">
            <v>-1950.2253061994086</v>
          </cell>
          <cell r="AN27" t="str">
            <v>mstag:capitalExpenditures</v>
          </cell>
          <cell r="AO27">
            <v>6</v>
          </cell>
          <cell r="AP27" t="str">
            <v>ISO4217:USD</v>
          </cell>
          <cell r="AQ27" t="b">
            <v>1</v>
          </cell>
          <cell r="AR27" t="b">
            <v>0</v>
          </cell>
        </row>
        <row r="28">
          <cell r="B28" t="str">
            <v>Proceeds From Maturities Of Mktable Sec.</v>
          </cell>
          <cell r="C28">
            <v>0</v>
          </cell>
          <cell r="E28">
            <v>1593.5</v>
          </cell>
          <cell r="G28">
            <v>1148.3999999999999</v>
          </cell>
          <cell r="I28">
            <v>930.7</v>
          </cell>
          <cell r="K28">
            <v>891.40000000000009</v>
          </cell>
          <cell r="M28">
            <v>486.3</v>
          </cell>
          <cell r="O28">
            <v>40</v>
          </cell>
          <cell r="Q28">
            <v>0</v>
          </cell>
          <cell r="S28">
            <v>490.3</v>
          </cell>
          <cell r="U28">
            <v>778.2</v>
          </cell>
          <cell r="W28">
            <v>370.8</v>
          </cell>
          <cell r="Y28">
            <v>8354</v>
          </cell>
          <cell r="AA28">
            <v>603</v>
          </cell>
          <cell r="AC28">
            <v>310.4545454545455</v>
          </cell>
          <cell r="AE28">
            <v>147.83549783549785</v>
          </cell>
          <cell r="AG28">
            <v>14.70999978462665</v>
          </cell>
          <cell r="AI28">
            <v>14.63681570609617</v>
          </cell>
          <cell r="AK28">
            <v>14.563995727458876</v>
          </cell>
          <cell r="AN28" t="str">
            <v>mstag:otherCashFlow</v>
          </cell>
          <cell r="AO28">
            <v>6</v>
          </cell>
          <cell r="AP28" t="str">
            <v>ISO4217:USD</v>
          </cell>
          <cell r="AQ28" t="b">
            <v>0</v>
          </cell>
          <cell r="AR28" t="b">
            <v>0</v>
          </cell>
        </row>
        <row r="29">
          <cell r="B29" t="str">
            <v>Proceeds From Sales Of Mktable Sec.</v>
          </cell>
          <cell r="O29">
            <v>843.5</v>
          </cell>
          <cell r="Q29">
            <v>1067.8</v>
          </cell>
          <cell r="S29">
            <v>301.7</v>
          </cell>
          <cell r="U29">
            <v>1621.5</v>
          </cell>
          <cell r="W29">
            <v>3338.6</v>
          </cell>
          <cell r="Y29">
            <v>13079</v>
          </cell>
          <cell r="AA29">
            <v>9835</v>
          </cell>
          <cell r="AC29">
            <v>0</v>
          </cell>
          <cell r="AE29">
            <v>0</v>
          </cell>
          <cell r="AG29">
            <v>0</v>
          </cell>
          <cell r="AI29">
            <v>0</v>
          </cell>
          <cell r="AK29">
            <v>0</v>
          </cell>
          <cell r="AN29" t="str">
            <v>mstag:otherCashFlow</v>
          </cell>
          <cell r="AO29">
            <v>6</v>
          </cell>
          <cell r="AP29" t="str">
            <v>ISO4217:USD</v>
          </cell>
          <cell r="AQ29" t="b">
            <v>0</v>
          </cell>
          <cell r="AR29" t="b">
            <v>0</v>
          </cell>
        </row>
        <row r="30">
          <cell r="B30" t="str">
            <v>Purchases Of Marketable Securities</v>
          </cell>
          <cell r="C30">
            <v>-131.30000000000001</v>
          </cell>
          <cell r="E30">
            <v>-1395.1</v>
          </cell>
          <cell r="G30">
            <v>-1646.6</v>
          </cell>
          <cell r="I30">
            <v>-854.8</v>
          </cell>
          <cell r="K30">
            <v>-767.5</v>
          </cell>
          <cell r="M30">
            <v>-766.3</v>
          </cell>
          <cell r="O30">
            <v>-1032.7</v>
          </cell>
          <cell r="Q30">
            <v>-1638.7</v>
          </cell>
          <cell r="S30">
            <v>-918.2</v>
          </cell>
          <cell r="U30">
            <v>-2952.8</v>
          </cell>
          <cell r="W30">
            <v>-5320.3</v>
          </cell>
          <cell r="Y30">
            <v>-21488</v>
          </cell>
          <cell r="AA30">
            <v>-9597</v>
          </cell>
          <cell r="AC30">
            <v>0</v>
          </cell>
          <cell r="AE30">
            <v>0</v>
          </cell>
          <cell r="AG30">
            <v>0</v>
          </cell>
          <cell r="AI30">
            <v>0</v>
          </cell>
          <cell r="AK30">
            <v>0</v>
          </cell>
          <cell r="AN30" t="str">
            <v>mstag:otherCashFlow</v>
          </cell>
          <cell r="AO30">
            <v>6</v>
          </cell>
          <cell r="AP30" t="str">
            <v>ISO4217:USD</v>
          </cell>
          <cell r="AQ30" t="b">
            <v>0</v>
          </cell>
          <cell r="AR30" t="b">
            <v>0</v>
          </cell>
        </row>
        <row r="31">
          <cell r="B31" t="str">
            <v>Acquisitions, Net Of Cash</v>
          </cell>
          <cell r="C31">
            <v>0</v>
          </cell>
          <cell r="E31">
            <v>-240.8</v>
          </cell>
          <cell r="G31">
            <v>0</v>
          </cell>
          <cell r="I31">
            <v>0</v>
          </cell>
          <cell r="K31">
            <v>0</v>
          </cell>
          <cell r="M31">
            <v>0</v>
          </cell>
          <cell r="O31">
            <v>0</v>
          </cell>
          <cell r="Q31">
            <v>0</v>
          </cell>
          <cell r="S31">
            <v>0</v>
          </cell>
          <cell r="U31">
            <v>-1899</v>
          </cell>
          <cell r="W31">
            <v>0</v>
          </cell>
          <cell r="Y31">
            <v>115</v>
          </cell>
          <cell r="AA31">
            <v>0</v>
          </cell>
          <cell r="AC31">
            <v>0</v>
          </cell>
          <cell r="AE31">
            <v>0</v>
          </cell>
          <cell r="AG31">
            <v>0</v>
          </cell>
          <cell r="AI31">
            <v>0</v>
          </cell>
          <cell r="AK31">
            <v>0</v>
          </cell>
          <cell r="AN31" t="str">
            <v>mstag:otherCashFlow</v>
          </cell>
          <cell r="AO31">
            <v>6</v>
          </cell>
          <cell r="AP31" t="str">
            <v>ISO4217:USD</v>
          </cell>
          <cell r="AQ31" t="b">
            <v>0</v>
          </cell>
          <cell r="AR31" t="b">
            <v>0</v>
          </cell>
        </row>
        <row r="32">
          <cell r="B32" t="str">
            <v>Proceeds from Sale of Leukine Business</v>
          </cell>
          <cell r="U32">
            <v>389.9</v>
          </cell>
          <cell r="W32">
            <v>0</v>
          </cell>
          <cell r="Y32">
            <v>0</v>
          </cell>
          <cell r="AA32">
            <v>0</v>
          </cell>
          <cell r="AC32">
            <v>0</v>
          </cell>
          <cell r="AE32">
            <v>0</v>
          </cell>
          <cell r="AG32">
            <v>0</v>
          </cell>
          <cell r="AI32">
            <v>0</v>
          </cell>
          <cell r="AK32">
            <v>0</v>
          </cell>
          <cell r="AN32" t="str">
            <v>mstag:gainsLossesFromSaleOfOperatingAssetsOneTime</v>
          </cell>
          <cell r="AO32">
            <v>6</v>
          </cell>
          <cell r="AP32" t="str">
            <v>ISO4217:USD</v>
          </cell>
          <cell r="AQ32" t="b">
            <v>1</v>
          </cell>
          <cell r="AR32" t="b">
            <v>0</v>
          </cell>
        </row>
        <row r="33">
          <cell r="B33" t="str">
            <v>Purchase of Certain Rights from Roche</v>
          </cell>
          <cell r="U33">
            <v>-137.5</v>
          </cell>
          <cell r="W33">
            <v>0</v>
          </cell>
          <cell r="Y33">
            <v>0</v>
          </cell>
          <cell r="AA33">
            <v>0</v>
          </cell>
          <cell r="AC33">
            <v>0</v>
          </cell>
          <cell r="AE33">
            <v>0</v>
          </cell>
          <cell r="AG33">
            <v>0</v>
          </cell>
          <cell r="AI33">
            <v>0</v>
          </cell>
          <cell r="AK33">
            <v>0</v>
          </cell>
          <cell r="AN33" t="str">
            <v>mstag:otherCashFlow</v>
          </cell>
          <cell r="AO33">
            <v>6</v>
          </cell>
          <cell r="AP33" t="str">
            <v>ISO4217:USD</v>
          </cell>
          <cell r="AQ33" t="b">
            <v>0</v>
          </cell>
          <cell r="AR33" t="b">
            <v>0</v>
          </cell>
        </row>
        <row r="34">
          <cell r="B34" t="str">
            <v>Other</v>
          </cell>
          <cell r="C34">
            <v>-48.7</v>
          </cell>
          <cell r="E34">
            <v>-17.8</v>
          </cell>
          <cell r="G34">
            <v>-33.200000000000003</v>
          </cell>
          <cell r="I34">
            <v>-119.19999999999999</v>
          </cell>
          <cell r="K34">
            <v>-38.299999999999997</v>
          </cell>
          <cell r="M34">
            <v>14.100000000000001</v>
          </cell>
          <cell r="O34">
            <v>-10</v>
          </cell>
          <cell r="Q34">
            <v>-27.7</v>
          </cell>
          <cell r="S34">
            <v>28.4</v>
          </cell>
          <cell r="U34">
            <v>-5.6</v>
          </cell>
          <cell r="W34">
            <v>-242.5</v>
          </cell>
          <cell r="Y34">
            <v>-123</v>
          </cell>
          <cell r="AA34">
            <v>-33</v>
          </cell>
          <cell r="AC34">
            <v>0</v>
          </cell>
          <cell r="AE34">
            <v>0</v>
          </cell>
          <cell r="AG34">
            <v>0</v>
          </cell>
          <cell r="AI34">
            <v>0</v>
          </cell>
          <cell r="AK34">
            <v>0</v>
          </cell>
          <cell r="AN34" t="str">
            <v>mstag:otherCashFlow</v>
          </cell>
          <cell r="AO34">
            <v>6</v>
          </cell>
          <cell r="AP34" t="str">
            <v>ISO4217:USD</v>
          </cell>
          <cell r="AQ34" t="b">
            <v>0</v>
          </cell>
          <cell r="AR34" t="b">
            <v>0</v>
          </cell>
        </row>
        <row r="35">
          <cell r="B35" t="str">
            <v>Net cash used in investing activities</v>
          </cell>
          <cell r="C35">
            <v>-180</v>
          </cell>
          <cell r="E35">
            <v>-1653.6999999999998</v>
          </cell>
          <cell r="G35">
            <v>-694.10000000000014</v>
          </cell>
          <cell r="I35">
            <v>-310.19999999999987</v>
          </cell>
          <cell r="K35">
            <v>-302.19999999999993</v>
          </cell>
          <cell r="M35">
            <v>-673.69999999999993</v>
          </cell>
          <cell r="O35">
            <v>-463.40000000000009</v>
          </cell>
          <cell r="Q35">
            <v>-1036.3000000000002</v>
          </cell>
          <cell r="S35">
            <v>-539.6</v>
          </cell>
          <cell r="U35">
            <v>-2863.8</v>
          </cell>
          <cell r="W35">
            <v>-3210.2000000000003</v>
          </cell>
          <cell r="Y35">
            <v>-1399</v>
          </cell>
          <cell r="AA35">
            <v>-59</v>
          </cell>
          <cell r="AC35">
            <v>-1343.0254545454545</v>
          </cell>
          <cell r="AE35">
            <v>-1361.1423247452092</v>
          </cell>
          <cell r="AG35">
            <v>-1622.4208430785397</v>
          </cell>
          <cell r="AI35">
            <v>-1598.1294819925697</v>
          </cell>
          <cell r="AK35">
            <v>-1935.6613104719497</v>
          </cell>
        </row>
        <row r="37">
          <cell r="B37" t="str">
            <v>CASH FLOWS FROM FINANCING ACTIVITIES</v>
          </cell>
        </row>
        <row r="38">
          <cell r="B38" t="str">
            <v>Net Proceeds from Issuance Of Common Stock Upon</v>
          </cell>
        </row>
        <row r="39">
          <cell r="B39" t="str">
            <v xml:space="preserve">      Exercise of ESO in connection with ESOP</v>
          </cell>
          <cell r="C39">
            <v>62.199999999999996</v>
          </cell>
          <cell r="E39">
            <v>82.8</v>
          </cell>
          <cell r="G39">
            <v>145.39999999999998</v>
          </cell>
          <cell r="I39">
            <v>112.6</v>
          </cell>
          <cell r="K39">
            <v>134.30000000000001</v>
          </cell>
          <cell r="M39">
            <v>345.5</v>
          </cell>
          <cell r="O39">
            <v>248.8</v>
          </cell>
          <cell r="Q39">
            <v>333.7</v>
          </cell>
          <cell r="S39">
            <v>277.7</v>
          </cell>
          <cell r="U39">
            <v>427.8</v>
          </cell>
          <cell r="W39">
            <v>529</v>
          </cell>
          <cell r="Y39">
            <v>453</v>
          </cell>
          <cell r="AA39">
            <v>1087</v>
          </cell>
          <cell r="AC39">
            <v>285.59999999999997</v>
          </cell>
          <cell r="AE39">
            <v>408.84592000000009</v>
          </cell>
          <cell r="AG39">
            <v>520.84414921000007</v>
          </cell>
          <cell r="AI39">
            <v>578.62034899356695</v>
          </cell>
          <cell r="AK39">
            <v>555.01263875462951</v>
          </cell>
          <cell r="AN39" t="str">
            <v>mstag:proceedsFromIssuanceOfCommonStock</v>
          </cell>
          <cell r="AO39">
            <v>6</v>
          </cell>
          <cell r="AP39" t="str">
            <v>ISO4217:USD</v>
          </cell>
          <cell r="AQ39" t="b">
            <v>0</v>
          </cell>
          <cell r="AR39" t="b">
            <v>0</v>
          </cell>
        </row>
        <row r="40">
          <cell r="B40" t="str">
            <v xml:space="preserve">Issuance of Zero-Coupon Convertible Notes, net </v>
          </cell>
          <cell r="U40">
            <v>2764.7</v>
          </cell>
          <cell r="W40">
            <v>0</v>
          </cell>
          <cell r="Y40">
            <v>1989</v>
          </cell>
          <cell r="AA40">
            <v>0</v>
          </cell>
          <cell r="AC40">
            <v>19.78875</v>
          </cell>
          <cell r="AE40">
            <v>19.78875</v>
          </cell>
          <cell r="AG40">
            <v>19.78875</v>
          </cell>
          <cell r="AI40">
            <v>19.78875</v>
          </cell>
          <cell r="AK40">
            <v>19.78875</v>
          </cell>
          <cell r="AN40" t="str">
            <v>mstag:proceedsFromIssuanceAndCashUsedToRepayLongTermDebt</v>
          </cell>
          <cell r="AO40">
            <v>6</v>
          </cell>
          <cell r="AP40" t="str">
            <v>ISO4217:USD</v>
          </cell>
          <cell r="AQ40" t="b">
            <v>0</v>
          </cell>
          <cell r="AR40" t="b">
            <v>0</v>
          </cell>
        </row>
        <row r="41">
          <cell r="B41" t="str">
            <v>Stock Repurchases</v>
          </cell>
          <cell r="C41">
            <v>-207.4</v>
          </cell>
          <cell r="E41">
            <v>-300.5</v>
          </cell>
          <cell r="G41">
            <v>-285.7</v>
          </cell>
          <cell r="I41">
            <v>-450</v>
          </cell>
          <cell r="K41">
            <v>-737.9</v>
          </cell>
          <cell r="M41">
            <v>-912.1</v>
          </cell>
          <cell r="O41">
            <v>-1024.7</v>
          </cell>
          <cell r="Q41">
            <v>-799.9</v>
          </cell>
          <cell r="S41">
            <v>-737.5</v>
          </cell>
          <cell r="U41">
            <v>-1420.4</v>
          </cell>
          <cell r="W41">
            <v>-1801</v>
          </cell>
          <cell r="Y41">
            <v>-4072</v>
          </cell>
          <cell r="AA41">
            <v>-4430</v>
          </cell>
          <cell r="AC41">
            <v>-7577.5000000000009</v>
          </cell>
          <cell r="AE41">
            <v>-3281.0575000000008</v>
          </cell>
          <cell r="AG41">
            <v>-3551.7447437500005</v>
          </cell>
          <cell r="AI41">
            <v>-3844.7636851093757</v>
          </cell>
          <cell r="AK41">
            <v>-3641.7121029895366</v>
          </cell>
          <cell r="AN41" t="str">
            <v>mstag:fundsUsedToRepurchaseCommonStock</v>
          </cell>
          <cell r="AO41">
            <v>6</v>
          </cell>
          <cell r="AP41" t="str">
            <v>ISO4217:USD</v>
          </cell>
          <cell r="AQ41" t="b">
            <v>1</v>
          </cell>
          <cell r="AR41" t="b">
            <v>0</v>
          </cell>
        </row>
        <row r="42">
          <cell r="B42" t="str">
            <v>Tax Benefits Related to Employee Stock Options</v>
          </cell>
          <cell r="AC42">
            <v>170.55674999999999</v>
          </cell>
          <cell r="AE42">
            <v>241.49308286250007</v>
          </cell>
          <cell r="AG42">
            <v>304.2759299385545</v>
          </cell>
          <cell r="AI42">
            <v>334.30929864953174</v>
          </cell>
          <cell r="AK42">
            <v>317.12642488736873</v>
          </cell>
          <cell r="AN42" t="str">
            <v>mstag:taxBenefitFromExerciseOfEsosCashFlowStatement</v>
          </cell>
          <cell r="AO42">
            <v>6</v>
          </cell>
          <cell r="AP42" t="str">
            <v>ISO4217:USD</v>
          </cell>
          <cell r="AQ42" t="b">
            <v>0</v>
          </cell>
          <cell r="AR42" t="b">
            <v>0</v>
          </cell>
        </row>
        <row r="43">
          <cell r="B43" t="str">
            <v>Increase (Decrease) In Commercial Paper</v>
          </cell>
          <cell r="C43">
            <v>109.8</v>
          </cell>
          <cell r="E43">
            <v>-10.1</v>
          </cell>
          <cell r="G43">
            <v>-30</v>
          </cell>
          <cell r="I43">
            <v>-69.7</v>
          </cell>
          <cell r="K43">
            <v>0</v>
          </cell>
          <cell r="M43">
            <v>99.7</v>
          </cell>
          <cell r="O43">
            <v>-0.2</v>
          </cell>
          <cell r="Q43">
            <v>0</v>
          </cell>
          <cell r="S43">
            <v>0</v>
          </cell>
          <cell r="U43">
            <v>0</v>
          </cell>
          <cell r="W43">
            <v>0</v>
          </cell>
          <cell r="Y43">
            <v>0</v>
          </cell>
          <cell r="AA43">
            <v>0</v>
          </cell>
          <cell r="AC43">
            <v>0</v>
          </cell>
          <cell r="AE43">
            <v>0</v>
          </cell>
          <cell r="AG43">
            <v>0</v>
          </cell>
          <cell r="AI43">
            <v>0</v>
          </cell>
          <cell r="AK43">
            <v>0</v>
          </cell>
          <cell r="AN43" t="str">
            <v>mstag:proceedsFromIssuanceAndCashUsedToRepayLongTermDebt</v>
          </cell>
          <cell r="AO43">
            <v>6</v>
          </cell>
          <cell r="AP43" t="str">
            <v>ISO4217:USD</v>
          </cell>
          <cell r="AQ43" t="b">
            <v>0</v>
          </cell>
          <cell r="AR43" t="b">
            <v>0</v>
          </cell>
        </row>
        <row r="44">
          <cell r="B44" t="str">
            <v>Proceeds From Additions To Long-Term Debt</v>
          </cell>
          <cell r="C44">
            <v>53</v>
          </cell>
          <cell r="E44">
            <v>12.5</v>
          </cell>
          <cell r="G44">
            <v>0</v>
          </cell>
          <cell r="I44">
            <v>0</v>
          </cell>
          <cell r="K44">
            <v>200</v>
          </cell>
          <cell r="M44">
            <v>0</v>
          </cell>
          <cell r="O44">
            <v>0</v>
          </cell>
          <cell r="Q44">
            <v>0</v>
          </cell>
          <cell r="S44">
            <v>0</v>
          </cell>
          <cell r="U44">
            <v>0</v>
          </cell>
          <cell r="W44">
            <v>0</v>
          </cell>
          <cell r="Y44">
            <v>0</v>
          </cell>
          <cell r="AA44">
            <v>0</v>
          </cell>
          <cell r="AC44">
            <v>5000</v>
          </cell>
          <cell r="AE44">
            <v>0</v>
          </cell>
          <cell r="AG44">
            <v>0</v>
          </cell>
          <cell r="AI44">
            <v>0</v>
          </cell>
          <cell r="AK44">
            <v>0</v>
          </cell>
          <cell r="AN44" t="str">
            <v>mstag:proceedsFromIssuanceAndCashUsedToRepayLongTermDebt</v>
          </cell>
          <cell r="AO44">
            <v>6</v>
          </cell>
          <cell r="AP44" t="str">
            <v>ISO4217:USD</v>
          </cell>
          <cell r="AQ44" t="b">
            <v>0</v>
          </cell>
          <cell r="AR44" t="b">
            <v>0</v>
          </cell>
        </row>
        <row r="45">
          <cell r="B45" t="str">
            <v>Repayments Of Long-Term Debt</v>
          </cell>
          <cell r="C45">
            <v>-2</v>
          </cell>
          <cell r="E45">
            <v>-12</v>
          </cell>
          <cell r="G45">
            <v>-6.2</v>
          </cell>
          <cell r="I45">
            <v>0</v>
          </cell>
          <cell r="K45">
            <v>-118.2</v>
          </cell>
          <cell r="M45">
            <v>-30</v>
          </cell>
          <cell r="O45">
            <v>-6</v>
          </cell>
          <cell r="Q45">
            <v>0</v>
          </cell>
          <cell r="S45">
            <v>0</v>
          </cell>
          <cell r="U45">
            <v>0</v>
          </cell>
          <cell r="W45">
            <v>-123</v>
          </cell>
          <cell r="Y45">
            <v>0</v>
          </cell>
          <cell r="AA45">
            <v>-1175</v>
          </cell>
          <cell r="AC45">
            <v>0</v>
          </cell>
          <cell r="AE45">
            <v>-100</v>
          </cell>
          <cell r="AG45">
            <v>0</v>
          </cell>
          <cell r="AI45">
            <v>-998</v>
          </cell>
          <cell r="AK45">
            <v>0</v>
          </cell>
          <cell r="AN45" t="str">
            <v>mstag:proceedsFromIssuanceAndCashUsedToRepayLongTermDebt</v>
          </cell>
          <cell r="AO45">
            <v>6</v>
          </cell>
          <cell r="AP45" t="str">
            <v>ISO4217:USD</v>
          </cell>
          <cell r="AQ45" t="b">
            <v>0</v>
          </cell>
          <cell r="AR45" t="b">
            <v>0</v>
          </cell>
        </row>
        <row r="46">
          <cell r="B46" t="str">
            <v>Other</v>
          </cell>
          <cell r="C46">
            <v>-22.2</v>
          </cell>
          <cell r="E46">
            <v>-30.8</v>
          </cell>
          <cell r="G46">
            <v>-47.2</v>
          </cell>
          <cell r="I46">
            <v>-51.3</v>
          </cell>
          <cell r="K46">
            <v>-63.8</v>
          </cell>
          <cell r="M46">
            <v>-17.100000000000001</v>
          </cell>
          <cell r="O46">
            <v>-51.8</v>
          </cell>
          <cell r="Q46">
            <v>-36.5</v>
          </cell>
          <cell r="S46">
            <v>-18.2</v>
          </cell>
          <cell r="U46">
            <v>5.5</v>
          </cell>
          <cell r="W46">
            <v>23.5</v>
          </cell>
          <cell r="Y46">
            <v>21</v>
          </cell>
          <cell r="AA46">
            <v>-20</v>
          </cell>
          <cell r="AC46">
            <v>0</v>
          </cell>
          <cell r="AE46">
            <v>0</v>
          </cell>
          <cell r="AG46">
            <v>0</v>
          </cell>
          <cell r="AI46">
            <v>0</v>
          </cell>
          <cell r="AK46">
            <v>0</v>
          </cell>
          <cell r="AN46" t="str">
            <v>mstag:otherCashFlow</v>
          </cell>
          <cell r="AO46">
            <v>6</v>
          </cell>
          <cell r="AP46" t="str">
            <v>ISO4217:USD</v>
          </cell>
          <cell r="AQ46" t="b">
            <v>0</v>
          </cell>
          <cell r="AR46" t="b">
            <v>0</v>
          </cell>
        </row>
        <row r="47">
          <cell r="B47" t="str">
            <v>Net cash provided by financing activities</v>
          </cell>
          <cell r="C47">
            <v>138.60000000000002</v>
          </cell>
          <cell r="E47">
            <v>-40.4</v>
          </cell>
          <cell r="G47">
            <v>-223.7</v>
          </cell>
          <cell r="I47">
            <v>-458.4</v>
          </cell>
          <cell r="K47">
            <v>-585.59999999999991</v>
          </cell>
          <cell r="M47">
            <v>-514</v>
          </cell>
          <cell r="O47">
            <v>-833.90000000000009</v>
          </cell>
          <cell r="Q47">
            <v>-502.7</v>
          </cell>
          <cell r="S47">
            <v>-478</v>
          </cell>
          <cell r="U47">
            <v>1777.6</v>
          </cell>
          <cell r="W47">
            <v>-1371.5</v>
          </cell>
          <cell r="Y47">
            <v>-1609</v>
          </cell>
          <cell r="AA47">
            <v>-4538</v>
          </cell>
          <cell r="AC47">
            <v>-2101.5545000000011</v>
          </cell>
          <cell r="AE47">
            <v>-2710.9297471375007</v>
          </cell>
          <cell r="AG47">
            <v>-2706.8359146014459</v>
          </cell>
          <cell r="AI47">
            <v>-3910.0452874662769</v>
          </cell>
          <cell r="AK47">
            <v>-2749.7842893475386</v>
          </cell>
        </row>
        <row r="49">
          <cell r="B49" t="str">
            <v xml:space="preserve">Change in cash </v>
          </cell>
          <cell r="C49">
            <v>391.6</v>
          </cell>
          <cell r="E49">
            <v>-1162.1999999999998</v>
          </cell>
          <cell r="G49">
            <v>-144.60000000000014</v>
          </cell>
          <cell r="I49">
            <v>102.60000000000002</v>
          </cell>
          <cell r="K49">
            <v>69.800000000000182</v>
          </cell>
          <cell r="M49">
            <v>-37.999999999999773</v>
          </cell>
          <cell r="O49">
            <v>-70.200000000000045</v>
          </cell>
          <cell r="Q49">
            <v>95.599999999999682</v>
          </cell>
          <cell r="S49">
            <v>462.5999999999998</v>
          </cell>
          <cell r="U49">
            <v>1162.5999999999999</v>
          </cell>
          <cell r="W49">
            <v>-1015.1000000000013</v>
          </cell>
          <cell r="Y49">
            <v>689</v>
          </cell>
          <cell r="AA49">
            <v>314</v>
          </cell>
          <cell r="AC49">
            <v>-244.26032430735995</v>
          </cell>
          <cell r="AE49">
            <v>1283.1231813930935</v>
          </cell>
          <cell r="AG49">
            <v>1609.8548858191598</v>
          </cell>
          <cell r="AI49">
            <v>1334.2315354497896</v>
          </cell>
          <cell r="AK49">
            <v>2704.2443766949655</v>
          </cell>
        </row>
        <row r="50">
          <cell r="B50" t="str">
            <v>Cash at beginning of year</v>
          </cell>
          <cell r="C50">
            <v>92</v>
          </cell>
          <cell r="E50">
            <v>128.5</v>
          </cell>
          <cell r="G50">
            <v>211.3</v>
          </cell>
          <cell r="I50">
            <v>66.699999999999875</v>
          </cell>
          <cell r="K50">
            <v>169.2999999999999</v>
          </cell>
          <cell r="M50">
            <v>239.10000000000008</v>
          </cell>
          <cell r="O50">
            <v>201.10000000000031</v>
          </cell>
          <cell r="Q50">
            <v>130.90000000000026</v>
          </cell>
          <cell r="S50">
            <v>226.49999999999994</v>
          </cell>
          <cell r="U50">
            <v>689.09999999999968</v>
          </cell>
          <cell r="W50">
            <v>1851.6999999999996</v>
          </cell>
          <cell r="Y50">
            <v>836.59999999999832</v>
          </cell>
          <cell r="AA50">
            <v>1525.5999999999983</v>
          </cell>
          <cell r="AC50">
            <v>1839.5999999999983</v>
          </cell>
          <cell r="AE50">
            <v>1595.3396756926384</v>
          </cell>
          <cell r="AG50">
            <v>2878.4628570857321</v>
          </cell>
          <cell r="AI50">
            <v>4488.3177429048919</v>
          </cell>
          <cell r="AK50">
            <v>5822.5492783546815</v>
          </cell>
        </row>
        <row r="51">
          <cell r="B51" t="str">
            <v>Cash at end of year</v>
          </cell>
          <cell r="C51">
            <v>128.505</v>
          </cell>
          <cell r="E51">
            <v>-1033.6999999999998</v>
          </cell>
          <cell r="G51">
            <v>66.699999999999875</v>
          </cell>
          <cell r="I51">
            <v>169.2999999999999</v>
          </cell>
          <cell r="K51">
            <v>239.10000000000008</v>
          </cell>
          <cell r="M51">
            <v>201.10000000000031</v>
          </cell>
          <cell r="O51">
            <v>130.90000000000026</v>
          </cell>
          <cell r="Q51">
            <v>226.49999999999994</v>
          </cell>
          <cell r="S51">
            <v>689.09999999999968</v>
          </cell>
          <cell r="U51">
            <v>1851.6999999999996</v>
          </cell>
          <cell r="W51">
            <v>836.59999999999832</v>
          </cell>
          <cell r="Y51">
            <v>1525.5999999999983</v>
          </cell>
          <cell r="AA51">
            <v>1839.5999999999983</v>
          </cell>
          <cell r="AC51">
            <v>1595.3396756926384</v>
          </cell>
          <cell r="AE51">
            <v>2878.4628570857321</v>
          </cell>
          <cell r="AG51">
            <v>4488.3177429048919</v>
          </cell>
          <cell r="AI51">
            <v>5822.5492783546815</v>
          </cell>
          <cell r="AK51">
            <v>8526.793655049647</v>
          </cell>
        </row>
        <row r="52">
          <cell r="B52" t="str">
            <v>Cash and marketable securities at end of year</v>
          </cell>
          <cell r="C52">
            <v>723.18399999999997</v>
          </cell>
          <cell r="E52">
            <v>696.68100000000004</v>
          </cell>
          <cell r="G52">
            <v>1050.3</v>
          </cell>
          <cell r="I52">
            <v>1077</v>
          </cell>
          <cell r="K52">
            <v>1026.5</v>
          </cell>
          <cell r="M52">
            <v>1276</v>
          </cell>
          <cell r="O52">
            <v>1333</v>
          </cell>
          <cell r="Q52">
            <v>2028.1</v>
          </cell>
          <cell r="S52">
            <v>2662.2</v>
          </cell>
          <cell r="U52">
            <v>4663.8999999999996</v>
          </cell>
          <cell r="W52">
            <v>5122.9000000000005</v>
          </cell>
          <cell r="Y52">
            <v>5808</v>
          </cell>
          <cell r="AA52">
            <v>5255</v>
          </cell>
          <cell r="AC52">
            <v>4700.285130238095</v>
          </cell>
          <cell r="AE52">
            <v>5835.5728137956903</v>
          </cell>
          <cell r="AG52">
            <v>7430.7176998302239</v>
          </cell>
          <cell r="AI52">
            <v>8750.3124195739165</v>
          </cell>
          <cell r="AK52">
            <v>11439.992800541424</v>
          </cell>
        </row>
        <row r="54">
          <cell r="B54" t="str">
            <v>Source: Company data and Morgan Stanley Research</v>
          </cell>
        </row>
        <row r="56">
          <cell r="W56" t="str">
            <v>2003-FY</v>
          </cell>
          <cell r="Y56" t="str">
            <v>2004-FY</v>
          </cell>
          <cell r="AA56" t="str">
            <v>2005-FY</v>
          </cell>
          <cell r="AC56" t="str">
            <v>2006-FY</v>
          </cell>
          <cell r="AE56" t="str">
            <v>2007-FY</v>
          </cell>
          <cell r="AG56" t="str">
            <v>2008-FY</v>
          </cell>
          <cell r="AI56" t="str">
            <v>2009-FY</v>
          </cell>
          <cell r="AK56" t="str">
            <v>2010-FY</v>
          </cell>
        </row>
        <row r="59">
          <cell r="B59" t="str">
            <v>EBIT</v>
          </cell>
          <cell r="C59">
            <v>785.5</v>
          </cell>
          <cell r="E59">
            <v>815.59999999999991</v>
          </cell>
          <cell r="G59">
            <v>743.59999999999991</v>
          </cell>
          <cell r="I59">
            <v>904.89999999999986</v>
          </cell>
          <cell r="K59">
            <v>792.50000000000023</v>
          </cell>
          <cell r="M59">
            <v>1188.6999999999998</v>
          </cell>
          <cell r="O59">
            <v>1493.1</v>
          </cell>
          <cell r="Q59">
            <v>1543.9999999999995</v>
          </cell>
          <cell r="S59">
            <v>1531.1999999999998</v>
          </cell>
          <cell r="U59">
            <v>2362.4999999999991</v>
          </cell>
          <cell r="W59">
            <v>3426.9999999999991</v>
          </cell>
          <cell r="Y59">
            <v>4234.8999999999996</v>
          </cell>
          <cell r="AA59">
            <v>5301</v>
          </cell>
          <cell r="AC59">
            <v>5467.6345000000001</v>
          </cell>
          <cell r="AE59">
            <v>6024.24252837104</v>
          </cell>
          <cell r="AG59">
            <v>6561.5580806048583</v>
          </cell>
          <cell r="AI59">
            <v>6844.3819233177674</v>
          </cell>
          <cell r="AK59">
            <v>7203.7814496699866</v>
          </cell>
        </row>
        <row r="60">
          <cell r="B60" t="str">
            <v>EBIT * (1-tax)</v>
          </cell>
          <cell r="C60">
            <v>573.37117172969624</v>
          </cell>
          <cell r="E60">
            <v>550.09259483698941</v>
          </cell>
          <cell r="G60">
            <v>503.3153575025176</v>
          </cell>
          <cell r="I60">
            <v>639.25077418684384</v>
          </cell>
          <cell r="K60">
            <v>592.76497562108227</v>
          </cell>
          <cell r="M60">
            <v>838.03155831427625</v>
          </cell>
          <cell r="O60">
            <v>1045.2271995913677</v>
          </cell>
          <cell r="Q60">
            <v>1049.897867765633</v>
          </cell>
          <cell r="S60">
            <v>1016.7138943248531</v>
          </cell>
          <cell r="U60">
            <v>1683.8269035532987</v>
          </cell>
          <cell r="W60">
            <v>2440.2970281428247</v>
          </cell>
          <cell r="Y60">
            <v>3083.8713773645991</v>
          </cell>
          <cell r="AA60">
            <v>4007.8787821838005</v>
          </cell>
          <cell r="AC60">
            <v>4187.6740317983431</v>
          </cell>
          <cell r="AE60">
            <v>4608.5455342038458</v>
          </cell>
          <cell r="AG60">
            <v>5052.3997220657411</v>
          </cell>
          <cell r="AI60">
            <v>5304.39599057127</v>
          </cell>
          <cell r="AK60">
            <v>5586.5325142190741</v>
          </cell>
        </row>
        <row r="61">
          <cell r="B61" t="str">
            <v>Depreciation</v>
          </cell>
          <cell r="C61">
            <v>50.7</v>
          </cell>
          <cell r="E61">
            <v>74.5</v>
          </cell>
          <cell r="G61">
            <v>84.2</v>
          </cell>
          <cell r="I61">
            <v>100.3</v>
          </cell>
          <cell r="K61">
            <v>117.1</v>
          </cell>
          <cell r="M61">
            <v>143.80000000000001</v>
          </cell>
          <cell r="O61">
            <v>176.8</v>
          </cell>
          <cell r="Q61">
            <v>211.8</v>
          </cell>
          <cell r="S61">
            <v>265.89999999999998</v>
          </cell>
          <cell r="U61">
            <v>447.3</v>
          </cell>
          <cell r="W61">
            <v>686.5</v>
          </cell>
          <cell r="Y61">
            <v>734</v>
          </cell>
          <cell r="AA61">
            <v>841</v>
          </cell>
          <cell r="AC61">
            <v>772.04066666666665</v>
          </cell>
          <cell r="AE61">
            <v>1130.7377096774276</v>
          </cell>
          <cell r="AG61">
            <v>1349.0218220591833</v>
          </cell>
          <cell r="AI61">
            <v>1564.0573284190054</v>
          </cell>
          <cell r="AK61">
            <v>1824.087369245593</v>
          </cell>
        </row>
        <row r="62">
          <cell r="B62" t="str">
            <v>Cap Ex</v>
          </cell>
          <cell r="C62">
            <v>-209.9</v>
          </cell>
          <cell r="E62">
            <v>-130.80000000000001</v>
          </cell>
          <cell r="G62">
            <v>-162.69999999999999</v>
          </cell>
          <cell r="I62">
            <v>-266.89999999999998</v>
          </cell>
          <cell r="K62">
            <v>-387.8</v>
          </cell>
          <cell r="M62">
            <v>-407.8</v>
          </cell>
          <cell r="O62">
            <v>-304.2</v>
          </cell>
          <cell r="Q62">
            <v>-437.7</v>
          </cell>
          <cell r="S62">
            <v>-441.8</v>
          </cell>
          <cell r="U62">
            <v>-658.5</v>
          </cell>
          <cell r="W62">
            <v>-1356.8</v>
          </cell>
          <cell r="Y62">
            <v>-1336</v>
          </cell>
          <cell r="AA62">
            <v>-867</v>
          </cell>
          <cell r="AC62">
            <v>-1653.48</v>
          </cell>
          <cell r="AE62">
            <v>-1508.977822580707</v>
          </cell>
          <cell r="AG62">
            <v>-1637.1308428631664</v>
          </cell>
          <cell r="AI62">
            <v>-1612.7662976986658</v>
          </cell>
          <cell r="AK62">
            <v>-1950.2253061994086</v>
          </cell>
        </row>
        <row r="63">
          <cell r="B63" t="str">
            <v>Change to WC</v>
          </cell>
          <cell r="C63">
            <v>-38.9</v>
          </cell>
          <cell r="E63">
            <v>-15.100000000000001</v>
          </cell>
          <cell r="G63">
            <v>74</v>
          </cell>
          <cell r="I63">
            <v>-35.9</v>
          </cell>
          <cell r="K63">
            <v>136.80000000000001</v>
          </cell>
          <cell r="M63">
            <v>-4.2999999999999972</v>
          </cell>
          <cell r="O63">
            <v>-224.5</v>
          </cell>
          <cell r="Q63">
            <v>-120.70000000000002</v>
          </cell>
          <cell r="S63">
            <v>-99.4</v>
          </cell>
          <cell r="U63">
            <v>-249.60000000000002</v>
          </cell>
          <cell r="W63">
            <v>442.6</v>
          </cell>
          <cell r="Y63">
            <v>-375</v>
          </cell>
          <cell r="AA63">
            <v>10</v>
          </cell>
          <cell r="AC63">
            <v>-896.10421892857164</v>
          </cell>
          <cell r="AE63">
            <v>-228.14442589918781</v>
          </cell>
          <cell r="AG63">
            <v>-348.82458203561737</v>
          </cell>
          <cell r="AI63">
            <v>10.64580031759715</v>
          </cell>
          <cell r="AK63">
            <v>-46.53831528920216</v>
          </cell>
        </row>
        <row r="64">
          <cell r="B64" t="str">
            <v>Non-Cash Charges</v>
          </cell>
          <cell r="C64">
            <v>37.9</v>
          </cell>
          <cell r="E64">
            <v>152.80000000000001</v>
          </cell>
          <cell r="G64">
            <v>77.3</v>
          </cell>
          <cell r="I64">
            <v>78.400000000000006</v>
          </cell>
          <cell r="K64">
            <v>4.7000000000000028</v>
          </cell>
          <cell r="M64">
            <v>38.800000000000004</v>
          </cell>
          <cell r="O64">
            <v>26.6</v>
          </cell>
          <cell r="Q64">
            <v>28.4</v>
          </cell>
          <cell r="S64">
            <v>-50.500000000000014</v>
          </cell>
          <cell r="U64">
            <v>3191.4</v>
          </cell>
          <cell r="W64">
            <v>-90.6</v>
          </cell>
          <cell r="Y64">
            <v>772</v>
          </cell>
          <cell r="AA64">
            <v>71</v>
          </cell>
          <cell r="AC64">
            <v>-300</v>
          </cell>
          <cell r="AE64">
            <v>0</v>
          </cell>
          <cell r="AG64">
            <v>0</v>
          </cell>
          <cell r="AI64">
            <v>0</v>
          </cell>
          <cell r="AK64">
            <v>0</v>
          </cell>
        </row>
        <row r="65">
          <cell r="B65" t="str">
            <v>Tax Benefit from Stock Options</v>
          </cell>
          <cell r="C65">
            <v>0</v>
          </cell>
          <cell r="E65">
            <v>0</v>
          </cell>
          <cell r="G65">
            <v>0</v>
          </cell>
          <cell r="I65">
            <v>48.6</v>
          </cell>
          <cell r="K65">
            <v>54.7</v>
          </cell>
          <cell r="M65">
            <v>108.2</v>
          </cell>
          <cell r="O65">
            <v>151.80000000000001</v>
          </cell>
          <cell r="Q65">
            <v>376.6</v>
          </cell>
          <cell r="S65">
            <v>244.5</v>
          </cell>
          <cell r="U65">
            <v>251.6</v>
          </cell>
          <cell r="W65">
            <v>268.60000000000002</v>
          </cell>
          <cell r="Y65">
            <v>203</v>
          </cell>
          <cell r="AA65">
            <v>315</v>
          </cell>
          <cell r="AC65">
            <v>0</v>
          </cell>
          <cell r="AE65">
            <v>0</v>
          </cell>
          <cell r="AG65">
            <v>0</v>
          </cell>
          <cell r="AI65">
            <v>0</v>
          </cell>
          <cell r="AK65">
            <v>0</v>
          </cell>
        </row>
        <row r="66">
          <cell r="B66" t="str">
            <v>Free Cash Flow</v>
          </cell>
          <cell r="C66">
            <v>413.17117172969631</v>
          </cell>
          <cell r="E66">
            <v>631.49259483698938</v>
          </cell>
          <cell r="G66">
            <v>576.11535750251767</v>
          </cell>
          <cell r="I66">
            <v>563.75077418684384</v>
          </cell>
          <cell r="K66">
            <v>518.26497562108227</v>
          </cell>
          <cell r="M66">
            <v>716.7315583142763</v>
          </cell>
          <cell r="O66">
            <v>871.72719959136771</v>
          </cell>
          <cell r="Q66">
            <v>1108.2978677656329</v>
          </cell>
          <cell r="S66">
            <v>935.413894324853</v>
          </cell>
          <cell r="U66">
            <v>4666.0269035532992</v>
          </cell>
          <cell r="W66">
            <v>2390.5970281428249</v>
          </cell>
          <cell r="Y66">
            <v>3081.8713773645991</v>
          </cell>
          <cell r="AA66">
            <v>4377.8787821838005</v>
          </cell>
          <cell r="AC66">
            <v>2110.1304795364381</v>
          </cell>
          <cell r="AE66">
            <v>4002.1609954013784</v>
          </cell>
          <cell r="AG66">
            <v>4415.466119226141</v>
          </cell>
          <cell r="AI66">
            <v>5266.3328216092068</v>
          </cell>
          <cell r="AK66">
            <v>5413.8562619760569</v>
          </cell>
        </row>
        <row r="68">
          <cell r="B68" t="str">
            <v>CFO</v>
          </cell>
          <cell r="C68">
            <v>433</v>
          </cell>
          <cell r="E68">
            <v>531.9</v>
          </cell>
          <cell r="G68">
            <v>773.2</v>
          </cell>
          <cell r="I68">
            <v>871.19999999999993</v>
          </cell>
          <cell r="K68">
            <v>957.6</v>
          </cell>
          <cell r="M68">
            <v>1149.7</v>
          </cell>
          <cell r="O68">
            <v>1227.1000000000001</v>
          </cell>
          <cell r="Q68">
            <v>1634.6</v>
          </cell>
          <cell r="S68">
            <v>1480.1999999999998</v>
          </cell>
          <cell r="U68">
            <v>2248.8000000000002</v>
          </cell>
          <cell r="W68">
            <v>3566.5999999999995</v>
          </cell>
          <cell r="Y68">
            <v>3697</v>
          </cell>
          <cell r="AA68">
            <v>4911</v>
          </cell>
          <cell r="AC68">
            <v>3200.3196302380957</v>
          </cell>
          <cell r="AE68">
            <v>5355.1952532758032</v>
          </cell>
          <cell r="AG68">
            <v>5939.1116434991454</v>
          </cell>
          <cell r="AI68">
            <v>6842.4063049086362</v>
          </cell>
          <cell r="AK68">
            <v>7389.6899765144535</v>
          </cell>
        </row>
        <row r="69">
          <cell r="B69" t="str">
            <v>Cap Ex</v>
          </cell>
          <cell r="C69">
            <v>-209.9</v>
          </cell>
          <cell r="E69">
            <v>-130.80000000000001</v>
          </cell>
          <cell r="G69">
            <v>-162.69999999999999</v>
          </cell>
          <cell r="I69">
            <v>-266.89999999999998</v>
          </cell>
          <cell r="K69">
            <v>-387.8</v>
          </cell>
          <cell r="M69">
            <v>-407.8</v>
          </cell>
          <cell r="O69">
            <v>-304.2</v>
          </cell>
          <cell r="Q69">
            <v>-437.7</v>
          </cell>
          <cell r="S69">
            <v>-441.8</v>
          </cell>
          <cell r="U69">
            <v>-658.5</v>
          </cell>
          <cell r="W69">
            <v>-1356.8</v>
          </cell>
          <cell r="Y69">
            <v>-1336</v>
          </cell>
          <cell r="AA69">
            <v>-867</v>
          </cell>
          <cell r="AC69">
            <v>-1653.48</v>
          </cell>
          <cell r="AE69">
            <v>-1508.977822580707</v>
          </cell>
          <cell r="AG69">
            <v>-1637.1308428631664</v>
          </cell>
          <cell r="AI69">
            <v>-1612.7662976986658</v>
          </cell>
          <cell r="AK69">
            <v>-1950.2253061994086</v>
          </cell>
        </row>
        <row r="70">
          <cell r="AC70">
            <v>170.55674999999999</v>
          </cell>
          <cell r="AE70">
            <v>241.49308286250007</v>
          </cell>
          <cell r="AG70">
            <v>304.2759299385545</v>
          </cell>
          <cell r="AI70">
            <v>334.30929864953174</v>
          </cell>
          <cell r="AK70">
            <v>317.12642488736873</v>
          </cell>
        </row>
        <row r="71">
          <cell r="B71" t="str">
            <v>Free Cash Flow</v>
          </cell>
          <cell r="C71">
            <v>223.1</v>
          </cell>
          <cell r="E71">
            <v>401.09999999999997</v>
          </cell>
          <cell r="G71">
            <v>610.5</v>
          </cell>
          <cell r="I71">
            <v>604.29999999999995</v>
          </cell>
          <cell r="K71">
            <v>569.79999999999995</v>
          </cell>
          <cell r="M71">
            <v>741.90000000000009</v>
          </cell>
          <cell r="O71">
            <v>922.90000000000009</v>
          </cell>
          <cell r="Q71">
            <v>1196.8999999999999</v>
          </cell>
          <cell r="S71">
            <v>1038.3999999999999</v>
          </cell>
          <cell r="U71">
            <v>1590.3000000000002</v>
          </cell>
          <cell r="W71">
            <v>2209.7999999999993</v>
          </cell>
          <cell r="Y71">
            <v>2361</v>
          </cell>
          <cell r="AA71">
            <v>4044</v>
          </cell>
          <cell r="AC71">
            <v>1717.3963802380956</v>
          </cell>
          <cell r="AE71">
            <v>4087.7105135575966</v>
          </cell>
          <cell r="AG71">
            <v>4606.2567305745333</v>
          </cell>
          <cell r="AI71">
            <v>5563.9493058595026</v>
          </cell>
          <cell r="AK71">
            <v>5756.5910952024133</v>
          </cell>
        </row>
        <row r="76">
          <cell r="S76" t="str">
            <v>Cap Ex</v>
          </cell>
          <cell r="U76">
            <v>0.29282283884738525</v>
          </cell>
          <cell r="W76">
            <v>0.38041832557617905</v>
          </cell>
          <cell r="Y76">
            <v>0.36137408709764673</v>
          </cell>
          <cell r="AA76">
            <v>0.17654245571166768</v>
          </cell>
          <cell r="AC76">
            <v>0.51666089361111267</v>
          </cell>
          <cell r="AE76">
            <v>0.28177830148352795</v>
          </cell>
          <cell r="AG76">
            <v>0.27565247820440336</v>
          </cell>
          <cell r="AI76">
            <v>0.23570162685920773</v>
          </cell>
          <cell r="AK76">
            <v>0.26391165426391605</v>
          </cell>
        </row>
        <row r="77">
          <cell r="S77" t="str">
            <v>Repurchase</v>
          </cell>
          <cell r="U77">
            <v>0.63162575595873349</v>
          </cell>
          <cell r="W77">
            <v>0.50496270958335676</v>
          </cell>
          <cell r="Y77">
            <v>1.1014335948065999</v>
          </cell>
          <cell r="AA77">
            <v>0.90205660761555695</v>
          </cell>
          <cell r="AC77">
            <v>2.3677322503678342</v>
          </cell>
          <cell r="AE77">
            <v>0.61268681062431096</v>
          </cell>
          <cell r="AG77">
            <v>0.59802626334490316</v>
          </cell>
          <cell r="AI77">
            <v>0.56190227732474785</v>
          </cell>
          <cell r="AK77">
            <v>0.49280986273625083</v>
          </cell>
        </row>
        <row r="78">
          <cell r="S78" t="str">
            <v>Debt Repayment</v>
          </cell>
          <cell r="U78">
            <v>0</v>
          </cell>
          <cell r="W78">
            <v>3.4486625918241469E-2</v>
          </cell>
          <cell r="Y78">
            <v>0</v>
          </cell>
          <cell r="AA78">
            <v>0.23925880676033395</v>
          </cell>
          <cell r="AC78">
            <v>0</v>
          </cell>
          <cell r="AE78">
            <v>1.8673455452222668E-2</v>
          </cell>
          <cell r="AG78">
            <v>0</v>
          </cell>
          <cell r="AI78">
            <v>0.1458551210681614</v>
          </cell>
          <cell r="AK78">
            <v>0</v>
          </cell>
        </row>
        <row r="79">
          <cell r="S79" t="str">
            <v>M&amp;A</v>
          </cell>
          <cell r="U79">
            <v>0.84445037353255059</v>
          </cell>
          <cell r="W79">
            <v>0</v>
          </cell>
          <cell r="Y79">
            <v>-3.1106302407357317E-2</v>
          </cell>
          <cell r="AA79">
            <v>0</v>
          </cell>
          <cell r="AC79">
            <v>0.68743133629947006</v>
          </cell>
          <cell r="AE79">
            <v>0</v>
          </cell>
          <cell r="AG79">
            <v>0</v>
          </cell>
          <cell r="AI79">
            <v>0</v>
          </cell>
          <cell r="AK79">
            <v>0</v>
          </cell>
        </row>
      </sheetData>
      <sheetData sheetId="10" refreshError="1"/>
      <sheetData sheetId="11" refreshError="1"/>
      <sheetData sheetId="12" refreshError="1"/>
      <sheetData sheetId="13" refreshError="1"/>
      <sheetData sheetId="14" refreshError="1">
        <row r="1">
          <cell r="A1" t="str">
            <v>US Sales ($M)</v>
          </cell>
          <cell r="B1" t="str">
            <v xml:space="preserve">Aranesp </v>
          </cell>
          <cell r="C1" t="str">
            <v xml:space="preserve">YoY </v>
          </cell>
          <cell r="D1" t="str">
            <v>Aranesp  Share</v>
          </cell>
          <cell r="E1" t="str">
            <v xml:space="preserve">Procrit </v>
          </cell>
          <cell r="F1" t="str">
            <v xml:space="preserve">YoY </v>
          </cell>
          <cell r="G1" t="str">
            <v>Total ($M)</v>
          </cell>
          <cell r="H1" t="str">
            <v xml:space="preserve">YoY </v>
          </cell>
        </row>
        <row r="2">
          <cell r="A2" t="str">
            <v>4Q02A</v>
          </cell>
          <cell r="B2">
            <v>150</v>
          </cell>
          <cell r="D2">
            <v>0.15739769150052466</v>
          </cell>
          <cell r="E2">
            <v>803</v>
          </cell>
          <cell r="G2">
            <v>953</v>
          </cell>
        </row>
        <row r="3">
          <cell r="A3" t="str">
            <v>2002A</v>
          </cell>
          <cell r="B3">
            <v>150</v>
          </cell>
          <cell r="D3">
            <v>4.7110552763819098E-2</v>
          </cell>
          <cell r="E3">
            <v>3034</v>
          </cell>
          <cell r="G3">
            <v>3184</v>
          </cell>
        </row>
        <row r="4">
          <cell r="A4" t="str">
            <v>1Q03A</v>
          </cell>
          <cell r="B4">
            <v>157.9</v>
          </cell>
          <cell r="D4">
            <v>0.1792484958565104</v>
          </cell>
          <cell r="E4">
            <v>723</v>
          </cell>
          <cell r="G4">
            <v>880.9</v>
          </cell>
        </row>
        <row r="5">
          <cell r="A5" t="str">
            <v>2Q03A</v>
          </cell>
          <cell r="B5">
            <v>216.6</v>
          </cell>
          <cell r="D5">
            <v>0.23451710697271544</v>
          </cell>
          <cell r="E5">
            <v>707</v>
          </cell>
          <cell r="G5">
            <v>923.6</v>
          </cell>
        </row>
        <row r="6">
          <cell r="A6" t="str">
            <v>3Q03A</v>
          </cell>
          <cell r="B6">
            <v>283.89999999999998</v>
          </cell>
          <cell r="D6">
            <v>0.28766845678386865</v>
          </cell>
          <cell r="E6">
            <v>703</v>
          </cell>
          <cell r="G6">
            <v>986.9</v>
          </cell>
        </row>
        <row r="7">
          <cell r="A7" t="str">
            <v>4Q03A</v>
          </cell>
          <cell r="B7">
            <v>321.5</v>
          </cell>
          <cell r="C7">
            <v>1.1433333333333335</v>
          </cell>
          <cell r="D7">
            <v>0.32392947103274561</v>
          </cell>
          <cell r="E7">
            <v>671</v>
          </cell>
          <cell r="F7">
            <v>-0.16438356164383561</v>
          </cell>
          <cell r="G7">
            <v>992.5</v>
          </cell>
          <cell r="H7">
            <v>4.1448058761804907E-2</v>
          </cell>
        </row>
        <row r="8">
          <cell r="A8" t="str">
            <v>2003A</v>
          </cell>
          <cell r="B8">
            <v>979.9</v>
          </cell>
          <cell r="C8">
            <v>5.5326666666666666</v>
          </cell>
          <cell r="D8">
            <v>0.25896561748460584</v>
          </cell>
          <cell r="E8">
            <v>2804</v>
          </cell>
          <cell r="F8">
            <v>-7.5807514831905065E-2</v>
          </cell>
          <cell r="G8">
            <v>3783.9</v>
          </cell>
          <cell r="H8">
            <v>0.18841080402010046</v>
          </cell>
        </row>
        <row r="9">
          <cell r="A9" t="str">
            <v>1Q04A</v>
          </cell>
          <cell r="B9">
            <v>329.6</v>
          </cell>
          <cell r="C9">
            <v>1.0873970867637746</v>
          </cell>
          <cell r="D9">
            <v>0.32389937106918243</v>
          </cell>
          <cell r="E9">
            <v>688</v>
          </cell>
          <cell r="F9">
            <v>-4.8409405255878335E-2</v>
          </cell>
          <cell r="G9">
            <v>1017.6</v>
          </cell>
          <cell r="H9">
            <v>0.15518220002270411</v>
          </cell>
        </row>
        <row r="10">
          <cell r="A10" t="str">
            <v>2Q04A</v>
          </cell>
          <cell r="B10">
            <v>380.7</v>
          </cell>
          <cell r="C10">
            <v>0.75761772853185594</v>
          </cell>
          <cell r="D10">
            <v>0.3954502960423808</v>
          </cell>
          <cell r="E10">
            <v>582</v>
          </cell>
          <cell r="F10">
            <v>-0.1768033946251768</v>
          </cell>
          <cell r="G10">
            <v>962.7</v>
          </cell>
          <cell r="H10">
            <v>4.2334343871806013E-2</v>
          </cell>
        </row>
        <row r="11">
          <cell r="A11" t="str">
            <v>3Q04A</v>
          </cell>
          <cell r="B11">
            <v>374</v>
          </cell>
          <cell r="C11">
            <v>0.31736526946107801</v>
          </cell>
          <cell r="D11">
            <v>0.3789260385005066</v>
          </cell>
          <cell r="E11">
            <v>613</v>
          </cell>
          <cell r="F11">
            <v>-0.12802275960170695</v>
          </cell>
          <cell r="G11">
            <v>987</v>
          </cell>
          <cell r="H11">
            <v>1.0132738879331527E-4</v>
          </cell>
        </row>
        <row r="12">
          <cell r="A12" t="str">
            <v>4Q04A</v>
          </cell>
          <cell r="B12">
            <v>424</v>
          </cell>
          <cell r="C12">
            <v>0.3188180404354588</v>
          </cell>
          <cell r="D12">
            <v>0.42315369261477048</v>
          </cell>
          <cell r="E12">
            <v>578</v>
          </cell>
          <cell r="F12">
            <v>-0.13859910581222057</v>
          </cell>
          <cell r="G12">
            <v>1002</v>
          </cell>
          <cell r="H12">
            <v>9.5717884130981368E-3</v>
          </cell>
        </row>
        <row r="13">
          <cell r="A13" t="str">
            <v>2004A</v>
          </cell>
          <cell r="B13">
            <v>1533.3</v>
          </cell>
          <cell r="C13">
            <v>0.56475150525563822</v>
          </cell>
          <cell r="D13">
            <v>0.38387201762511575</v>
          </cell>
          <cell r="E13">
            <v>2461</v>
          </cell>
          <cell r="F13">
            <v>-0.12232524964336666</v>
          </cell>
          <cell r="G13">
            <v>3994.3</v>
          </cell>
          <cell r="H13">
            <v>5.5604006448373378E-2</v>
          </cell>
        </row>
        <row r="14">
          <cell r="A14" t="str">
            <v>1Q05A</v>
          </cell>
          <cell r="B14">
            <v>447</v>
          </cell>
          <cell r="C14">
            <v>0.3561893203883495</v>
          </cell>
          <cell r="D14">
            <v>0.44169960474308301</v>
          </cell>
          <cell r="E14">
            <v>565</v>
          </cell>
          <cell r="F14">
            <v>-0.17877906976744184</v>
          </cell>
          <cell r="G14">
            <v>1012</v>
          </cell>
          <cell r="H14">
            <v>-5.5031446540880768E-3</v>
          </cell>
        </row>
        <row r="15">
          <cell r="A15" t="str">
            <v>2Q05A</v>
          </cell>
          <cell r="B15">
            <v>536</v>
          </cell>
          <cell r="C15">
            <v>0.40793275545048591</v>
          </cell>
          <cell r="D15">
            <v>0.48638838475499091</v>
          </cell>
          <cell r="E15">
            <v>566</v>
          </cell>
          <cell r="F15">
            <v>-2.7491408934707917E-2</v>
          </cell>
          <cell r="G15">
            <v>1102</v>
          </cell>
          <cell r="H15">
            <v>0.14469720577542322</v>
          </cell>
        </row>
        <row r="16">
          <cell r="A16" t="str">
            <v>3Q05A</v>
          </cell>
          <cell r="B16">
            <v>542</v>
          </cell>
          <cell r="C16">
            <v>0.44919786096256686</v>
          </cell>
          <cell r="D16">
            <v>0.48522829006266788</v>
          </cell>
          <cell r="E16">
            <v>575</v>
          </cell>
          <cell r="F16">
            <v>-6.1990212071778128E-2</v>
          </cell>
          <cell r="G16">
            <v>1117</v>
          </cell>
          <cell r="H16">
            <v>0.13171225937183384</v>
          </cell>
        </row>
        <row r="17">
          <cell r="A17" t="str">
            <v>4Q05A</v>
          </cell>
          <cell r="B17">
            <v>579</v>
          </cell>
          <cell r="C17">
            <v>0.36556603773584895</v>
          </cell>
          <cell r="D17">
            <v>0.51742627345844505</v>
          </cell>
          <cell r="E17">
            <v>540</v>
          </cell>
          <cell r="F17">
            <v>-6.5743944636678209E-2</v>
          </cell>
          <cell r="G17">
            <v>1119</v>
          </cell>
          <cell r="H17">
            <v>0.11676646706586835</v>
          </cell>
        </row>
        <row r="18">
          <cell r="A18" t="str">
            <v>2005A</v>
          </cell>
          <cell r="B18">
            <v>2104</v>
          </cell>
          <cell r="C18">
            <v>0.37220374355964259</v>
          </cell>
          <cell r="D18">
            <v>0.48367816091954025</v>
          </cell>
          <cell r="E18">
            <v>2246</v>
          </cell>
          <cell r="F18">
            <v>-8.7362860625761929E-2</v>
          </cell>
          <cell r="G18">
            <v>4350</v>
          </cell>
          <cell r="H18">
            <v>8.9051898956012288E-2</v>
          </cell>
        </row>
        <row r="19">
          <cell r="A19" t="str">
            <v>1Q06A</v>
          </cell>
          <cell r="B19">
            <v>596</v>
          </cell>
          <cell r="C19">
            <v>0.33333333333333326</v>
          </cell>
          <cell r="D19">
            <v>0.53072128227960824</v>
          </cell>
          <cell r="E19">
            <v>527</v>
          </cell>
          <cell r="F19">
            <v>-6.7256637168141564E-2</v>
          </cell>
          <cell r="G19">
            <v>1123</v>
          </cell>
          <cell r="H19">
            <v>0.10968379446640308</v>
          </cell>
        </row>
        <row r="20">
          <cell r="A20" t="str">
            <v>2Q06E</v>
          </cell>
          <cell r="B20">
            <v>645</v>
          </cell>
          <cell r="C20">
            <v>0.20335820895522394</v>
          </cell>
          <cell r="D20">
            <v>0.54020100502512558</v>
          </cell>
          <cell r="E20">
            <v>549</v>
          </cell>
          <cell r="F20">
            <v>-3.0035335689045928E-2</v>
          </cell>
          <cell r="G20">
            <v>1194</v>
          </cell>
          <cell r="H20">
            <v>8.3484573502722315E-2</v>
          </cell>
        </row>
        <row r="21">
          <cell r="A21" t="str">
            <v>3Q06E</v>
          </cell>
          <cell r="B21">
            <v>665</v>
          </cell>
          <cell r="C21">
            <v>0.22693726937269365</v>
          </cell>
          <cell r="D21">
            <v>0.53115015974440893</v>
          </cell>
          <cell r="E21">
            <v>587</v>
          </cell>
          <cell r="F21">
            <v>2.0869565217391362E-2</v>
          </cell>
          <cell r="G21">
            <v>1252</v>
          </cell>
          <cell r="H21">
            <v>0.12085944494180834</v>
          </cell>
        </row>
        <row r="22">
          <cell r="A22" t="str">
            <v>4Q06E</v>
          </cell>
          <cell r="B22">
            <v>690</v>
          </cell>
          <cell r="C22">
            <v>0.19170984455958551</v>
          </cell>
          <cell r="D22">
            <v>0.56097560975609762</v>
          </cell>
          <cell r="E22">
            <v>540</v>
          </cell>
          <cell r="F22">
            <v>0</v>
          </cell>
          <cell r="G22">
            <v>1230</v>
          </cell>
          <cell r="H22">
            <v>9.9195710455764141E-2</v>
          </cell>
        </row>
        <row r="23">
          <cell r="A23" t="str">
            <v>2006E</v>
          </cell>
          <cell r="B23">
            <v>2596</v>
          </cell>
          <cell r="C23">
            <v>0.23384030418250945</v>
          </cell>
          <cell r="D23">
            <v>0.54094603042300482</v>
          </cell>
          <cell r="E23">
            <v>2203</v>
          </cell>
          <cell r="F23">
            <v>-1.9145146927871726E-2</v>
          </cell>
          <cell r="G23">
            <v>4799</v>
          </cell>
          <cell r="H23">
            <v>0.1032183908045976</v>
          </cell>
        </row>
        <row r="24">
          <cell r="A24" t="str">
            <v>2007E</v>
          </cell>
          <cell r="B24">
            <v>2975</v>
          </cell>
          <cell r="C24">
            <v>0.14599383667180277</v>
          </cell>
          <cell r="D24">
            <v>0.60198300283286121</v>
          </cell>
          <cell r="E24">
            <v>1967</v>
          </cell>
          <cell r="F24">
            <v>-0.10712664548343165</v>
          </cell>
          <cell r="G24">
            <v>4942</v>
          </cell>
          <cell r="H24">
            <v>2.97978745571994E-2</v>
          </cell>
        </row>
        <row r="25">
          <cell r="A25" t="str">
            <v>2008E</v>
          </cell>
          <cell r="B25">
            <v>3300</v>
          </cell>
          <cell r="C25">
            <v>0.10924369747899165</v>
          </cell>
          <cell r="D25">
            <v>0.65075921908893708</v>
          </cell>
          <cell r="E25">
            <v>1771</v>
          </cell>
          <cell r="F25">
            <v>-9.9644128113879016E-2</v>
          </cell>
          <cell r="G25">
            <v>5071</v>
          </cell>
          <cell r="H25">
            <v>2.6102792391744289E-2</v>
          </cell>
        </row>
        <row r="26">
          <cell r="A26" t="str">
            <v>2009E</v>
          </cell>
          <cell r="B26">
            <v>3600</v>
          </cell>
          <cell r="C26">
            <v>9.0909090909090828E-2</v>
          </cell>
          <cell r="D26">
            <v>0.69310743165190603</v>
          </cell>
          <cell r="E26">
            <v>1594</v>
          </cell>
          <cell r="F26">
            <v>-9.9943534726143368E-2</v>
          </cell>
          <cell r="G26">
            <v>5194</v>
          </cell>
          <cell r="H26">
            <v>2.4255570893314982E-2</v>
          </cell>
        </row>
      </sheetData>
      <sheetData sheetId="15" refreshError="1"/>
      <sheetData sheetId="16" refreshError="1"/>
      <sheetData sheetId="17"/>
      <sheetData sheetId="18" refreshError="1">
        <row r="1">
          <cell r="C1" t="str">
            <v>At Risk
for FN</v>
          </cell>
          <cell r="D1" t="str">
            <v>Treated Front-line</v>
          </cell>
          <cell r="E1" t="str">
            <v>Untreated
Front-line</v>
          </cell>
        </row>
        <row r="2">
          <cell r="B2" t="str">
            <v>Breast Cancer</v>
          </cell>
          <cell r="C2">
            <v>117000</v>
          </cell>
          <cell r="D2">
            <v>30420</v>
          </cell>
          <cell r="E2">
            <v>86580</v>
          </cell>
          <cell r="G2" t="str">
            <v>US</v>
          </cell>
          <cell r="H2" t="str">
            <v>1Q04</v>
          </cell>
          <cell r="I2" t="str">
            <v>2Q04</v>
          </cell>
          <cell r="J2" t="str">
            <v>3Q04</v>
          </cell>
          <cell r="L2" t="str">
            <v>n= 411</v>
          </cell>
          <cell r="M2" t="str">
            <v>AMG 162</v>
          </cell>
          <cell r="N2" t="str">
            <v>Fosamax</v>
          </cell>
          <cell r="O2" t="str">
            <v>Placebo</v>
          </cell>
        </row>
        <row r="3">
          <cell r="B3" t="str">
            <v>Lung Cancer</v>
          </cell>
          <cell r="C3">
            <v>138000</v>
          </cell>
          <cell r="D3">
            <v>11040</v>
          </cell>
          <cell r="E3">
            <v>126960</v>
          </cell>
          <cell r="G3" t="str">
            <v>Aranesp</v>
          </cell>
          <cell r="H3">
            <v>0.37</v>
          </cell>
          <cell r="I3">
            <v>0.39</v>
          </cell>
          <cell r="J3">
            <v>0.43</v>
          </cell>
          <cell r="L3" t="str">
            <v>BMD (6 months)</v>
          </cell>
          <cell r="M3" t="str">
            <v>+4-5%</v>
          </cell>
          <cell r="N3" t="str">
            <v>+5%</v>
          </cell>
        </row>
        <row r="4">
          <cell r="G4" t="str">
            <v>Procrit</v>
          </cell>
          <cell r="H4">
            <v>0.63</v>
          </cell>
          <cell r="I4">
            <v>0.61</v>
          </cell>
          <cell r="J4">
            <v>0.56999999999999995</v>
          </cell>
          <cell r="L4" t="str">
            <v>BMD (12 months)</v>
          </cell>
          <cell r="M4" t="str">
            <v>+4-7%</v>
          </cell>
          <cell r="N4" t="str">
            <v>+5%</v>
          </cell>
          <cell r="O4">
            <v>0.01</v>
          </cell>
          <cell r="S4" t="str">
            <v>Patent</v>
          </cell>
          <cell r="T4" t="str">
            <v>Date Issued</v>
          </cell>
          <cell r="U4" t="str">
            <v>Description*</v>
          </cell>
          <cell r="V4" t="str">
            <v>Status</v>
          </cell>
        </row>
        <row r="5">
          <cell r="L5" t="str">
            <v>Dyspepsia</v>
          </cell>
          <cell r="M5">
            <v>0.05</v>
          </cell>
          <cell r="N5">
            <v>0.2</v>
          </cell>
          <cell r="O5">
            <v>0.04</v>
          </cell>
          <cell r="S5" t="str">
            <v>'422</v>
          </cell>
          <cell r="T5">
            <v>36424</v>
          </cell>
          <cell r="U5" t="str">
            <v>Composition of therapeutically effective amount of erythropoietin</v>
          </cell>
          <cell r="V5" t="str">
            <v>Previously found to be valid and infringed upon</v>
          </cell>
        </row>
        <row r="6">
          <cell r="S6" t="str">
            <v>'080</v>
          </cell>
          <cell r="T6">
            <v>35535</v>
          </cell>
          <cell r="U6" t="str">
            <v>Erythropoietin product and manufacturing process</v>
          </cell>
          <cell r="V6" t="str">
            <v>Previously found to be valid and infringed upon</v>
          </cell>
        </row>
        <row r="7">
          <cell r="S7" t="str">
            <v>'698</v>
          </cell>
          <cell r="T7">
            <v>35521</v>
          </cell>
          <cell r="U7" t="str">
            <v>Preparation process of erythropoietin product active in vivo</v>
          </cell>
          <cell r="V7" t="str">
            <v>Found to be valid and infringed upon today</v>
          </cell>
        </row>
        <row r="8">
          <cell r="M8" t="str">
            <v>AMG 162</v>
          </cell>
          <cell r="N8" t="str">
            <v>Fosamax</v>
          </cell>
          <cell r="O8" t="str">
            <v>Placebo</v>
          </cell>
          <cell r="P8" t="str">
            <v>p-value 
(AMG162 vs. Fosomax)</v>
          </cell>
          <cell r="S8" t="str">
            <v>'349</v>
          </cell>
          <cell r="T8">
            <v>35916</v>
          </cell>
          <cell r="U8" t="str">
            <v>Use of vertebrae cells to produce erythropoietin products</v>
          </cell>
          <cell r="V8" t="str">
            <v>Found to be valid and infringed upon today</v>
          </cell>
        </row>
        <row r="9">
          <cell r="L9" t="str">
            <v>Lumbar Spine</v>
          </cell>
          <cell r="M9" t="str">
            <v>+5%</v>
          </cell>
          <cell r="N9" t="str">
            <v>+5%</v>
          </cell>
          <cell r="O9" t="str">
            <v>-1%</v>
          </cell>
          <cell r="P9" t="str">
            <v>NS</v>
          </cell>
          <cell r="S9" t="str">
            <v>Note:  * Broadest claim</v>
          </cell>
        </row>
        <row r="10">
          <cell r="L10" t="str">
            <v>Hip</v>
          </cell>
          <cell r="M10" t="str">
            <v>+3%</v>
          </cell>
          <cell r="N10" t="str">
            <v>+2%</v>
          </cell>
          <cell r="O10" t="str">
            <v>-1%</v>
          </cell>
          <cell r="P10" t="str">
            <v>p=0.01</v>
          </cell>
        </row>
        <row r="11">
          <cell r="L11" t="str">
            <v>Distal radius</v>
          </cell>
          <cell r="M11" t="str">
            <v>+1.2%</v>
          </cell>
          <cell r="N11" t="str">
            <v>0%</v>
          </cell>
          <cell r="O11" t="str">
            <v>-2%</v>
          </cell>
          <cell r="P11" t="str">
            <v>p&lt;0.01</v>
          </cell>
        </row>
      </sheetData>
      <sheetData sheetId="19" refreshError="1">
        <row r="4">
          <cell r="B4" t="str">
            <v>(For Marketing Pack)</v>
          </cell>
        </row>
        <row r="6">
          <cell r="D6" t="str">
            <v>2004A</v>
          </cell>
          <cell r="F6" t="str">
            <v>2005A</v>
          </cell>
          <cell r="H6" t="str">
            <v>2006E</v>
          </cell>
          <cell r="J6" t="str">
            <v>2007E</v>
          </cell>
        </row>
        <row r="7">
          <cell r="B7" t="str">
            <v>Epogen</v>
          </cell>
          <cell r="D7">
            <v>2600.6</v>
          </cell>
          <cell r="F7">
            <v>2455</v>
          </cell>
          <cell r="H7">
            <v>2514</v>
          </cell>
          <cell r="J7">
            <v>2572.1174973954289</v>
          </cell>
        </row>
        <row r="8">
          <cell r="B8" t="str">
            <v>Aranesp</v>
          </cell>
          <cell r="D8">
            <v>2472.9</v>
          </cell>
          <cell r="F8">
            <v>3273</v>
          </cell>
          <cell r="H8">
            <v>3913</v>
          </cell>
          <cell r="J8">
            <v>4350</v>
          </cell>
        </row>
        <row r="9">
          <cell r="B9" t="str">
            <v>Neulasta</v>
          </cell>
          <cell r="D9">
            <v>1739.6</v>
          </cell>
          <cell r="F9">
            <v>2288</v>
          </cell>
          <cell r="H9">
            <v>2603</v>
          </cell>
          <cell r="J9">
            <v>2889.3300000000004</v>
          </cell>
        </row>
        <row r="10">
          <cell r="B10" t="str">
            <v>Enbrel</v>
          </cell>
          <cell r="D10">
            <v>1900.3</v>
          </cell>
          <cell r="F10">
            <v>2573</v>
          </cell>
          <cell r="H10">
            <v>2793</v>
          </cell>
          <cell r="J10">
            <v>3016.8307284116399</v>
          </cell>
        </row>
        <row r="11">
          <cell r="B11" t="str">
            <v>EPS</v>
          </cell>
          <cell r="D11">
            <v>2.36950115525927</v>
          </cell>
          <cell r="F11">
            <v>3.2027027027027026</v>
          </cell>
          <cell r="H11">
            <v>3.6698689952539394</v>
          </cell>
          <cell r="J11">
            <v>4.1013211403748855</v>
          </cell>
        </row>
        <row r="12">
          <cell r="B12" t="str">
            <v>Consensus</v>
          </cell>
          <cell r="D12">
            <v>2.41</v>
          </cell>
          <cell r="F12">
            <v>3.21</v>
          </cell>
          <cell r="H12">
            <v>3.64</v>
          </cell>
          <cell r="J12">
            <v>4.13</v>
          </cell>
        </row>
      </sheetData>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Restated Income"/>
      <sheetName val="Cash Flow"/>
      <sheetName val="Balance Sheet"/>
      <sheetName val="Quarterlies"/>
      <sheetName val="EPS"/>
      <sheetName val="Royalties"/>
      <sheetName val="Comps"/>
      <sheetName val="Income Statement"/>
      <sheetName val="Milestone"/>
      <sheetName val="Pipeline"/>
      <sheetName val="IncomeStatemt"/>
      <sheetName val="SCF"/>
      <sheetName val="Quarterlies (2)"/>
      <sheetName val="BalSheet"/>
      <sheetName val="DCF"/>
      <sheetName val="MN template"/>
      <sheetName val="Zeffix"/>
      <sheetName val="ZeffixRoy"/>
      <sheetName val="ZefRoyalty"/>
      <sheetName val="ZeffixRoyalty"/>
      <sheetName val="3TC data"/>
      <sheetName val="PV"/>
    </sheetNames>
    <sheetDataSet>
      <sheetData sheetId="0" refreshError="1"/>
      <sheetData sheetId="1" refreshError="1"/>
      <sheetData sheetId="2" refreshError="1"/>
      <sheetData sheetId="3" refreshError="1"/>
      <sheetData sheetId="4" refreshError="1">
        <row r="3">
          <cell r="C3" t="str">
            <v>Q1-96</v>
          </cell>
          <cell r="D3" t="str">
            <v>Q2-96</v>
          </cell>
          <cell r="E3" t="str">
            <v>6m-96</v>
          </cell>
          <cell r="G3" t="str">
            <v>9m-96</v>
          </cell>
          <cell r="I3">
            <v>1996</v>
          </cell>
          <cell r="J3" t="str">
            <v>Q1-97</v>
          </cell>
          <cell r="K3" t="str">
            <v>Q2-97</v>
          </cell>
          <cell r="L3" t="str">
            <v>6m-97</v>
          </cell>
          <cell r="N3" t="str">
            <v>9m-97</v>
          </cell>
          <cell r="P3">
            <v>1997</v>
          </cell>
          <cell r="Q3" t="str">
            <v>Q1-98</v>
          </cell>
          <cell r="R3" t="str">
            <v>Q2-98</v>
          </cell>
          <cell r="S3" t="str">
            <v>6m-98</v>
          </cell>
          <cell r="U3" t="str">
            <v>9m-98</v>
          </cell>
          <cell r="W3">
            <v>1998</v>
          </cell>
          <cell r="X3" t="str">
            <v>Q1-99</v>
          </cell>
          <cell r="Y3" t="str">
            <v>Q2-99</v>
          </cell>
          <cell r="Z3" t="str">
            <v>6m-99</v>
          </cell>
        </row>
        <row r="5">
          <cell r="C5">
            <v>40348</v>
          </cell>
          <cell r="D5">
            <v>41052</v>
          </cell>
          <cell r="E5">
            <v>81400</v>
          </cell>
          <cell r="G5">
            <v>119090</v>
          </cell>
          <cell r="I5">
            <v>156941</v>
          </cell>
          <cell r="J5">
            <v>34614</v>
          </cell>
          <cell r="K5">
            <v>34978</v>
          </cell>
          <cell r="L5">
            <v>69592</v>
          </cell>
          <cell r="N5">
            <v>101606</v>
          </cell>
          <cell r="P5">
            <v>134641</v>
          </cell>
          <cell r="Q5">
            <v>35347</v>
          </cell>
          <cell r="R5">
            <v>33960</v>
          </cell>
          <cell r="S5">
            <v>69307</v>
          </cell>
          <cell r="U5">
            <v>102916</v>
          </cell>
          <cell r="W5">
            <v>138179</v>
          </cell>
          <cell r="X5">
            <v>4329</v>
          </cell>
          <cell r="Y5">
            <v>4542</v>
          </cell>
          <cell r="Z5">
            <v>8871</v>
          </cell>
        </row>
        <row r="6">
          <cell r="C6">
            <v>7624</v>
          </cell>
          <cell r="D6">
            <v>10275</v>
          </cell>
          <cell r="E6">
            <v>17899</v>
          </cell>
          <cell r="G6">
            <v>34724</v>
          </cell>
          <cell r="I6">
            <v>57062</v>
          </cell>
          <cell r="J6">
            <v>24626</v>
          </cell>
          <cell r="K6">
            <v>32878</v>
          </cell>
          <cell r="L6">
            <v>57504</v>
          </cell>
          <cell r="N6">
            <v>89230</v>
          </cell>
          <cell r="P6">
            <v>124130</v>
          </cell>
          <cell r="Q6">
            <v>34274</v>
          </cell>
          <cell r="R6">
            <v>37909</v>
          </cell>
          <cell r="S6">
            <v>72183</v>
          </cell>
          <cell r="U6">
            <v>109974</v>
          </cell>
          <cell r="W6">
            <v>154122</v>
          </cell>
          <cell r="X6">
            <v>38815</v>
          </cell>
          <cell r="Y6">
            <v>45946</v>
          </cell>
          <cell r="Z6">
            <v>84761</v>
          </cell>
        </row>
        <row r="7">
          <cell r="B7">
            <v>0</v>
          </cell>
          <cell r="C7">
            <v>0</v>
          </cell>
          <cell r="D7">
            <v>0</v>
          </cell>
          <cell r="E7">
            <v>0</v>
          </cell>
          <cell r="F7">
            <v>0</v>
          </cell>
          <cell r="G7">
            <v>0</v>
          </cell>
          <cell r="H7">
            <v>2782</v>
          </cell>
          <cell r="I7">
            <v>2782</v>
          </cell>
          <cell r="J7">
            <v>0</v>
          </cell>
          <cell r="K7">
            <v>0</v>
          </cell>
          <cell r="L7">
            <v>0</v>
          </cell>
          <cell r="M7">
            <v>0</v>
          </cell>
          <cell r="N7">
            <v>0</v>
          </cell>
          <cell r="O7">
            <v>4004</v>
          </cell>
          <cell r="P7">
            <v>4004</v>
          </cell>
          <cell r="Q7">
            <v>0</v>
          </cell>
          <cell r="R7">
            <v>0</v>
          </cell>
          <cell r="S7">
            <v>0</v>
          </cell>
          <cell r="T7">
            <v>10045</v>
          </cell>
          <cell r="U7">
            <v>10045</v>
          </cell>
          <cell r="V7">
            <v>23673</v>
          </cell>
          <cell r="W7">
            <v>33718</v>
          </cell>
          <cell r="X7">
            <v>16411</v>
          </cell>
          <cell r="Y7">
            <v>14956</v>
          </cell>
          <cell r="Z7">
            <v>31367</v>
          </cell>
          <cell r="AA7">
            <v>18509</v>
          </cell>
          <cell r="AB7">
            <v>49876</v>
          </cell>
          <cell r="AD7">
            <v>2561</v>
          </cell>
          <cell r="AE7">
            <v>7200</v>
          </cell>
          <cell r="AF7">
            <v>642</v>
          </cell>
          <cell r="AG7">
            <v>700</v>
          </cell>
          <cell r="AH7">
            <v>1342</v>
          </cell>
          <cell r="AI7">
            <v>10896</v>
          </cell>
          <cell r="AJ7">
            <v>12238</v>
          </cell>
          <cell r="AK7">
            <v>2270</v>
          </cell>
          <cell r="AL7">
            <v>14508</v>
          </cell>
          <cell r="AM7">
            <v>20000</v>
          </cell>
          <cell r="AN7">
            <v>25000</v>
          </cell>
          <cell r="AO7">
            <v>30000</v>
          </cell>
          <cell r="AP7">
            <v>17000</v>
          </cell>
        </row>
        <row r="8">
          <cell r="C8">
            <v>1826</v>
          </cell>
          <cell r="D8">
            <v>4042</v>
          </cell>
          <cell r="E8">
            <v>5868</v>
          </cell>
          <cell r="G8">
            <v>9823</v>
          </cell>
          <cell r="I8">
            <v>13008</v>
          </cell>
          <cell r="J8">
            <v>2849</v>
          </cell>
          <cell r="K8">
            <v>3001</v>
          </cell>
          <cell r="L8">
            <v>5850</v>
          </cell>
          <cell r="N8">
            <v>8722</v>
          </cell>
          <cell r="P8">
            <v>12285</v>
          </cell>
          <cell r="Q8">
            <v>3592</v>
          </cell>
          <cell r="R8">
            <v>3397</v>
          </cell>
          <cell r="S8">
            <v>6989</v>
          </cell>
          <cell r="U8">
            <v>9035</v>
          </cell>
          <cell r="W8">
            <v>12147</v>
          </cell>
          <cell r="X8">
            <v>2243</v>
          </cell>
          <cell r="Y8">
            <v>2438</v>
          </cell>
          <cell r="Z8">
            <v>4681</v>
          </cell>
        </row>
        <row r="9">
          <cell r="C9">
            <v>1110</v>
          </cell>
          <cell r="D9">
            <v>1567</v>
          </cell>
          <cell r="E9">
            <v>2677</v>
          </cell>
          <cell r="G9">
            <v>5016</v>
          </cell>
          <cell r="I9">
            <v>3825</v>
          </cell>
          <cell r="J9">
            <v>1253</v>
          </cell>
          <cell r="K9">
            <v>2512</v>
          </cell>
          <cell r="L9">
            <v>3765</v>
          </cell>
          <cell r="N9">
            <v>6482</v>
          </cell>
          <cell r="P9">
            <v>5722</v>
          </cell>
          <cell r="Q9">
            <v>3611</v>
          </cell>
          <cell r="R9">
            <v>8212</v>
          </cell>
          <cell r="S9">
            <v>11823</v>
          </cell>
          <cell r="U9">
            <v>15068</v>
          </cell>
          <cell r="W9">
            <v>9202</v>
          </cell>
          <cell r="X9">
            <v>924</v>
          </cell>
          <cell r="Y9">
            <v>794</v>
          </cell>
          <cell r="Z9">
            <v>1718</v>
          </cell>
        </row>
        <row r="10">
          <cell r="C10">
            <v>50908</v>
          </cell>
          <cell r="D10">
            <v>56936</v>
          </cell>
          <cell r="E10">
            <v>107844</v>
          </cell>
          <cell r="G10">
            <v>168653</v>
          </cell>
          <cell r="I10">
            <v>233618</v>
          </cell>
          <cell r="J10">
            <v>63342</v>
          </cell>
          <cell r="K10">
            <v>73369</v>
          </cell>
          <cell r="L10">
            <v>136711</v>
          </cell>
          <cell r="N10">
            <v>206040</v>
          </cell>
          <cell r="P10">
            <v>280782</v>
          </cell>
          <cell r="Q10">
            <v>76824</v>
          </cell>
          <cell r="R10">
            <v>83478</v>
          </cell>
          <cell r="S10">
            <v>160302</v>
          </cell>
          <cell r="U10">
            <v>247038</v>
          </cell>
          <cell r="W10">
            <v>347368</v>
          </cell>
          <cell r="X10">
            <v>62722</v>
          </cell>
          <cell r="Y10">
            <v>68676</v>
          </cell>
          <cell r="Z10">
            <v>131398</v>
          </cell>
        </row>
        <row r="11">
          <cell r="U11">
            <v>0</v>
          </cell>
          <cell r="W11">
            <v>0</v>
          </cell>
          <cell r="X11">
            <v>38000</v>
          </cell>
          <cell r="Y11">
            <v>45000</v>
          </cell>
          <cell r="Z11">
            <v>83000</v>
          </cell>
        </row>
        <row r="12">
          <cell r="C12">
            <v>0</v>
          </cell>
          <cell r="D12">
            <v>0</v>
          </cell>
          <cell r="E12">
            <v>0</v>
          </cell>
          <cell r="G12">
            <v>0</v>
          </cell>
          <cell r="I12">
            <v>2782</v>
          </cell>
          <cell r="J12">
            <v>0</v>
          </cell>
          <cell r="K12">
            <v>0</v>
          </cell>
          <cell r="L12">
            <v>0</v>
          </cell>
          <cell r="N12">
            <v>0</v>
          </cell>
          <cell r="P12">
            <v>4004</v>
          </cell>
          <cell r="Q12">
            <v>2309</v>
          </cell>
          <cell r="R12">
            <v>7105</v>
          </cell>
          <cell r="S12">
            <v>9414</v>
          </cell>
          <cell r="U12">
            <v>19459</v>
          </cell>
          <cell r="W12">
            <v>33718</v>
          </cell>
          <cell r="X12">
            <v>16411</v>
          </cell>
          <cell r="Y12">
            <v>14956</v>
          </cell>
          <cell r="Z12">
            <v>31367</v>
          </cell>
        </row>
        <row r="13">
          <cell r="C13">
            <v>18618</v>
          </cell>
          <cell r="D13">
            <v>19689</v>
          </cell>
          <cell r="E13">
            <v>38307</v>
          </cell>
          <cell r="G13">
            <v>56568</v>
          </cell>
          <cell r="I13">
            <v>75759</v>
          </cell>
          <cell r="J13">
            <v>16760</v>
          </cell>
          <cell r="K13">
            <v>16845</v>
          </cell>
          <cell r="L13">
            <v>33605</v>
          </cell>
          <cell r="N13">
            <v>51072</v>
          </cell>
          <cell r="P13">
            <v>67450</v>
          </cell>
          <cell r="Q13">
            <v>17852</v>
          </cell>
          <cell r="R13">
            <v>17267</v>
          </cell>
          <cell r="S13">
            <v>35119</v>
          </cell>
          <cell r="U13">
            <v>53264</v>
          </cell>
          <cell r="W13">
            <v>74685</v>
          </cell>
          <cell r="X13">
            <v>2293</v>
          </cell>
          <cell r="Y13">
            <v>1902</v>
          </cell>
          <cell r="Z13">
            <v>4195</v>
          </cell>
        </row>
        <row r="14">
          <cell r="C14">
            <v>15351</v>
          </cell>
          <cell r="D14">
            <v>14406</v>
          </cell>
          <cell r="E14">
            <v>29757</v>
          </cell>
          <cell r="G14">
            <v>45250</v>
          </cell>
          <cell r="I14">
            <v>62968</v>
          </cell>
          <cell r="J14">
            <v>15757</v>
          </cell>
          <cell r="K14">
            <v>19956</v>
          </cell>
          <cell r="L14">
            <v>35713</v>
          </cell>
          <cell r="N14">
            <v>52260</v>
          </cell>
          <cell r="P14">
            <v>72480</v>
          </cell>
          <cell r="Q14">
            <v>17555</v>
          </cell>
          <cell r="R14">
            <v>20075</v>
          </cell>
          <cell r="S14">
            <v>37630</v>
          </cell>
          <cell r="U14">
            <v>56378</v>
          </cell>
          <cell r="W14">
            <v>74664</v>
          </cell>
          <cell r="X14">
            <v>4168</v>
          </cell>
          <cell r="Y14">
            <v>8330</v>
          </cell>
          <cell r="Z14">
            <v>12498</v>
          </cell>
        </row>
        <row r="15">
          <cell r="C15">
            <v>1346</v>
          </cell>
          <cell r="D15">
            <v>62</v>
          </cell>
          <cell r="E15">
            <v>1408</v>
          </cell>
          <cell r="G15">
            <v>2639</v>
          </cell>
          <cell r="I15">
            <v>4552</v>
          </cell>
          <cell r="J15">
            <v>0</v>
          </cell>
          <cell r="K15">
            <v>0</v>
          </cell>
          <cell r="L15">
            <v>0</v>
          </cell>
          <cell r="N15">
            <v>0</v>
          </cell>
          <cell r="P15">
            <v>0</v>
          </cell>
          <cell r="Q15">
            <v>0</v>
          </cell>
          <cell r="R15">
            <v>0</v>
          </cell>
          <cell r="S15">
            <v>0</v>
          </cell>
          <cell r="U15">
            <v>0</v>
          </cell>
          <cell r="W15">
            <v>0</v>
          </cell>
          <cell r="X15">
            <v>0</v>
          </cell>
          <cell r="Y15">
            <v>0</v>
          </cell>
          <cell r="Z15">
            <v>0</v>
          </cell>
        </row>
        <row r="16">
          <cell r="C16">
            <v>6880</v>
          </cell>
          <cell r="D16">
            <v>8171</v>
          </cell>
          <cell r="E16">
            <v>15051</v>
          </cell>
          <cell r="G16">
            <v>22850</v>
          </cell>
          <cell r="I16">
            <v>32186</v>
          </cell>
          <cell r="J16">
            <v>7592</v>
          </cell>
          <cell r="K16">
            <v>8586</v>
          </cell>
          <cell r="L16">
            <v>16178</v>
          </cell>
          <cell r="N16">
            <v>26070</v>
          </cell>
          <cell r="P16">
            <v>37387</v>
          </cell>
          <cell r="Q16">
            <v>12412</v>
          </cell>
          <cell r="R16">
            <v>10923</v>
          </cell>
          <cell r="S16">
            <v>23335</v>
          </cell>
          <cell r="U16">
            <v>37504</v>
          </cell>
          <cell r="W16">
            <v>52425</v>
          </cell>
          <cell r="X16">
            <v>20260</v>
          </cell>
          <cell r="Y16">
            <v>17631</v>
          </cell>
          <cell r="Z16">
            <v>37891</v>
          </cell>
        </row>
        <row r="17">
          <cell r="C17">
            <v>1999</v>
          </cell>
          <cell r="D17">
            <v>1939</v>
          </cell>
          <cell r="E17">
            <v>3938</v>
          </cell>
          <cell r="G17">
            <v>6058</v>
          </cell>
          <cell r="I17">
            <v>7527</v>
          </cell>
          <cell r="J17">
            <v>2455</v>
          </cell>
          <cell r="K17">
            <v>1483</v>
          </cell>
          <cell r="L17">
            <v>3938</v>
          </cell>
          <cell r="N17">
            <v>6890</v>
          </cell>
          <cell r="P17">
            <v>5863</v>
          </cell>
          <cell r="Q17">
            <v>1344</v>
          </cell>
          <cell r="R17">
            <v>2303</v>
          </cell>
          <cell r="S17">
            <v>3647</v>
          </cell>
          <cell r="U17">
            <v>5495</v>
          </cell>
          <cell r="W17">
            <v>7083</v>
          </cell>
          <cell r="X17">
            <v>340</v>
          </cell>
          <cell r="Y17">
            <v>-219</v>
          </cell>
          <cell r="Z17">
            <v>121</v>
          </cell>
        </row>
        <row r="18">
          <cell r="C18">
            <v>44194</v>
          </cell>
          <cell r="D18">
            <v>44267</v>
          </cell>
          <cell r="E18">
            <v>88461</v>
          </cell>
          <cell r="G18">
            <v>133365</v>
          </cell>
          <cell r="I18">
            <v>182992</v>
          </cell>
          <cell r="J18">
            <v>42564</v>
          </cell>
          <cell r="K18">
            <v>46870</v>
          </cell>
          <cell r="L18">
            <v>89434</v>
          </cell>
          <cell r="N18">
            <v>136292</v>
          </cell>
          <cell r="P18">
            <v>183180</v>
          </cell>
          <cell r="Q18">
            <v>49163</v>
          </cell>
          <cell r="R18">
            <v>50568</v>
          </cell>
          <cell r="S18">
            <v>99731</v>
          </cell>
          <cell r="U18">
            <v>152641</v>
          </cell>
          <cell r="W18">
            <v>208857</v>
          </cell>
          <cell r="X18">
            <v>27061</v>
          </cell>
          <cell r="Y18">
            <v>27644</v>
          </cell>
          <cell r="Z18">
            <v>54705</v>
          </cell>
        </row>
        <row r="19">
          <cell r="C19">
            <v>6714</v>
          </cell>
          <cell r="D19">
            <v>12669</v>
          </cell>
          <cell r="E19">
            <v>19383</v>
          </cell>
          <cell r="G19">
            <v>35288</v>
          </cell>
          <cell r="I19">
            <v>50626</v>
          </cell>
          <cell r="J19">
            <v>20778</v>
          </cell>
          <cell r="K19">
            <v>26499</v>
          </cell>
          <cell r="L19">
            <v>47277</v>
          </cell>
          <cell r="N19">
            <v>69748</v>
          </cell>
          <cell r="P19">
            <v>97602</v>
          </cell>
          <cell r="Q19">
            <v>27661</v>
          </cell>
          <cell r="R19">
            <v>32910</v>
          </cell>
          <cell r="S19">
            <v>60571</v>
          </cell>
          <cell r="U19">
            <v>94397</v>
          </cell>
          <cell r="W19">
            <v>138511</v>
          </cell>
          <cell r="X19">
            <v>35661</v>
          </cell>
          <cell r="Y19">
            <v>41032</v>
          </cell>
          <cell r="Z19">
            <v>76693</v>
          </cell>
        </row>
        <row r="20">
          <cell r="B20">
            <v>13042</v>
          </cell>
          <cell r="C20">
            <v>2751</v>
          </cell>
          <cell r="D20">
            <v>2881</v>
          </cell>
          <cell r="E20">
            <v>5632</v>
          </cell>
          <cell r="F20">
            <v>2704</v>
          </cell>
          <cell r="G20">
            <v>8336</v>
          </cell>
          <cell r="H20">
            <v>3121</v>
          </cell>
          <cell r="I20">
            <v>11457</v>
          </cell>
          <cell r="J20">
            <v>2587</v>
          </cell>
          <cell r="K20">
            <v>3023</v>
          </cell>
          <cell r="L20">
            <v>5610</v>
          </cell>
          <cell r="M20">
            <v>2704</v>
          </cell>
          <cell r="N20">
            <v>8314</v>
          </cell>
          <cell r="O20">
            <v>2778</v>
          </cell>
          <cell r="P20">
            <v>11092</v>
          </cell>
          <cell r="Q20">
            <v>2975</v>
          </cell>
          <cell r="R20">
            <v>3385</v>
          </cell>
          <cell r="S20">
            <v>6360</v>
          </cell>
          <cell r="T20">
            <v>3656</v>
          </cell>
          <cell r="U20">
            <v>10016</v>
          </cell>
          <cell r="V20">
            <v>4719</v>
          </cell>
          <cell r="W20">
            <v>14735</v>
          </cell>
          <cell r="X20">
            <v>1808</v>
          </cell>
          <cell r="Y20">
            <v>1744</v>
          </cell>
          <cell r="Z20">
            <v>3552</v>
          </cell>
          <cell r="AA20">
            <v>2270</v>
          </cell>
          <cell r="AB20">
            <v>5822</v>
          </cell>
          <cell r="AD20">
            <v>88511</v>
          </cell>
          <cell r="AE20">
            <v>290275</v>
          </cell>
          <cell r="AF20">
            <v>72517</v>
          </cell>
          <cell r="AG20">
            <v>72741</v>
          </cell>
          <cell r="AH20">
            <v>145258</v>
          </cell>
          <cell r="AI20">
            <v>85470</v>
          </cell>
          <cell r="AJ20">
            <v>230728</v>
          </cell>
          <cell r="AK20">
            <v>89626</v>
          </cell>
          <cell r="AL20">
            <v>320352</v>
          </cell>
          <cell r="AM20">
            <v>298836.47414800565</v>
          </cell>
          <cell r="AN20">
            <v>318241.87191100564</v>
          </cell>
          <cell r="AO20">
            <v>334979.63975027658</v>
          </cell>
          <cell r="AP20">
            <v>329801.09177558986</v>
          </cell>
        </row>
        <row r="21">
          <cell r="C21">
            <v>3963</v>
          </cell>
          <cell r="D21">
            <v>9788</v>
          </cell>
          <cell r="E21">
            <v>13751</v>
          </cell>
          <cell r="G21">
            <v>26952</v>
          </cell>
          <cell r="I21">
            <v>39169</v>
          </cell>
          <cell r="J21">
            <v>18191</v>
          </cell>
          <cell r="K21">
            <v>23476</v>
          </cell>
          <cell r="L21">
            <v>41667</v>
          </cell>
          <cell r="N21">
            <v>61434</v>
          </cell>
          <cell r="P21">
            <v>86510</v>
          </cell>
          <cell r="Q21">
            <v>24686</v>
          </cell>
          <cell r="R21">
            <v>29525</v>
          </cell>
          <cell r="S21">
            <v>54211</v>
          </cell>
          <cell r="U21">
            <v>84381</v>
          </cell>
          <cell r="W21">
            <v>123776</v>
          </cell>
          <cell r="X21">
            <v>33853</v>
          </cell>
          <cell r="Y21">
            <v>39288</v>
          </cell>
          <cell r="Z21">
            <v>73141</v>
          </cell>
        </row>
        <row r="22">
          <cell r="C22">
            <v>1176</v>
          </cell>
          <cell r="D22">
            <v>1352</v>
          </cell>
          <cell r="E22">
            <v>2528</v>
          </cell>
          <cell r="G22">
            <v>3510</v>
          </cell>
          <cell r="I22">
            <v>1451</v>
          </cell>
          <cell r="J22">
            <v>699</v>
          </cell>
          <cell r="K22">
            <v>1171</v>
          </cell>
          <cell r="L22">
            <v>1870</v>
          </cell>
          <cell r="N22">
            <v>1737</v>
          </cell>
          <cell r="P22">
            <v>2064</v>
          </cell>
          <cell r="Q22">
            <v>2679</v>
          </cell>
          <cell r="R22">
            <v>3352</v>
          </cell>
          <cell r="S22">
            <v>6031</v>
          </cell>
          <cell r="U22">
            <v>8511</v>
          </cell>
          <cell r="W22">
            <v>11189</v>
          </cell>
          <cell r="X22">
            <v>3647</v>
          </cell>
          <cell r="Y22">
            <v>3314</v>
          </cell>
          <cell r="Z22">
            <v>6961</v>
          </cell>
        </row>
        <row r="23">
          <cell r="C23">
            <v>-82</v>
          </cell>
          <cell r="D23">
            <v>-4</v>
          </cell>
          <cell r="E23">
            <v>-86</v>
          </cell>
          <cell r="G23">
            <v>-116</v>
          </cell>
          <cell r="I23">
            <v>-211</v>
          </cell>
          <cell r="J23">
            <v>473</v>
          </cell>
          <cell r="K23">
            <v>468</v>
          </cell>
          <cell r="L23">
            <v>941</v>
          </cell>
          <cell r="N23">
            <v>1549</v>
          </cell>
          <cell r="P23">
            <v>1987</v>
          </cell>
          <cell r="Q23">
            <v>602</v>
          </cell>
          <cell r="R23">
            <v>1089</v>
          </cell>
          <cell r="S23">
            <v>1691</v>
          </cell>
          <cell r="U23">
            <v>1826</v>
          </cell>
          <cell r="W23">
            <v>2187</v>
          </cell>
          <cell r="X23">
            <v>0</v>
          </cell>
          <cell r="Y23">
            <v>0</v>
          </cell>
          <cell r="Z23">
            <v>0</v>
          </cell>
        </row>
        <row r="24">
          <cell r="C24">
            <v>2705</v>
          </cell>
          <cell r="D24">
            <v>8432</v>
          </cell>
          <cell r="E24">
            <v>11137</v>
          </cell>
          <cell r="G24">
            <v>23326</v>
          </cell>
          <cell r="I24">
            <v>37507</v>
          </cell>
          <cell r="J24">
            <v>17965</v>
          </cell>
          <cell r="K24">
            <v>22773</v>
          </cell>
          <cell r="L24">
            <v>40738</v>
          </cell>
          <cell r="N24">
            <v>61246</v>
          </cell>
          <cell r="P24">
            <v>86433</v>
          </cell>
          <cell r="Q24">
            <v>22609</v>
          </cell>
          <cell r="R24">
            <v>27262</v>
          </cell>
          <cell r="S24">
            <v>49871</v>
          </cell>
          <cell r="U24">
            <v>77696</v>
          </cell>
          <cell r="W24">
            <v>114774</v>
          </cell>
          <cell r="X24">
            <v>30206</v>
          </cell>
          <cell r="Y24">
            <v>35974</v>
          </cell>
          <cell r="Z24">
            <v>66180</v>
          </cell>
        </row>
        <row r="25">
          <cell r="C25">
            <v>-1277</v>
          </cell>
          <cell r="D25">
            <v>-4335</v>
          </cell>
          <cell r="E25">
            <v>-5612</v>
          </cell>
          <cell r="G25">
            <v>-9840</v>
          </cell>
          <cell r="I25">
            <v>-4113</v>
          </cell>
          <cell r="J25">
            <v>-5338</v>
          </cell>
          <cell r="K25">
            <v>-1257</v>
          </cell>
          <cell r="L25">
            <v>-6595</v>
          </cell>
          <cell r="N25">
            <v>-6595</v>
          </cell>
          <cell r="P25">
            <v>-6595</v>
          </cell>
          <cell r="Q25">
            <v>0</v>
          </cell>
          <cell r="R25">
            <v>0</v>
          </cell>
          <cell r="S25">
            <v>0</v>
          </cell>
          <cell r="U25">
            <v>0</v>
          </cell>
          <cell r="W25">
            <v>0</v>
          </cell>
          <cell r="X25">
            <v>-1097</v>
          </cell>
          <cell r="Y25">
            <v>0</v>
          </cell>
          <cell r="Z25">
            <v>-1097</v>
          </cell>
        </row>
        <row r="26">
          <cell r="C26">
            <v>1428</v>
          </cell>
          <cell r="D26">
            <v>4097</v>
          </cell>
          <cell r="E26">
            <v>5525</v>
          </cell>
          <cell r="G26">
            <v>13486</v>
          </cell>
          <cell r="I26">
            <v>33394</v>
          </cell>
          <cell r="J26">
            <v>12627</v>
          </cell>
          <cell r="K26">
            <v>21516</v>
          </cell>
          <cell r="L26">
            <v>34143</v>
          </cell>
          <cell r="N26">
            <v>54651</v>
          </cell>
          <cell r="P26">
            <v>79838</v>
          </cell>
          <cell r="Q26">
            <v>22609</v>
          </cell>
          <cell r="R26">
            <v>27262</v>
          </cell>
          <cell r="S26">
            <v>49871</v>
          </cell>
          <cell r="U26">
            <v>77696</v>
          </cell>
          <cell r="W26">
            <v>114774</v>
          </cell>
          <cell r="X26">
            <v>29109</v>
          </cell>
          <cell r="Y26">
            <v>35974</v>
          </cell>
          <cell r="Z26">
            <v>65083</v>
          </cell>
        </row>
        <row r="27">
          <cell r="B27">
            <v>8649</v>
          </cell>
          <cell r="C27">
            <v>1999</v>
          </cell>
          <cell r="D27">
            <v>1939</v>
          </cell>
          <cell r="E27">
            <v>3938</v>
          </cell>
          <cell r="F27">
            <v>2120</v>
          </cell>
          <cell r="G27">
            <v>6058</v>
          </cell>
          <cell r="H27">
            <v>1469</v>
          </cell>
          <cell r="I27">
            <v>7527</v>
          </cell>
          <cell r="J27">
            <v>2455</v>
          </cell>
          <cell r="K27">
            <v>1483</v>
          </cell>
          <cell r="L27">
            <v>3938</v>
          </cell>
          <cell r="M27">
            <v>2952</v>
          </cell>
          <cell r="N27">
            <v>6890</v>
          </cell>
          <cell r="O27">
            <v>-1027</v>
          </cell>
          <cell r="P27">
            <v>-796</v>
          </cell>
          <cell r="Q27">
            <v>424</v>
          </cell>
          <cell r="R27">
            <v>-113</v>
          </cell>
          <cell r="S27">
            <v>311</v>
          </cell>
          <cell r="T27">
            <v>-220</v>
          </cell>
          <cell r="U27">
            <v>91</v>
          </cell>
          <cell r="V27">
            <v>-205</v>
          </cell>
          <cell r="W27">
            <v>-114</v>
          </cell>
          <cell r="X27">
            <v>340</v>
          </cell>
          <cell r="Y27">
            <v>-219</v>
          </cell>
          <cell r="Z27">
            <v>121</v>
          </cell>
          <cell r="AA27">
            <v>-2135</v>
          </cell>
          <cell r="AB27">
            <v>-2014</v>
          </cell>
          <cell r="AD27">
            <v>1096</v>
          </cell>
          <cell r="AE27">
            <v>-918</v>
          </cell>
          <cell r="AF27">
            <v>1649</v>
          </cell>
          <cell r="AG27">
            <v>1539</v>
          </cell>
          <cell r="AH27">
            <v>3188</v>
          </cell>
          <cell r="AI27">
            <v>805</v>
          </cell>
          <cell r="AJ27">
            <v>3993</v>
          </cell>
          <cell r="AK27">
            <v>1700</v>
          </cell>
          <cell r="AL27">
            <v>5693</v>
          </cell>
          <cell r="AM27">
            <v>1000</v>
          </cell>
          <cell r="AN27">
            <v>1000</v>
          </cell>
          <cell r="AO27">
            <v>1000</v>
          </cell>
          <cell r="AP27">
            <v>1000</v>
          </cell>
        </row>
        <row r="28">
          <cell r="C28">
            <v>1.3972832977013044E-2</v>
          </cell>
          <cell r="D28">
            <v>3.7912515607103008E-2</v>
          </cell>
          <cell r="E28">
            <v>5.2573159762419941E-2</v>
          </cell>
          <cell r="G28">
            <v>0.12832608734045164</v>
          </cell>
          <cell r="I28">
            <v>0.31360866259362946</v>
          </cell>
          <cell r="J28">
            <v>0.11686688353848081</v>
          </cell>
          <cell r="K28">
            <v>0.19910316958809576</v>
          </cell>
          <cell r="L28">
            <v>0.31594996836058531</v>
          </cell>
          <cell r="N28">
            <v>0.50546759799255803</v>
          </cell>
          <cell r="P28">
            <v>0.73819622042943378</v>
          </cell>
          <cell r="Q28">
            <v>0.20883311327452042</v>
          </cell>
          <cell r="R28">
            <v>0.25175468964677905</v>
          </cell>
          <cell r="S28">
            <v>0.46054061064391894</v>
          </cell>
          <cell r="U28">
            <v>0.71704515525786638</v>
          </cell>
          <cell r="W28">
            <v>1.0583838285103562</v>
          </cell>
          <cell r="X28">
            <v>0.2672637739751117</v>
          </cell>
          <cell r="Y28">
            <v>0.33017477997564398</v>
          </cell>
          <cell r="Z28">
            <v>0.59734155793503185</v>
          </cell>
        </row>
        <row r="29">
          <cell r="B29">
            <v>22103</v>
          </cell>
          <cell r="C29">
            <v>6714</v>
          </cell>
          <cell r="D29">
            <v>12669</v>
          </cell>
          <cell r="E29">
            <v>19383</v>
          </cell>
          <cell r="F29">
            <v>15905</v>
          </cell>
          <cell r="G29">
            <v>35288</v>
          </cell>
          <cell r="H29">
            <v>15338</v>
          </cell>
          <cell r="I29">
            <v>50626</v>
          </cell>
          <cell r="J29">
            <v>20778</v>
          </cell>
          <cell r="K29">
            <v>26499</v>
          </cell>
          <cell r="L29">
            <v>47277</v>
          </cell>
          <cell r="M29">
            <v>22471</v>
          </cell>
          <cell r="N29">
            <v>69748</v>
          </cell>
          <cell r="O29">
            <v>27854</v>
          </cell>
          <cell r="P29">
            <v>89827</v>
          </cell>
          <cell r="Q29">
            <v>24486</v>
          </cell>
          <cell r="R29">
            <v>31682</v>
          </cell>
          <cell r="S29">
            <v>56168</v>
          </cell>
          <cell r="T29">
            <v>32297</v>
          </cell>
          <cell r="U29">
            <v>88465</v>
          </cell>
          <cell r="V29">
            <v>44436</v>
          </cell>
          <cell r="W29">
            <v>132901</v>
          </cell>
          <cell r="X29">
            <v>35661</v>
          </cell>
          <cell r="Y29">
            <v>41032</v>
          </cell>
          <cell r="Z29">
            <v>159693</v>
          </cell>
          <cell r="AA29">
            <v>38088</v>
          </cell>
          <cell r="AB29">
            <v>114781</v>
          </cell>
          <cell r="AD29">
            <v>48610</v>
          </cell>
          <cell r="AE29">
            <v>163391</v>
          </cell>
          <cell r="AF29">
            <v>44403</v>
          </cell>
          <cell r="AG29">
            <v>43963</v>
          </cell>
          <cell r="AH29">
            <v>88366</v>
          </cell>
          <cell r="AI29">
            <v>46733</v>
          </cell>
          <cell r="AJ29">
            <v>135099</v>
          </cell>
          <cell r="AK29">
            <v>48171</v>
          </cell>
          <cell r="AL29">
            <v>183268</v>
          </cell>
          <cell r="AM29">
            <v>151036.47414800565</v>
          </cell>
          <cell r="AN29">
            <v>161121.87191100564</v>
          </cell>
          <cell r="AO29">
            <v>159277.08165802597</v>
          </cell>
          <cell r="AP29">
            <v>150920.43671023595</v>
          </cell>
        </row>
        <row r="30">
          <cell r="C30">
            <v>102.19831600000001</v>
          </cell>
          <cell r="D30">
            <v>108.064578</v>
          </cell>
          <cell r="E30">
            <v>105.09164800000001</v>
          </cell>
          <cell r="G30">
            <v>105.09164800000001</v>
          </cell>
          <cell r="I30">
            <v>106.483028</v>
          </cell>
          <cell r="J30">
            <v>108.04600600000001</v>
          </cell>
          <cell r="K30">
            <v>108.064578</v>
          </cell>
          <cell r="L30">
            <v>108.064578</v>
          </cell>
          <cell r="N30">
            <v>108.11969000000001</v>
          </cell>
          <cell r="P30">
            <v>108.152816</v>
          </cell>
          <cell r="Q30">
            <v>108.263482</v>
          </cell>
          <cell r="R30">
            <v>108.287953</v>
          </cell>
          <cell r="S30">
            <v>108.287953</v>
          </cell>
          <cell r="U30">
            <v>108.35579799999999</v>
          </cell>
          <cell r="W30">
            <v>108.4427</v>
          </cell>
          <cell r="X30">
            <v>108.914873</v>
          </cell>
          <cell r="Y30">
            <v>108.954415</v>
          </cell>
          <cell r="Z30">
            <v>108.954415</v>
          </cell>
        </row>
        <row r="31">
          <cell r="C31">
            <v>3963</v>
          </cell>
          <cell r="D31">
            <v>9788</v>
          </cell>
          <cell r="E31">
            <v>13751</v>
          </cell>
          <cell r="G31">
            <v>26952</v>
          </cell>
          <cell r="I31">
            <v>39169</v>
          </cell>
          <cell r="J31">
            <v>18191</v>
          </cell>
          <cell r="K31">
            <v>23476</v>
          </cell>
          <cell r="L31">
            <v>41667</v>
          </cell>
          <cell r="N31">
            <v>61434</v>
          </cell>
          <cell r="P31">
            <v>86478</v>
          </cell>
          <cell r="Q31">
            <v>23473</v>
          </cell>
          <cell r="R31">
            <v>30215</v>
          </cell>
          <cell r="S31">
            <v>53688</v>
          </cell>
          <cell r="U31">
            <v>84264</v>
          </cell>
          <cell r="W31">
            <v>125949</v>
          </cell>
          <cell r="X31">
            <v>33853</v>
          </cell>
          <cell r="Y31">
            <v>39288</v>
          </cell>
          <cell r="Z31">
            <v>156141</v>
          </cell>
        </row>
        <row r="32">
          <cell r="P32">
            <v>0</v>
          </cell>
          <cell r="U32">
            <v>0</v>
          </cell>
          <cell r="W32">
            <v>0</v>
          </cell>
        </row>
        <row r="33">
          <cell r="C33">
            <v>1176</v>
          </cell>
          <cell r="D33">
            <v>1352</v>
          </cell>
          <cell r="E33">
            <v>2528</v>
          </cell>
          <cell r="G33">
            <v>3510</v>
          </cell>
          <cell r="I33">
            <v>1451</v>
          </cell>
          <cell r="J33">
            <v>699</v>
          </cell>
          <cell r="K33">
            <v>1171</v>
          </cell>
          <cell r="L33">
            <v>1870</v>
          </cell>
          <cell r="N33">
            <v>1737</v>
          </cell>
          <cell r="P33">
            <v>4000</v>
          </cell>
          <cell r="Q33">
            <v>2411</v>
          </cell>
          <cell r="R33">
            <v>2473</v>
          </cell>
          <cell r="S33">
            <v>4884</v>
          </cell>
          <cell r="U33">
            <v>7299</v>
          </cell>
          <cell r="W33">
            <v>9479</v>
          </cell>
          <cell r="X33">
            <v>3647</v>
          </cell>
          <cell r="Y33">
            <v>3314</v>
          </cell>
          <cell r="Z33">
            <v>6961</v>
          </cell>
        </row>
        <row r="34">
          <cell r="C34" t="str">
            <v>Q1-96</v>
          </cell>
          <cell r="D34" t="str">
            <v>Q2-96</v>
          </cell>
          <cell r="E34" t="str">
            <v>6m-96</v>
          </cell>
          <cell r="G34" t="str">
            <v>9m-96</v>
          </cell>
          <cell r="I34">
            <v>1996</v>
          </cell>
          <cell r="J34" t="str">
            <v>Q1-97</v>
          </cell>
          <cell r="K34" t="str">
            <v>Q2-97</v>
          </cell>
          <cell r="L34" t="str">
            <v>6m-97</v>
          </cell>
          <cell r="N34" t="str">
            <v>9m-97</v>
          </cell>
          <cell r="P34">
            <v>1997</v>
          </cell>
          <cell r="Q34" t="str">
            <v>Q1-98</v>
          </cell>
          <cell r="R34" t="str">
            <v>Q2-98</v>
          </cell>
          <cell r="S34" t="str">
            <v>6m-98</v>
          </cell>
          <cell r="U34" t="str">
            <v>9m-98</v>
          </cell>
          <cell r="W34">
            <v>1998</v>
          </cell>
          <cell r="X34" t="str">
            <v>Q1-99</v>
          </cell>
          <cell r="Y34" t="str">
            <v>Q2-99</v>
          </cell>
          <cell r="Z34" t="str">
            <v>6m-99</v>
          </cell>
        </row>
        <row r="35">
          <cell r="C35">
            <v>-82</v>
          </cell>
          <cell r="D35">
            <v>-4</v>
          </cell>
          <cell r="E35">
            <v>-86</v>
          </cell>
          <cell r="G35">
            <v>-116</v>
          </cell>
          <cell r="I35">
            <v>-211</v>
          </cell>
          <cell r="J35">
            <v>473</v>
          </cell>
          <cell r="K35">
            <v>468</v>
          </cell>
          <cell r="L35">
            <v>941</v>
          </cell>
          <cell r="N35">
            <v>1549</v>
          </cell>
          <cell r="P35">
            <v>1797</v>
          </cell>
          <cell r="Q35">
            <v>589</v>
          </cell>
          <cell r="R35">
            <v>839</v>
          </cell>
          <cell r="S35">
            <v>1428</v>
          </cell>
          <cell r="U35">
            <v>1428</v>
          </cell>
          <cell r="W35">
            <v>1428</v>
          </cell>
          <cell r="X35">
            <v>0</v>
          </cell>
          <cell r="Y35">
            <v>0</v>
          </cell>
          <cell r="Z35">
            <v>0</v>
          </cell>
        </row>
        <row r="36">
          <cell r="C36">
            <v>1428</v>
          </cell>
          <cell r="D36">
            <v>4097</v>
          </cell>
          <cell r="E36">
            <v>5525</v>
          </cell>
          <cell r="G36">
            <v>13486</v>
          </cell>
          <cell r="I36">
            <v>33394</v>
          </cell>
          <cell r="J36">
            <v>12627</v>
          </cell>
          <cell r="K36">
            <v>21516</v>
          </cell>
          <cell r="L36">
            <v>34143</v>
          </cell>
          <cell r="N36">
            <v>54651</v>
          </cell>
          <cell r="P36">
            <v>79838</v>
          </cell>
          <cell r="Q36">
            <v>22609</v>
          </cell>
          <cell r="R36">
            <v>27262</v>
          </cell>
          <cell r="S36">
            <v>49871</v>
          </cell>
          <cell r="U36">
            <v>77696</v>
          </cell>
          <cell r="W36">
            <v>114774</v>
          </cell>
          <cell r="X36">
            <v>30206</v>
          </cell>
          <cell r="Y36">
            <v>35974</v>
          </cell>
          <cell r="Z36">
            <v>66180</v>
          </cell>
        </row>
        <row r="37">
          <cell r="C37">
            <v>3923</v>
          </cell>
          <cell r="D37">
            <v>6930</v>
          </cell>
          <cell r="E37">
            <v>10853</v>
          </cell>
          <cell r="G37">
            <v>18283</v>
          </cell>
          <cell r="I37">
            <v>15145</v>
          </cell>
          <cell r="J37">
            <v>7652</v>
          </cell>
          <cell r="K37">
            <v>4042</v>
          </cell>
          <cell r="L37">
            <v>11694</v>
          </cell>
          <cell r="N37">
            <v>14504</v>
          </cell>
          <cell r="P37">
            <v>17376</v>
          </cell>
          <cell r="Q37">
            <v>2631</v>
          </cell>
          <cell r="R37">
            <v>3409</v>
          </cell>
          <cell r="S37">
            <v>6040</v>
          </cell>
          <cell r="U37">
            <v>9025</v>
          </cell>
          <cell r="W37">
            <v>14313</v>
          </cell>
          <cell r="X37">
            <v>2744</v>
          </cell>
          <cell r="Y37">
            <v>764</v>
          </cell>
          <cell r="Z37">
            <v>3508</v>
          </cell>
        </row>
        <row r="38">
          <cell r="C38">
            <v>5351</v>
          </cell>
          <cell r="D38">
            <v>11027</v>
          </cell>
          <cell r="E38">
            <v>16378</v>
          </cell>
          <cell r="G38">
            <v>31769</v>
          </cell>
          <cell r="I38">
            <v>48539</v>
          </cell>
          <cell r="J38">
            <v>20279</v>
          </cell>
          <cell r="K38">
            <v>25558</v>
          </cell>
          <cell r="L38">
            <v>45837</v>
          </cell>
          <cell r="N38">
            <v>69155</v>
          </cell>
          <cell r="P38">
            <v>97214</v>
          </cell>
          <cell r="Q38">
            <v>25240</v>
          </cell>
          <cell r="R38">
            <v>30671</v>
          </cell>
          <cell r="S38">
            <v>55911</v>
          </cell>
          <cell r="U38">
            <v>86721</v>
          </cell>
          <cell r="W38">
            <v>129087</v>
          </cell>
          <cell r="X38">
            <v>32950</v>
          </cell>
          <cell r="Y38">
            <v>36738</v>
          </cell>
          <cell r="Z38">
            <v>69688</v>
          </cell>
        </row>
        <row r="39">
          <cell r="C39">
            <v>-7259</v>
          </cell>
          <cell r="D39">
            <v>-9181</v>
          </cell>
          <cell r="E39">
            <v>-16440</v>
          </cell>
          <cell r="G39">
            <v>-20028</v>
          </cell>
          <cell r="I39">
            <v>-10944</v>
          </cell>
          <cell r="J39">
            <v>-10223</v>
          </cell>
          <cell r="K39">
            <v>-6054</v>
          </cell>
          <cell r="L39">
            <v>-16277</v>
          </cell>
          <cell r="N39">
            <v>-9913</v>
          </cell>
          <cell r="P39">
            <v>-13349</v>
          </cell>
          <cell r="Q39">
            <v>-3752</v>
          </cell>
          <cell r="R39">
            <v>-18742</v>
          </cell>
          <cell r="S39">
            <v>-22494</v>
          </cell>
          <cell r="U39">
            <v>-15991</v>
          </cell>
          <cell r="W39">
            <v>-20247</v>
          </cell>
          <cell r="X39">
            <v>-3097</v>
          </cell>
          <cell r="Y39">
            <v>-8851</v>
          </cell>
          <cell r="Z39">
            <v>-11948</v>
          </cell>
        </row>
        <row r="40">
          <cell r="C40">
            <v>-1908</v>
          </cell>
          <cell r="D40">
            <v>1846</v>
          </cell>
          <cell r="E40">
            <v>-62</v>
          </cell>
          <cell r="G40">
            <v>11741</v>
          </cell>
          <cell r="I40">
            <v>37595</v>
          </cell>
          <cell r="J40">
            <v>10056</v>
          </cell>
          <cell r="K40">
            <v>19504</v>
          </cell>
          <cell r="L40">
            <v>29560</v>
          </cell>
          <cell r="N40">
            <v>59242</v>
          </cell>
          <cell r="P40">
            <v>83865</v>
          </cell>
          <cell r="Q40">
            <v>21488</v>
          </cell>
          <cell r="R40">
            <v>11929</v>
          </cell>
          <cell r="S40">
            <v>33417</v>
          </cell>
          <cell r="U40">
            <v>70730</v>
          </cell>
          <cell r="W40">
            <v>108840</v>
          </cell>
          <cell r="X40">
            <v>29853</v>
          </cell>
          <cell r="Y40">
            <v>27887</v>
          </cell>
          <cell r="Z40">
            <v>57740</v>
          </cell>
        </row>
        <row r="41">
          <cell r="C41">
            <v>1.3972832977013044E-2</v>
          </cell>
          <cell r="D41">
            <v>3.7912515607103008E-2</v>
          </cell>
          <cell r="E41">
            <v>5.2573159762419941E-2</v>
          </cell>
          <cell r="G41">
            <v>0.12832608734045164</v>
          </cell>
          <cell r="I41">
            <v>0.31360866259362946</v>
          </cell>
          <cell r="J41">
            <v>0.11686688353848081</v>
          </cell>
          <cell r="K41">
            <v>0.19910316958809576</v>
          </cell>
          <cell r="L41">
            <v>0.31594996836058531</v>
          </cell>
          <cell r="N41">
            <v>0.50546759799255803</v>
          </cell>
          <cell r="P41">
            <v>0.73819622042943378</v>
          </cell>
          <cell r="Q41">
            <v>0.20883311327452042</v>
          </cell>
          <cell r="R41">
            <v>0.25175468964677905</v>
          </cell>
          <cell r="S41">
            <v>0.46054061064391894</v>
          </cell>
          <cell r="U41">
            <v>0.71704515525786638</v>
          </cell>
          <cell r="W41">
            <v>1.0583838285103562</v>
          </cell>
          <cell r="X41">
            <v>0.2672637739751117</v>
          </cell>
          <cell r="Y41">
            <v>0.33017477997564398</v>
          </cell>
          <cell r="Z41">
            <v>1.3591280353347774</v>
          </cell>
        </row>
        <row r="42">
          <cell r="P42">
            <v>0.71824297205539245</v>
          </cell>
          <cell r="Q42">
            <v>0.19998433081987887</v>
          </cell>
          <cell r="R42">
            <v>0.26393517661193577</v>
          </cell>
          <cell r="S42">
            <v>0.46387431480951535</v>
          </cell>
          <cell r="U42">
            <v>0.72347766752638376</v>
          </cell>
          <cell r="W42">
            <v>1.087191668964347</v>
          </cell>
          <cell r="X42">
            <v>0.27733586027318785</v>
          </cell>
          <cell r="Y42">
            <v>0.33017477997564398</v>
          </cell>
          <cell r="Z42">
            <v>1.3691964662469163</v>
          </cell>
        </row>
        <row r="43">
          <cell r="C43">
            <v>-3854</v>
          </cell>
          <cell r="D43">
            <v>-6095</v>
          </cell>
          <cell r="E43">
            <v>-9949</v>
          </cell>
          <cell r="G43">
            <v>-13237</v>
          </cell>
          <cell r="I43">
            <v>-18353</v>
          </cell>
          <cell r="J43">
            <v>-9273</v>
          </cell>
          <cell r="K43">
            <v>-14171</v>
          </cell>
          <cell r="L43">
            <v>-23444</v>
          </cell>
          <cell r="N43">
            <v>-26732</v>
          </cell>
          <cell r="P43">
            <v>-44397</v>
          </cell>
          <cell r="Q43">
            <v>-5906</v>
          </cell>
          <cell r="R43">
            <v>-8706</v>
          </cell>
          <cell r="S43">
            <v>-14612</v>
          </cell>
          <cell r="U43">
            <v>-18714</v>
          </cell>
          <cell r="W43">
            <v>-26105</v>
          </cell>
          <cell r="X43">
            <v>-10220</v>
          </cell>
          <cell r="Y43">
            <v>-5386</v>
          </cell>
          <cell r="Z43">
            <v>-15606</v>
          </cell>
        </row>
        <row r="44">
          <cell r="C44">
            <v>316</v>
          </cell>
          <cell r="D44">
            <v>313</v>
          </cell>
          <cell r="E44">
            <v>629</v>
          </cell>
          <cell r="G44">
            <v>629</v>
          </cell>
          <cell r="I44">
            <v>639</v>
          </cell>
          <cell r="J44">
            <v>114</v>
          </cell>
          <cell r="K44">
            <v>32</v>
          </cell>
          <cell r="L44">
            <v>146</v>
          </cell>
          <cell r="N44">
            <v>239</v>
          </cell>
          <cell r="P44">
            <v>477</v>
          </cell>
          <cell r="Q44">
            <v>156</v>
          </cell>
          <cell r="R44">
            <v>99</v>
          </cell>
          <cell r="S44">
            <v>255</v>
          </cell>
          <cell r="U44">
            <v>372</v>
          </cell>
          <cell r="W44">
            <v>424</v>
          </cell>
          <cell r="X44">
            <v>0</v>
          </cell>
          <cell r="Y44">
            <v>0</v>
          </cell>
          <cell r="Z44">
            <v>0</v>
          </cell>
        </row>
        <row r="45">
          <cell r="C45">
            <v>61</v>
          </cell>
          <cell r="D45">
            <v>-947</v>
          </cell>
          <cell r="E45">
            <v>-886</v>
          </cell>
          <cell r="G45">
            <v>-1248</v>
          </cell>
          <cell r="I45">
            <v>-5743</v>
          </cell>
          <cell r="J45">
            <v>-150</v>
          </cell>
          <cell r="K45">
            <v>-866</v>
          </cell>
          <cell r="L45">
            <v>-1016</v>
          </cell>
          <cell r="N45">
            <v>-2333</v>
          </cell>
          <cell r="P45">
            <v>-3794</v>
          </cell>
          <cell r="Q45">
            <v>-87</v>
          </cell>
          <cell r="R45">
            <v>-342</v>
          </cell>
          <cell r="S45">
            <v>-429</v>
          </cell>
          <cell r="U45">
            <v>-1697</v>
          </cell>
          <cell r="W45">
            <v>-6567</v>
          </cell>
          <cell r="X45">
            <v>-201</v>
          </cell>
          <cell r="Y45">
            <v>-328</v>
          </cell>
          <cell r="Z45">
            <v>-529</v>
          </cell>
        </row>
        <row r="46">
          <cell r="C46">
            <v>-5385</v>
          </cell>
          <cell r="D46">
            <v>-4883</v>
          </cell>
          <cell r="E46">
            <v>-10268</v>
          </cell>
          <cell r="G46">
            <v>-2115</v>
          </cell>
          <cell r="I46">
            <v>14138</v>
          </cell>
          <cell r="J46">
            <v>747</v>
          </cell>
          <cell r="K46">
            <v>4499</v>
          </cell>
          <cell r="L46">
            <v>5246</v>
          </cell>
          <cell r="N46">
            <v>30416</v>
          </cell>
          <cell r="P46">
            <v>36151</v>
          </cell>
          <cell r="Q46">
            <v>15651</v>
          </cell>
          <cell r="R46">
            <v>2980</v>
          </cell>
          <cell r="S46">
            <v>18631</v>
          </cell>
          <cell r="U46">
            <v>50691</v>
          </cell>
          <cell r="W46">
            <v>76592</v>
          </cell>
          <cell r="X46">
            <v>19432</v>
          </cell>
          <cell r="Y46">
            <v>22173</v>
          </cell>
          <cell r="Z46">
            <v>41605</v>
          </cell>
        </row>
        <row r="47">
          <cell r="C47">
            <v>-6841</v>
          </cell>
          <cell r="D47">
            <v>-783</v>
          </cell>
          <cell r="E47">
            <v>-7624</v>
          </cell>
          <cell r="G47">
            <v>-7724</v>
          </cell>
          <cell r="I47">
            <v>-7769</v>
          </cell>
          <cell r="J47">
            <v>-4970</v>
          </cell>
          <cell r="K47">
            <v>-5784</v>
          </cell>
          <cell r="L47">
            <v>-10754</v>
          </cell>
          <cell r="N47">
            <v>-13788</v>
          </cell>
          <cell r="P47">
            <v>-46641</v>
          </cell>
          <cell r="Q47">
            <v>-4892</v>
          </cell>
          <cell r="R47">
            <v>-4896</v>
          </cell>
          <cell r="S47">
            <v>-9788</v>
          </cell>
          <cell r="U47">
            <v>-13912</v>
          </cell>
          <cell r="W47">
            <v>-38014</v>
          </cell>
          <cell r="X47">
            <v>118838</v>
          </cell>
          <cell r="Y47">
            <v>-29569</v>
          </cell>
          <cell r="Z47">
            <v>89269</v>
          </cell>
        </row>
        <row r="48">
          <cell r="C48">
            <v>0</v>
          </cell>
          <cell r="D48">
            <v>0</v>
          </cell>
          <cell r="E48">
            <v>0</v>
          </cell>
          <cell r="G48">
            <v>0</v>
          </cell>
          <cell r="I48">
            <v>0</v>
          </cell>
          <cell r="J48">
            <v>0</v>
          </cell>
          <cell r="K48">
            <v>0</v>
          </cell>
          <cell r="L48">
            <v>0</v>
          </cell>
          <cell r="N48">
            <v>0</v>
          </cell>
          <cell r="P48">
            <v>0</v>
          </cell>
          <cell r="Q48">
            <v>0</v>
          </cell>
          <cell r="R48">
            <v>0</v>
          </cell>
          <cell r="S48">
            <v>0</v>
          </cell>
          <cell r="U48">
            <v>0</v>
          </cell>
          <cell r="W48">
            <v>0</v>
          </cell>
          <cell r="X48">
            <v>0</v>
          </cell>
          <cell r="Y48">
            <v>0</v>
          </cell>
          <cell r="Z48">
            <v>0</v>
          </cell>
        </row>
        <row r="49">
          <cell r="C49">
            <v>0</v>
          </cell>
          <cell r="D49">
            <v>0</v>
          </cell>
          <cell r="E49">
            <v>0</v>
          </cell>
          <cell r="G49">
            <v>0</v>
          </cell>
          <cell r="I49">
            <v>0</v>
          </cell>
          <cell r="J49">
            <v>0</v>
          </cell>
          <cell r="K49">
            <v>0</v>
          </cell>
          <cell r="L49">
            <v>0</v>
          </cell>
          <cell r="N49">
            <v>0</v>
          </cell>
          <cell r="P49">
            <v>0</v>
          </cell>
          <cell r="Q49">
            <v>0</v>
          </cell>
          <cell r="R49">
            <v>-16214</v>
          </cell>
          <cell r="S49">
            <v>-16214</v>
          </cell>
          <cell r="U49">
            <v>-16214</v>
          </cell>
          <cell r="W49">
            <v>-16214</v>
          </cell>
          <cell r="X49">
            <v>0</v>
          </cell>
          <cell r="Y49">
            <v>0</v>
          </cell>
          <cell r="Z49">
            <v>0</v>
          </cell>
        </row>
        <row r="50">
          <cell r="C50">
            <v>-12226</v>
          </cell>
          <cell r="D50">
            <v>-5666</v>
          </cell>
          <cell r="E50">
            <v>-17892</v>
          </cell>
          <cell r="G50">
            <v>-9839</v>
          </cell>
          <cell r="I50">
            <v>6369</v>
          </cell>
          <cell r="J50">
            <v>-4223</v>
          </cell>
          <cell r="K50">
            <v>-1285</v>
          </cell>
          <cell r="L50">
            <v>-5508</v>
          </cell>
          <cell r="N50">
            <v>16628</v>
          </cell>
          <cell r="P50">
            <v>-10490</v>
          </cell>
          <cell r="Q50">
            <v>10759</v>
          </cell>
          <cell r="R50">
            <v>-18130</v>
          </cell>
          <cell r="S50">
            <v>-7371</v>
          </cell>
          <cell r="U50">
            <v>20565</v>
          </cell>
          <cell r="W50">
            <v>22364</v>
          </cell>
          <cell r="X50">
            <v>138270</v>
          </cell>
          <cell r="Y50">
            <v>-7396</v>
          </cell>
          <cell r="Z50">
            <v>130874</v>
          </cell>
        </row>
        <row r="51">
          <cell r="B51">
            <v>41217</v>
          </cell>
          <cell r="C51">
            <v>276118</v>
          </cell>
          <cell r="D51">
            <v>268070</v>
          </cell>
          <cell r="E51">
            <v>268070</v>
          </cell>
          <cell r="F51">
            <v>277323</v>
          </cell>
          <cell r="G51">
            <v>277323</v>
          </cell>
          <cell r="H51">
            <v>301770</v>
          </cell>
          <cell r="I51">
            <v>271770</v>
          </cell>
          <cell r="J51">
            <v>271094</v>
          </cell>
          <cell r="K51">
            <v>275721</v>
          </cell>
          <cell r="L51">
            <v>275721</v>
          </cell>
          <cell r="M51">
            <v>301098</v>
          </cell>
          <cell r="N51">
            <v>301098</v>
          </cell>
          <cell r="O51">
            <v>257449</v>
          </cell>
          <cell r="P51">
            <v>221398</v>
          </cell>
          <cell r="Q51">
            <v>287004</v>
          </cell>
          <cell r="R51">
            <v>96698</v>
          </cell>
          <cell r="S51">
            <v>96698</v>
          </cell>
          <cell r="T51">
            <v>36901</v>
          </cell>
          <cell r="U51">
            <v>36901</v>
          </cell>
          <cell r="V51">
            <v>53801</v>
          </cell>
          <cell r="W51">
            <v>53801</v>
          </cell>
          <cell r="X51">
            <v>188500</v>
          </cell>
          <cell r="Y51">
            <v>164267</v>
          </cell>
          <cell r="Z51">
            <v>164267</v>
          </cell>
          <cell r="AA51">
            <v>42058</v>
          </cell>
          <cell r="AB51">
            <v>42058</v>
          </cell>
          <cell r="AD51">
            <v>68791</v>
          </cell>
          <cell r="AE51">
            <v>68791</v>
          </cell>
          <cell r="AF51">
            <v>173528</v>
          </cell>
          <cell r="AG51">
            <v>299795</v>
          </cell>
          <cell r="AH51">
            <v>299795</v>
          </cell>
          <cell r="AI51">
            <v>76729</v>
          </cell>
          <cell r="AJ51">
            <v>76729</v>
          </cell>
          <cell r="AK51">
            <v>0</v>
          </cell>
          <cell r="AL51">
            <v>0</v>
          </cell>
          <cell r="AM51">
            <v>0</v>
          </cell>
          <cell r="AN51">
            <v>0</v>
          </cell>
          <cell r="AO51">
            <v>0</v>
          </cell>
          <cell r="AP51">
            <v>0</v>
          </cell>
        </row>
        <row r="52">
          <cell r="P52">
            <v>310416</v>
          </cell>
          <cell r="Q52">
            <v>296979</v>
          </cell>
          <cell r="R52">
            <v>136910</v>
          </cell>
          <cell r="W52">
            <v>174096</v>
          </cell>
          <cell r="X52">
            <v>188500</v>
          </cell>
          <cell r="Y52">
            <v>188015</v>
          </cell>
        </row>
        <row r="53">
          <cell r="C53">
            <v>30</v>
          </cell>
          <cell r="D53">
            <v>0</v>
          </cell>
          <cell r="E53">
            <v>30</v>
          </cell>
          <cell r="G53">
            <v>119</v>
          </cell>
          <cell r="I53">
            <v>4389</v>
          </cell>
          <cell r="J53">
            <v>3249</v>
          </cell>
          <cell r="K53">
            <v>3400</v>
          </cell>
          <cell r="L53">
            <v>6649</v>
          </cell>
          <cell r="N53">
            <v>8885</v>
          </cell>
          <cell r="P53">
            <v>8932</v>
          </cell>
          <cell r="Q53">
            <v>0</v>
          </cell>
          <cell r="R53">
            <v>1498</v>
          </cell>
          <cell r="S53">
            <v>1498</v>
          </cell>
          <cell r="U53">
            <v>1498</v>
          </cell>
          <cell r="W53">
            <v>8557</v>
          </cell>
          <cell r="X53">
            <v>-2276</v>
          </cell>
          <cell r="Y53">
            <v>0</v>
          </cell>
          <cell r="Z53">
            <v>-2276</v>
          </cell>
        </row>
        <row r="54">
          <cell r="C54">
            <v>-610</v>
          </cell>
          <cell r="D54">
            <v>-4317</v>
          </cell>
          <cell r="E54">
            <v>-4927</v>
          </cell>
          <cell r="G54">
            <v>-6150</v>
          </cell>
          <cell r="I54">
            <v>-6303</v>
          </cell>
          <cell r="J54">
            <v>-436</v>
          </cell>
          <cell r="K54">
            <v>-451</v>
          </cell>
          <cell r="L54">
            <v>-887</v>
          </cell>
          <cell r="N54">
            <v>-1980</v>
          </cell>
          <cell r="P54">
            <v>-17532</v>
          </cell>
          <cell r="Q54">
            <v>-496</v>
          </cell>
          <cell r="R54">
            <v>-1044</v>
          </cell>
          <cell r="S54">
            <v>-1540</v>
          </cell>
          <cell r="U54">
            <v>-12240</v>
          </cell>
          <cell r="W54">
            <v>-12240</v>
          </cell>
          <cell r="X54">
            <v>0</v>
          </cell>
          <cell r="Y54">
            <v>-3660</v>
          </cell>
          <cell r="Z54">
            <v>-3660</v>
          </cell>
        </row>
        <row r="55">
          <cell r="C55">
            <v>2500</v>
          </cell>
          <cell r="D55">
            <v>0</v>
          </cell>
          <cell r="E55">
            <v>2500</v>
          </cell>
          <cell r="G55">
            <v>5000</v>
          </cell>
          <cell r="I55">
            <v>7500</v>
          </cell>
          <cell r="J55">
            <v>0</v>
          </cell>
          <cell r="K55">
            <v>1250</v>
          </cell>
          <cell r="L55">
            <v>1250</v>
          </cell>
          <cell r="N55">
            <v>2650</v>
          </cell>
          <cell r="P55">
            <v>2650</v>
          </cell>
          <cell r="Q55">
            <v>0</v>
          </cell>
          <cell r="R55">
            <v>0</v>
          </cell>
          <cell r="S55">
            <v>0</v>
          </cell>
          <cell r="U55">
            <v>0</v>
          </cell>
          <cell r="W55">
            <v>0</v>
          </cell>
          <cell r="X55">
            <v>0</v>
          </cell>
          <cell r="Y55">
            <v>0</v>
          </cell>
          <cell r="Z55">
            <v>0</v>
          </cell>
        </row>
        <row r="56">
          <cell r="C56">
            <v>245451</v>
          </cell>
          <cell r="D56">
            <v>1262</v>
          </cell>
          <cell r="E56">
            <v>246713</v>
          </cell>
          <cell r="G56">
            <v>247079</v>
          </cell>
          <cell r="I56">
            <v>247732</v>
          </cell>
          <cell r="J56">
            <v>271</v>
          </cell>
          <cell r="K56">
            <v>1704</v>
          </cell>
          <cell r="L56">
            <v>1975</v>
          </cell>
          <cell r="N56">
            <v>2531</v>
          </cell>
          <cell r="P56">
            <v>2687</v>
          </cell>
          <cell r="Q56">
            <v>224</v>
          </cell>
          <cell r="R56">
            <v>647</v>
          </cell>
          <cell r="S56">
            <v>871</v>
          </cell>
          <cell r="U56">
            <v>2637</v>
          </cell>
          <cell r="W56">
            <v>3934</v>
          </cell>
          <cell r="X56">
            <v>3628</v>
          </cell>
          <cell r="Y56">
            <v>29</v>
          </cell>
          <cell r="Z56">
            <v>3657</v>
          </cell>
        </row>
        <row r="57">
          <cell r="C57">
            <v>0</v>
          </cell>
          <cell r="D57">
            <v>0</v>
          </cell>
          <cell r="E57">
            <v>0</v>
          </cell>
          <cell r="G57">
            <v>0</v>
          </cell>
          <cell r="I57">
            <v>0</v>
          </cell>
          <cell r="J57">
            <v>0</v>
          </cell>
          <cell r="K57">
            <v>0</v>
          </cell>
          <cell r="L57">
            <v>0</v>
          </cell>
          <cell r="N57">
            <v>0</v>
          </cell>
          <cell r="P57">
            <v>0</v>
          </cell>
          <cell r="Q57">
            <v>0</v>
          </cell>
          <cell r="R57">
            <v>-150000</v>
          </cell>
          <cell r="S57">
            <v>-150000</v>
          </cell>
          <cell r="U57">
            <v>-150000</v>
          </cell>
          <cell r="W57">
            <v>-150000</v>
          </cell>
          <cell r="X57">
            <v>0</v>
          </cell>
          <cell r="Y57">
            <v>0</v>
          </cell>
          <cell r="Z57">
            <v>0</v>
          </cell>
        </row>
        <row r="58">
          <cell r="C58">
            <v>-17</v>
          </cell>
          <cell r="D58">
            <v>-31</v>
          </cell>
          <cell r="E58">
            <v>-48</v>
          </cell>
          <cell r="G58">
            <v>76</v>
          </cell>
          <cell r="I58">
            <v>977</v>
          </cell>
          <cell r="J58">
            <v>93</v>
          </cell>
          <cell r="K58">
            <v>12</v>
          </cell>
          <cell r="L58">
            <v>105</v>
          </cell>
          <cell r="N58">
            <v>229</v>
          </cell>
          <cell r="P58">
            <v>186</v>
          </cell>
          <cell r="Q58">
            <v>-33</v>
          </cell>
          <cell r="R58">
            <v>23</v>
          </cell>
          <cell r="S58">
            <v>-10</v>
          </cell>
          <cell r="U58">
            <v>18</v>
          </cell>
          <cell r="W58">
            <v>44</v>
          </cell>
          <cell r="X58">
            <v>0</v>
          </cell>
          <cell r="Y58">
            <v>0</v>
          </cell>
          <cell r="Z58">
            <v>0</v>
          </cell>
        </row>
        <row r="59">
          <cell r="C59">
            <v>247354</v>
          </cell>
          <cell r="D59">
            <v>-3086</v>
          </cell>
          <cell r="E59">
            <v>244268</v>
          </cell>
          <cell r="G59">
            <v>246124</v>
          </cell>
          <cell r="I59">
            <v>254295</v>
          </cell>
          <cell r="J59">
            <v>3177</v>
          </cell>
          <cell r="K59">
            <v>5915</v>
          </cell>
          <cell r="L59">
            <v>9092</v>
          </cell>
          <cell r="N59">
            <v>12315</v>
          </cell>
          <cell r="P59">
            <v>-3077</v>
          </cell>
          <cell r="Q59">
            <v>-305</v>
          </cell>
          <cell r="R59">
            <v>-148876</v>
          </cell>
          <cell r="S59">
            <v>-149181</v>
          </cell>
          <cell r="U59">
            <v>-158087</v>
          </cell>
          <cell r="W59">
            <v>-149705</v>
          </cell>
          <cell r="X59">
            <v>1352</v>
          </cell>
          <cell r="Y59">
            <v>-3631</v>
          </cell>
          <cell r="Z59">
            <v>-2279</v>
          </cell>
        </row>
        <row r="60">
          <cell r="Q60">
            <v>1013</v>
          </cell>
          <cell r="R60">
            <v>1467</v>
          </cell>
          <cell r="S60">
            <v>2480</v>
          </cell>
          <cell r="T60">
            <v>1721</v>
          </cell>
          <cell r="U60">
            <v>4201</v>
          </cell>
          <cell r="V60">
            <v>2751</v>
          </cell>
          <cell r="W60">
            <v>6952</v>
          </cell>
          <cell r="X60">
            <v>2744</v>
          </cell>
          <cell r="Y60">
            <v>1744</v>
          </cell>
          <cell r="Z60">
            <v>4488</v>
          </cell>
          <cell r="AA60">
            <v>35</v>
          </cell>
          <cell r="AB60">
            <v>4523</v>
          </cell>
          <cell r="AC60">
            <v>0</v>
          </cell>
          <cell r="AD60">
            <v>2460</v>
          </cell>
          <cell r="AE60">
            <v>6983</v>
          </cell>
          <cell r="AF60">
            <v>2424</v>
          </cell>
          <cell r="AG60">
            <v>2574</v>
          </cell>
          <cell r="AH60">
            <v>4998</v>
          </cell>
          <cell r="AI60">
            <v>2723</v>
          </cell>
          <cell r="AJ60">
            <v>7721</v>
          </cell>
          <cell r="AK60">
            <v>2700</v>
          </cell>
          <cell r="AL60">
            <v>10421</v>
          </cell>
          <cell r="AM60">
            <v>11500</v>
          </cell>
          <cell r="AN60">
            <v>12000</v>
          </cell>
          <cell r="AO60">
            <v>12500</v>
          </cell>
        </row>
        <row r="61">
          <cell r="C61">
            <v>-227</v>
          </cell>
          <cell r="D61">
            <v>704</v>
          </cell>
          <cell r="E61">
            <v>477</v>
          </cell>
          <cell r="G61">
            <v>-179</v>
          </cell>
          <cell r="I61">
            <v>-111</v>
          </cell>
          <cell r="J61">
            <v>370</v>
          </cell>
          <cell r="K61">
            <v>-3</v>
          </cell>
          <cell r="L61">
            <v>367</v>
          </cell>
          <cell r="N61">
            <v>385</v>
          </cell>
          <cell r="P61">
            <v>-754</v>
          </cell>
          <cell r="Q61">
            <v>759</v>
          </cell>
          <cell r="R61">
            <v>640</v>
          </cell>
          <cell r="S61">
            <v>1399</v>
          </cell>
          <cell r="U61">
            <v>1255</v>
          </cell>
          <cell r="W61">
            <v>-6</v>
          </cell>
          <cell r="X61">
            <v>-547</v>
          </cell>
          <cell r="Y61">
            <v>-779</v>
          </cell>
          <cell r="Z61">
            <v>-1326</v>
          </cell>
        </row>
        <row r="62">
          <cell r="R62">
            <v>-143</v>
          </cell>
          <cell r="S62">
            <v>-143</v>
          </cell>
          <cell r="U62">
            <v>-143</v>
          </cell>
          <cell r="W62">
            <v>-143</v>
          </cell>
          <cell r="X62">
            <v>0</v>
          </cell>
          <cell r="Y62">
            <v>0</v>
          </cell>
          <cell r="Z62">
            <v>0</v>
          </cell>
        </row>
        <row r="63">
          <cell r="C63">
            <v>234901</v>
          </cell>
          <cell r="D63">
            <v>-8048</v>
          </cell>
          <cell r="E63">
            <v>226853</v>
          </cell>
          <cell r="G63">
            <v>236106</v>
          </cell>
          <cell r="I63">
            <v>260553</v>
          </cell>
          <cell r="J63">
            <v>-676</v>
          </cell>
          <cell r="K63">
            <v>4627</v>
          </cell>
          <cell r="L63">
            <v>3951</v>
          </cell>
          <cell r="N63">
            <v>29328</v>
          </cell>
          <cell r="P63">
            <v>-14321</v>
          </cell>
          <cell r="Q63">
            <v>11213</v>
          </cell>
          <cell r="R63">
            <v>-166366</v>
          </cell>
          <cell r="S63">
            <v>-155153</v>
          </cell>
          <cell r="U63">
            <v>-136267</v>
          </cell>
          <cell r="W63">
            <v>-127347</v>
          </cell>
          <cell r="X63">
            <v>139075</v>
          </cell>
          <cell r="Y63">
            <v>-11806</v>
          </cell>
          <cell r="Z63">
            <v>127269</v>
          </cell>
        </row>
        <row r="64">
          <cell r="C64">
            <v>0</v>
          </cell>
          <cell r="D64">
            <v>0</v>
          </cell>
          <cell r="E64">
            <v>0</v>
          </cell>
          <cell r="G64">
            <v>0</v>
          </cell>
          <cell r="I64">
            <v>0</v>
          </cell>
          <cell r="J64">
            <v>0</v>
          </cell>
          <cell r="K64">
            <v>0</v>
          </cell>
          <cell r="L64">
            <v>0</v>
          </cell>
          <cell r="N64">
            <v>0</v>
          </cell>
          <cell r="P64">
            <v>0</v>
          </cell>
          <cell r="Q64">
            <v>0</v>
          </cell>
          <cell r="R64">
            <v>0</v>
          </cell>
          <cell r="S64">
            <v>0</v>
          </cell>
          <cell r="U64">
            <v>0</v>
          </cell>
          <cell r="W64">
            <v>0</v>
          </cell>
          <cell r="X64">
            <v>-4376</v>
          </cell>
          <cell r="Y64">
            <v>-12427</v>
          </cell>
          <cell r="Z64">
            <v>-16803</v>
          </cell>
        </row>
        <row r="65">
          <cell r="C65">
            <v>41217</v>
          </cell>
          <cell r="D65">
            <v>276118</v>
          </cell>
          <cell r="E65">
            <v>41217</v>
          </cell>
          <cell r="G65">
            <v>41217</v>
          </cell>
          <cell r="I65">
            <v>41217</v>
          </cell>
          <cell r="J65">
            <v>301770</v>
          </cell>
          <cell r="K65">
            <v>301094</v>
          </cell>
          <cell r="L65">
            <v>301770</v>
          </cell>
          <cell r="N65">
            <v>301770</v>
          </cell>
          <cell r="P65">
            <v>301770</v>
          </cell>
          <cell r="Q65">
            <v>287449</v>
          </cell>
          <cell r="R65">
            <v>298662</v>
          </cell>
          <cell r="S65">
            <v>287449</v>
          </cell>
          <cell r="U65">
            <v>287449</v>
          </cell>
          <cell r="W65">
            <v>287449</v>
          </cell>
          <cell r="X65">
            <v>53801</v>
          </cell>
          <cell r="Y65">
            <v>188500</v>
          </cell>
          <cell r="Z65">
            <v>53801</v>
          </cell>
        </row>
        <row r="66">
          <cell r="C66">
            <v>276118</v>
          </cell>
          <cell r="D66">
            <v>268070</v>
          </cell>
          <cell r="E66">
            <v>268070</v>
          </cell>
          <cell r="G66">
            <v>277323</v>
          </cell>
          <cell r="I66">
            <v>301770</v>
          </cell>
          <cell r="J66">
            <v>301094</v>
          </cell>
          <cell r="K66">
            <v>305721</v>
          </cell>
          <cell r="L66">
            <v>305721</v>
          </cell>
          <cell r="N66">
            <v>331098</v>
          </cell>
          <cell r="P66">
            <v>287449</v>
          </cell>
          <cell r="Q66">
            <v>298662</v>
          </cell>
          <cell r="R66">
            <v>132296</v>
          </cell>
          <cell r="S66">
            <v>132296</v>
          </cell>
          <cell r="U66">
            <v>151182</v>
          </cell>
          <cell r="W66">
            <v>160102</v>
          </cell>
          <cell r="X66">
            <v>188500</v>
          </cell>
          <cell r="Y66">
            <v>164267</v>
          </cell>
          <cell r="Z66">
            <v>164267</v>
          </cell>
        </row>
        <row r="69">
          <cell r="C69">
            <v>316</v>
          </cell>
          <cell r="D69">
            <v>313</v>
          </cell>
          <cell r="E69">
            <v>629</v>
          </cell>
          <cell r="G69">
            <v>629</v>
          </cell>
          <cell r="I69">
            <v>639</v>
          </cell>
          <cell r="J69">
            <v>114</v>
          </cell>
          <cell r="K69">
            <v>32</v>
          </cell>
          <cell r="L69">
            <v>146</v>
          </cell>
          <cell r="N69">
            <v>239</v>
          </cell>
          <cell r="P69">
            <v>0</v>
          </cell>
          <cell r="Q69">
            <v>0</v>
          </cell>
          <cell r="R69">
            <v>0</v>
          </cell>
          <cell r="S69">
            <v>0</v>
          </cell>
          <cell r="U69">
            <v>0</v>
          </cell>
          <cell r="W69">
            <v>0</v>
          </cell>
          <cell r="X69">
            <v>0</v>
          </cell>
          <cell r="Y69">
            <v>0</v>
          </cell>
          <cell r="Z69">
            <v>0</v>
          </cell>
        </row>
        <row r="70">
          <cell r="C70" t="str">
            <v>Q1-96</v>
          </cell>
          <cell r="D70" t="str">
            <v>Q2-96</v>
          </cell>
          <cell r="E70" t="str">
            <v>6m-96</v>
          </cell>
          <cell r="G70" t="str">
            <v>9m-96</v>
          </cell>
          <cell r="I70">
            <v>1996</v>
          </cell>
          <cell r="J70" t="str">
            <v>Q1-97</v>
          </cell>
          <cell r="K70" t="str">
            <v>Q2-97</v>
          </cell>
          <cell r="L70" t="str">
            <v>6m-97</v>
          </cell>
          <cell r="N70" t="str">
            <v>9m-97</v>
          </cell>
          <cell r="P70">
            <v>1997</v>
          </cell>
          <cell r="Q70" t="str">
            <v>Q1-98</v>
          </cell>
          <cell r="R70" t="str">
            <v>Q2-98</v>
          </cell>
          <cell r="S70" t="str">
            <v>6m-98</v>
          </cell>
          <cell r="U70" t="str">
            <v>9m-98</v>
          </cell>
          <cell r="W70">
            <v>1998</v>
          </cell>
          <cell r="X70" t="str">
            <v>Q1-99</v>
          </cell>
          <cell r="Y70" t="str">
            <v>Q2-99</v>
          </cell>
          <cell r="Z70" t="str">
            <v>6m-99</v>
          </cell>
        </row>
        <row r="71">
          <cell r="C71">
            <v>61</v>
          </cell>
          <cell r="D71">
            <v>-947</v>
          </cell>
          <cell r="E71">
            <v>-886</v>
          </cell>
          <cell r="G71">
            <v>-1248</v>
          </cell>
          <cell r="I71">
            <v>-5743</v>
          </cell>
          <cell r="J71">
            <v>-150</v>
          </cell>
          <cell r="K71">
            <v>-866</v>
          </cell>
          <cell r="L71">
            <v>-1016</v>
          </cell>
          <cell r="N71">
            <v>-2333</v>
          </cell>
          <cell r="P71">
            <v>-3138</v>
          </cell>
          <cell r="Q71">
            <v>-138</v>
          </cell>
          <cell r="R71">
            <v>-489</v>
          </cell>
          <cell r="S71">
            <v>-627</v>
          </cell>
          <cell r="U71">
            <v>-1558</v>
          </cell>
          <cell r="W71">
            <v>-1336</v>
          </cell>
          <cell r="X71">
            <v>-201</v>
          </cell>
          <cell r="Y71">
            <v>-328</v>
          </cell>
          <cell r="Z71">
            <v>-529</v>
          </cell>
        </row>
        <row r="72">
          <cell r="C72">
            <v>-5385</v>
          </cell>
          <cell r="D72">
            <v>-4883</v>
          </cell>
          <cell r="E72">
            <v>-10268</v>
          </cell>
          <cell r="G72">
            <v>-2115</v>
          </cell>
          <cell r="I72">
            <v>14138</v>
          </cell>
          <cell r="J72">
            <v>747</v>
          </cell>
          <cell r="K72">
            <v>4499</v>
          </cell>
          <cell r="L72">
            <v>5246</v>
          </cell>
          <cell r="N72">
            <v>30416</v>
          </cell>
          <cell r="P72">
            <v>33369</v>
          </cell>
          <cell r="Q72">
            <v>16809</v>
          </cell>
          <cell r="R72">
            <v>5739</v>
          </cell>
          <cell r="S72">
            <v>22548</v>
          </cell>
          <cell r="U72">
            <v>53212</v>
          </cell>
          <cell r="W72">
            <v>88207</v>
          </cell>
          <cell r="X72">
            <v>19432</v>
          </cell>
          <cell r="Y72">
            <v>22173</v>
          </cell>
          <cell r="Z72">
            <v>41605</v>
          </cell>
        </row>
        <row r="73">
          <cell r="C73">
            <v>295685</v>
          </cell>
          <cell r="D73">
            <v>291718</v>
          </cell>
          <cell r="I73">
            <v>314751</v>
          </cell>
          <cell r="J73">
            <v>319235</v>
          </cell>
          <cell r="K73">
            <v>325625</v>
          </cell>
          <cell r="P73">
            <v>310416</v>
          </cell>
          <cell r="Q73">
            <v>321418</v>
          </cell>
          <cell r="R73">
            <v>156172</v>
          </cell>
          <cell r="S73">
            <v>74788</v>
          </cell>
          <cell r="U73">
            <v>85788</v>
          </cell>
          <cell r="W73">
            <v>185354</v>
          </cell>
          <cell r="X73">
            <v>188500</v>
          </cell>
          <cell r="Y73">
            <v>188015</v>
          </cell>
        </row>
        <row r="74">
          <cell r="B74">
            <v>76651</v>
          </cell>
          <cell r="C74">
            <v>85773</v>
          </cell>
          <cell r="D74">
            <v>95571</v>
          </cell>
          <cell r="E74">
            <v>-7624</v>
          </cell>
          <cell r="F74">
            <v>96813</v>
          </cell>
          <cell r="G74">
            <v>-7724</v>
          </cell>
          <cell r="H74">
            <v>91170</v>
          </cell>
          <cell r="I74">
            <v>91170</v>
          </cell>
          <cell r="J74">
            <v>96642</v>
          </cell>
          <cell r="K74">
            <v>100700</v>
          </cell>
          <cell r="L74">
            <v>-10754</v>
          </cell>
          <cell r="M74">
            <v>97558</v>
          </cell>
          <cell r="N74">
            <v>-13788</v>
          </cell>
          <cell r="O74">
            <v>101161</v>
          </cell>
          <cell r="P74">
            <v>101161</v>
          </cell>
          <cell r="Q74">
            <v>105085</v>
          </cell>
          <cell r="R74">
            <v>121727</v>
          </cell>
          <cell r="S74">
            <v>-50212</v>
          </cell>
          <cell r="T74">
            <v>125119</v>
          </cell>
          <cell r="U74">
            <v>-144054</v>
          </cell>
          <cell r="V74">
            <v>137912</v>
          </cell>
          <cell r="W74">
            <v>137912</v>
          </cell>
          <cell r="X74">
            <v>70096</v>
          </cell>
          <cell r="Y74">
            <v>69790</v>
          </cell>
          <cell r="Z74">
            <v>89269</v>
          </cell>
          <cell r="AA74">
            <v>65807</v>
          </cell>
          <cell r="AB74">
            <v>-58487</v>
          </cell>
          <cell r="AD74">
            <v>-22973</v>
          </cell>
          <cell r="AE74">
            <v>-81460</v>
          </cell>
          <cell r="AF74">
            <v>-10792</v>
          </cell>
          <cell r="AG74">
            <v>0</v>
          </cell>
          <cell r="AH74">
            <v>-10792</v>
          </cell>
          <cell r="AI74">
            <v>-326485</v>
          </cell>
          <cell r="AJ74">
            <v>-337277</v>
          </cell>
          <cell r="AL74">
            <v>-337277</v>
          </cell>
        </row>
        <row r="75">
          <cell r="C75">
            <v>31466</v>
          </cell>
          <cell r="D75">
            <v>33830</v>
          </cell>
          <cell r="E75">
            <v>0</v>
          </cell>
          <cell r="G75">
            <v>0</v>
          </cell>
          <cell r="I75">
            <v>32003</v>
          </cell>
          <cell r="J75">
            <v>31447</v>
          </cell>
          <cell r="K75">
            <v>32511</v>
          </cell>
          <cell r="L75">
            <v>0</v>
          </cell>
          <cell r="N75">
            <v>0</v>
          </cell>
          <cell r="P75">
            <v>30688</v>
          </cell>
          <cell r="Q75">
            <v>28910</v>
          </cell>
          <cell r="R75">
            <v>34061</v>
          </cell>
          <cell r="S75">
            <v>0</v>
          </cell>
          <cell r="U75">
            <v>0</v>
          </cell>
          <cell r="W75">
            <v>35338</v>
          </cell>
          <cell r="X75">
            <v>3190</v>
          </cell>
          <cell r="Y75">
            <v>5480</v>
          </cell>
          <cell r="Z75">
            <v>0</v>
          </cell>
        </row>
        <row r="76">
          <cell r="C76">
            <v>2482</v>
          </cell>
          <cell r="D76">
            <v>3325</v>
          </cell>
          <cell r="I76">
            <v>1619</v>
          </cell>
          <cell r="J76">
            <v>3057</v>
          </cell>
          <cell r="K76">
            <v>3598</v>
          </cell>
          <cell r="P76">
            <v>3822</v>
          </cell>
          <cell r="Q76">
            <v>4554</v>
          </cell>
          <cell r="R76">
            <v>6612</v>
          </cell>
          <cell r="S76">
            <v>-9788</v>
          </cell>
          <cell r="U76">
            <v>-13912</v>
          </cell>
          <cell r="W76">
            <v>5348</v>
          </cell>
          <cell r="X76">
            <v>2968</v>
          </cell>
          <cell r="Y76">
            <v>2921</v>
          </cell>
        </row>
        <row r="77">
          <cell r="C77">
            <v>0</v>
          </cell>
          <cell r="D77">
            <v>0</v>
          </cell>
          <cell r="I77">
            <v>1100</v>
          </cell>
          <cell r="J77">
            <v>0</v>
          </cell>
          <cell r="K77">
            <v>0</v>
          </cell>
          <cell r="P77">
            <v>1100</v>
          </cell>
          <cell r="Q77">
            <v>0</v>
          </cell>
          <cell r="R77">
            <v>0</v>
          </cell>
          <cell r="S77">
            <v>0</v>
          </cell>
          <cell r="U77">
            <v>0</v>
          </cell>
          <cell r="W77">
            <v>0</v>
          </cell>
          <cell r="X77">
            <v>0</v>
          </cell>
          <cell r="Y77">
            <v>0</v>
          </cell>
        </row>
        <row r="78">
          <cell r="C78">
            <v>0</v>
          </cell>
          <cell r="D78">
            <v>0</v>
          </cell>
          <cell r="E78">
            <v>0</v>
          </cell>
          <cell r="G78">
            <v>0</v>
          </cell>
          <cell r="I78">
            <v>0</v>
          </cell>
          <cell r="J78">
            <v>0</v>
          </cell>
          <cell r="K78">
            <v>0</v>
          </cell>
          <cell r="L78">
            <v>0</v>
          </cell>
          <cell r="N78">
            <v>0</v>
          </cell>
          <cell r="P78">
            <v>0</v>
          </cell>
          <cell r="Q78">
            <v>0</v>
          </cell>
          <cell r="R78">
            <v>0</v>
          </cell>
          <cell r="S78">
            <v>-16214</v>
          </cell>
          <cell r="U78">
            <v>-16214</v>
          </cell>
          <cell r="W78">
            <v>0</v>
          </cell>
          <cell r="X78">
            <v>115896</v>
          </cell>
          <cell r="Y78">
            <v>112315</v>
          </cell>
          <cell r="Z78">
            <v>0</v>
          </cell>
        </row>
        <row r="79">
          <cell r="C79">
            <v>-12226</v>
          </cell>
          <cell r="D79">
            <v>-5666</v>
          </cell>
          <cell r="E79">
            <v>-17892</v>
          </cell>
          <cell r="G79">
            <v>-9839</v>
          </cell>
          <cell r="I79">
            <v>6369</v>
          </cell>
          <cell r="J79">
            <v>-4223</v>
          </cell>
          <cell r="K79">
            <v>-1285</v>
          </cell>
          <cell r="L79">
            <v>-5508</v>
          </cell>
          <cell r="N79">
            <v>16628</v>
          </cell>
          <cell r="P79">
            <v>-63183</v>
          </cell>
          <cell r="Q79">
            <v>66730</v>
          </cell>
          <cell r="R79">
            <v>-45608</v>
          </cell>
          <cell r="S79">
            <v>21122</v>
          </cell>
          <cell r="U79">
            <v>-35180</v>
          </cell>
          <cell r="W79">
            <v>-21528</v>
          </cell>
          <cell r="X79">
            <v>138270</v>
          </cell>
          <cell r="Y79">
            <v>-7396</v>
          </cell>
          <cell r="Z79">
            <v>130874</v>
          </cell>
        </row>
        <row r="80">
          <cell r="C80">
            <v>415406</v>
          </cell>
          <cell r="D80">
            <v>424444</v>
          </cell>
          <cell r="E80">
            <v>-17830</v>
          </cell>
          <cell r="G80">
            <v>-21580</v>
          </cell>
          <cell r="I80">
            <v>440643</v>
          </cell>
          <cell r="J80">
            <v>450381</v>
          </cell>
          <cell r="K80">
            <v>462434</v>
          </cell>
          <cell r="L80">
            <v>-35068</v>
          </cell>
          <cell r="N80">
            <v>-42614</v>
          </cell>
          <cell r="P80">
            <v>447187</v>
          </cell>
          <cell r="Q80">
            <v>459967</v>
          </cell>
          <cell r="R80">
            <v>318572</v>
          </cell>
          <cell r="S80">
            <v>-14514</v>
          </cell>
          <cell r="U80">
            <v>-105865</v>
          </cell>
          <cell r="W80">
            <v>363952</v>
          </cell>
          <cell r="X80">
            <v>380650</v>
          </cell>
          <cell r="Y80">
            <v>378521</v>
          </cell>
          <cell r="Z80">
            <v>73134</v>
          </cell>
        </row>
        <row r="82">
          <cell r="C82">
            <v>27371</v>
          </cell>
          <cell r="D82">
            <v>23871</v>
          </cell>
          <cell r="I82">
            <v>12166</v>
          </cell>
          <cell r="J82">
            <v>25210</v>
          </cell>
          <cell r="K82">
            <v>29747</v>
          </cell>
          <cell r="P82">
            <v>65465</v>
          </cell>
          <cell r="Q82">
            <v>70385</v>
          </cell>
          <cell r="R82">
            <v>75445</v>
          </cell>
          <cell r="W82">
            <v>103746</v>
          </cell>
          <cell r="X82">
            <v>103810</v>
          </cell>
          <cell r="Y82">
            <v>109599</v>
          </cell>
        </row>
        <row r="83">
          <cell r="C83">
            <v>65329</v>
          </cell>
          <cell r="D83">
            <v>69110</v>
          </cell>
          <cell r="I83">
            <v>75143</v>
          </cell>
          <cell r="J83">
            <v>81829</v>
          </cell>
          <cell r="K83">
            <v>94504</v>
          </cell>
          <cell r="P83">
            <v>108937</v>
          </cell>
          <cell r="Q83">
            <v>111098</v>
          </cell>
          <cell r="R83">
            <v>116633</v>
          </cell>
          <cell r="S83">
            <v>1587</v>
          </cell>
          <cell r="U83">
            <v>435</v>
          </cell>
          <cell r="W83">
            <v>121405</v>
          </cell>
          <cell r="X83">
            <v>107238</v>
          </cell>
          <cell r="Y83">
            <v>110690</v>
          </cell>
        </row>
        <row r="84">
          <cell r="C84">
            <v>24930</v>
          </cell>
          <cell r="D84">
            <v>24591</v>
          </cell>
          <cell r="E84">
            <v>30</v>
          </cell>
          <cell r="G84">
            <v>119</v>
          </cell>
          <cell r="I84">
            <v>0</v>
          </cell>
          <cell r="J84">
            <v>23701</v>
          </cell>
          <cell r="K84">
            <v>23327</v>
          </cell>
          <cell r="L84">
            <v>6649</v>
          </cell>
          <cell r="N84">
            <v>8885</v>
          </cell>
          <cell r="P84">
            <v>0</v>
          </cell>
          <cell r="Q84">
            <v>0</v>
          </cell>
          <cell r="R84">
            <v>0</v>
          </cell>
          <cell r="S84">
            <v>1498</v>
          </cell>
          <cell r="U84">
            <v>1498</v>
          </cell>
          <cell r="W84">
            <v>0</v>
          </cell>
          <cell r="X84">
            <v>0</v>
          </cell>
          <cell r="Y84">
            <v>0</v>
          </cell>
          <cell r="Z84">
            <v>-2276</v>
          </cell>
        </row>
        <row r="85">
          <cell r="C85">
            <v>1938</v>
          </cell>
          <cell r="D85">
            <v>2793</v>
          </cell>
          <cell r="E85">
            <v>-4927</v>
          </cell>
          <cell r="G85">
            <v>-6150</v>
          </cell>
          <cell r="I85">
            <v>44313</v>
          </cell>
          <cell r="J85">
            <v>6266</v>
          </cell>
          <cell r="K85">
            <v>7306</v>
          </cell>
          <cell r="L85">
            <v>-887</v>
          </cell>
          <cell r="N85">
            <v>-1980</v>
          </cell>
          <cell r="P85">
            <v>33683</v>
          </cell>
          <cell r="Q85">
            <v>31743</v>
          </cell>
          <cell r="R85">
            <v>39456</v>
          </cell>
          <cell r="S85">
            <v>-945</v>
          </cell>
          <cell r="U85">
            <v>-8086</v>
          </cell>
          <cell r="W85">
            <v>40887</v>
          </cell>
          <cell r="X85">
            <v>11023</v>
          </cell>
          <cell r="Y85">
            <v>11608</v>
          </cell>
          <cell r="Z85">
            <v>-3660</v>
          </cell>
        </row>
        <row r="86">
          <cell r="C86">
            <v>0</v>
          </cell>
          <cell r="D86">
            <v>0</v>
          </cell>
          <cell r="E86">
            <v>2500</v>
          </cell>
          <cell r="G86">
            <v>5000</v>
          </cell>
          <cell r="I86">
            <v>0</v>
          </cell>
          <cell r="J86">
            <v>0</v>
          </cell>
          <cell r="K86">
            <v>0</v>
          </cell>
          <cell r="L86">
            <v>1250</v>
          </cell>
          <cell r="N86">
            <v>2650</v>
          </cell>
          <cell r="P86">
            <v>0</v>
          </cell>
          <cell r="Q86">
            <v>0</v>
          </cell>
          <cell r="R86">
            <v>0</v>
          </cell>
          <cell r="S86">
            <v>0</v>
          </cell>
          <cell r="U86">
            <v>0</v>
          </cell>
          <cell r="W86">
            <v>0</v>
          </cell>
          <cell r="X86">
            <v>46839</v>
          </cell>
          <cell r="Y86">
            <v>44422</v>
          </cell>
          <cell r="Z86">
            <v>0</v>
          </cell>
        </row>
        <row r="87">
          <cell r="C87">
            <v>119568</v>
          </cell>
          <cell r="D87">
            <v>120365</v>
          </cell>
          <cell r="E87">
            <v>246713</v>
          </cell>
          <cell r="G87">
            <v>247079</v>
          </cell>
          <cell r="I87">
            <v>131622</v>
          </cell>
          <cell r="J87">
            <v>137006</v>
          </cell>
          <cell r="K87">
            <v>154884</v>
          </cell>
          <cell r="L87">
            <v>1975</v>
          </cell>
          <cell r="N87">
            <v>2531</v>
          </cell>
          <cell r="P87">
            <v>208085</v>
          </cell>
          <cell r="Q87">
            <v>213226</v>
          </cell>
          <cell r="R87">
            <v>231534</v>
          </cell>
          <cell r="S87">
            <v>871</v>
          </cell>
          <cell r="U87">
            <v>2636</v>
          </cell>
          <cell r="W87">
            <v>266038</v>
          </cell>
          <cell r="X87">
            <v>268910</v>
          </cell>
          <cell r="Y87">
            <v>276319</v>
          </cell>
          <cell r="Z87">
            <v>3657</v>
          </cell>
        </row>
        <row r="88">
          <cell r="C88">
            <v>534974</v>
          </cell>
          <cell r="D88">
            <v>544809</v>
          </cell>
          <cell r="E88">
            <v>0</v>
          </cell>
          <cell r="G88">
            <v>0</v>
          </cell>
          <cell r="I88">
            <v>572265</v>
          </cell>
          <cell r="J88">
            <v>587387</v>
          </cell>
          <cell r="K88">
            <v>617318</v>
          </cell>
          <cell r="L88">
            <v>0</v>
          </cell>
          <cell r="N88">
            <v>0</v>
          </cell>
          <cell r="P88">
            <v>655272</v>
          </cell>
          <cell r="Q88">
            <v>673193</v>
          </cell>
          <cell r="R88">
            <v>550106</v>
          </cell>
          <cell r="S88">
            <v>-150000</v>
          </cell>
          <cell r="U88">
            <v>-150000</v>
          </cell>
          <cell r="W88">
            <v>629990</v>
          </cell>
          <cell r="X88">
            <v>649560</v>
          </cell>
          <cell r="Y88">
            <v>654840</v>
          </cell>
          <cell r="Z88">
            <v>0</v>
          </cell>
        </row>
        <row r="89">
          <cell r="C89">
            <v>-17</v>
          </cell>
          <cell r="D89">
            <v>-31</v>
          </cell>
          <cell r="E89">
            <v>-48</v>
          </cell>
          <cell r="G89">
            <v>76</v>
          </cell>
          <cell r="I89">
            <v>977</v>
          </cell>
          <cell r="J89">
            <v>93</v>
          </cell>
          <cell r="K89">
            <v>12</v>
          </cell>
          <cell r="L89">
            <v>105</v>
          </cell>
          <cell r="N89">
            <v>229</v>
          </cell>
          <cell r="P89">
            <v>0</v>
          </cell>
          <cell r="Q89">
            <v>0</v>
          </cell>
          <cell r="R89">
            <v>0</v>
          </cell>
          <cell r="S89">
            <v>0</v>
          </cell>
          <cell r="U89">
            <v>0</v>
          </cell>
          <cell r="W89">
            <v>0</v>
          </cell>
          <cell r="X89">
            <v>0</v>
          </cell>
          <cell r="Y89">
            <v>0</v>
          </cell>
          <cell r="Z89">
            <v>0</v>
          </cell>
        </row>
        <row r="90">
          <cell r="C90">
            <v>247354</v>
          </cell>
          <cell r="D90">
            <v>-3086</v>
          </cell>
          <cell r="E90">
            <v>244268</v>
          </cell>
          <cell r="G90">
            <v>246124</v>
          </cell>
          <cell r="I90">
            <v>254295</v>
          </cell>
          <cell r="J90">
            <v>3177</v>
          </cell>
          <cell r="K90">
            <v>5915</v>
          </cell>
          <cell r="L90">
            <v>9092</v>
          </cell>
          <cell r="N90">
            <v>12315</v>
          </cell>
          <cell r="P90">
            <v>10217</v>
          </cell>
          <cell r="Q90">
            <v>642</v>
          </cell>
          <cell r="R90">
            <v>-147631</v>
          </cell>
          <cell r="S90">
            <v>-146989</v>
          </cell>
          <cell r="U90">
            <v>-153517</v>
          </cell>
          <cell r="W90">
            <v>-150641</v>
          </cell>
          <cell r="X90">
            <v>1352</v>
          </cell>
          <cell r="Y90">
            <v>-3631</v>
          </cell>
          <cell r="Z90">
            <v>-2279</v>
          </cell>
        </row>
        <row r="92">
          <cell r="C92">
            <v>19567</v>
          </cell>
          <cell r="D92">
            <v>23648</v>
          </cell>
          <cell r="E92">
            <v>477</v>
          </cell>
          <cell r="G92">
            <v>-179</v>
          </cell>
          <cell r="I92">
            <v>12981</v>
          </cell>
          <cell r="J92">
            <v>18141</v>
          </cell>
          <cell r="K92">
            <v>19904</v>
          </cell>
          <cell r="L92">
            <v>367</v>
          </cell>
          <cell r="N92">
            <v>385</v>
          </cell>
          <cell r="P92">
            <v>22967</v>
          </cell>
          <cell r="Q92">
            <v>22756</v>
          </cell>
          <cell r="R92">
            <v>23876</v>
          </cell>
          <cell r="S92">
            <v>407</v>
          </cell>
          <cell r="U92">
            <v>2166</v>
          </cell>
          <cell r="W92">
            <v>25252</v>
          </cell>
          <cell r="X92">
            <v>0</v>
          </cell>
          <cell r="Y92">
            <v>0</v>
          </cell>
          <cell r="Z92">
            <v>-1326</v>
          </cell>
        </row>
        <row r="93">
          <cell r="C93">
            <v>38462</v>
          </cell>
          <cell r="D93">
            <v>42022</v>
          </cell>
          <cell r="I93">
            <v>48571</v>
          </cell>
          <cell r="J93">
            <v>41943</v>
          </cell>
          <cell r="K93">
            <v>44204</v>
          </cell>
          <cell r="P93">
            <v>49898</v>
          </cell>
          <cell r="Q93">
            <v>49112</v>
          </cell>
          <cell r="R93">
            <v>48763</v>
          </cell>
          <cell r="W93">
            <v>53288</v>
          </cell>
          <cell r="X93">
            <v>29574</v>
          </cell>
          <cell r="Y93">
            <v>23910</v>
          </cell>
        </row>
        <row r="94">
          <cell r="C94">
            <v>3218</v>
          </cell>
          <cell r="D94">
            <v>2970</v>
          </cell>
          <cell r="E94">
            <v>226853</v>
          </cell>
          <cell r="G94">
            <v>236106</v>
          </cell>
          <cell r="I94">
            <v>0</v>
          </cell>
          <cell r="J94">
            <v>3104</v>
          </cell>
          <cell r="K94">
            <v>2247</v>
          </cell>
          <cell r="L94">
            <v>3951</v>
          </cell>
          <cell r="N94">
            <v>29328</v>
          </cell>
          <cell r="P94">
            <v>0</v>
          </cell>
          <cell r="Q94">
            <v>0</v>
          </cell>
          <cell r="R94">
            <v>0</v>
          </cell>
          <cell r="S94">
            <v>-125460</v>
          </cell>
          <cell r="U94">
            <v>-186531</v>
          </cell>
          <cell r="W94">
            <v>0</v>
          </cell>
          <cell r="X94">
            <v>0</v>
          </cell>
          <cell r="Y94">
            <v>0</v>
          </cell>
          <cell r="Z94">
            <v>127269</v>
          </cell>
        </row>
        <row r="95">
          <cell r="C95">
            <v>3713</v>
          </cell>
          <cell r="D95">
            <v>4413</v>
          </cell>
          <cell r="E95">
            <v>0</v>
          </cell>
          <cell r="G95">
            <v>0</v>
          </cell>
          <cell r="I95">
            <v>0</v>
          </cell>
          <cell r="J95">
            <v>2586</v>
          </cell>
          <cell r="K95">
            <v>3164</v>
          </cell>
          <cell r="L95">
            <v>0</v>
          </cell>
          <cell r="N95">
            <v>0</v>
          </cell>
          <cell r="P95">
            <v>0</v>
          </cell>
          <cell r="Q95">
            <v>0</v>
          </cell>
          <cell r="R95">
            <v>0</v>
          </cell>
          <cell r="S95">
            <v>760</v>
          </cell>
          <cell r="U95">
            <v>2034</v>
          </cell>
          <cell r="W95">
            <v>0</v>
          </cell>
          <cell r="X95">
            <v>-4376</v>
          </cell>
          <cell r="Y95">
            <v>0</v>
          </cell>
          <cell r="Z95">
            <v>-16803</v>
          </cell>
        </row>
        <row r="96">
          <cell r="C96">
            <v>6265</v>
          </cell>
          <cell r="D96">
            <v>13767</v>
          </cell>
          <cell r="I96">
            <v>16349</v>
          </cell>
          <cell r="J96">
            <v>16399</v>
          </cell>
          <cell r="K96">
            <v>4772</v>
          </cell>
          <cell r="P96">
            <v>9039</v>
          </cell>
          <cell r="Q96">
            <v>8683</v>
          </cell>
          <cell r="R96">
            <v>21518</v>
          </cell>
          <cell r="W96">
            <v>14329</v>
          </cell>
          <cell r="X96">
            <v>941</v>
          </cell>
          <cell r="Y96">
            <v>600</v>
          </cell>
        </row>
        <row r="97">
          <cell r="C97">
            <v>0</v>
          </cell>
          <cell r="D97">
            <v>0</v>
          </cell>
          <cell r="E97">
            <v>226853</v>
          </cell>
          <cell r="G97">
            <v>236106</v>
          </cell>
          <cell r="I97">
            <v>0</v>
          </cell>
          <cell r="J97">
            <v>0</v>
          </cell>
          <cell r="K97">
            <v>0</v>
          </cell>
          <cell r="L97">
            <v>3951</v>
          </cell>
          <cell r="N97">
            <v>29328</v>
          </cell>
          <cell r="P97">
            <v>0</v>
          </cell>
          <cell r="Q97">
            <v>0</v>
          </cell>
          <cell r="R97">
            <v>0</v>
          </cell>
          <cell r="S97">
            <v>-124700</v>
          </cell>
          <cell r="U97">
            <v>-184497</v>
          </cell>
          <cell r="W97">
            <v>0</v>
          </cell>
          <cell r="X97">
            <v>61318</v>
          </cell>
          <cell r="Y97">
            <v>47949</v>
          </cell>
          <cell r="Z97">
            <v>110466</v>
          </cell>
        </row>
        <row r="98">
          <cell r="C98">
            <v>71225</v>
          </cell>
          <cell r="D98">
            <v>86820</v>
          </cell>
          <cell r="E98">
            <v>41217</v>
          </cell>
          <cell r="G98">
            <v>41217</v>
          </cell>
          <cell r="I98">
            <v>77901</v>
          </cell>
          <cell r="J98">
            <v>82173</v>
          </cell>
          <cell r="K98">
            <v>74291</v>
          </cell>
          <cell r="L98">
            <v>301770</v>
          </cell>
          <cell r="N98">
            <v>301770</v>
          </cell>
          <cell r="P98">
            <v>81904</v>
          </cell>
          <cell r="Q98">
            <v>80551</v>
          </cell>
          <cell r="R98">
            <v>94157</v>
          </cell>
          <cell r="S98">
            <v>221398</v>
          </cell>
          <cell r="U98">
            <v>221398</v>
          </cell>
          <cell r="W98">
            <v>92869</v>
          </cell>
          <cell r="X98">
            <v>91833</v>
          </cell>
          <cell r="Y98">
            <v>72459</v>
          </cell>
          <cell r="Z98">
            <v>53801</v>
          </cell>
        </row>
        <row r="99">
          <cell r="C99">
            <v>276118</v>
          </cell>
          <cell r="D99">
            <v>268070</v>
          </cell>
          <cell r="E99">
            <v>268070</v>
          </cell>
          <cell r="G99">
            <v>277323</v>
          </cell>
          <cell r="I99">
            <v>301770</v>
          </cell>
          <cell r="J99">
            <v>301094</v>
          </cell>
          <cell r="K99">
            <v>305721</v>
          </cell>
          <cell r="L99">
            <v>305721</v>
          </cell>
          <cell r="N99">
            <v>331098</v>
          </cell>
          <cell r="P99">
            <v>221398</v>
          </cell>
          <cell r="Q99">
            <v>287004</v>
          </cell>
          <cell r="R99">
            <v>96698</v>
          </cell>
          <cell r="S99">
            <v>96698</v>
          </cell>
          <cell r="U99">
            <v>36901</v>
          </cell>
          <cell r="W99">
            <v>53801</v>
          </cell>
          <cell r="X99">
            <v>188500</v>
          </cell>
          <cell r="Y99">
            <v>164267</v>
          </cell>
          <cell r="Z99">
            <v>164267</v>
          </cell>
        </row>
        <row r="100">
          <cell r="C100">
            <v>68448</v>
          </cell>
          <cell r="D100">
            <v>57053</v>
          </cell>
          <cell r="I100">
            <v>57706</v>
          </cell>
          <cell r="J100">
            <v>60803</v>
          </cell>
          <cell r="K100">
            <v>75146</v>
          </cell>
          <cell r="P100">
            <v>58269</v>
          </cell>
          <cell r="Q100">
            <v>57890</v>
          </cell>
          <cell r="R100">
            <v>47056</v>
          </cell>
          <cell r="W100">
            <v>52515</v>
          </cell>
          <cell r="X100">
            <v>12470</v>
          </cell>
          <cell r="Y100">
            <v>9150</v>
          </cell>
        </row>
        <row r="101">
          <cell r="C101">
            <v>1150</v>
          </cell>
          <cell r="D101">
            <v>1083</v>
          </cell>
          <cell r="I101">
            <v>1354</v>
          </cell>
          <cell r="J101">
            <v>648</v>
          </cell>
          <cell r="K101">
            <v>99</v>
          </cell>
          <cell r="P101">
            <v>0</v>
          </cell>
          <cell r="Q101">
            <v>0</v>
          </cell>
          <cell r="R101">
            <v>0</v>
          </cell>
          <cell r="W101">
            <v>0</v>
          </cell>
          <cell r="X101">
            <v>0</v>
          </cell>
          <cell r="Y101">
            <v>0</v>
          </cell>
        </row>
        <row r="102">
          <cell r="C102">
            <v>5674</v>
          </cell>
          <cell r="D102">
            <v>5891</v>
          </cell>
          <cell r="I102">
            <v>6929</v>
          </cell>
          <cell r="J102">
            <v>4156</v>
          </cell>
          <cell r="K102">
            <v>4079</v>
          </cell>
          <cell r="P102">
            <v>4134</v>
          </cell>
          <cell r="Q102">
            <v>3943</v>
          </cell>
          <cell r="R102">
            <v>4234</v>
          </cell>
          <cell r="W102">
            <v>4786</v>
          </cell>
          <cell r="X102">
            <v>0</v>
          </cell>
          <cell r="Y102">
            <v>0</v>
          </cell>
        </row>
        <row r="103">
          <cell r="C103">
            <v>7355</v>
          </cell>
          <cell r="D103">
            <v>7369</v>
          </cell>
          <cell r="E103" t="str">
            <v>6m-96</v>
          </cell>
          <cell r="G103" t="str">
            <v>9m-96</v>
          </cell>
          <cell r="I103">
            <v>12543</v>
          </cell>
          <cell r="J103">
            <v>11920</v>
          </cell>
          <cell r="K103">
            <v>12716</v>
          </cell>
          <cell r="L103" t="str">
            <v>6m-97</v>
          </cell>
          <cell r="N103" t="str">
            <v>9m-97</v>
          </cell>
          <cell r="P103">
            <v>12897</v>
          </cell>
          <cell r="Q103">
            <v>12085</v>
          </cell>
          <cell r="R103">
            <v>2067</v>
          </cell>
          <cell r="S103" t="str">
            <v>6m-98</v>
          </cell>
          <cell r="U103" t="str">
            <v>9m-98</v>
          </cell>
          <cell r="W103">
            <v>1199</v>
          </cell>
          <cell r="X103" t="str">
            <v>Q1-99</v>
          </cell>
          <cell r="Y103">
            <v>0</v>
          </cell>
        </row>
        <row r="104">
          <cell r="C104">
            <v>0</v>
          </cell>
          <cell r="D104">
            <v>0</v>
          </cell>
          <cell r="I104">
            <v>0</v>
          </cell>
          <cell r="J104">
            <v>0</v>
          </cell>
          <cell r="K104">
            <v>0</v>
          </cell>
          <cell r="P104">
            <v>0</v>
          </cell>
          <cell r="Q104">
            <v>0</v>
          </cell>
          <cell r="R104">
            <v>0</v>
          </cell>
          <cell r="W104">
            <v>0</v>
          </cell>
          <cell r="X104">
            <v>39821</v>
          </cell>
          <cell r="Y104">
            <v>37934</v>
          </cell>
        </row>
        <row r="105">
          <cell r="C105">
            <v>82627</v>
          </cell>
          <cell r="D105">
            <v>71396</v>
          </cell>
          <cell r="I105">
            <v>78532</v>
          </cell>
          <cell r="J105">
            <v>77527</v>
          </cell>
          <cell r="K105">
            <v>92040</v>
          </cell>
          <cell r="P105">
            <v>75300</v>
          </cell>
          <cell r="Q105">
            <v>73918</v>
          </cell>
          <cell r="R105">
            <v>53357</v>
          </cell>
          <cell r="W105">
            <v>58500</v>
          </cell>
          <cell r="X105">
            <v>52291</v>
          </cell>
          <cell r="Y105">
            <v>47084</v>
          </cell>
        </row>
        <row r="106">
          <cell r="C106">
            <v>153852</v>
          </cell>
          <cell r="D106">
            <v>158216</v>
          </cell>
          <cell r="I106">
            <v>156433</v>
          </cell>
          <cell r="J106">
            <v>159700</v>
          </cell>
          <cell r="K106">
            <v>166331</v>
          </cell>
          <cell r="P106">
            <v>157204</v>
          </cell>
          <cell r="Q106">
            <v>154469</v>
          </cell>
          <cell r="R106">
            <v>147514</v>
          </cell>
          <cell r="W106">
            <v>151369</v>
          </cell>
          <cell r="X106">
            <v>144124</v>
          </cell>
          <cell r="Y106">
            <v>119543</v>
          </cell>
        </row>
        <row r="107">
          <cell r="C107">
            <v>381122</v>
          </cell>
          <cell r="D107">
            <v>386593</v>
          </cell>
          <cell r="I107">
            <v>415832</v>
          </cell>
          <cell r="J107">
            <v>427687</v>
          </cell>
          <cell r="K107">
            <v>450987</v>
          </cell>
          <cell r="P107">
            <v>498068</v>
          </cell>
          <cell r="Q107">
            <v>518724</v>
          </cell>
          <cell r="R107">
            <v>402592</v>
          </cell>
          <cell r="W107">
            <v>478621</v>
          </cell>
          <cell r="X107">
            <v>505436</v>
          </cell>
          <cell r="Y107">
            <v>535297</v>
          </cell>
        </row>
        <row r="108">
          <cell r="C108">
            <v>534974</v>
          </cell>
          <cell r="D108">
            <v>544809</v>
          </cell>
          <cell r="I108">
            <v>572265</v>
          </cell>
          <cell r="J108">
            <v>587387</v>
          </cell>
          <cell r="K108">
            <v>617318</v>
          </cell>
          <cell r="P108">
            <v>655272</v>
          </cell>
          <cell r="Q108">
            <v>673193</v>
          </cell>
          <cell r="R108">
            <v>550106</v>
          </cell>
          <cell r="W108">
            <v>629990</v>
          </cell>
          <cell r="X108">
            <v>649560</v>
          </cell>
          <cell r="Y108">
            <v>654840</v>
          </cell>
        </row>
        <row r="109">
          <cell r="C109">
            <v>2482</v>
          </cell>
          <cell r="D109">
            <v>3325</v>
          </cell>
          <cell r="I109">
            <v>1619</v>
          </cell>
          <cell r="J109">
            <v>3057</v>
          </cell>
          <cell r="K109">
            <v>3598</v>
          </cell>
          <cell r="P109">
            <v>3822</v>
          </cell>
          <cell r="Q109">
            <v>1294</v>
          </cell>
          <cell r="R109">
            <v>3097</v>
          </cell>
          <cell r="W109">
            <v>2464</v>
          </cell>
          <cell r="X109">
            <v>2968</v>
          </cell>
          <cell r="Y109">
            <v>2921</v>
          </cell>
        </row>
        <row r="110">
          <cell r="C110">
            <v>0</v>
          </cell>
          <cell r="D110">
            <v>0</v>
          </cell>
          <cell r="I110">
            <v>0</v>
          </cell>
          <cell r="J110">
            <v>0</v>
          </cell>
          <cell r="K110">
            <v>0</v>
          </cell>
          <cell r="P110">
            <v>0</v>
          </cell>
          <cell r="Q110">
            <v>0</v>
          </cell>
          <cell r="R110">
            <v>0</v>
          </cell>
          <cell r="W110">
            <v>0</v>
          </cell>
          <cell r="X110">
            <v>0</v>
          </cell>
          <cell r="Y110">
            <v>0</v>
          </cell>
        </row>
        <row r="111">
          <cell r="C111">
            <v>0</v>
          </cell>
          <cell r="D111">
            <v>0</v>
          </cell>
          <cell r="I111">
            <v>0</v>
          </cell>
          <cell r="J111">
            <v>0</v>
          </cell>
          <cell r="K111">
            <v>0</v>
          </cell>
          <cell r="P111">
            <v>0</v>
          </cell>
          <cell r="Q111">
            <v>116992</v>
          </cell>
          <cell r="R111">
            <v>119981</v>
          </cell>
          <cell r="W111">
            <v>123586</v>
          </cell>
          <cell r="X111">
            <v>115896</v>
          </cell>
          <cell r="Y111">
            <v>112315</v>
          </cell>
        </row>
        <row r="113">
          <cell r="C113">
            <v>415406</v>
          </cell>
          <cell r="D113">
            <v>424444</v>
          </cell>
          <cell r="I113">
            <v>440643</v>
          </cell>
          <cell r="J113">
            <v>450381</v>
          </cell>
          <cell r="K113">
            <v>462434</v>
          </cell>
          <cell r="P113">
            <v>447187</v>
          </cell>
          <cell r="Q113">
            <v>462080</v>
          </cell>
          <cell r="R113">
            <v>320860</v>
          </cell>
          <cell r="W113">
            <v>367329</v>
          </cell>
          <cell r="X113">
            <v>380650</v>
          </cell>
          <cell r="Y113">
            <v>378521</v>
          </cell>
        </row>
        <row r="115">
          <cell r="C115">
            <v>27371</v>
          </cell>
          <cell r="D115">
            <v>23871</v>
          </cell>
          <cell r="I115">
            <v>12166</v>
          </cell>
          <cell r="J115">
            <v>25210</v>
          </cell>
          <cell r="K115">
            <v>29747</v>
          </cell>
          <cell r="P115">
            <v>65465</v>
          </cell>
          <cell r="Q115">
            <v>70385</v>
          </cell>
          <cell r="R115">
            <v>75445</v>
          </cell>
          <cell r="W115">
            <v>103746</v>
          </cell>
          <cell r="X115">
            <v>103810</v>
          </cell>
          <cell r="Y115">
            <v>109599</v>
          </cell>
        </row>
        <row r="116">
          <cell r="C116">
            <v>65329</v>
          </cell>
          <cell r="D116">
            <v>69110</v>
          </cell>
          <cell r="I116">
            <v>75143</v>
          </cell>
          <cell r="J116">
            <v>81829</v>
          </cell>
          <cell r="K116">
            <v>94504</v>
          </cell>
          <cell r="P116">
            <v>108937</v>
          </cell>
          <cell r="Q116">
            <v>89100</v>
          </cell>
          <cell r="R116">
            <v>94584</v>
          </cell>
          <cell r="W116">
            <v>98778</v>
          </cell>
          <cell r="X116">
            <v>107238</v>
          </cell>
          <cell r="Y116">
            <v>110690</v>
          </cell>
        </row>
        <row r="117">
          <cell r="C117">
            <v>24930</v>
          </cell>
          <cell r="D117">
            <v>24591</v>
          </cell>
          <cell r="I117">
            <v>0</v>
          </cell>
          <cell r="J117">
            <v>23701</v>
          </cell>
          <cell r="K117">
            <v>23327</v>
          </cell>
          <cell r="P117">
            <v>0</v>
          </cell>
          <cell r="Q117">
            <v>0</v>
          </cell>
          <cell r="R117">
            <v>0</v>
          </cell>
          <cell r="W117">
            <v>0</v>
          </cell>
          <cell r="X117">
            <v>0</v>
          </cell>
          <cell r="Y117">
            <v>0</v>
          </cell>
        </row>
        <row r="118">
          <cell r="C118">
            <v>1938</v>
          </cell>
          <cell r="D118">
            <v>2793</v>
          </cell>
          <cell r="I118">
            <v>44313</v>
          </cell>
          <cell r="J118">
            <v>6266</v>
          </cell>
          <cell r="K118">
            <v>7306</v>
          </cell>
          <cell r="P118">
            <v>33683</v>
          </cell>
          <cell r="Q118">
            <v>3607</v>
          </cell>
          <cell r="R118">
            <v>10766</v>
          </cell>
          <cell r="W118">
            <v>10846</v>
          </cell>
          <cell r="X118">
            <v>11023</v>
          </cell>
          <cell r="Y118">
            <v>11608</v>
          </cell>
        </row>
        <row r="120">
          <cell r="C120">
            <v>0</v>
          </cell>
          <cell r="D120">
            <v>0</v>
          </cell>
          <cell r="I120">
            <v>0</v>
          </cell>
          <cell r="J120">
            <v>0</v>
          </cell>
          <cell r="K120">
            <v>0</v>
          </cell>
          <cell r="P120">
            <v>0</v>
          </cell>
          <cell r="Q120">
            <v>49622</v>
          </cell>
          <cell r="R120">
            <v>50648</v>
          </cell>
          <cell r="W120">
            <v>51863</v>
          </cell>
          <cell r="X120">
            <v>46839</v>
          </cell>
          <cell r="Y120">
            <v>44422</v>
          </cell>
        </row>
        <row r="121">
          <cell r="C121">
            <v>119568</v>
          </cell>
          <cell r="D121">
            <v>120365</v>
          </cell>
          <cell r="I121">
            <v>131622</v>
          </cell>
          <cell r="J121">
            <v>137006</v>
          </cell>
          <cell r="K121">
            <v>154884</v>
          </cell>
          <cell r="P121">
            <v>208085</v>
          </cell>
          <cell r="Q121">
            <v>212714</v>
          </cell>
          <cell r="R121">
            <v>231443</v>
          </cell>
          <cell r="W121">
            <v>265233</v>
          </cell>
          <cell r="X121">
            <v>268910</v>
          </cell>
          <cell r="Y121">
            <v>276319</v>
          </cell>
        </row>
        <row r="122">
          <cell r="C122">
            <v>534974</v>
          </cell>
          <cell r="D122">
            <v>544809</v>
          </cell>
          <cell r="I122">
            <v>572265</v>
          </cell>
          <cell r="J122">
            <v>587387</v>
          </cell>
          <cell r="K122">
            <v>617318</v>
          </cell>
          <cell r="P122">
            <v>655272</v>
          </cell>
          <cell r="Q122">
            <v>674794</v>
          </cell>
          <cell r="R122">
            <v>552303</v>
          </cell>
          <cell r="W122">
            <v>632562</v>
          </cell>
          <cell r="X122">
            <v>649560</v>
          </cell>
          <cell r="Y122">
            <v>654840</v>
          </cell>
        </row>
        <row r="126">
          <cell r="C126">
            <v>19567</v>
          </cell>
          <cell r="D126">
            <v>23648</v>
          </cell>
          <cell r="I126">
            <v>12981</v>
          </cell>
          <cell r="J126">
            <v>18141</v>
          </cell>
          <cell r="K126">
            <v>19904</v>
          </cell>
          <cell r="P126">
            <v>22967</v>
          </cell>
          <cell r="Q126">
            <v>750</v>
          </cell>
          <cell r="R126">
            <v>1847</v>
          </cell>
          <cell r="W126">
            <v>2276</v>
          </cell>
          <cell r="X126">
            <v>0</v>
          </cell>
          <cell r="Y126">
            <v>0</v>
          </cell>
        </row>
        <row r="127">
          <cell r="C127">
            <v>38462</v>
          </cell>
          <cell r="D127">
            <v>42022</v>
          </cell>
          <cell r="I127">
            <v>48571</v>
          </cell>
          <cell r="J127">
            <v>41943</v>
          </cell>
          <cell r="K127">
            <v>44204</v>
          </cell>
          <cell r="P127">
            <v>49898</v>
          </cell>
          <cell r="Q127">
            <v>19401</v>
          </cell>
          <cell r="R127">
            <v>17330</v>
          </cell>
          <cell r="W127">
            <v>25122</v>
          </cell>
          <cell r="X127">
            <v>29574</v>
          </cell>
          <cell r="Y127">
            <v>23910</v>
          </cell>
        </row>
        <row r="128">
          <cell r="C128">
            <v>3218</v>
          </cell>
          <cell r="D128">
            <v>2970</v>
          </cell>
          <cell r="I128">
            <v>0</v>
          </cell>
          <cell r="J128">
            <v>3104</v>
          </cell>
          <cell r="K128">
            <v>2247</v>
          </cell>
          <cell r="P128">
            <v>0</v>
          </cell>
          <cell r="Q128">
            <v>0</v>
          </cell>
          <cell r="R128">
            <v>0</v>
          </cell>
          <cell r="W128">
            <v>0</v>
          </cell>
          <cell r="X128">
            <v>0</v>
          </cell>
          <cell r="Y128">
            <v>0</v>
          </cell>
        </row>
        <row r="129">
          <cell r="C129">
            <v>3713</v>
          </cell>
          <cell r="D129">
            <v>4413</v>
          </cell>
          <cell r="I129">
            <v>0</v>
          </cell>
          <cell r="J129">
            <v>2586</v>
          </cell>
          <cell r="K129">
            <v>3164</v>
          </cell>
          <cell r="P129">
            <v>0</v>
          </cell>
          <cell r="Q129">
            <v>0</v>
          </cell>
          <cell r="R129">
            <v>0</v>
          </cell>
          <cell r="W129">
            <v>0</v>
          </cell>
          <cell r="Y129">
            <v>0</v>
          </cell>
        </row>
        <row r="130">
          <cell r="C130">
            <v>6265</v>
          </cell>
          <cell r="D130">
            <v>13767</v>
          </cell>
          <cell r="I130">
            <v>16349</v>
          </cell>
          <cell r="J130">
            <v>16399</v>
          </cell>
          <cell r="K130">
            <v>4772</v>
          </cell>
          <cell r="P130">
            <v>9039</v>
          </cell>
          <cell r="Q130">
            <v>8088</v>
          </cell>
          <cell r="R130">
            <v>8086</v>
          </cell>
          <cell r="W130">
            <v>942</v>
          </cell>
          <cell r="X130">
            <v>941</v>
          </cell>
          <cell r="Y130">
            <v>600</v>
          </cell>
        </row>
        <row r="131">
          <cell r="C131">
            <v>0</v>
          </cell>
          <cell r="D131">
            <v>0</v>
          </cell>
          <cell r="I131">
            <v>0</v>
          </cell>
          <cell r="J131">
            <v>0</v>
          </cell>
          <cell r="K131">
            <v>0</v>
          </cell>
          <cell r="P131">
            <v>0</v>
          </cell>
          <cell r="Q131">
            <v>54425</v>
          </cell>
          <cell r="R131">
            <v>69181</v>
          </cell>
          <cell r="W131">
            <v>67906</v>
          </cell>
          <cell r="X131">
            <v>61318</v>
          </cell>
          <cell r="Y131">
            <v>47949</v>
          </cell>
        </row>
        <row r="132">
          <cell r="C132">
            <v>71225</v>
          </cell>
          <cell r="D132">
            <v>86820</v>
          </cell>
          <cell r="I132">
            <v>77901</v>
          </cell>
          <cell r="J132">
            <v>82173</v>
          </cell>
          <cell r="K132">
            <v>74291</v>
          </cell>
          <cell r="P132">
            <v>81904</v>
          </cell>
          <cell r="Q132">
            <v>82664</v>
          </cell>
          <cell r="R132">
            <v>96444</v>
          </cell>
          <cell r="W132">
            <v>96246</v>
          </cell>
          <cell r="X132">
            <v>91833</v>
          </cell>
          <cell r="Y132">
            <v>72459</v>
          </cell>
        </row>
        <row r="134">
          <cell r="C134">
            <v>68448</v>
          </cell>
          <cell r="D134">
            <v>57053</v>
          </cell>
          <cell r="I134">
            <v>57706</v>
          </cell>
          <cell r="J134">
            <v>60803</v>
          </cell>
          <cell r="K134">
            <v>75146</v>
          </cell>
          <cell r="P134">
            <v>58269</v>
          </cell>
          <cell r="Q134">
            <v>11913</v>
          </cell>
          <cell r="R134">
            <v>12470</v>
          </cell>
          <cell r="W134">
            <v>12470</v>
          </cell>
          <cell r="X134">
            <v>12470</v>
          </cell>
          <cell r="Y134">
            <v>9150</v>
          </cell>
        </row>
        <row r="135">
          <cell r="C135">
            <v>1150</v>
          </cell>
          <cell r="D135">
            <v>1083</v>
          </cell>
          <cell r="I135">
            <v>1354</v>
          </cell>
          <cell r="J135">
            <v>648</v>
          </cell>
          <cell r="K135">
            <v>99</v>
          </cell>
          <cell r="P135">
            <v>0</v>
          </cell>
          <cell r="Q135">
            <v>0</v>
          </cell>
          <cell r="R135">
            <v>0</v>
          </cell>
          <cell r="W135">
            <v>0</v>
          </cell>
          <cell r="X135">
            <v>0</v>
          </cell>
          <cell r="Y135">
            <v>0</v>
          </cell>
        </row>
        <row r="136">
          <cell r="C136">
            <v>5674</v>
          </cell>
          <cell r="D136">
            <v>5891</v>
          </cell>
          <cell r="I136">
            <v>6929</v>
          </cell>
          <cell r="J136">
            <v>4156</v>
          </cell>
          <cell r="K136">
            <v>4079</v>
          </cell>
          <cell r="P136">
            <v>4134</v>
          </cell>
          <cell r="Q136">
            <v>0</v>
          </cell>
          <cell r="R136">
            <v>0</v>
          </cell>
          <cell r="W136">
            <v>0</v>
          </cell>
          <cell r="X136">
            <v>0</v>
          </cell>
          <cell r="Y136">
            <v>0</v>
          </cell>
        </row>
        <row r="137">
          <cell r="C137">
            <v>7355</v>
          </cell>
          <cell r="D137">
            <v>7369</v>
          </cell>
          <cell r="I137">
            <v>12543</v>
          </cell>
          <cell r="J137">
            <v>11920</v>
          </cell>
          <cell r="K137">
            <v>12716</v>
          </cell>
          <cell r="P137">
            <v>12897</v>
          </cell>
          <cell r="Q137">
            <v>10162</v>
          </cell>
          <cell r="R137">
            <v>0</v>
          </cell>
          <cell r="W137">
            <v>0</v>
          </cell>
          <cell r="Y137">
            <v>0</v>
          </cell>
        </row>
        <row r="138">
          <cell r="C138">
            <v>0</v>
          </cell>
          <cell r="D138">
            <v>0</v>
          </cell>
          <cell r="I138">
            <v>0</v>
          </cell>
          <cell r="J138">
            <v>0</v>
          </cell>
          <cell r="K138">
            <v>0</v>
          </cell>
          <cell r="P138">
            <v>0</v>
          </cell>
          <cell r="Q138">
            <v>51331</v>
          </cell>
          <cell r="R138">
            <v>40797</v>
          </cell>
          <cell r="W138">
            <v>45225</v>
          </cell>
          <cell r="X138">
            <v>39821</v>
          </cell>
          <cell r="Y138">
            <v>37934</v>
          </cell>
        </row>
        <row r="139">
          <cell r="C139">
            <v>82627</v>
          </cell>
          <cell r="D139">
            <v>71396</v>
          </cell>
          <cell r="I139">
            <v>78532</v>
          </cell>
          <cell r="J139">
            <v>77527</v>
          </cell>
          <cell r="K139">
            <v>92040</v>
          </cell>
          <cell r="P139">
            <v>75300</v>
          </cell>
          <cell r="Q139">
            <v>73406</v>
          </cell>
          <cell r="R139">
            <v>53267</v>
          </cell>
          <cell r="W139">
            <v>57695</v>
          </cell>
          <cell r="X139">
            <v>52291</v>
          </cell>
          <cell r="Y139">
            <v>47084</v>
          </cell>
        </row>
        <row r="140">
          <cell r="C140">
            <v>153852</v>
          </cell>
          <cell r="D140">
            <v>158216</v>
          </cell>
          <cell r="I140">
            <v>156433</v>
          </cell>
          <cell r="J140">
            <v>159700</v>
          </cell>
          <cell r="K140">
            <v>166331</v>
          </cell>
          <cell r="P140">
            <v>157204</v>
          </cell>
          <cell r="Q140">
            <v>156070</v>
          </cell>
          <cell r="R140">
            <v>149711</v>
          </cell>
          <cell r="W140">
            <v>153941</v>
          </cell>
          <cell r="X140">
            <v>144124</v>
          </cell>
          <cell r="Y140">
            <v>119543</v>
          </cell>
        </row>
        <row r="141">
          <cell r="C141">
            <v>381122</v>
          </cell>
          <cell r="D141">
            <v>386593</v>
          </cell>
          <cell r="I141">
            <v>415832</v>
          </cell>
          <cell r="J141">
            <v>427687</v>
          </cell>
          <cell r="K141">
            <v>450987</v>
          </cell>
          <cell r="P141">
            <v>498068</v>
          </cell>
          <cell r="Q141">
            <v>518724</v>
          </cell>
          <cell r="R141">
            <v>402592</v>
          </cell>
          <cell r="W141">
            <v>478621</v>
          </cell>
          <cell r="X141">
            <v>505436</v>
          </cell>
          <cell r="Y141">
            <v>535297</v>
          </cell>
        </row>
        <row r="142">
          <cell r="W142">
            <v>408365</v>
          </cell>
        </row>
        <row r="143">
          <cell r="W143">
            <v>10199</v>
          </cell>
        </row>
        <row r="144">
          <cell r="W144">
            <v>45813</v>
          </cell>
        </row>
        <row r="145">
          <cell r="W145">
            <v>14244</v>
          </cell>
        </row>
        <row r="146">
          <cell r="C146">
            <v>534974</v>
          </cell>
          <cell r="D146">
            <v>544809</v>
          </cell>
          <cell r="I146">
            <v>572265</v>
          </cell>
          <cell r="J146">
            <v>587387</v>
          </cell>
          <cell r="K146">
            <v>617318</v>
          </cell>
          <cell r="P146">
            <v>655272</v>
          </cell>
          <cell r="Q146">
            <v>674794</v>
          </cell>
          <cell r="R146">
            <v>552303</v>
          </cell>
          <cell r="W146">
            <v>632562</v>
          </cell>
          <cell r="X146">
            <v>649560</v>
          </cell>
          <cell r="Y146">
            <v>654840</v>
          </cell>
        </row>
        <row r="148">
          <cell r="C148">
            <v>0</v>
          </cell>
          <cell r="D148">
            <v>0</v>
          </cell>
          <cell r="I148">
            <v>0</v>
          </cell>
          <cell r="J148">
            <v>0</v>
          </cell>
          <cell r="K148">
            <v>0</v>
          </cell>
          <cell r="P148">
            <v>0</v>
          </cell>
          <cell r="Q148">
            <v>0</v>
          </cell>
          <cell r="R148">
            <v>0</v>
          </cell>
          <cell r="W148">
            <v>0</v>
          </cell>
          <cell r="X148">
            <v>0</v>
          </cell>
          <cell r="Y148">
            <v>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US Image"/>
      <sheetName val="Financials"/>
      <sheetName val="Financial Summary"/>
      <sheetName val="Geog. Rev Tables"/>
      <sheetName val="Revenues"/>
      <sheetName val="Cash Flow"/>
      <sheetName val="FCF valuation"/>
      <sheetName val="Assumptions-Capex"/>
      <sheetName val="Ratios"/>
      <sheetName val="Debt &amp; Interest"/>
      <sheetName val="Diluted Shares "/>
      <sheetName val="ratios-WCapital"/>
      <sheetName val="Historical Trading "/>
      <sheetName val="Photofrin pmt"/>
      <sheetName val="AnnInc Stmnt"/>
      <sheetName val="revenue assumptions"/>
      <sheetName val="DailyNote"/>
      <sheetName val="BSheet"/>
    </sheetNames>
    <sheetDataSet>
      <sheetData sheetId="0" refreshError="1"/>
      <sheetData sheetId="1" refreshError="1">
        <row r="44">
          <cell r="B44" t="str">
            <v>Revenues</v>
          </cell>
          <cell r="E44">
            <v>28522</v>
          </cell>
          <cell r="I44">
            <v>28522</v>
          </cell>
          <cell r="J44">
            <v>30489</v>
          </cell>
          <cell r="K44">
            <v>35493</v>
          </cell>
          <cell r="L44">
            <v>37900</v>
          </cell>
          <cell r="M44">
            <v>37846</v>
          </cell>
          <cell r="N44">
            <v>45621</v>
          </cell>
          <cell r="O44">
            <v>46877</v>
          </cell>
          <cell r="P44">
            <v>48740</v>
          </cell>
          <cell r="Q44">
            <v>50959</v>
          </cell>
          <cell r="R44">
            <v>58932</v>
          </cell>
          <cell r="S44">
            <v>63253</v>
          </cell>
          <cell r="T44">
            <v>68598</v>
          </cell>
          <cell r="U44">
            <v>57549.501886855433</v>
          </cell>
          <cell r="V44">
            <v>66553.64597413929</v>
          </cell>
          <cell r="W44">
            <v>71433.478734850898</v>
          </cell>
          <cell r="X44">
            <v>77469.744901479789</v>
          </cell>
          <cell r="Z44">
            <v>104549</v>
          </cell>
          <cell r="AA44">
            <v>132404</v>
          </cell>
          <cell r="AB44">
            <v>179084</v>
          </cell>
          <cell r="AC44">
            <v>241741.7556095667</v>
          </cell>
          <cell r="AD44">
            <v>273006.09550000005</v>
          </cell>
          <cell r="AE44">
            <v>272313.42018750001</v>
          </cell>
          <cell r="AF44">
            <v>279017.81768935907</v>
          </cell>
          <cell r="AG44">
            <v>282586.37328688352</v>
          </cell>
          <cell r="AH44">
            <v>282516.01425000012</v>
          </cell>
        </row>
        <row r="46">
          <cell r="B46" t="str">
            <v>COGS</v>
          </cell>
          <cell r="E46">
            <v>7379</v>
          </cell>
          <cell r="I46">
            <v>7379</v>
          </cell>
          <cell r="J46">
            <v>7365</v>
          </cell>
          <cell r="K46">
            <v>9427</v>
          </cell>
          <cell r="L46">
            <v>9868</v>
          </cell>
          <cell r="M46">
            <v>9069</v>
          </cell>
          <cell r="N46">
            <v>10830</v>
          </cell>
          <cell r="O46">
            <v>11822</v>
          </cell>
          <cell r="P46">
            <v>12738</v>
          </cell>
          <cell r="Q46">
            <v>13809.889000000001</v>
          </cell>
          <cell r="R46">
            <v>15499.116</v>
          </cell>
          <cell r="S46">
            <v>16536.864320000001</v>
          </cell>
          <cell r="T46">
            <v>17732.582999999999</v>
          </cell>
          <cell r="U46">
            <v>15538.365509450969</v>
          </cell>
          <cell r="V46">
            <v>17969.48441301761</v>
          </cell>
          <cell r="W46">
            <v>19287.039258409743</v>
          </cell>
          <cell r="X46">
            <v>20916.831123399545</v>
          </cell>
          <cell r="Z46">
            <v>26540</v>
          </cell>
          <cell r="AA46">
            <v>34039</v>
          </cell>
          <cell r="AB46">
            <v>44459</v>
          </cell>
          <cell r="AC46">
            <v>63578.081725316042</v>
          </cell>
          <cell r="AD46">
            <v>73711.645785000015</v>
          </cell>
          <cell r="AE46">
            <v>73524.623450625004</v>
          </cell>
          <cell r="AF46">
            <v>75334.810776126949</v>
          </cell>
          <cell r="AG46">
            <v>76298.32078745855</v>
          </cell>
          <cell r="AH46">
            <v>76279.32384750004</v>
          </cell>
        </row>
        <row r="54">
          <cell r="C54" t="str">
            <v>Research &amp; Development</v>
          </cell>
          <cell r="E54">
            <v>1718</v>
          </cell>
          <cell r="I54">
            <v>1718</v>
          </cell>
          <cell r="J54">
            <v>2377</v>
          </cell>
          <cell r="K54">
            <v>1968</v>
          </cell>
          <cell r="L54">
            <v>2792</v>
          </cell>
          <cell r="M54">
            <v>2101</v>
          </cell>
          <cell r="N54">
            <v>3252</v>
          </cell>
          <cell r="O54">
            <v>3936</v>
          </cell>
          <cell r="P54">
            <v>2808</v>
          </cell>
          <cell r="Q54">
            <v>3088.1154000000001</v>
          </cell>
          <cell r="R54">
            <v>3565.386</v>
          </cell>
          <cell r="S54">
            <v>4807.2280000000001</v>
          </cell>
          <cell r="T54">
            <v>5461.7727599999998</v>
          </cell>
          <cell r="U54">
            <v>4028.4651320798807</v>
          </cell>
          <cell r="V54">
            <v>4658.7552181897508</v>
          </cell>
          <cell r="W54">
            <v>5000.3435114395634</v>
          </cell>
          <cell r="X54">
            <v>5422.8821431035858</v>
          </cell>
          <cell r="Z54">
            <v>6129</v>
          </cell>
          <cell r="AA54">
            <v>8855</v>
          </cell>
          <cell r="AB54">
            <v>12098</v>
          </cell>
          <cell r="AC54">
            <v>16921.922892669671</v>
          </cell>
          <cell r="AD54">
            <v>19110.426685000006</v>
          </cell>
          <cell r="AE54">
            <v>19061.939413125001</v>
          </cell>
          <cell r="AF54">
            <v>19531.247238255139</v>
          </cell>
          <cell r="AG54">
            <v>19781.04613008185</v>
          </cell>
          <cell r="AH54">
            <v>19776.120997500009</v>
          </cell>
        </row>
        <row r="58">
          <cell r="C58" t="str">
            <v>Acquired in-process R&amp;D</v>
          </cell>
          <cell r="L58">
            <v>0</v>
          </cell>
          <cell r="P58">
            <v>12000</v>
          </cell>
          <cell r="AA58">
            <v>0</v>
          </cell>
          <cell r="AB58">
            <v>12000</v>
          </cell>
        </row>
        <row r="59">
          <cell r="C59" t="str">
            <v>Depreciation and Amortization</v>
          </cell>
          <cell r="E59">
            <v>1775</v>
          </cell>
          <cell r="I59">
            <v>1775</v>
          </cell>
          <cell r="J59">
            <v>1739</v>
          </cell>
          <cell r="K59">
            <v>1928</v>
          </cell>
          <cell r="L59">
            <v>2104</v>
          </cell>
          <cell r="M59">
            <v>2038</v>
          </cell>
          <cell r="N59">
            <v>1998</v>
          </cell>
          <cell r="O59">
            <v>1975</v>
          </cell>
          <cell r="P59">
            <v>2052</v>
          </cell>
          <cell r="Q59">
            <v>3433.4175161262629</v>
          </cell>
          <cell r="R59">
            <v>3433.4175161262629</v>
          </cell>
          <cell r="S59">
            <v>3433.4175161262629</v>
          </cell>
          <cell r="T59">
            <v>3433.4175161262629</v>
          </cell>
          <cell r="U59">
            <v>3656.4416785907115</v>
          </cell>
          <cell r="V59">
            <v>3656.4416785907115</v>
          </cell>
          <cell r="W59">
            <v>3656.4416785907115</v>
          </cell>
          <cell r="X59">
            <v>3656.4416785907115</v>
          </cell>
          <cell r="Z59">
            <v>12032</v>
          </cell>
          <cell r="AA59">
            <v>7546</v>
          </cell>
          <cell r="AB59">
            <v>8063</v>
          </cell>
          <cell r="AC59">
            <v>13733.670064505051</v>
          </cell>
          <cell r="AD59">
            <v>14625.766714362846</v>
          </cell>
          <cell r="AE59">
            <v>14300.142374244519</v>
          </cell>
          <cell r="AF59">
            <v>13931.405678376643</v>
          </cell>
          <cell r="AG59">
            <v>13526.387844204557</v>
          </cell>
          <cell r="AH59">
            <v>13090.958434233831</v>
          </cell>
        </row>
        <row r="62">
          <cell r="C62" t="str">
            <v>Financial Expenses (Income)</v>
          </cell>
          <cell r="E62">
            <v>173</v>
          </cell>
          <cell r="I62">
            <v>173</v>
          </cell>
          <cell r="J62">
            <v>112</v>
          </cell>
          <cell r="K62">
            <v>282</v>
          </cell>
          <cell r="L62">
            <v>298</v>
          </cell>
          <cell r="M62">
            <v>167</v>
          </cell>
          <cell r="N62">
            <v>705</v>
          </cell>
          <cell r="O62">
            <v>1769</v>
          </cell>
          <cell r="P62">
            <v>1663</v>
          </cell>
          <cell r="Q62">
            <v>1245.4243750000001</v>
          </cell>
          <cell r="R62">
            <v>1245.4243750000001</v>
          </cell>
          <cell r="S62">
            <v>1245.4243750000001</v>
          </cell>
          <cell r="T62">
            <v>1245.4243750000001</v>
          </cell>
          <cell r="U62">
            <v>1345.3313583709919</v>
          </cell>
          <cell r="V62">
            <v>1345.3313583709919</v>
          </cell>
          <cell r="W62">
            <v>1345.3313583709919</v>
          </cell>
          <cell r="X62">
            <v>1345.3313583709919</v>
          </cell>
          <cell r="Z62">
            <v>3528</v>
          </cell>
          <cell r="AA62">
            <v>865</v>
          </cell>
          <cell r="AB62">
            <v>4283</v>
          </cell>
          <cell r="AC62">
            <v>4981.6975000000002</v>
          </cell>
          <cell r="AD62">
            <v>5381.3254334839676</v>
          </cell>
          <cell r="AE62">
            <v>3566.1483058059334</v>
          </cell>
          <cell r="AF62">
            <v>1877.5979171731888</v>
          </cell>
          <cell r="AG62">
            <v>-5475.3202322573552</v>
          </cell>
          <cell r="AH62">
            <v>-3929.3867282970941</v>
          </cell>
        </row>
        <row r="63">
          <cell r="C63" t="str">
            <v>Loss on foreign currency</v>
          </cell>
          <cell r="E63">
            <v>-14</v>
          </cell>
          <cell r="I63">
            <v>-14</v>
          </cell>
          <cell r="J63">
            <v>221</v>
          </cell>
          <cell r="K63">
            <v>26</v>
          </cell>
          <cell r="L63">
            <v>-369</v>
          </cell>
          <cell r="M63">
            <v>209</v>
          </cell>
          <cell r="N63">
            <v>19</v>
          </cell>
          <cell r="O63">
            <v>-168</v>
          </cell>
          <cell r="P63">
            <v>-556</v>
          </cell>
          <cell r="AA63">
            <v>299</v>
          </cell>
          <cell r="AB63">
            <v>-1639</v>
          </cell>
        </row>
        <row r="64">
          <cell r="C64" t="str">
            <v>Interest</v>
          </cell>
          <cell r="E64">
            <v>-105</v>
          </cell>
          <cell r="I64">
            <v>-105</v>
          </cell>
          <cell r="J64">
            <v>-70</v>
          </cell>
          <cell r="K64">
            <v>-368</v>
          </cell>
          <cell r="L64">
            <v>66</v>
          </cell>
          <cell r="M64">
            <v>-283</v>
          </cell>
          <cell r="N64">
            <v>-286</v>
          </cell>
          <cell r="O64">
            <v>-514</v>
          </cell>
          <cell r="P64">
            <v>42</v>
          </cell>
          <cell r="Z64">
            <v>-981</v>
          </cell>
          <cell r="AA64">
            <v>-912</v>
          </cell>
          <cell r="AB64">
            <v>122</v>
          </cell>
        </row>
        <row r="67">
          <cell r="C67" t="str">
            <v>Take over bid expenses</v>
          </cell>
          <cell r="J67">
            <v>0</v>
          </cell>
          <cell r="K67">
            <v>0</v>
          </cell>
          <cell r="L67">
            <v>0</v>
          </cell>
          <cell r="M67">
            <v>0</v>
          </cell>
          <cell r="N67">
            <v>0</v>
          </cell>
          <cell r="O67">
            <v>3697</v>
          </cell>
          <cell r="P67">
            <v>0</v>
          </cell>
          <cell r="Q67">
            <v>0</v>
          </cell>
          <cell r="AB67">
            <v>3697</v>
          </cell>
        </row>
        <row r="68">
          <cell r="B68" t="str">
            <v>Income Taxes</v>
          </cell>
          <cell r="E68">
            <v>1853</v>
          </cell>
          <cell r="I68">
            <v>1853</v>
          </cell>
          <cell r="J68">
            <v>2472</v>
          </cell>
          <cell r="K68">
            <v>3128</v>
          </cell>
          <cell r="L68">
            <v>3679</v>
          </cell>
          <cell r="M68">
            <v>3358</v>
          </cell>
          <cell r="N68">
            <v>4293</v>
          </cell>
          <cell r="O68">
            <v>2395</v>
          </cell>
          <cell r="P68">
            <v>2946</v>
          </cell>
          <cell r="Q68">
            <v>4185.7021610170705</v>
          </cell>
          <cell r="R68">
            <v>5251.7882770170709</v>
          </cell>
          <cell r="S68">
            <v>5453.7056682170714</v>
          </cell>
          <cell r="T68">
            <v>6033.3538318170731</v>
          </cell>
          <cell r="U68">
            <v>5206.4883838934102</v>
          </cell>
          <cell r="V68">
            <v>6287.1657572492177</v>
          </cell>
          <cell r="W68">
            <v>6872.843285189826</v>
          </cell>
          <cell r="X68">
            <v>7597.3159505086232</v>
          </cell>
          <cell r="Z68">
            <v>6728</v>
          </cell>
          <cell r="AA68">
            <v>11132</v>
          </cell>
          <cell r="AB68">
            <v>12992</v>
          </cell>
          <cell r="AC68">
            <v>20924.584401276174</v>
          </cell>
          <cell r="AD68">
            <v>25963.780251642096</v>
          </cell>
          <cell r="AE68">
            <v>27071.450674005355</v>
          </cell>
          <cell r="AF68">
            <v>29156.183894748141</v>
          </cell>
          <cell r="AG68">
            <v>31856.14114365137</v>
          </cell>
          <cell r="AH68">
            <v>31191.590526608714</v>
          </cell>
        </row>
        <row r="84">
          <cell r="B84" t="str">
            <v>FD</v>
          </cell>
          <cell r="C84" t="str">
            <v>Continuing Ops</v>
          </cell>
          <cell r="E84">
            <v>9.1570627187515241E-2</v>
          </cell>
          <cell r="F84" t="e">
            <v>#DIV/0!</v>
          </cell>
          <cell r="G84" t="e">
            <v>#DIV/0!</v>
          </cell>
          <cell r="H84" t="e">
            <v>#DIV/0!</v>
          </cell>
          <cell r="I84">
            <v>9.1570627187515241E-2</v>
          </cell>
          <cell r="J84">
            <v>0.11965502682579568</v>
          </cell>
          <cell r="K84">
            <v>0.12831297553336168</v>
          </cell>
          <cell r="L84">
            <v>0.15329433068367124</v>
          </cell>
          <cell r="M84">
            <v>0.14388981459148931</v>
          </cell>
          <cell r="N84">
            <v>0.19609887703592804</v>
          </cell>
          <cell r="O84">
            <v>0.1390201546327825</v>
          </cell>
          <cell r="P84">
            <v>-4.1649996095312863E-2</v>
          </cell>
          <cell r="Q84">
            <v>0.14842411634598993</v>
          </cell>
          <cell r="R84">
            <v>0.18622730530427456</v>
          </cell>
          <cell r="S84">
            <v>0.19338725343504778</v>
          </cell>
          <cell r="T84">
            <v>0.21394145513510401</v>
          </cell>
          <cell r="U84">
            <v>0.1822875211954067</v>
          </cell>
          <cell r="V84">
            <v>0.22012377186493781</v>
          </cell>
          <cell r="W84">
            <v>0.24062928285741808</v>
          </cell>
          <cell r="X84">
            <v>0.26599423454795407</v>
          </cell>
          <cell r="Z84">
            <v>0.31403420848652264</v>
          </cell>
          <cell r="AA84">
            <v>0.49821879960025867</v>
          </cell>
          <cell r="AB84">
            <v>0.43687518626121491</v>
          </cell>
          <cell r="AC84">
            <v>0.73578352997329777</v>
          </cell>
          <cell r="AD84">
            <v>0.90903365069929332</v>
          </cell>
          <cell r="AE84">
            <v>0.94672124885920195</v>
          </cell>
          <cell r="AF84">
            <v>1.0184562921660425</v>
          </cell>
          <cell r="AG84">
            <v>1.1364095946774655</v>
          </cell>
          <cell r="AH84">
            <v>1.111048252277826</v>
          </cell>
        </row>
        <row r="86">
          <cell r="B86" t="str">
            <v>FD</v>
          </cell>
          <cell r="C86" t="str">
            <v>Net earnings</v>
          </cell>
          <cell r="E86">
            <v>9.1570627187515241E-2</v>
          </cell>
          <cell r="F86" t="e">
            <v>#DIV/0!</v>
          </cell>
          <cell r="G86" t="e">
            <v>#DIV/0!</v>
          </cell>
          <cell r="H86" t="e">
            <v>#DIV/0!</v>
          </cell>
          <cell r="I86">
            <v>9.1570627187515241E-2</v>
          </cell>
          <cell r="J86">
            <v>0.11965502682579568</v>
          </cell>
          <cell r="K86">
            <v>0.12831297553336168</v>
          </cell>
          <cell r="L86">
            <v>0.15329433068367124</v>
          </cell>
          <cell r="M86">
            <v>0.14388981459148931</v>
          </cell>
          <cell r="N86">
            <v>0.19609887703592804</v>
          </cell>
          <cell r="O86">
            <v>0.1390201546327825</v>
          </cell>
          <cell r="P86">
            <v>-4.1649996095312863E-2</v>
          </cell>
          <cell r="Q86">
            <v>0.17268519372076327</v>
          </cell>
          <cell r="R86">
            <v>0.21048838267904788</v>
          </cell>
          <cell r="S86">
            <v>0.2176483308098211</v>
          </cell>
          <cell r="T86">
            <v>0.23820253250987733</v>
          </cell>
          <cell r="U86">
            <v>0.20624195823058555</v>
          </cell>
          <cell r="V86">
            <v>0.24407820890011669</v>
          </cell>
          <cell r="W86">
            <v>0.26458371989259694</v>
          </cell>
          <cell r="X86">
            <v>0.28994867158313292</v>
          </cell>
          <cell r="Z86">
            <v>0.31403420848652264</v>
          </cell>
          <cell r="AA86">
            <v>0.49821879960025867</v>
          </cell>
          <cell r="AB86">
            <v>0.43687518626121491</v>
          </cell>
          <cell r="AC86">
            <v>0.83201722154491919</v>
          </cell>
          <cell r="AD86">
            <v>1.0048513988400087</v>
          </cell>
          <cell r="AE86">
            <v>1.0424284289761738</v>
          </cell>
          <cell r="AF86">
            <v>1.1140535950253345</v>
          </cell>
          <cell r="AG86">
            <v>1.2318789147817857</v>
          </cell>
          <cell r="AH86">
            <v>1.206375598796867</v>
          </cell>
        </row>
        <row r="87">
          <cell r="B87" t="str">
            <v>FD</v>
          </cell>
          <cell r="C87" t="str">
            <v>Before one-time items</v>
          </cell>
          <cell r="E87">
            <v>9.1570627187515241E-2</v>
          </cell>
          <cell r="F87" t="e">
            <v>#DIV/0!</v>
          </cell>
          <cell r="G87" t="e">
            <v>#DIV/0!</v>
          </cell>
          <cell r="H87" t="e">
            <v>#DIV/0!</v>
          </cell>
          <cell r="I87">
            <v>9.1570627187515241E-2</v>
          </cell>
          <cell r="J87">
            <v>0.11965502682579568</v>
          </cell>
          <cell r="K87">
            <v>0.12831297553336168</v>
          </cell>
          <cell r="L87">
            <v>0.15329433068367124</v>
          </cell>
          <cell r="M87">
            <v>0.14388981459148931</v>
          </cell>
          <cell r="N87">
            <v>0.19609887703592804</v>
          </cell>
          <cell r="O87">
            <v>0.19180789910369392</v>
          </cell>
          <cell r="P87">
            <v>0.19936873130918142</v>
          </cell>
          <cell r="Q87">
            <v>0.17268519372076327</v>
          </cell>
          <cell r="R87">
            <v>0.21048838267904788</v>
          </cell>
          <cell r="S87">
            <v>0.2176483308098211</v>
          </cell>
          <cell r="T87">
            <v>0.23820253250987733</v>
          </cell>
          <cell r="U87">
            <v>0.20624195823058555</v>
          </cell>
          <cell r="V87">
            <v>0.24407820890011669</v>
          </cell>
          <cell r="W87">
            <v>0.26458371989259694</v>
          </cell>
          <cell r="X87">
            <v>0.28994867158313292</v>
          </cell>
          <cell r="Z87">
            <v>0.31403420848652264</v>
          </cell>
          <cell r="AA87">
            <v>0.49821879960025867</v>
          </cell>
          <cell r="AB87">
            <v>0.7312314911825103</v>
          </cell>
          <cell r="AC87">
            <v>0.83201722154491919</v>
          </cell>
          <cell r="AD87">
            <v>1.0048513988400087</v>
          </cell>
          <cell r="AE87">
            <v>1.0424284289761738</v>
          </cell>
          <cell r="AF87">
            <v>1.1140535950253345</v>
          </cell>
          <cell r="AG87">
            <v>1.2318789147817857</v>
          </cell>
          <cell r="AH87">
            <v>1.206375598796867</v>
          </cell>
        </row>
        <row r="89">
          <cell r="B89" t="str">
            <v>Shares outstanding - basic</v>
          </cell>
          <cell r="E89">
            <v>38427.311000000002</v>
          </cell>
          <cell r="I89">
            <v>38427.311000000002</v>
          </cell>
          <cell r="J89">
            <v>38778.428</v>
          </cell>
          <cell r="K89">
            <v>44567.114999999998</v>
          </cell>
          <cell r="L89">
            <v>44853.995000000003</v>
          </cell>
          <cell r="M89">
            <v>44866.652000000002</v>
          </cell>
          <cell r="N89">
            <v>44878.288999999997</v>
          </cell>
          <cell r="O89">
            <v>44917.035000000003</v>
          </cell>
          <cell r="P89">
            <v>44993.430999999997</v>
          </cell>
          <cell r="Q89">
            <v>44952.363028124993</v>
          </cell>
          <cell r="R89">
            <v>44952.363028124993</v>
          </cell>
          <cell r="S89">
            <v>44952.363028124993</v>
          </cell>
          <cell r="T89">
            <v>44952.363028124993</v>
          </cell>
          <cell r="U89">
            <v>45184.796978530561</v>
          </cell>
          <cell r="V89">
            <v>45184.796978530561</v>
          </cell>
          <cell r="W89">
            <v>45184.796978530561</v>
          </cell>
          <cell r="X89">
            <v>45184.796978530561</v>
          </cell>
          <cell r="Z89">
            <v>35832.197999999997</v>
          </cell>
          <cell r="AA89">
            <v>41664.51</v>
          </cell>
          <cell r="AB89">
            <v>44914.944000000003</v>
          </cell>
          <cell r="AC89">
            <v>45055.707983612498</v>
          </cell>
          <cell r="AD89">
            <v>45184.796978530561</v>
          </cell>
          <cell r="AE89">
            <v>45314.531418423219</v>
          </cell>
          <cell r="AF89">
            <v>45444.914530515329</v>
          </cell>
          <cell r="AG89">
            <v>50038.004245110154</v>
          </cell>
          <cell r="AH89">
            <v>54631.74913484323</v>
          </cell>
        </row>
        <row r="90">
          <cell r="B90" t="str">
            <v>Shares outstanding - fd</v>
          </cell>
          <cell r="E90">
            <v>39281.154999999999</v>
          </cell>
          <cell r="I90">
            <v>39281.154999999999</v>
          </cell>
          <cell r="J90">
            <v>39705.811999999998</v>
          </cell>
          <cell r="K90">
            <v>45576.061000000002</v>
          </cell>
          <cell r="L90">
            <v>45611.601999999999</v>
          </cell>
          <cell r="M90">
            <v>45569.591</v>
          </cell>
          <cell r="N90">
            <v>45553.55</v>
          </cell>
          <cell r="O90">
            <v>45597.705000000002</v>
          </cell>
          <cell r="P90">
            <v>45714.29</v>
          </cell>
          <cell r="Q90">
            <v>54743.03467582132</v>
          </cell>
          <cell r="R90">
            <v>54743.03467582132</v>
          </cell>
          <cell r="S90">
            <v>54743.03467582132</v>
          </cell>
          <cell r="T90">
            <v>54743.03467582132</v>
          </cell>
          <cell r="U90">
            <v>55443.799328264307</v>
          </cell>
          <cell r="V90">
            <v>55443.799328264307</v>
          </cell>
          <cell r="W90">
            <v>55443.799328264307</v>
          </cell>
          <cell r="X90">
            <v>55443.799328264307</v>
          </cell>
          <cell r="Z90">
            <v>36531.052000000003</v>
          </cell>
          <cell r="AA90">
            <v>42527.5</v>
          </cell>
          <cell r="AB90">
            <v>45607.991999999998</v>
          </cell>
          <cell r="AC90">
            <v>55204.15888905395</v>
          </cell>
          <cell r="AD90">
            <v>55443.799328264307</v>
          </cell>
          <cell r="AE90">
            <v>55507.852112110566</v>
          </cell>
          <cell r="AF90">
            <v>55571.651512170611</v>
          </cell>
          <cell r="AG90">
            <v>55646.14888002746</v>
          </cell>
          <cell r="AH90">
            <v>55729.024188655698</v>
          </cell>
        </row>
        <row r="104">
          <cell r="C104" t="str">
            <v>Cash and Cash Equivalents</v>
          </cell>
          <cell r="E104">
            <v>13144</v>
          </cell>
          <cell r="F104">
            <v>13144</v>
          </cell>
          <cell r="G104">
            <v>13144</v>
          </cell>
          <cell r="H104">
            <v>13144</v>
          </cell>
          <cell r="I104">
            <v>13144</v>
          </cell>
          <cell r="J104">
            <v>80363</v>
          </cell>
          <cell r="K104">
            <v>75884</v>
          </cell>
          <cell r="L104">
            <v>19977</v>
          </cell>
          <cell r="M104">
            <v>24031</v>
          </cell>
          <cell r="N104">
            <v>161150</v>
          </cell>
          <cell r="O104">
            <v>77660</v>
          </cell>
          <cell r="P104">
            <v>37773</v>
          </cell>
          <cell r="Q104">
            <v>45416.137173571966</v>
          </cell>
          <cell r="R104">
            <v>56292.246096897361</v>
          </cell>
          <cell r="S104">
            <v>68021.870239981668</v>
          </cell>
          <cell r="T104">
            <v>80707.806171520759</v>
          </cell>
          <cell r="U104">
            <v>93256.867798471809</v>
          </cell>
          <cell r="V104">
            <v>107226.69447697546</v>
          </cell>
          <cell r="W104">
            <v>122191.79120856251</v>
          </cell>
          <cell r="X104">
            <v>138606.77160862539</v>
          </cell>
          <cell r="Z104">
            <v>16541</v>
          </cell>
          <cell r="AA104">
            <v>19977</v>
          </cell>
          <cell r="AB104">
            <v>37773</v>
          </cell>
          <cell r="AC104">
            <v>80707.87307068902</v>
          </cell>
          <cell r="AD104">
            <v>138607.20420593681</v>
          </cell>
          <cell r="AE104">
            <v>197161.96776245889</v>
          </cell>
          <cell r="AF104">
            <v>267124.50069035136</v>
          </cell>
          <cell r="AG104">
            <v>336052.34989619942</v>
          </cell>
          <cell r="AH104">
            <v>403100.97587098484</v>
          </cell>
        </row>
        <row r="107">
          <cell r="C107" t="str">
            <v>Income Taxes Receivable</v>
          </cell>
          <cell r="H107">
            <v>805</v>
          </cell>
          <cell r="L107">
            <v>805</v>
          </cell>
          <cell r="M107">
            <v>1462</v>
          </cell>
          <cell r="N107">
            <v>1413</v>
          </cell>
          <cell r="O107">
            <v>3412</v>
          </cell>
          <cell r="P107">
            <v>5294</v>
          </cell>
          <cell r="Q107">
            <v>6794</v>
          </cell>
          <cell r="R107">
            <v>8293</v>
          </cell>
          <cell r="S107">
            <v>9791</v>
          </cell>
          <cell r="T107">
            <v>11288</v>
          </cell>
          <cell r="U107">
            <v>12784</v>
          </cell>
          <cell r="V107">
            <v>14279</v>
          </cell>
          <cell r="W107">
            <v>15773</v>
          </cell>
          <cell r="X107">
            <v>17266</v>
          </cell>
          <cell r="Z107">
            <v>417</v>
          </cell>
          <cell r="AA107">
            <v>805</v>
          </cell>
          <cell r="AB107">
            <v>5294</v>
          </cell>
          <cell r="AC107">
            <v>11288</v>
          </cell>
          <cell r="AD107">
            <v>17266</v>
          </cell>
          <cell r="AE107">
            <v>18759</v>
          </cell>
          <cell r="AF107">
            <v>20251</v>
          </cell>
          <cell r="AG107">
            <v>21742</v>
          </cell>
          <cell r="AH107">
            <v>23232</v>
          </cell>
        </row>
        <row r="110">
          <cell r="C110" t="str">
            <v>Future Income Taxes</v>
          </cell>
          <cell r="H110">
            <v>6335</v>
          </cell>
          <cell r="L110">
            <v>6335</v>
          </cell>
          <cell r="M110">
            <v>5096</v>
          </cell>
          <cell r="N110">
            <v>5789</v>
          </cell>
          <cell r="O110">
            <v>5791</v>
          </cell>
          <cell r="P110">
            <v>6214</v>
          </cell>
          <cell r="Q110">
            <v>6214</v>
          </cell>
          <cell r="R110">
            <v>6214</v>
          </cell>
          <cell r="S110">
            <v>6214</v>
          </cell>
          <cell r="T110">
            <v>6214</v>
          </cell>
          <cell r="U110">
            <v>6214</v>
          </cell>
          <cell r="V110">
            <v>6214</v>
          </cell>
          <cell r="W110">
            <v>6214</v>
          </cell>
          <cell r="X110">
            <v>6214</v>
          </cell>
          <cell r="Z110">
            <v>3335</v>
          </cell>
          <cell r="AA110">
            <v>6335</v>
          </cell>
          <cell r="AB110">
            <v>6214</v>
          </cell>
          <cell r="AC110">
            <v>6214</v>
          </cell>
          <cell r="AD110">
            <v>6214</v>
          </cell>
          <cell r="AE110">
            <v>6214</v>
          </cell>
          <cell r="AF110">
            <v>6214</v>
          </cell>
          <cell r="AG110">
            <v>6214</v>
          </cell>
          <cell r="AH110">
            <v>6214</v>
          </cell>
        </row>
        <row r="113">
          <cell r="C113" t="str">
            <v>Investments</v>
          </cell>
          <cell r="H113">
            <v>2681</v>
          </cell>
          <cell r="J113">
            <v>0</v>
          </cell>
          <cell r="K113">
            <v>2341</v>
          </cell>
          <cell r="L113">
            <v>2681</v>
          </cell>
          <cell r="M113">
            <v>2497</v>
          </cell>
          <cell r="N113">
            <v>2317</v>
          </cell>
          <cell r="O113">
            <v>2050</v>
          </cell>
          <cell r="P113">
            <v>1002</v>
          </cell>
          <cell r="Q113">
            <v>1002</v>
          </cell>
          <cell r="R113">
            <v>1002</v>
          </cell>
          <cell r="S113">
            <v>1002</v>
          </cell>
          <cell r="T113">
            <v>1002</v>
          </cell>
          <cell r="U113">
            <v>1002</v>
          </cell>
          <cell r="V113">
            <v>1002</v>
          </cell>
          <cell r="W113">
            <v>1002</v>
          </cell>
          <cell r="X113">
            <v>1002</v>
          </cell>
          <cell r="Z113">
            <v>2579</v>
          </cell>
          <cell r="AA113">
            <v>2681</v>
          </cell>
          <cell r="AB113">
            <v>1002</v>
          </cell>
          <cell r="AC113">
            <v>1002</v>
          </cell>
          <cell r="AD113">
            <v>1002</v>
          </cell>
          <cell r="AE113">
            <v>1002</v>
          </cell>
          <cell r="AF113">
            <v>1002</v>
          </cell>
          <cell r="AG113">
            <v>1002</v>
          </cell>
          <cell r="AH113">
            <v>1002</v>
          </cell>
        </row>
        <row r="114">
          <cell r="C114" t="str">
            <v>PP&amp;E</v>
          </cell>
          <cell r="H114">
            <v>20086</v>
          </cell>
          <cell r="J114">
            <v>0</v>
          </cell>
          <cell r="K114">
            <v>0</v>
          </cell>
          <cell r="L114">
            <v>20086</v>
          </cell>
          <cell r="M114">
            <v>19904</v>
          </cell>
          <cell r="N114">
            <v>20025</v>
          </cell>
          <cell r="O114">
            <v>21536</v>
          </cell>
          <cell r="P114">
            <v>20331</v>
          </cell>
          <cell r="Q114">
            <v>20831</v>
          </cell>
          <cell r="R114">
            <v>21331</v>
          </cell>
          <cell r="S114">
            <v>21831</v>
          </cell>
          <cell r="T114">
            <v>22331</v>
          </cell>
          <cell r="U114">
            <v>22831</v>
          </cell>
          <cell r="V114">
            <v>23331</v>
          </cell>
          <cell r="W114">
            <v>23831</v>
          </cell>
          <cell r="X114">
            <v>24331</v>
          </cell>
          <cell r="Z114">
            <v>8241</v>
          </cell>
          <cell r="AA114">
            <v>20086</v>
          </cell>
          <cell r="AB114">
            <v>20331</v>
          </cell>
          <cell r="AC114">
            <v>22331</v>
          </cell>
          <cell r="AD114">
            <v>24331</v>
          </cell>
          <cell r="AE114">
            <v>26331</v>
          </cell>
          <cell r="AF114">
            <v>28331</v>
          </cell>
          <cell r="AG114">
            <v>30331</v>
          </cell>
          <cell r="AH114">
            <v>32331</v>
          </cell>
        </row>
        <row r="117">
          <cell r="C117" t="str">
            <v>Deferred financial expenses</v>
          </cell>
          <cell r="H117">
            <v>2456</v>
          </cell>
          <cell r="J117">
            <v>0</v>
          </cell>
          <cell r="K117">
            <v>0</v>
          </cell>
          <cell r="L117">
            <v>2456</v>
          </cell>
          <cell r="M117">
            <v>2069</v>
          </cell>
          <cell r="N117">
            <v>2717</v>
          </cell>
          <cell r="O117">
            <v>3742</v>
          </cell>
          <cell r="P117">
            <v>4233</v>
          </cell>
          <cell r="Q117">
            <v>4233</v>
          </cell>
          <cell r="R117">
            <v>4233</v>
          </cell>
          <cell r="S117">
            <v>4233</v>
          </cell>
          <cell r="T117">
            <v>4233</v>
          </cell>
          <cell r="U117">
            <v>4233</v>
          </cell>
          <cell r="V117">
            <v>4233</v>
          </cell>
          <cell r="W117">
            <v>4233</v>
          </cell>
          <cell r="X117">
            <v>4233</v>
          </cell>
          <cell r="Z117">
            <v>0</v>
          </cell>
          <cell r="AA117">
            <v>290</v>
          </cell>
          <cell r="AB117">
            <v>4233</v>
          </cell>
          <cell r="AC117">
            <v>4233</v>
          </cell>
          <cell r="AD117">
            <v>4233</v>
          </cell>
          <cell r="AE117">
            <v>4233</v>
          </cell>
          <cell r="AF117">
            <v>4233</v>
          </cell>
          <cell r="AG117">
            <v>4233</v>
          </cell>
          <cell r="AH117">
            <v>4233</v>
          </cell>
        </row>
        <row r="118">
          <cell r="C118" t="str">
            <v>Future Income Taxes</v>
          </cell>
          <cell r="H118">
            <v>290</v>
          </cell>
          <cell r="J118">
            <v>0</v>
          </cell>
          <cell r="K118">
            <v>0</v>
          </cell>
          <cell r="L118">
            <v>290</v>
          </cell>
          <cell r="M118">
            <v>265</v>
          </cell>
          <cell r="N118">
            <v>4694</v>
          </cell>
          <cell r="O118">
            <v>4475</v>
          </cell>
          <cell r="P118">
            <v>1775</v>
          </cell>
          <cell r="Q118">
            <v>1775</v>
          </cell>
          <cell r="R118">
            <v>1775</v>
          </cell>
          <cell r="S118">
            <v>1775</v>
          </cell>
          <cell r="T118">
            <v>1775</v>
          </cell>
          <cell r="U118">
            <v>1775</v>
          </cell>
          <cell r="V118">
            <v>1775</v>
          </cell>
          <cell r="W118">
            <v>1775</v>
          </cell>
          <cell r="X118">
            <v>1775</v>
          </cell>
          <cell r="Z118">
            <v>3221</v>
          </cell>
          <cell r="AA118">
            <v>2456</v>
          </cell>
          <cell r="AB118">
            <v>1775</v>
          </cell>
          <cell r="AC118">
            <v>1775</v>
          </cell>
          <cell r="AD118">
            <v>1775</v>
          </cell>
          <cell r="AE118">
            <v>1775</v>
          </cell>
          <cell r="AF118">
            <v>1775</v>
          </cell>
          <cell r="AG118">
            <v>1775</v>
          </cell>
          <cell r="AH118">
            <v>1775</v>
          </cell>
        </row>
        <row r="124">
          <cell r="C124" t="str">
            <v>Bank Indebtedness</v>
          </cell>
          <cell r="H124">
            <v>0</v>
          </cell>
          <cell r="L124">
            <v>0</v>
          </cell>
          <cell r="M124">
            <v>0</v>
          </cell>
          <cell r="N124">
            <v>0</v>
          </cell>
          <cell r="O124">
            <v>0</v>
          </cell>
          <cell r="P124">
            <v>0</v>
          </cell>
          <cell r="Q124">
            <v>0</v>
          </cell>
          <cell r="R124">
            <v>0</v>
          </cell>
          <cell r="S124">
            <v>0</v>
          </cell>
          <cell r="T124">
            <v>0</v>
          </cell>
          <cell r="U124">
            <v>0</v>
          </cell>
          <cell r="V124">
            <v>0</v>
          </cell>
          <cell r="W124">
            <v>0</v>
          </cell>
          <cell r="X124">
            <v>0</v>
          </cell>
          <cell r="Z124">
            <v>0</v>
          </cell>
          <cell r="AA124">
            <v>0</v>
          </cell>
          <cell r="AB124">
            <v>0</v>
          </cell>
          <cell r="AC124">
            <v>0</v>
          </cell>
          <cell r="AD124">
            <v>0</v>
          </cell>
          <cell r="AE124">
            <v>0</v>
          </cell>
          <cell r="AF124">
            <v>0</v>
          </cell>
          <cell r="AG124">
            <v>0</v>
          </cell>
          <cell r="AH124">
            <v>0</v>
          </cell>
        </row>
        <row r="126">
          <cell r="C126" t="str">
            <v>Income Taxes Payable</v>
          </cell>
          <cell r="H126">
            <v>1605</v>
          </cell>
          <cell r="L126">
            <v>1605</v>
          </cell>
          <cell r="M126">
            <v>1039</v>
          </cell>
          <cell r="N126">
            <v>811</v>
          </cell>
          <cell r="O126">
            <v>2268</v>
          </cell>
          <cell r="P126">
            <v>4821</v>
          </cell>
          <cell r="Q126">
            <v>6321</v>
          </cell>
          <cell r="R126">
            <v>7822</v>
          </cell>
          <cell r="S126">
            <v>9324</v>
          </cell>
          <cell r="T126">
            <v>10827</v>
          </cell>
          <cell r="U126">
            <v>12331</v>
          </cell>
          <cell r="V126">
            <v>13836</v>
          </cell>
          <cell r="W126">
            <v>15342</v>
          </cell>
          <cell r="X126">
            <v>16849</v>
          </cell>
          <cell r="Z126">
            <v>782</v>
          </cell>
          <cell r="AA126">
            <v>1605</v>
          </cell>
          <cell r="AB126">
            <v>4821</v>
          </cell>
          <cell r="AC126">
            <v>10827</v>
          </cell>
          <cell r="AD126">
            <v>16849</v>
          </cell>
          <cell r="AE126">
            <v>18356</v>
          </cell>
          <cell r="AF126">
            <v>19864</v>
          </cell>
          <cell r="AG126">
            <v>21373</v>
          </cell>
          <cell r="AH126">
            <v>22883</v>
          </cell>
        </row>
        <row r="128">
          <cell r="C128" t="str">
            <v>Future Income Taxes</v>
          </cell>
          <cell r="H128">
            <v>269</v>
          </cell>
          <cell r="L128">
            <v>269</v>
          </cell>
          <cell r="M128">
            <v>760</v>
          </cell>
          <cell r="N128">
            <v>445</v>
          </cell>
          <cell r="O128">
            <v>388</v>
          </cell>
          <cell r="P128">
            <v>494</v>
          </cell>
          <cell r="Q128">
            <v>494</v>
          </cell>
          <cell r="R128">
            <v>494</v>
          </cell>
          <cell r="S128">
            <v>494</v>
          </cell>
          <cell r="T128">
            <v>494</v>
          </cell>
          <cell r="U128">
            <v>494</v>
          </cell>
          <cell r="V128">
            <v>494</v>
          </cell>
          <cell r="W128">
            <v>494</v>
          </cell>
          <cell r="X128">
            <v>494</v>
          </cell>
          <cell r="Z128">
            <v>453</v>
          </cell>
          <cell r="AA128">
            <v>269</v>
          </cell>
          <cell r="AB128">
            <v>494</v>
          </cell>
          <cell r="AC128">
            <v>494</v>
          </cell>
          <cell r="AD128">
            <v>494</v>
          </cell>
          <cell r="AE128">
            <v>494</v>
          </cell>
          <cell r="AF128">
            <v>494</v>
          </cell>
          <cell r="AG128">
            <v>494</v>
          </cell>
          <cell r="AH128">
            <v>494</v>
          </cell>
        </row>
        <row r="132">
          <cell r="C132" t="str">
            <v>Future Income Taxes</v>
          </cell>
          <cell r="H132">
            <v>34212</v>
          </cell>
          <cell r="L132">
            <v>34212</v>
          </cell>
          <cell r="M132">
            <v>34557</v>
          </cell>
          <cell r="N132">
            <v>35573</v>
          </cell>
          <cell r="O132">
            <v>36825</v>
          </cell>
          <cell r="P132">
            <v>34603</v>
          </cell>
          <cell r="Q132">
            <v>34603</v>
          </cell>
          <cell r="R132">
            <v>34603</v>
          </cell>
          <cell r="S132">
            <v>34603</v>
          </cell>
          <cell r="T132">
            <v>34603</v>
          </cell>
          <cell r="U132">
            <v>34603</v>
          </cell>
          <cell r="V132">
            <v>34603</v>
          </cell>
          <cell r="W132">
            <v>34603</v>
          </cell>
          <cell r="X132">
            <v>34603</v>
          </cell>
          <cell r="Z132">
            <v>25704</v>
          </cell>
          <cell r="AA132">
            <v>34212</v>
          </cell>
          <cell r="AB132">
            <v>34603</v>
          </cell>
          <cell r="AC132">
            <v>34603</v>
          </cell>
          <cell r="AD132">
            <v>34603</v>
          </cell>
          <cell r="AE132">
            <v>34603</v>
          </cell>
          <cell r="AF132">
            <v>34603</v>
          </cell>
          <cell r="AG132">
            <v>34603</v>
          </cell>
          <cell r="AH132">
            <v>34603</v>
          </cell>
        </row>
        <row r="133">
          <cell r="C133" t="str">
            <v>Non-controlling interest</v>
          </cell>
          <cell r="H133">
            <v>278</v>
          </cell>
          <cell r="L133">
            <v>332</v>
          </cell>
          <cell r="M133">
            <v>278</v>
          </cell>
          <cell r="N133">
            <v>229</v>
          </cell>
          <cell r="O133">
            <v>229</v>
          </cell>
          <cell r="P133">
            <v>0</v>
          </cell>
          <cell r="Q133">
            <v>0</v>
          </cell>
          <cell r="R133">
            <v>0</v>
          </cell>
          <cell r="S133">
            <v>0</v>
          </cell>
          <cell r="T133">
            <v>0</v>
          </cell>
          <cell r="U133">
            <v>0</v>
          </cell>
          <cell r="V133">
            <v>0</v>
          </cell>
          <cell r="W133">
            <v>0</v>
          </cell>
          <cell r="X133">
            <v>0</v>
          </cell>
          <cell r="Z133">
            <v>695</v>
          </cell>
          <cell r="AA133">
            <v>332</v>
          </cell>
          <cell r="AB133">
            <v>0</v>
          </cell>
          <cell r="AC133">
            <v>0</v>
          </cell>
          <cell r="AD133">
            <v>0</v>
          </cell>
          <cell r="AE133">
            <v>0</v>
          </cell>
          <cell r="AF133">
            <v>0</v>
          </cell>
          <cell r="AG133">
            <v>0</v>
          </cell>
          <cell r="AH133">
            <v>0</v>
          </cell>
        </row>
        <row r="151">
          <cell r="B151" t="str">
            <v>Dividends from co subject to significant influence</v>
          </cell>
          <cell r="E151">
            <v>0</v>
          </cell>
          <cell r="I151">
            <v>0</v>
          </cell>
          <cell r="J151">
            <v>0</v>
          </cell>
          <cell r="K151">
            <v>0</v>
          </cell>
          <cell r="L151">
            <v>0</v>
          </cell>
          <cell r="M151">
            <v>0</v>
          </cell>
          <cell r="N151">
            <v>0</v>
          </cell>
          <cell r="O151">
            <v>0</v>
          </cell>
          <cell r="P151">
            <v>0</v>
          </cell>
          <cell r="Q151">
            <v>0</v>
          </cell>
          <cell r="Z151">
            <v>0</v>
          </cell>
          <cell r="AA151">
            <v>0</v>
          </cell>
          <cell r="AB151">
            <v>0</v>
          </cell>
          <cell r="AC151">
            <v>0</v>
          </cell>
          <cell r="AD151">
            <v>0</v>
          </cell>
          <cell r="AE151">
            <v>0</v>
          </cell>
          <cell r="AF151">
            <v>0</v>
          </cell>
          <cell r="AG151">
            <v>0</v>
          </cell>
          <cell r="AH151">
            <v>0</v>
          </cell>
        </row>
        <row r="153">
          <cell r="B153" t="str">
            <v xml:space="preserve">  Share in JV earnings</v>
          </cell>
          <cell r="E153">
            <v>-8</v>
          </cell>
          <cell r="I153">
            <v>-8</v>
          </cell>
          <cell r="J153">
            <v>15</v>
          </cell>
          <cell r="K153">
            <v>7</v>
          </cell>
          <cell r="L153">
            <v>32</v>
          </cell>
          <cell r="M153">
            <v>55</v>
          </cell>
          <cell r="N153">
            <v>33</v>
          </cell>
          <cell r="O153">
            <v>36</v>
          </cell>
          <cell r="P153">
            <v>-18</v>
          </cell>
          <cell r="Q153">
            <v>0</v>
          </cell>
          <cell r="R153">
            <v>0</v>
          </cell>
          <cell r="S153">
            <v>0</v>
          </cell>
          <cell r="T153">
            <v>0</v>
          </cell>
          <cell r="U153">
            <v>0</v>
          </cell>
          <cell r="V153">
            <v>0</v>
          </cell>
          <cell r="W153">
            <v>0</v>
          </cell>
          <cell r="X153">
            <v>0</v>
          </cell>
          <cell r="Z153">
            <v>0</v>
          </cell>
          <cell r="AA153">
            <v>46</v>
          </cell>
          <cell r="AB153">
            <v>106</v>
          </cell>
          <cell r="AC153">
            <v>0</v>
          </cell>
          <cell r="AD153">
            <v>0</v>
          </cell>
          <cell r="AE153">
            <v>0</v>
          </cell>
          <cell r="AF153">
            <v>0</v>
          </cell>
          <cell r="AG153">
            <v>0</v>
          </cell>
          <cell r="AH153">
            <v>0</v>
          </cell>
        </row>
        <row r="155">
          <cell r="B155" t="str">
            <v xml:space="preserve">  Amortization of deferred financial expenses</v>
          </cell>
          <cell r="E155">
            <v>0</v>
          </cell>
          <cell r="I155">
            <v>0</v>
          </cell>
          <cell r="J155">
            <v>0</v>
          </cell>
          <cell r="K155">
            <v>0</v>
          </cell>
          <cell r="L155">
            <v>247</v>
          </cell>
          <cell r="M155">
            <v>25</v>
          </cell>
          <cell r="N155">
            <v>104</v>
          </cell>
          <cell r="O155">
            <v>257</v>
          </cell>
          <cell r="P155">
            <v>260</v>
          </cell>
          <cell r="Q155">
            <v>0</v>
          </cell>
          <cell r="R155">
            <v>0</v>
          </cell>
          <cell r="S155">
            <v>0</v>
          </cell>
          <cell r="T155">
            <v>0</v>
          </cell>
          <cell r="U155">
            <v>0</v>
          </cell>
          <cell r="V155">
            <v>0</v>
          </cell>
          <cell r="W155">
            <v>0</v>
          </cell>
          <cell r="X155">
            <v>0</v>
          </cell>
          <cell r="Z155">
            <v>0</v>
          </cell>
          <cell r="AA155">
            <v>247</v>
          </cell>
          <cell r="AB155">
            <v>646</v>
          </cell>
          <cell r="AC155">
            <v>0</v>
          </cell>
          <cell r="AD155">
            <v>0</v>
          </cell>
          <cell r="AE155">
            <v>0</v>
          </cell>
          <cell r="AF155">
            <v>0</v>
          </cell>
          <cell r="AG155">
            <v>0</v>
          </cell>
          <cell r="AH155">
            <v>0</v>
          </cell>
        </row>
        <row r="157">
          <cell r="B157" t="str">
            <v xml:space="preserve">  Loss on disposal of assets</v>
          </cell>
          <cell r="E157">
            <v>0</v>
          </cell>
          <cell r="I157">
            <v>0</v>
          </cell>
          <cell r="J157">
            <v>0</v>
          </cell>
          <cell r="K157">
            <v>0</v>
          </cell>
          <cell r="L157">
            <v>0</v>
          </cell>
          <cell r="M157">
            <v>0</v>
          </cell>
          <cell r="N157">
            <v>0</v>
          </cell>
          <cell r="O157">
            <v>0</v>
          </cell>
          <cell r="P157">
            <v>0</v>
          </cell>
          <cell r="Q157">
            <v>0</v>
          </cell>
          <cell r="R157">
            <v>0</v>
          </cell>
          <cell r="S157">
            <v>0</v>
          </cell>
          <cell r="T157">
            <v>0</v>
          </cell>
          <cell r="U157">
            <v>0</v>
          </cell>
          <cell r="V157">
            <v>0</v>
          </cell>
          <cell r="W157">
            <v>0</v>
          </cell>
          <cell r="X157">
            <v>0</v>
          </cell>
          <cell r="Z157">
            <v>-141</v>
          </cell>
          <cell r="AA157">
            <v>0</v>
          </cell>
          <cell r="AB157">
            <v>1130</v>
          </cell>
          <cell r="AC157">
            <v>0</v>
          </cell>
          <cell r="AD157">
            <v>0</v>
          </cell>
          <cell r="AE157">
            <v>0</v>
          </cell>
          <cell r="AF157">
            <v>0</v>
          </cell>
          <cell r="AG157">
            <v>0</v>
          </cell>
          <cell r="AH157">
            <v>0</v>
          </cell>
        </row>
        <row r="158">
          <cell r="B158" t="str">
            <v xml:space="preserve">  Foreign currency fluctuation</v>
          </cell>
          <cell r="E158">
            <v>329</v>
          </cell>
          <cell r="I158">
            <v>329</v>
          </cell>
          <cell r="J158">
            <v>-153</v>
          </cell>
          <cell r="K158">
            <v>30</v>
          </cell>
          <cell r="L158">
            <v>301</v>
          </cell>
          <cell r="M158">
            <v>-5</v>
          </cell>
          <cell r="N158">
            <v>156</v>
          </cell>
          <cell r="O158">
            <v>-413</v>
          </cell>
          <cell r="P158">
            <v>567</v>
          </cell>
          <cell r="Q158">
            <v>0</v>
          </cell>
          <cell r="R158">
            <v>0</v>
          </cell>
          <cell r="S158">
            <v>0</v>
          </cell>
          <cell r="T158">
            <v>0</v>
          </cell>
          <cell r="U158">
            <v>0</v>
          </cell>
          <cell r="V158">
            <v>0</v>
          </cell>
          <cell r="W158">
            <v>0</v>
          </cell>
          <cell r="X158">
            <v>0</v>
          </cell>
          <cell r="Z158">
            <v>102</v>
          </cell>
          <cell r="AA158">
            <v>507</v>
          </cell>
          <cell r="AB158">
            <v>305</v>
          </cell>
          <cell r="AC158">
            <v>0</v>
          </cell>
          <cell r="AD158">
            <v>0</v>
          </cell>
          <cell r="AE158">
            <v>0</v>
          </cell>
          <cell r="AF158">
            <v>0</v>
          </cell>
          <cell r="AG158">
            <v>0</v>
          </cell>
          <cell r="AH158">
            <v>0</v>
          </cell>
        </row>
        <row r="159">
          <cell r="B159" t="str">
            <v xml:space="preserve">  Future income taxes</v>
          </cell>
          <cell r="E159">
            <v>219</v>
          </cell>
          <cell r="I159">
            <v>219</v>
          </cell>
          <cell r="J159">
            <v>113</v>
          </cell>
          <cell r="K159">
            <v>1582</v>
          </cell>
          <cell r="L159">
            <v>464</v>
          </cell>
          <cell r="M159">
            <v>2467</v>
          </cell>
          <cell r="N159">
            <v>-529</v>
          </cell>
          <cell r="O159">
            <v>239</v>
          </cell>
          <cell r="P159">
            <v>-329</v>
          </cell>
          <cell r="Q159">
            <v>0</v>
          </cell>
          <cell r="R159">
            <v>0</v>
          </cell>
          <cell r="S159">
            <v>0</v>
          </cell>
          <cell r="T159">
            <v>0</v>
          </cell>
          <cell r="U159">
            <v>0</v>
          </cell>
          <cell r="V159">
            <v>0</v>
          </cell>
          <cell r="W159">
            <v>0</v>
          </cell>
          <cell r="X159">
            <v>0</v>
          </cell>
          <cell r="Z159">
            <v>2515</v>
          </cell>
          <cell r="AA159">
            <v>2378</v>
          </cell>
          <cell r="AB159">
            <v>1848</v>
          </cell>
          <cell r="AC159">
            <v>0</v>
          </cell>
          <cell r="AD159">
            <v>0</v>
          </cell>
          <cell r="AE159">
            <v>0</v>
          </cell>
          <cell r="AF159">
            <v>0</v>
          </cell>
          <cell r="AG159">
            <v>0</v>
          </cell>
          <cell r="AH159">
            <v>0</v>
          </cell>
        </row>
        <row r="160">
          <cell r="B160" t="str">
            <v xml:space="preserve">  Invesment tax credits</v>
          </cell>
          <cell r="E160">
            <v>0</v>
          </cell>
          <cell r="I160">
            <v>0</v>
          </cell>
          <cell r="J160">
            <v>0</v>
          </cell>
          <cell r="K160">
            <v>0</v>
          </cell>
          <cell r="L160">
            <v>0</v>
          </cell>
          <cell r="M160">
            <v>0</v>
          </cell>
          <cell r="N160">
            <v>0</v>
          </cell>
          <cell r="O160">
            <v>0</v>
          </cell>
          <cell r="P160">
            <v>0</v>
          </cell>
          <cell r="Q160">
            <v>0</v>
          </cell>
          <cell r="R160">
            <v>0</v>
          </cell>
          <cell r="S160">
            <v>0</v>
          </cell>
          <cell r="T160">
            <v>0</v>
          </cell>
          <cell r="U160">
            <v>0</v>
          </cell>
          <cell r="V160">
            <v>0</v>
          </cell>
          <cell r="W160">
            <v>0</v>
          </cell>
          <cell r="X160">
            <v>0</v>
          </cell>
          <cell r="Z160">
            <v>-746</v>
          </cell>
          <cell r="AA160">
            <v>0</v>
          </cell>
          <cell r="AB160">
            <v>0</v>
          </cell>
          <cell r="AC160">
            <v>0</v>
          </cell>
          <cell r="AD160">
            <v>0</v>
          </cell>
          <cell r="AE160">
            <v>0</v>
          </cell>
          <cell r="AF160">
            <v>0</v>
          </cell>
          <cell r="AG160">
            <v>0</v>
          </cell>
          <cell r="AH160">
            <v>0</v>
          </cell>
        </row>
        <row r="161">
          <cell r="B161" t="str">
            <v xml:space="preserve">  Share in net loss of cos subject to significant influence</v>
          </cell>
          <cell r="E161">
            <v>0</v>
          </cell>
          <cell r="I161">
            <v>0</v>
          </cell>
          <cell r="J161">
            <v>0</v>
          </cell>
          <cell r="K161">
            <v>0</v>
          </cell>
          <cell r="L161">
            <v>0</v>
          </cell>
          <cell r="M161">
            <v>0</v>
          </cell>
          <cell r="N161">
            <v>0</v>
          </cell>
          <cell r="O161">
            <v>0</v>
          </cell>
          <cell r="P161">
            <v>0</v>
          </cell>
          <cell r="Q161">
            <v>0</v>
          </cell>
          <cell r="R161">
            <v>0</v>
          </cell>
          <cell r="S161">
            <v>0</v>
          </cell>
          <cell r="T161">
            <v>0</v>
          </cell>
          <cell r="U161">
            <v>0</v>
          </cell>
          <cell r="V161">
            <v>0</v>
          </cell>
          <cell r="W161">
            <v>0</v>
          </cell>
          <cell r="X161">
            <v>0</v>
          </cell>
          <cell r="Z161">
            <v>0</v>
          </cell>
          <cell r="AA161">
            <v>0</v>
          </cell>
          <cell r="AB161">
            <v>0</v>
          </cell>
          <cell r="AC161">
            <v>0</v>
          </cell>
          <cell r="AD161">
            <v>0</v>
          </cell>
          <cell r="AE161">
            <v>0</v>
          </cell>
          <cell r="AF161">
            <v>0</v>
          </cell>
          <cell r="AG161">
            <v>0</v>
          </cell>
          <cell r="AH161">
            <v>0</v>
          </cell>
        </row>
        <row r="169">
          <cell r="B169" t="str">
            <v>Change in non-cash working capital</v>
          </cell>
          <cell r="E169">
            <v>4095</v>
          </cell>
          <cell r="F169">
            <v>0</v>
          </cell>
          <cell r="G169">
            <v>0</v>
          </cell>
          <cell r="H169">
            <v>0</v>
          </cell>
          <cell r="I169">
            <v>4095</v>
          </cell>
          <cell r="J169">
            <v>-543</v>
          </cell>
          <cell r="K169">
            <v>6182</v>
          </cell>
          <cell r="L169">
            <v>-5952</v>
          </cell>
          <cell r="M169">
            <v>10210</v>
          </cell>
          <cell r="N169">
            <v>1060</v>
          </cell>
          <cell r="O169">
            <v>5056</v>
          </cell>
          <cell r="P169">
            <v>3250</v>
          </cell>
          <cell r="Q169">
            <v>-1993.591890410964</v>
          </cell>
          <cell r="R169">
            <v>-830.08142465753554</v>
          </cell>
          <cell r="S169">
            <v>-368.5234936986235</v>
          </cell>
          <cell r="T169">
            <v>-537.41108164383331</v>
          </cell>
          <cell r="U169">
            <v>707.78220315547878</v>
          </cell>
          <cell r="V169">
            <v>30.761765252693294</v>
          </cell>
          <cell r="W169">
            <v>-110.87161825450312</v>
          </cell>
          <cell r="X169">
            <v>-67.317241279859445</v>
          </cell>
          <cell r="Z169">
            <v>-8580</v>
          </cell>
          <cell r="AA169">
            <v>3782</v>
          </cell>
          <cell r="AB169">
            <v>19576</v>
          </cell>
          <cell r="AC169">
            <v>-3729.6078904109563</v>
          </cell>
          <cell r="AD169">
            <v>560.35510887380951</v>
          </cell>
          <cell r="AE169">
            <v>-608.34189079162024</v>
          </cell>
          <cell r="AF169">
            <v>7121.3291008871165</v>
          </cell>
          <cell r="AG169">
            <v>-147.85613247036235</v>
          </cell>
          <cell r="AH169">
            <v>-272.46738540301158</v>
          </cell>
        </row>
        <row r="174">
          <cell r="B174" t="str">
            <v>Notes Payables</v>
          </cell>
          <cell r="E174">
            <v>0</v>
          </cell>
          <cell r="I174">
            <v>0</v>
          </cell>
          <cell r="J174">
            <v>0</v>
          </cell>
          <cell r="K174">
            <v>0</v>
          </cell>
          <cell r="L174">
            <v>0</v>
          </cell>
          <cell r="M174">
            <v>0</v>
          </cell>
          <cell r="N174">
            <v>0</v>
          </cell>
          <cell r="O174">
            <v>0</v>
          </cell>
          <cell r="P174">
            <v>0</v>
          </cell>
          <cell r="Q174">
            <v>0</v>
          </cell>
          <cell r="R174">
            <v>0</v>
          </cell>
          <cell r="S174">
            <v>0</v>
          </cell>
          <cell r="T174">
            <v>0</v>
          </cell>
          <cell r="U174">
            <v>0</v>
          </cell>
          <cell r="V174">
            <v>0</v>
          </cell>
          <cell r="W174">
            <v>0</v>
          </cell>
          <cell r="X174">
            <v>0</v>
          </cell>
          <cell r="Z174">
            <v>0</v>
          </cell>
          <cell r="AA174">
            <v>0</v>
          </cell>
          <cell r="AB174">
            <v>0</v>
          </cell>
          <cell r="AC174">
            <v>0</v>
          </cell>
          <cell r="AD174">
            <v>0</v>
          </cell>
          <cell r="AE174">
            <v>0</v>
          </cell>
          <cell r="AF174">
            <v>0</v>
          </cell>
          <cell r="AG174">
            <v>0</v>
          </cell>
          <cell r="AH174">
            <v>0</v>
          </cell>
        </row>
        <row r="175">
          <cell r="B175" t="str">
            <v>Increase (payment) of bank indebteness</v>
          </cell>
          <cell r="E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W175">
            <v>0</v>
          </cell>
          <cell r="X175">
            <v>0</v>
          </cell>
          <cell r="Z175">
            <v>0</v>
          </cell>
          <cell r="AA175">
            <v>0</v>
          </cell>
          <cell r="AB175">
            <v>0</v>
          </cell>
          <cell r="AC175">
            <v>0</v>
          </cell>
          <cell r="AD175">
            <v>0</v>
          </cell>
          <cell r="AE175">
            <v>0</v>
          </cell>
          <cell r="AF175">
            <v>0</v>
          </cell>
          <cell r="AG175">
            <v>0</v>
          </cell>
          <cell r="AH175">
            <v>0</v>
          </cell>
        </row>
        <row r="176">
          <cell r="B176" t="str">
            <v>Increase (payment) of Long-term Debt</v>
          </cell>
          <cell r="E176">
            <v>-2191</v>
          </cell>
          <cell r="I176">
            <v>-2191</v>
          </cell>
          <cell r="J176">
            <v>128</v>
          </cell>
          <cell r="K176">
            <v>226</v>
          </cell>
          <cell r="L176">
            <v>76</v>
          </cell>
          <cell r="M176">
            <v>-196</v>
          </cell>
          <cell r="N176">
            <v>124789</v>
          </cell>
          <cell r="O176">
            <v>107</v>
          </cell>
          <cell r="P176">
            <v>-3323</v>
          </cell>
          <cell r="Q176">
            <v>-2500</v>
          </cell>
          <cell r="R176">
            <v>-2500</v>
          </cell>
          <cell r="S176">
            <v>-2500</v>
          </cell>
          <cell r="T176">
            <v>-2500</v>
          </cell>
          <cell r="U176">
            <v>-2500</v>
          </cell>
          <cell r="V176">
            <v>-2500</v>
          </cell>
          <cell r="W176">
            <v>-2500</v>
          </cell>
          <cell r="X176">
            <v>-2500</v>
          </cell>
          <cell r="Z176">
            <v>-47075</v>
          </cell>
          <cell r="AA176">
            <v>-1761</v>
          </cell>
          <cell r="AB176">
            <v>121377</v>
          </cell>
          <cell r="AC176">
            <v>-10000</v>
          </cell>
          <cell r="AD176">
            <v>-10000</v>
          </cell>
          <cell r="AE176">
            <v>-10000</v>
          </cell>
          <cell r="AF176">
            <v>-10000</v>
          </cell>
          <cell r="AG176">
            <v>-10000</v>
          </cell>
          <cell r="AH176">
            <v>-10000</v>
          </cell>
        </row>
        <row r="177">
          <cell r="B177" t="str">
            <v>Non-controlling interest</v>
          </cell>
          <cell r="E177">
            <v>0</v>
          </cell>
          <cell r="I177">
            <v>0</v>
          </cell>
          <cell r="J177">
            <v>0</v>
          </cell>
          <cell r="K177">
            <v>0</v>
          </cell>
          <cell r="L177">
            <v>0</v>
          </cell>
          <cell r="M177">
            <v>0</v>
          </cell>
          <cell r="N177">
            <v>0</v>
          </cell>
          <cell r="O177">
            <v>0</v>
          </cell>
          <cell r="P177">
            <v>0</v>
          </cell>
          <cell r="Q177">
            <v>0</v>
          </cell>
          <cell r="R177">
            <v>0</v>
          </cell>
          <cell r="S177">
            <v>0</v>
          </cell>
          <cell r="T177">
            <v>0</v>
          </cell>
          <cell r="U177">
            <v>0</v>
          </cell>
          <cell r="V177">
            <v>0</v>
          </cell>
          <cell r="W177">
            <v>0</v>
          </cell>
          <cell r="X177">
            <v>0</v>
          </cell>
          <cell r="Z177">
            <v>388</v>
          </cell>
          <cell r="AA177">
            <v>0</v>
          </cell>
          <cell r="AB177">
            <v>0</v>
          </cell>
          <cell r="AC177">
            <v>0</v>
          </cell>
          <cell r="AD177">
            <v>0</v>
          </cell>
          <cell r="AE177">
            <v>0</v>
          </cell>
          <cell r="AF177">
            <v>0</v>
          </cell>
          <cell r="AG177">
            <v>0</v>
          </cell>
          <cell r="AH177">
            <v>0</v>
          </cell>
        </row>
        <row r="184">
          <cell r="B184" t="str">
            <v>Acquisition of Short-term Investments</v>
          </cell>
          <cell r="E184">
            <v>-6</v>
          </cell>
          <cell r="I184">
            <v>-6</v>
          </cell>
          <cell r="J184">
            <v>0</v>
          </cell>
          <cell r="K184">
            <v>0</v>
          </cell>
          <cell r="L184">
            <v>-60740</v>
          </cell>
          <cell r="M184">
            <v>0</v>
          </cell>
          <cell r="N184">
            <v>-700</v>
          </cell>
          <cell r="O184">
            <v>-95014</v>
          </cell>
          <cell r="P184">
            <v>-37398</v>
          </cell>
          <cell r="Q184">
            <v>0</v>
          </cell>
          <cell r="R184">
            <v>0</v>
          </cell>
          <cell r="S184">
            <v>0</v>
          </cell>
          <cell r="T184">
            <v>0</v>
          </cell>
          <cell r="U184">
            <v>0</v>
          </cell>
          <cell r="V184">
            <v>0</v>
          </cell>
          <cell r="W184">
            <v>0</v>
          </cell>
          <cell r="X184">
            <v>0</v>
          </cell>
          <cell r="Z184">
            <v>-48552</v>
          </cell>
          <cell r="AA184">
            <v>-60740</v>
          </cell>
          <cell r="AB184">
            <v>-133112</v>
          </cell>
          <cell r="AC184">
            <v>0</v>
          </cell>
          <cell r="AD184">
            <v>0</v>
          </cell>
          <cell r="AE184">
            <v>0</v>
          </cell>
          <cell r="AF184">
            <v>0</v>
          </cell>
          <cell r="AG184">
            <v>0</v>
          </cell>
          <cell r="AH184">
            <v>0</v>
          </cell>
        </row>
        <row r="185">
          <cell r="B185" t="str">
            <v>Disposal of Short -term Investments</v>
          </cell>
          <cell r="E185">
            <v>1</v>
          </cell>
          <cell r="I185">
            <v>1</v>
          </cell>
          <cell r="J185">
            <v>0</v>
          </cell>
          <cell r="K185">
            <v>0</v>
          </cell>
          <cell r="L185">
            <v>0</v>
          </cell>
          <cell r="M185">
            <v>54748</v>
          </cell>
          <cell r="N185">
            <v>5992</v>
          </cell>
          <cell r="O185">
            <v>0</v>
          </cell>
          <cell r="P185">
            <v>0</v>
          </cell>
          <cell r="Q185">
            <v>0</v>
          </cell>
          <cell r="R185">
            <v>0</v>
          </cell>
          <cell r="S185">
            <v>0</v>
          </cell>
          <cell r="T185">
            <v>0</v>
          </cell>
          <cell r="U185">
            <v>0</v>
          </cell>
          <cell r="V185">
            <v>0</v>
          </cell>
          <cell r="W185">
            <v>0</v>
          </cell>
          <cell r="X185">
            <v>0</v>
          </cell>
          <cell r="Z185">
            <v>58339</v>
          </cell>
          <cell r="AA185">
            <v>0</v>
          </cell>
          <cell r="AB185">
            <v>60740</v>
          </cell>
          <cell r="AC185">
            <v>0</v>
          </cell>
          <cell r="AD185">
            <v>0</v>
          </cell>
          <cell r="AE185">
            <v>0</v>
          </cell>
          <cell r="AF185">
            <v>0</v>
          </cell>
          <cell r="AG185">
            <v>0</v>
          </cell>
          <cell r="AH185">
            <v>0</v>
          </cell>
        </row>
        <row r="186">
          <cell r="B186" t="str">
            <v>Proceeds from discontinued ops</v>
          </cell>
          <cell r="E186">
            <v>0</v>
          </cell>
          <cell r="I186">
            <v>0</v>
          </cell>
          <cell r="J186">
            <v>0</v>
          </cell>
          <cell r="K186">
            <v>0</v>
          </cell>
          <cell r="L186">
            <v>0</v>
          </cell>
          <cell r="M186">
            <v>0</v>
          </cell>
          <cell r="N186">
            <v>0</v>
          </cell>
          <cell r="O186">
            <v>0</v>
          </cell>
          <cell r="P186">
            <v>0</v>
          </cell>
          <cell r="Q186">
            <v>0</v>
          </cell>
          <cell r="R186">
            <v>0</v>
          </cell>
          <cell r="S186">
            <v>0</v>
          </cell>
          <cell r="T186">
            <v>0</v>
          </cell>
          <cell r="U186">
            <v>0</v>
          </cell>
          <cell r="V186">
            <v>0</v>
          </cell>
          <cell r="W186">
            <v>0</v>
          </cell>
          <cell r="X186">
            <v>0</v>
          </cell>
          <cell r="Z186">
            <v>0</v>
          </cell>
          <cell r="AA186">
            <v>0</v>
          </cell>
          <cell r="AB186">
            <v>0</v>
          </cell>
          <cell r="AC186">
            <v>0</v>
          </cell>
          <cell r="AD186">
            <v>0</v>
          </cell>
          <cell r="AE186">
            <v>0</v>
          </cell>
          <cell r="AF186">
            <v>0</v>
          </cell>
          <cell r="AG186">
            <v>0</v>
          </cell>
          <cell r="AH186">
            <v>0</v>
          </cell>
        </row>
        <row r="187">
          <cell r="B187" t="str">
            <v>Acquisition of investments</v>
          </cell>
          <cell r="E187">
            <v>0</v>
          </cell>
          <cell r="I187">
            <v>0</v>
          </cell>
          <cell r="J187">
            <v>0</v>
          </cell>
          <cell r="K187">
            <v>0</v>
          </cell>
          <cell r="L187">
            <v>-10</v>
          </cell>
          <cell r="M187">
            <v>0</v>
          </cell>
          <cell r="N187">
            <v>0</v>
          </cell>
          <cell r="O187">
            <v>-100</v>
          </cell>
          <cell r="P187">
            <v>0</v>
          </cell>
          <cell r="Q187">
            <v>0</v>
          </cell>
          <cell r="R187">
            <v>0</v>
          </cell>
          <cell r="S187">
            <v>0</v>
          </cell>
          <cell r="T187">
            <v>0</v>
          </cell>
          <cell r="U187">
            <v>0</v>
          </cell>
          <cell r="V187">
            <v>0</v>
          </cell>
          <cell r="W187">
            <v>0</v>
          </cell>
          <cell r="X187">
            <v>0</v>
          </cell>
          <cell r="Z187">
            <v>-961</v>
          </cell>
          <cell r="AA187">
            <v>-16</v>
          </cell>
          <cell r="AB187">
            <v>0</v>
          </cell>
          <cell r="AC187">
            <v>0</v>
          </cell>
          <cell r="AD187">
            <v>0</v>
          </cell>
          <cell r="AE187">
            <v>0</v>
          </cell>
          <cell r="AF187">
            <v>0</v>
          </cell>
          <cell r="AG187">
            <v>0</v>
          </cell>
          <cell r="AH187">
            <v>0</v>
          </cell>
        </row>
        <row r="188">
          <cell r="B188" t="str">
            <v>Disposal of investments</v>
          </cell>
          <cell r="E188">
            <v>0</v>
          </cell>
          <cell r="I188">
            <v>0</v>
          </cell>
          <cell r="J188">
            <v>12</v>
          </cell>
          <cell r="K188">
            <v>371</v>
          </cell>
          <cell r="L188">
            <v>1</v>
          </cell>
          <cell r="M188">
            <v>129</v>
          </cell>
          <cell r="N188">
            <v>143</v>
          </cell>
          <cell r="O188">
            <v>347</v>
          </cell>
          <cell r="P188">
            <v>118</v>
          </cell>
          <cell r="Q188">
            <v>0</v>
          </cell>
          <cell r="R188">
            <v>0</v>
          </cell>
          <cell r="S188">
            <v>0</v>
          </cell>
          <cell r="T188">
            <v>0</v>
          </cell>
          <cell r="U188">
            <v>0</v>
          </cell>
          <cell r="V188">
            <v>0</v>
          </cell>
          <cell r="W188">
            <v>0</v>
          </cell>
          <cell r="X188">
            <v>0</v>
          </cell>
          <cell r="Z188">
            <v>186</v>
          </cell>
          <cell r="AA188">
            <v>385</v>
          </cell>
          <cell r="AB188">
            <v>637</v>
          </cell>
          <cell r="AC188">
            <v>0</v>
          </cell>
          <cell r="AD188">
            <v>0</v>
          </cell>
          <cell r="AE188">
            <v>0</v>
          </cell>
          <cell r="AF188">
            <v>0</v>
          </cell>
          <cell r="AG188">
            <v>0</v>
          </cell>
          <cell r="AH188">
            <v>0</v>
          </cell>
        </row>
        <row r="189">
          <cell r="B189" t="str">
            <v>Acquisition of PPE</v>
          </cell>
          <cell r="E189">
            <v>-1008</v>
          </cell>
          <cell r="I189">
            <v>-1008</v>
          </cell>
          <cell r="J189">
            <v>-376</v>
          </cell>
          <cell r="K189">
            <v>-123</v>
          </cell>
          <cell r="L189">
            <v>-1374</v>
          </cell>
          <cell r="M189">
            <v>-291</v>
          </cell>
          <cell r="N189">
            <v>-721</v>
          </cell>
          <cell r="O189">
            <v>-1224</v>
          </cell>
          <cell r="P189">
            <v>-2055</v>
          </cell>
          <cell r="Q189">
            <v>-500</v>
          </cell>
          <cell r="R189">
            <v>-500</v>
          </cell>
          <cell r="S189">
            <v>-500</v>
          </cell>
          <cell r="T189">
            <v>-500</v>
          </cell>
          <cell r="U189">
            <v>-500</v>
          </cell>
          <cell r="V189">
            <v>-500</v>
          </cell>
          <cell r="W189">
            <v>-500</v>
          </cell>
          <cell r="X189">
            <v>-500</v>
          </cell>
          <cell r="Z189">
            <v>-2391</v>
          </cell>
          <cell r="AA189">
            <v>-2881</v>
          </cell>
          <cell r="AB189">
            <v>-4291</v>
          </cell>
          <cell r="AC189">
            <v>-2000</v>
          </cell>
          <cell r="AD189">
            <v>-2000</v>
          </cell>
          <cell r="AE189">
            <v>-2000</v>
          </cell>
          <cell r="AF189">
            <v>-2000</v>
          </cell>
          <cell r="AG189">
            <v>-2000</v>
          </cell>
          <cell r="AH189">
            <v>-2000</v>
          </cell>
        </row>
        <row r="190">
          <cell r="B190" t="str">
            <v>Acquisition of Intangible assets</v>
          </cell>
          <cell r="E190">
            <v>0</v>
          </cell>
          <cell r="I190">
            <v>0</v>
          </cell>
          <cell r="J190">
            <v>0</v>
          </cell>
          <cell r="K190">
            <v>0</v>
          </cell>
          <cell r="L190">
            <v>-1561</v>
          </cell>
          <cell r="M190">
            <v>-71935</v>
          </cell>
          <cell r="N190">
            <v>205</v>
          </cell>
          <cell r="O190">
            <v>-2003</v>
          </cell>
          <cell r="P190">
            <v>-2360</v>
          </cell>
          <cell r="Q190">
            <v>-250</v>
          </cell>
          <cell r="R190">
            <v>-250</v>
          </cell>
          <cell r="S190">
            <v>-250</v>
          </cell>
          <cell r="T190">
            <v>-250</v>
          </cell>
          <cell r="U190">
            <v>-250</v>
          </cell>
          <cell r="V190">
            <v>-250</v>
          </cell>
          <cell r="W190">
            <v>-250</v>
          </cell>
          <cell r="X190">
            <v>-250</v>
          </cell>
          <cell r="Z190">
            <v>-1892</v>
          </cell>
          <cell r="AA190">
            <v>-1561</v>
          </cell>
          <cell r="AB190">
            <v>-76093</v>
          </cell>
          <cell r="AC190">
            <v>-1000</v>
          </cell>
          <cell r="AD190">
            <v>-1000</v>
          </cell>
          <cell r="AE190">
            <v>-1000</v>
          </cell>
          <cell r="AF190">
            <v>-1000</v>
          </cell>
          <cell r="AG190">
            <v>-1000</v>
          </cell>
          <cell r="AH190">
            <v>-1000</v>
          </cell>
        </row>
        <row r="191">
          <cell r="B191" t="str">
            <v>Deferred financial expenses</v>
          </cell>
          <cell r="E191">
            <v>0</v>
          </cell>
          <cell r="I191">
            <v>0</v>
          </cell>
          <cell r="J191">
            <v>0</v>
          </cell>
          <cell r="K191">
            <v>0</v>
          </cell>
          <cell r="L191">
            <v>0</v>
          </cell>
          <cell r="M191">
            <v>0</v>
          </cell>
          <cell r="N191">
            <v>0</v>
          </cell>
          <cell r="O191">
            <v>0</v>
          </cell>
          <cell r="P191">
            <v>0</v>
          </cell>
          <cell r="Q191">
            <v>0</v>
          </cell>
          <cell r="R191">
            <v>0</v>
          </cell>
          <cell r="S191">
            <v>0</v>
          </cell>
          <cell r="T191">
            <v>0</v>
          </cell>
          <cell r="U191">
            <v>0</v>
          </cell>
          <cell r="V191">
            <v>0</v>
          </cell>
          <cell r="W191">
            <v>0</v>
          </cell>
          <cell r="X191">
            <v>0</v>
          </cell>
          <cell r="Z191">
            <v>0</v>
          </cell>
          <cell r="AA191">
            <v>0</v>
          </cell>
          <cell r="AB191">
            <v>0</v>
          </cell>
          <cell r="AC191">
            <v>0</v>
          </cell>
          <cell r="AD191">
            <v>0</v>
          </cell>
          <cell r="AE191">
            <v>0</v>
          </cell>
          <cell r="AF191">
            <v>0</v>
          </cell>
          <cell r="AG191">
            <v>0</v>
          </cell>
          <cell r="AH191">
            <v>0</v>
          </cell>
        </row>
        <row r="197">
          <cell r="B197" t="str">
            <v>Foreign Exchange Loss on Cash Balances</v>
          </cell>
          <cell r="E197">
            <v>-36</v>
          </cell>
          <cell r="I197">
            <v>-36</v>
          </cell>
          <cell r="J197">
            <v>-7</v>
          </cell>
          <cell r="K197">
            <v>215</v>
          </cell>
          <cell r="L197">
            <v>-30</v>
          </cell>
          <cell r="M197">
            <v>248</v>
          </cell>
          <cell r="N197">
            <v>149</v>
          </cell>
          <cell r="O197">
            <v>89</v>
          </cell>
          <cell r="P197">
            <v>42</v>
          </cell>
          <cell r="Q197">
            <v>0</v>
          </cell>
          <cell r="R197">
            <v>0</v>
          </cell>
          <cell r="S197">
            <v>0</v>
          </cell>
          <cell r="T197">
            <v>0</v>
          </cell>
          <cell r="U197">
            <v>0</v>
          </cell>
          <cell r="V197">
            <v>0</v>
          </cell>
          <cell r="W197">
            <v>0</v>
          </cell>
          <cell r="X197">
            <v>0</v>
          </cell>
          <cell r="Z197">
            <v>-10</v>
          </cell>
          <cell r="AA197">
            <v>142</v>
          </cell>
          <cell r="AB197">
            <v>528</v>
          </cell>
          <cell r="AC197">
            <v>0</v>
          </cell>
          <cell r="AD197">
            <v>0</v>
          </cell>
          <cell r="AE197">
            <v>0</v>
          </cell>
          <cell r="AF197">
            <v>0</v>
          </cell>
          <cell r="AG197">
            <v>0</v>
          </cell>
          <cell r="AH197">
            <v>0</v>
          </cell>
        </row>
        <row r="206">
          <cell r="C206" t="str">
            <v>Interest paid</v>
          </cell>
          <cell r="E206">
            <v>13</v>
          </cell>
          <cell r="I206">
            <v>13</v>
          </cell>
          <cell r="J206">
            <v>54</v>
          </cell>
          <cell r="K206">
            <v>71</v>
          </cell>
          <cell r="L206">
            <v>104</v>
          </cell>
          <cell r="M206">
            <v>86</v>
          </cell>
          <cell r="N206">
            <v>37</v>
          </cell>
          <cell r="O206">
            <v>27</v>
          </cell>
          <cell r="P206">
            <v>192</v>
          </cell>
          <cell r="AA206">
            <v>242</v>
          </cell>
          <cell r="AB206">
            <v>342</v>
          </cell>
        </row>
        <row r="207">
          <cell r="C207" t="str">
            <v>Income taxes paid</v>
          </cell>
          <cell r="E207">
            <v>384</v>
          </cell>
          <cell r="I207">
            <v>384</v>
          </cell>
          <cell r="J207">
            <v>6269</v>
          </cell>
          <cell r="K207">
            <v>2574</v>
          </cell>
          <cell r="L207">
            <v>-1555</v>
          </cell>
          <cell r="M207">
            <v>2375</v>
          </cell>
          <cell r="N207">
            <v>3147</v>
          </cell>
          <cell r="O207">
            <v>3724</v>
          </cell>
          <cell r="P207">
            <v>3171</v>
          </cell>
          <cell r="AA207">
            <v>7672</v>
          </cell>
          <cell r="AB207">
            <v>12417</v>
          </cell>
        </row>
        <row r="227">
          <cell r="B227" t="str">
            <v>BVPS</v>
          </cell>
          <cell r="E227">
            <v>0</v>
          </cell>
          <cell r="F227" t="e">
            <v>#DIV/0!</v>
          </cell>
          <cell r="G227" t="e">
            <v>#DIV/0!</v>
          </cell>
          <cell r="H227" t="e">
            <v>#DIV/0!</v>
          </cell>
          <cell r="I227">
            <v>0</v>
          </cell>
          <cell r="J227">
            <v>0</v>
          </cell>
          <cell r="K227">
            <v>0</v>
          </cell>
          <cell r="L227">
            <v>6.4629828173980819</v>
          </cell>
          <cell r="M227">
            <v>6.7055462490326061</v>
          </cell>
          <cell r="N227">
            <v>6.9844830973656276</v>
          </cell>
          <cell r="O227">
            <v>7.2524922032808448</v>
          </cell>
          <cell r="P227">
            <v>7.2408649461689114</v>
          </cell>
          <cell r="Q227">
            <v>6.2193174631992321</v>
          </cell>
          <cell r="R227">
            <v>6.4298058458782803</v>
          </cell>
          <cell r="S227">
            <v>6.6474541766881012</v>
          </cell>
          <cell r="T227">
            <v>6.8856567091979786</v>
          </cell>
          <cell r="U227">
            <v>7.0048695516550525</v>
          </cell>
          <cell r="V227">
            <v>7.2489477605551693</v>
          </cell>
          <cell r="W227">
            <v>7.5135314804477655</v>
          </cell>
          <cell r="X227">
            <v>7.8034801520308994</v>
          </cell>
          <cell r="Z227">
            <v>5.6155240204963155</v>
          </cell>
          <cell r="AA227">
            <v>6.9316795014990298</v>
          </cell>
          <cell r="AB227">
            <v>7.2577411432627867</v>
          </cell>
          <cell r="AC227">
            <v>6.8281415473451963</v>
          </cell>
          <cell r="AD227">
            <v>7.8034801988767404</v>
          </cell>
          <cell r="AE227">
            <v>8.8369038724641147</v>
          </cell>
          <cell r="AF227">
            <v>9.9408122018709175</v>
          </cell>
          <cell r="AG227">
            <v>11.159382660303006</v>
          </cell>
          <cell r="AH227">
            <v>12.349163005629393</v>
          </cell>
        </row>
        <row r="229">
          <cell r="B229" t="str">
            <v>CFPS</v>
          </cell>
          <cell r="E229">
            <v>0.13675768953331438</v>
          </cell>
          <cell r="F229" t="e">
            <v>#DIV/0!</v>
          </cell>
          <cell r="G229" t="e">
            <v>#DIV/0!</v>
          </cell>
          <cell r="H229" t="e">
            <v>#DIV/0!</v>
          </cell>
          <cell r="I229">
            <v>0.13675768953331438</v>
          </cell>
          <cell r="J229">
            <v>0.16345214146483139</v>
          </cell>
          <cell r="K229">
            <v>0.17061588538772579</v>
          </cell>
          <cell r="L229">
            <v>0.19942294506559977</v>
          </cell>
          <cell r="M229">
            <v>0.18861262107882426</v>
          </cell>
          <cell r="N229">
            <v>0.23995934455163206</v>
          </cell>
          <cell r="O229">
            <v>0.1823337380686155</v>
          </cell>
          <cell r="P229">
            <v>0.26573747508711171</v>
          </cell>
          <cell r="Q229">
            <v>0.21114291767767279</v>
          </cell>
          <cell r="R229">
            <v>0.24894610663595743</v>
          </cell>
          <cell r="S229">
            <v>0.25610605476673065</v>
          </cell>
          <cell r="T229">
            <v>0.27666025646678688</v>
          </cell>
          <cell r="U229">
            <v>0.24823613443783868</v>
          </cell>
          <cell r="V229">
            <v>0.28607238510736976</v>
          </cell>
          <cell r="W229">
            <v>0.30657789609985003</v>
          </cell>
          <cell r="X229">
            <v>0.33194284779038602</v>
          </cell>
          <cell r="Z229">
            <v>0.64339784137615308</v>
          </cell>
          <cell r="AA229">
            <v>0.6756569278702016</v>
          </cell>
          <cell r="AB229">
            <v>0.87677615800318509</v>
          </cell>
          <cell r="AC229">
            <v>0.98456315710440157</v>
          </cell>
          <cell r="AD229">
            <v>1.1728281036690211</v>
          </cell>
          <cell r="AE229">
            <v>1.2043450233364086</v>
          </cell>
          <cell r="AF229">
            <v>1.2691489618867824</v>
          </cell>
          <cell r="AG229">
            <v>1.3794881925040159</v>
          </cell>
          <cell r="AH229">
            <v>1.3459520322169451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REF"/>
      <sheetName val="Quarterlies"/>
      <sheetName val="Income Statement"/>
      <sheetName val="Quarterly"/>
      <sheetName val="Blank"/>
      <sheetName val="Val(NoProt)"/>
      <sheetName val="IS"/>
      <sheetName val="Master Inc."/>
      <sheetName val="Cash flow Summary"/>
      <sheetName val="Valua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7"/>
      <sheetName val="Summary"/>
      <sheetName val="ANP"/>
      <sheetName val="AXP"/>
      <sheetName val="BVF"/>
      <sheetName val="IEX"/>
      <sheetName val="DDS"/>
      <sheetName val="MDS"/>
      <sheetName val="PLB"/>
      <sheetName val="QLT"/>
      <sheetName val="PTI"/>
      <sheetName val="CLC"/>
      <sheetName val="CYT"/>
      <sheetName val="MBI"/>
      <sheetName val="NRM"/>
      <sheetName val="VSM"/>
      <sheetName val="ADRX"/>
      <sheetName val="FRX"/>
      <sheetName val="KG"/>
      <sheetName val="HML"/>
      <sheetName val="NXB"/>
    </sheetNames>
    <sheetDataSet>
      <sheetData sheetId="0" refreshError="1"/>
      <sheetData sheetId="1" refreshError="1"/>
      <sheetData sheetId="2" refreshError="1"/>
      <sheetData sheetId="3" refreshError="1"/>
      <sheetData sheetId="4" refreshError="1">
        <row r="7">
          <cell r="K7">
            <v>2345</v>
          </cell>
          <cell r="M7">
            <v>314</v>
          </cell>
        </row>
        <row r="11">
          <cell r="C11">
            <v>6253</v>
          </cell>
          <cell r="F11">
            <v>4753</v>
          </cell>
        </row>
        <row r="17">
          <cell r="M17">
            <v>0.11981291670813016</v>
          </cell>
        </row>
        <row r="20">
          <cell r="C20">
            <v>917.91691987845832</v>
          </cell>
        </row>
        <row r="28">
          <cell r="C28">
            <v>4</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ps - output"/>
      <sheetName val="mass spec"/>
      <sheetName val="quarter comps"/>
    </sheetNames>
    <sheetDataSet>
      <sheetData sheetId="0" refreshError="1">
        <row r="4">
          <cell r="A4" t="str">
            <v>Pharma Services</v>
          </cell>
          <cell r="B4" t="str">
            <v>First Call</v>
          </cell>
          <cell r="C4" t="str">
            <v>UBSe</v>
          </cell>
          <cell r="D4" t="str">
            <v>Actual</v>
          </cell>
        </row>
        <row r="5">
          <cell r="A5" t="str">
            <v>Covance</v>
          </cell>
          <cell r="B5">
            <v>0.46</v>
          </cell>
          <cell r="D5">
            <v>0.46</v>
          </cell>
        </row>
        <row r="6">
          <cell r="A6" t="str">
            <v>Charles Rivers Labs</v>
          </cell>
          <cell r="B6">
            <v>0.6</v>
          </cell>
          <cell r="C6">
            <v>0.6</v>
          </cell>
          <cell r="D6">
            <v>0.59</v>
          </cell>
        </row>
        <row r="7">
          <cell r="A7" t="str">
            <v>Icon</v>
          </cell>
          <cell r="B7">
            <v>0.41</v>
          </cell>
          <cell r="D7">
            <v>0.42</v>
          </cell>
        </row>
        <row r="8">
          <cell r="A8" t="str">
            <v>Parexel</v>
          </cell>
          <cell r="B8">
            <v>0.09</v>
          </cell>
          <cell r="D8">
            <v>0.09</v>
          </cell>
        </row>
        <row r="9">
          <cell r="A9" t="str">
            <v>PRA</v>
          </cell>
          <cell r="B9">
            <v>0.3</v>
          </cell>
          <cell r="D9">
            <v>0.35</v>
          </cell>
        </row>
        <row r="10">
          <cell r="A10" t="str">
            <v xml:space="preserve">PPD </v>
          </cell>
          <cell r="B10">
            <v>0.4</v>
          </cell>
          <cell r="D10">
            <v>0.41</v>
          </cell>
        </row>
        <row r="11">
          <cell r="A11" t="str">
            <v>SFBC</v>
          </cell>
          <cell r="B11">
            <v>0.42</v>
          </cell>
          <cell r="C11">
            <v>0.42</v>
          </cell>
          <cell r="D11">
            <v>0.42</v>
          </cell>
        </row>
        <row r="13">
          <cell r="A13" t="str">
            <v>Sciex</v>
          </cell>
          <cell r="B13" t="str">
            <v>First Call</v>
          </cell>
          <cell r="C13" t="str">
            <v>UBSe</v>
          </cell>
          <cell r="D13" t="str">
            <v>Actual</v>
          </cell>
        </row>
        <row r="14">
          <cell r="A14" t="str">
            <v>Sciex</v>
          </cell>
          <cell r="B14" t="str">
            <v>First Call</v>
          </cell>
          <cell r="C14" t="str">
            <v>UBSe</v>
          </cell>
          <cell r="D14" t="str">
            <v>Actual</v>
          </cell>
        </row>
        <row r="15">
          <cell r="A15" t="str">
            <v>Applied Biosystems</v>
          </cell>
          <cell r="B15">
            <v>0.27</v>
          </cell>
          <cell r="C15">
            <v>0.28000000000000003</v>
          </cell>
          <cell r="D15">
            <v>0.31</v>
          </cell>
        </row>
        <row r="16">
          <cell r="A16" t="str">
            <v>Bruker BioSciences</v>
          </cell>
          <cell r="B16">
            <v>0</v>
          </cell>
          <cell r="C16">
            <v>0.01</v>
          </cell>
          <cell r="D16">
            <v>0</v>
          </cell>
        </row>
        <row r="17">
          <cell r="A17" t="str">
            <v>ThermoElectron</v>
          </cell>
          <cell r="B17">
            <v>0.35</v>
          </cell>
          <cell r="C17">
            <v>0.35</v>
          </cell>
          <cell r="D17">
            <v>0.36</v>
          </cell>
        </row>
        <row r="18">
          <cell r="A18" t="str">
            <v>Varian</v>
          </cell>
          <cell r="B18">
            <v>0.36</v>
          </cell>
          <cell r="C18">
            <v>0.42</v>
          </cell>
          <cell r="D18">
            <v>0.37</v>
          </cell>
        </row>
        <row r="19">
          <cell r="A19" t="str">
            <v>Waters</v>
          </cell>
          <cell r="B19">
            <v>0.43</v>
          </cell>
          <cell r="C19">
            <v>0.43</v>
          </cell>
          <cell r="D19">
            <v>0.46</v>
          </cell>
        </row>
      </sheetData>
      <sheetData sheetId="1" refreshError="1"/>
      <sheetData sheetId="2"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USTOMIZED FINANCIAL SUMMAR (2)"/>
      <sheetName val="CUSTOMIZED FINANCIAL SUMMARY"/>
      <sheetName val="Sheet1"/>
      <sheetName val="Sheet2"/>
      <sheetName val="Sheet3"/>
      <sheetName val="Header"/>
      <sheetName val="Quarterlies"/>
      <sheetName val="#REF"/>
      <sheetName val="Income Statement"/>
      <sheetName val="Master In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4"/>
      <sheetName val="EX5"/>
      <sheetName val="AVERAGE YIELDS"/>
      <sheetName val="GBT DIST"/>
      <sheetName val="GBT DATA"/>
      <sheetName val="GBT PRICES"/>
      <sheetName val="INDEX DATA"/>
    </sheetNames>
    <sheetDataSet>
      <sheetData sheetId="0" refreshError="1">
        <row r="1">
          <cell r="B1" t="str">
            <v>CGX-U Equity</v>
          </cell>
          <cell r="D1" t="str">
            <v>CGX-U Equity</v>
          </cell>
        </row>
        <row r="2">
          <cell r="B2" t="str">
            <v>GCAN10YR Index</v>
          </cell>
          <cell r="D2" t="str">
            <v>CGX-U Equity Spread</v>
          </cell>
          <cell r="L2">
            <v>1807</v>
          </cell>
        </row>
        <row r="3">
          <cell r="L3">
            <v>2399</v>
          </cell>
        </row>
      </sheetData>
      <sheetData sheetId="1" refreshError="1">
        <row r="1">
          <cell r="B1" t="str">
            <v>GBT SPREAD</v>
          </cell>
        </row>
        <row r="2">
          <cell r="L2">
            <v>267</v>
          </cell>
        </row>
        <row r="3">
          <cell r="B3">
            <v>35795</v>
          </cell>
          <cell r="L3">
            <v>2141</v>
          </cell>
        </row>
      </sheetData>
      <sheetData sheetId="2" refreshError="1">
        <row r="1">
          <cell r="A1" t="str">
            <v>AVERAGE YIELDS</v>
          </cell>
        </row>
        <row r="5">
          <cell r="B5" t="str">
            <v>GBT</v>
          </cell>
          <cell r="C5" t="str">
            <v>GBT SPREAD</v>
          </cell>
          <cell r="D5" t="str">
            <v>CGX-U Equity Yield</v>
          </cell>
          <cell r="E5" t="str">
            <v>CGX-U Equity Spread</v>
          </cell>
        </row>
        <row r="7">
          <cell r="A7">
            <v>35431</v>
          </cell>
        </row>
        <row r="8">
          <cell r="A8">
            <v>35432</v>
          </cell>
        </row>
        <row r="9">
          <cell r="A9">
            <v>35433</v>
          </cell>
        </row>
        <row r="10">
          <cell r="A10">
            <v>35436</v>
          </cell>
        </row>
        <row r="11">
          <cell r="A11">
            <v>35437</v>
          </cell>
        </row>
        <row r="12">
          <cell r="A12">
            <v>35438</v>
          </cell>
        </row>
        <row r="13">
          <cell r="A13">
            <v>35439</v>
          </cell>
        </row>
        <row r="14">
          <cell r="A14">
            <v>35440</v>
          </cell>
        </row>
        <row r="15">
          <cell r="A15">
            <v>35443</v>
          </cell>
        </row>
        <row r="16">
          <cell r="A16">
            <v>35444</v>
          </cell>
        </row>
        <row r="17">
          <cell r="A17">
            <v>35445</v>
          </cell>
        </row>
        <row r="18">
          <cell r="A18">
            <v>35446</v>
          </cell>
        </row>
        <row r="19">
          <cell r="A19">
            <v>35447</v>
          </cell>
        </row>
        <row r="20">
          <cell r="A20">
            <v>35450</v>
          </cell>
        </row>
        <row r="21">
          <cell r="A21">
            <v>35451</v>
          </cell>
        </row>
        <row r="22">
          <cell r="A22">
            <v>35452</v>
          </cell>
        </row>
        <row r="23">
          <cell r="A23">
            <v>35453</v>
          </cell>
        </row>
        <row r="24">
          <cell r="A24">
            <v>35454</v>
          </cell>
        </row>
        <row r="25">
          <cell r="A25">
            <v>35457</v>
          </cell>
        </row>
        <row r="26">
          <cell r="A26">
            <v>35458</v>
          </cell>
        </row>
        <row r="27">
          <cell r="A27">
            <v>35459</v>
          </cell>
        </row>
        <row r="28">
          <cell r="A28">
            <v>35460</v>
          </cell>
        </row>
        <row r="29">
          <cell r="A29">
            <v>35461</v>
          </cell>
        </row>
        <row r="30">
          <cell r="A30">
            <v>35464</v>
          </cell>
        </row>
        <row r="31">
          <cell r="A31">
            <v>35465</v>
          </cell>
        </row>
        <row r="32">
          <cell r="A32">
            <v>35466</v>
          </cell>
        </row>
        <row r="33">
          <cell r="A33">
            <v>35467</v>
          </cell>
        </row>
        <row r="34">
          <cell r="A34">
            <v>35468</v>
          </cell>
        </row>
        <row r="35">
          <cell r="A35">
            <v>35471</v>
          </cell>
        </row>
        <row r="36">
          <cell r="A36">
            <v>35472</v>
          </cell>
        </row>
        <row r="37">
          <cell r="A37">
            <v>35473</v>
          </cell>
        </row>
        <row r="38">
          <cell r="A38">
            <v>35474</v>
          </cell>
        </row>
        <row r="39">
          <cell r="A39">
            <v>35475</v>
          </cell>
        </row>
        <row r="40">
          <cell r="A40">
            <v>35478</v>
          </cell>
        </row>
        <row r="41">
          <cell r="A41">
            <v>35479</v>
          </cell>
        </row>
        <row r="42">
          <cell r="A42">
            <v>35480</v>
          </cell>
        </row>
        <row r="43">
          <cell r="A43">
            <v>35481</v>
          </cell>
        </row>
        <row r="44">
          <cell r="A44">
            <v>35482</v>
          </cell>
        </row>
        <row r="45">
          <cell r="A45">
            <v>35485</v>
          </cell>
        </row>
        <row r="46">
          <cell r="A46">
            <v>35486</v>
          </cell>
        </row>
        <row r="47">
          <cell r="A47">
            <v>35487</v>
          </cell>
        </row>
        <row r="48">
          <cell r="A48">
            <v>35488</v>
          </cell>
        </row>
        <row r="49">
          <cell r="A49">
            <v>35489</v>
          </cell>
        </row>
        <row r="50">
          <cell r="A50">
            <v>35492</v>
          </cell>
        </row>
        <row r="51">
          <cell r="A51">
            <v>35493</v>
          </cell>
        </row>
        <row r="52">
          <cell r="A52">
            <v>35494</v>
          </cell>
        </row>
        <row r="53">
          <cell r="A53">
            <v>35495</v>
          </cell>
        </row>
        <row r="54">
          <cell r="A54">
            <v>35496</v>
          </cell>
        </row>
        <row r="55">
          <cell r="A55">
            <v>35499</v>
          </cell>
        </row>
        <row r="56">
          <cell r="A56">
            <v>35500</v>
          </cell>
        </row>
        <row r="57">
          <cell r="A57">
            <v>35501</v>
          </cell>
        </row>
        <row r="58">
          <cell r="A58">
            <v>35502</v>
          </cell>
        </row>
        <row r="59">
          <cell r="A59">
            <v>35503</v>
          </cell>
        </row>
        <row r="60">
          <cell r="A60">
            <v>35506</v>
          </cell>
        </row>
        <row r="61">
          <cell r="A61">
            <v>35507</v>
          </cell>
        </row>
        <row r="62">
          <cell r="A62">
            <v>35508</v>
          </cell>
        </row>
        <row r="63">
          <cell r="A63">
            <v>35509</v>
          </cell>
        </row>
        <row r="64">
          <cell r="A64">
            <v>35510</v>
          </cell>
        </row>
        <row r="65">
          <cell r="A65">
            <v>35513</v>
          </cell>
        </row>
        <row r="66">
          <cell r="A66">
            <v>35514</v>
          </cell>
        </row>
        <row r="67">
          <cell r="A67">
            <v>35515</v>
          </cell>
        </row>
        <row r="68">
          <cell r="A68">
            <v>35516</v>
          </cell>
        </row>
        <row r="69">
          <cell r="A69">
            <v>35517</v>
          </cell>
        </row>
        <row r="70">
          <cell r="A70">
            <v>35520</v>
          </cell>
        </row>
        <row r="71">
          <cell r="A71">
            <v>35521</v>
          </cell>
        </row>
        <row r="72">
          <cell r="A72">
            <v>35522</v>
          </cell>
        </row>
        <row r="73">
          <cell r="A73">
            <v>35523</v>
          </cell>
        </row>
        <row r="74">
          <cell r="A74">
            <v>35524</v>
          </cell>
        </row>
        <row r="75">
          <cell r="A75">
            <v>35527</v>
          </cell>
        </row>
        <row r="76">
          <cell r="A76">
            <v>35528</v>
          </cell>
        </row>
        <row r="77">
          <cell r="A77">
            <v>35529</v>
          </cell>
        </row>
        <row r="78">
          <cell r="A78">
            <v>35530</v>
          </cell>
        </row>
        <row r="79">
          <cell r="A79">
            <v>35531</v>
          </cell>
        </row>
        <row r="80">
          <cell r="A80">
            <v>35534</v>
          </cell>
        </row>
        <row r="81">
          <cell r="A81">
            <v>35535</v>
          </cell>
        </row>
        <row r="82">
          <cell r="A82">
            <v>35536</v>
          </cell>
        </row>
        <row r="83">
          <cell r="A83">
            <v>35537</v>
          </cell>
        </row>
        <row r="84">
          <cell r="A84">
            <v>35538</v>
          </cell>
        </row>
        <row r="85">
          <cell r="A85">
            <v>35541</v>
          </cell>
        </row>
        <row r="86">
          <cell r="A86">
            <v>35542</v>
          </cell>
        </row>
        <row r="87">
          <cell r="A87">
            <v>35543</v>
          </cell>
        </row>
        <row r="88">
          <cell r="A88">
            <v>35544</v>
          </cell>
        </row>
        <row r="89">
          <cell r="A89">
            <v>35545</v>
          </cell>
        </row>
        <row r="90">
          <cell r="A90">
            <v>35548</v>
          </cell>
        </row>
        <row r="91">
          <cell r="A91">
            <v>35549</v>
          </cell>
        </row>
        <row r="92">
          <cell r="A92">
            <v>35550</v>
          </cell>
        </row>
        <row r="93">
          <cell r="A93">
            <v>35551</v>
          </cell>
        </row>
        <row r="94">
          <cell r="A94">
            <v>35552</v>
          </cell>
        </row>
        <row r="95">
          <cell r="A95">
            <v>35555</v>
          </cell>
        </row>
        <row r="96">
          <cell r="A96">
            <v>35556</v>
          </cell>
        </row>
        <row r="97">
          <cell r="A97">
            <v>35557</v>
          </cell>
        </row>
        <row r="98">
          <cell r="A98">
            <v>35558</v>
          </cell>
        </row>
        <row r="99">
          <cell r="A99">
            <v>35559</v>
          </cell>
        </row>
        <row r="100">
          <cell r="A100">
            <v>35562</v>
          </cell>
        </row>
        <row r="101">
          <cell r="A101">
            <v>35563</v>
          </cell>
        </row>
        <row r="102">
          <cell r="A102">
            <v>35564</v>
          </cell>
        </row>
        <row r="103">
          <cell r="A103">
            <v>35565</v>
          </cell>
        </row>
        <row r="104">
          <cell r="A104">
            <v>35566</v>
          </cell>
        </row>
        <row r="105">
          <cell r="A105">
            <v>35569</v>
          </cell>
        </row>
        <row r="106">
          <cell r="A106">
            <v>35570</v>
          </cell>
        </row>
        <row r="107">
          <cell r="A107">
            <v>35571</v>
          </cell>
        </row>
        <row r="108">
          <cell r="A108">
            <v>35572</v>
          </cell>
        </row>
        <row r="109">
          <cell r="A109">
            <v>35573</v>
          </cell>
        </row>
        <row r="110">
          <cell r="A110">
            <v>35576</v>
          </cell>
        </row>
        <row r="111">
          <cell r="A111">
            <v>35577</v>
          </cell>
        </row>
        <row r="112">
          <cell r="A112">
            <v>35578</v>
          </cell>
        </row>
        <row r="113">
          <cell r="A113">
            <v>35579</v>
          </cell>
        </row>
        <row r="114">
          <cell r="A114">
            <v>35580</v>
          </cell>
        </row>
        <row r="115">
          <cell r="A115">
            <v>35583</v>
          </cell>
        </row>
        <row r="116">
          <cell r="A116">
            <v>35584</v>
          </cell>
        </row>
        <row r="117">
          <cell r="A117">
            <v>35585</v>
          </cell>
        </row>
        <row r="118">
          <cell r="A118">
            <v>35586</v>
          </cell>
        </row>
        <row r="119">
          <cell r="A119">
            <v>35587</v>
          </cell>
        </row>
        <row r="120">
          <cell r="A120">
            <v>35590</v>
          </cell>
        </row>
        <row r="121">
          <cell r="A121">
            <v>35591</v>
          </cell>
        </row>
        <row r="122">
          <cell r="A122">
            <v>35592</v>
          </cell>
        </row>
        <row r="123">
          <cell r="A123">
            <v>35593</v>
          </cell>
        </row>
        <row r="124">
          <cell r="A124">
            <v>35594</v>
          </cell>
        </row>
        <row r="125">
          <cell r="A125">
            <v>35597</v>
          </cell>
        </row>
        <row r="126">
          <cell r="A126">
            <v>35598</v>
          </cell>
        </row>
        <row r="127">
          <cell r="A127">
            <v>35599</v>
          </cell>
        </row>
        <row r="128">
          <cell r="A128">
            <v>35600</v>
          </cell>
        </row>
        <row r="129">
          <cell r="A129">
            <v>35601</v>
          </cell>
        </row>
        <row r="130">
          <cell r="A130">
            <v>35604</v>
          </cell>
        </row>
        <row r="131">
          <cell r="A131">
            <v>35605</v>
          </cell>
        </row>
        <row r="132">
          <cell r="A132">
            <v>35606</v>
          </cell>
        </row>
        <row r="133">
          <cell r="A133">
            <v>35607</v>
          </cell>
        </row>
        <row r="134">
          <cell r="A134">
            <v>35608</v>
          </cell>
        </row>
        <row r="135">
          <cell r="A135">
            <v>35611</v>
          </cell>
        </row>
        <row r="136">
          <cell r="A136">
            <v>35612</v>
          </cell>
        </row>
        <row r="137">
          <cell r="A137">
            <v>35613</v>
          </cell>
        </row>
        <row r="138">
          <cell r="A138">
            <v>35614</v>
          </cell>
        </row>
        <row r="139">
          <cell r="A139">
            <v>35615</v>
          </cell>
        </row>
        <row r="140">
          <cell r="A140">
            <v>35618</v>
          </cell>
        </row>
        <row r="141">
          <cell r="A141">
            <v>35619</v>
          </cell>
        </row>
        <row r="142">
          <cell r="A142">
            <v>35620</v>
          </cell>
        </row>
        <row r="143">
          <cell r="A143">
            <v>35621</v>
          </cell>
        </row>
        <row r="144">
          <cell r="A144">
            <v>35622</v>
          </cell>
        </row>
        <row r="145">
          <cell r="A145">
            <v>35625</v>
          </cell>
        </row>
        <row r="146">
          <cell r="A146">
            <v>35626</v>
          </cell>
        </row>
        <row r="147">
          <cell r="A147">
            <v>35627</v>
          </cell>
        </row>
        <row r="148">
          <cell r="A148">
            <v>35628</v>
          </cell>
        </row>
        <row r="149">
          <cell r="A149">
            <v>35629</v>
          </cell>
        </row>
        <row r="150">
          <cell r="A150">
            <v>35632</v>
          </cell>
        </row>
        <row r="151">
          <cell r="A151">
            <v>35633</v>
          </cell>
        </row>
        <row r="152">
          <cell r="A152">
            <v>35634</v>
          </cell>
        </row>
        <row r="153">
          <cell r="A153">
            <v>35635</v>
          </cell>
        </row>
        <row r="154">
          <cell r="A154">
            <v>35636</v>
          </cell>
        </row>
        <row r="155">
          <cell r="A155">
            <v>35639</v>
          </cell>
        </row>
        <row r="156">
          <cell r="A156">
            <v>35640</v>
          </cell>
        </row>
        <row r="157">
          <cell r="A157">
            <v>35641</v>
          </cell>
        </row>
        <row r="158">
          <cell r="A158">
            <v>35642</v>
          </cell>
        </row>
        <row r="159">
          <cell r="A159">
            <v>35643</v>
          </cell>
        </row>
        <row r="160">
          <cell r="A160">
            <v>35646</v>
          </cell>
        </row>
        <row r="161">
          <cell r="A161">
            <v>35647</v>
          </cell>
        </row>
        <row r="162">
          <cell r="A162">
            <v>35648</v>
          </cell>
        </row>
        <row r="163">
          <cell r="A163">
            <v>35649</v>
          </cell>
        </row>
        <row r="164">
          <cell r="A164">
            <v>35650</v>
          </cell>
        </row>
        <row r="165">
          <cell r="A165">
            <v>35653</v>
          </cell>
        </row>
        <row r="166">
          <cell r="A166">
            <v>35654</v>
          </cell>
        </row>
        <row r="167">
          <cell r="A167">
            <v>35655</v>
          </cell>
        </row>
        <row r="168">
          <cell r="A168">
            <v>35656</v>
          </cell>
        </row>
        <row r="169">
          <cell r="A169">
            <v>35657</v>
          </cell>
        </row>
        <row r="170">
          <cell r="A170">
            <v>35660</v>
          </cell>
        </row>
        <row r="171">
          <cell r="A171">
            <v>35661</v>
          </cell>
        </row>
        <row r="172">
          <cell r="A172">
            <v>35662</v>
          </cell>
        </row>
        <row r="173">
          <cell r="A173">
            <v>35663</v>
          </cell>
        </row>
        <row r="174">
          <cell r="A174">
            <v>35664</v>
          </cell>
        </row>
        <row r="175">
          <cell r="A175">
            <v>35667</v>
          </cell>
        </row>
        <row r="176">
          <cell r="A176">
            <v>35668</v>
          </cell>
        </row>
        <row r="177">
          <cell r="A177">
            <v>35669</v>
          </cell>
        </row>
        <row r="178">
          <cell r="A178">
            <v>35670</v>
          </cell>
        </row>
        <row r="179">
          <cell r="A179">
            <v>35671</v>
          </cell>
        </row>
        <row r="180">
          <cell r="A180">
            <v>35674</v>
          </cell>
        </row>
        <row r="181">
          <cell r="A181">
            <v>35675</v>
          </cell>
        </row>
        <row r="182">
          <cell r="A182">
            <v>35676</v>
          </cell>
        </row>
        <row r="183">
          <cell r="A183">
            <v>35677</v>
          </cell>
        </row>
        <row r="184">
          <cell r="A184">
            <v>35678</v>
          </cell>
        </row>
        <row r="185">
          <cell r="A185">
            <v>35681</v>
          </cell>
        </row>
        <row r="186">
          <cell r="A186">
            <v>35682</v>
          </cell>
        </row>
        <row r="187">
          <cell r="A187">
            <v>35683</v>
          </cell>
        </row>
        <row r="188">
          <cell r="A188">
            <v>35684</v>
          </cell>
        </row>
        <row r="189">
          <cell r="A189">
            <v>35685</v>
          </cell>
        </row>
        <row r="190">
          <cell r="A190">
            <v>35688</v>
          </cell>
        </row>
        <row r="191">
          <cell r="A191">
            <v>35689</v>
          </cell>
        </row>
        <row r="192">
          <cell r="A192">
            <v>35690</v>
          </cell>
        </row>
        <row r="193">
          <cell r="A193">
            <v>35691</v>
          </cell>
        </row>
        <row r="194">
          <cell r="A194">
            <v>35692</v>
          </cell>
        </row>
        <row r="195">
          <cell r="A195">
            <v>35695</v>
          </cell>
        </row>
        <row r="196">
          <cell r="A196">
            <v>35696</v>
          </cell>
        </row>
        <row r="197">
          <cell r="A197">
            <v>35697</v>
          </cell>
        </row>
        <row r="198">
          <cell r="A198">
            <v>35698</v>
          </cell>
        </row>
        <row r="199">
          <cell r="A199">
            <v>35699</v>
          </cell>
        </row>
        <row r="200">
          <cell r="A200">
            <v>35702</v>
          </cell>
        </row>
        <row r="201">
          <cell r="A201">
            <v>35703</v>
          </cell>
        </row>
        <row r="202">
          <cell r="A202">
            <v>35704</v>
          </cell>
        </row>
        <row r="203">
          <cell r="A203">
            <v>35705</v>
          </cell>
        </row>
        <row r="204">
          <cell r="A204">
            <v>35706</v>
          </cell>
        </row>
        <row r="205">
          <cell r="A205">
            <v>35709</v>
          </cell>
        </row>
        <row r="206">
          <cell r="A206">
            <v>35710</v>
          </cell>
        </row>
        <row r="207">
          <cell r="A207">
            <v>35711</v>
          </cell>
        </row>
        <row r="208">
          <cell r="A208">
            <v>35712</v>
          </cell>
        </row>
        <row r="209">
          <cell r="A209">
            <v>35713</v>
          </cell>
        </row>
        <row r="210">
          <cell r="A210">
            <v>35716</v>
          </cell>
        </row>
        <row r="211">
          <cell r="A211">
            <v>35717</v>
          </cell>
        </row>
        <row r="212">
          <cell r="A212">
            <v>35718</v>
          </cell>
        </row>
        <row r="213">
          <cell r="A213">
            <v>35719</v>
          </cell>
        </row>
        <row r="214">
          <cell r="A214">
            <v>35720</v>
          </cell>
        </row>
        <row r="215">
          <cell r="A215">
            <v>35723</v>
          </cell>
        </row>
        <row r="216">
          <cell r="A216">
            <v>35724</v>
          </cell>
        </row>
        <row r="217">
          <cell r="A217">
            <v>35725</v>
          </cell>
        </row>
        <row r="218">
          <cell r="A218">
            <v>35726</v>
          </cell>
        </row>
        <row r="219">
          <cell r="A219">
            <v>35727</v>
          </cell>
        </row>
        <row r="220">
          <cell r="A220">
            <v>35730</v>
          </cell>
        </row>
        <row r="221">
          <cell r="A221">
            <v>35731</v>
          </cell>
        </row>
        <row r="222">
          <cell r="A222">
            <v>35732</v>
          </cell>
        </row>
        <row r="223">
          <cell r="A223">
            <v>35733</v>
          </cell>
        </row>
        <row r="224">
          <cell r="A224">
            <v>35734</v>
          </cell>
        </row>
        <row r="225">
          <cell r="A225">
            <v>35737</v>
          </cell>
        </row>
        <row r="226">
          <cell r="A226">
            <v>35738</v>
          </cell>
        </row>
        <row r="227">
          <cell r="A227">
            <v>35739</v>
          </cell>
        </row>
        <row r="228">
          <cell r="A228">
            <v>35740</v>
          </cell>
        </row>
        <row r="229">
          <cell r="A229">
            <v>35741</v>
          </cell>
        </row>
        <row r="230">
          <cell r="A230">
            <v>35744</v>
          </cell>
        </row>
        <row r="231">
          <cell r="A231">
            <v>35745</v>
          </cell>
        </row>
        <row r="232">
          <cell r="A232">
            <v>35746</v>
          </cell>
        </row>
        <row r="233">
          <cell r="A233">
            <v>35747</v>
          </cell>
        </row>
        <row r="234">
          <cell r="A234">
            <v>35748</v>
          </cell>
        </row>
        <row r="235">
          <cell r="A235">
            <v>35751</v>
          </cell>
        </row>
        <row r="236">
          <cell r="A236">
            <v>35752</v>
          </cell>
        </row>
        <row r="237">
          <cell r="A237">
            <v>35753</v>
          </cell>
        </row>
        <row r="238">
          <cell r="A238">
            <v>35754</v>
          </cell>
        </row>
        <row r="239">
          <cell r="A239">
            <v>35755</v>
          </cell>
        </row>
        <row r="240">
          <cell r="A240">
            <v>35758</v>
          </cell>
        </row>
        <row r="241">
          <cell r="A241">
            <v>35759</v>
          </cell>
        </row>
        <row r="242">
          <cell r="A242">
            <v>35760</v>
          </cell>
        </row>
        <row r="243">
          <cell r="A243">
            <v>35761</v>
          </cell>
        </row>
        <row r="244">
          <cell r="A244">
            <v>35762</v>
          </cell>
        </row>
        <row r="245">
          <cell r="A245">
            <v>35765</v>
          </cell>
        </row>
        <row r="246">
          <cell r="A246">
            <v>35766</v>
          </cell>
        </row>
        <row r="247">
          <cell r="A247">
            <v>35767</v>
          </cell>
        </row>
        <row r="248">
          <cell r="A248">
            <v>35768</v>
          </cell>
        </row>
        <row r="249">
          <cell r="A249">
            <v>35769</v>
          </cell>
        </row>
        <row r="250">
          <cell r="A250">
            <v>35772</v>
          </cell>
        </row>
        <row r="251">
          <cell r="A251">
            <v>35773</v>
          </cell>
        </row>
        <row r="252">
          <cell r="A252">
            <v>35774</v>
          </cell>
        </row>
        <row r="253">
          <cell r="A253">
            <v>35775</v>
          </cell>
        </row>
        <row r="254">
          <cell r="A254">
            <v>35776</v>
          </cell>
        </row>
        <row r="255">
          <cell r="A255">
            <v>35779</v>
          </cell>
        </row>
        <row r="256">
          <cell r="A256">
            <v>35780</v>
          </cell>
        </row>
        <row r="257">
          <cell r="A257">
            <v>35781</v>
          </cell>
        </row>
        <row r="258">
          <cell r="A258">
            <v>35782</v>
          </cell>
        </row>
        <row r="259">
          <cell r="A259">
            <v>35783</v>
          </cell>
        </row>
        <row r="260">
          <cell r="A260">
            <v>35786</v>
          </cell>
        </row>
        <row r="261">
          <cell r="A261">
            <v>35787</v>
          </cell>
        </row>
        <row r="262">
          <cell r="A262">
            <v>35788</v>
          </cell>
        </row>
        <row r="263">
          <cell r="A263">
            <v>35789</v>
          </cell>
        </row>
        <row r="264">
          <cell r="A264">
            <v>35790</v>
          </cell>
        </row>
        <row r="265">
          <cell r="A265">
            <v>35793</v>
          </cell>
        </row>
        <row r="266">
          <cell r="A266">
            <v>35794</v>
          </cell>
        </row>
        <row r="267">
          <cell r="A267">
            <v>35795</v>
          </cell>
        </row>
        <row r="268">
          <cell r="A268">
            <v>35796</v>
          </cell>
        </row>
        <row r="269">
          <cell r="A269">
            <v>35797</v>
          </cell>
        </row>
        <row r="270">
          <cell r="A270">
            <v>35800</v>
          </cell>
        </row>
        <row r="271">
          <cell r="A271">
            <v>35801</v>
          </cell>
        </row>
        <row r="272">
          <cell r="A272">
            <v>35802</v>
          </cell>
        </row>
        <row r="273">
          <cell r="A273">
            <v>35803</v>
          </cell>
        </row>
        <row r="274">
          <cell r="A274">
            <v>35804</v>
          </cell>
        </row>
        <row r="275">
          <cell r="A275">
            <v>35807</v>
          </cell>
        </row>
        <row r="276">
          <cell r="A276">
            <v>35808</v>
          </cell>
        </row>
        <row r="277">
          <cell r="A277">
            <v>35809</v>
          </cell>
        </row>
        <row r="278">
          <cell r="A278">
            <v>35810</v>
          </cell>
        </row>
        <row r="279">
          <cell r="A279">
            <v>35811</v>
          </cell>
        </row>
        <row r="280">
          <cell r="A280">
            <v>35814</v>
          </cell>
        </row>
        <row r="281">
          <cell r="A281">
            <v>35815</v>
          </cell>
        </row>
        <row r="282">
          <cell r="A282">
            <v>35816</v>
          </cell>
        </row>
        <row r="283">
          <cell r="A283">
            <v>35817</v>
          </cell>
        </row>
        <row r="284">
          <cell r="A284">
            <v>35818</v>
          </cell>
        </row>
        <row r="285">
          <cell r="A285">
            <v>35821</v>
          </cell>
        </row>
        <row r="286">
          <cell r="A286">
            <v>35822</v>
          </cell>
        </row>
        <row r="287">
          <cell r="A287">
            <v>35823</v>
          </cell>
        </row>
        <row r="288">
          <cell r="A288">
            <v>35824</v>
          </cell>
        </row>
        <row r="289">
          <cell r="A289">
            <v>35825</v>
          </cell>
        </row>
        <row r="290">
          <cell r="A290">
            <v>35828</v>
          </cell>
        </row>
        <row r="291">
          <cell r="A291">
            <v>35829</v>
          </cell>
        </row>
        <row r="292">
          <cell r="A292">
            <v>35830</v>
          </cell>
        </row>
        <row r="293">
          <cell r="A293">
            <v>35831</v>
          </cell>
        </row>
        <row r="294">
          <cell r="A294">
            <v>35832</v>
          </cell>
        </row>
        <row r="295">
          <cell r="A295">
            <v>35835</v>
          </cell>
        </row>
        <row r="296">
          <cell r="A296">
            <v>35836</v>
          </cell>
        </row>
        <row r="297">
          <cell r="A297">
            <v>35837</v>
          </cell>
        </row>
        <row r="298">
          <cell r="A298">
            <v>35838</v>
          </cell>
        </row>
        <row r="299">
          <cell r="A299">
            <v>35839</v>
          </cell>
        </row>
        <row r="300">
          <cell r="A300">
            <v>35842</v>
          </cell>
        </row>
        <row r="301">
          <cell r="A301">
            <v>35843</v>
          </cell>
        </row>
        <row r="302">
          <cell r="A302">
            <v>35844</v>
          </cell>
        </row>
        <row r="303">
          <cell r="A303">
            <v>35845</v>
          </cell>
        </row>
        <row r="304">
          <cell r="A304">
            <v>35846</v>
          </cell>
        </row>
        <row r="305">
          <cell r="A305">
            <v>35849</v>
          </cell>
        </row>
        <row r="306">
          <cell r="A306">
            <v>35850</v>
          </cell>
        </row>
        <row r="307">
          <cell r="A307">
            <v>35851</v>
          </cell>
        </row>
        <row r="308">
          <cell r="A308">
            <v>35852</v>
          </cell>
        </row>
        <row r="309">
          <cell r="A309">
            <v>35853</v>
          </cell>
        </row>
        <row r="310">
          <cell r="A310">
            <v>35856</v>
          </cell>
        </row>
        <row r="311">
          <cell r="A311">
            <v>35857</v>
          </cell>
        </row>
        <row r="312">
          <cell r="A312">
            <v>35858</v>
          </cell>
        </row>
        <row r="313">
          <cell r="A313">
            <v>35859</v>
          </cell>
        </row>
        <row r="314">
          <cell r="A314">
            <v>35860</v>
          </cell>
        </row>
        <row r="315">
          <cell r="A315">
            <v>35863</v>
          </cell>
        </row>
        <row r="316">
          <cell r="A316">
            <v>35864</v>
          </cell>
        </row>
        <row r="317">
          <cell r="A317">
            <v>35865</v>
          </cell>
        </row>
        <row r="318">
          <cell r="A318">
            <v>35866</v>
          </cell>
        </row>
        <row r="319">
          <cell r="A319">
            <v>35867</v>
          </cell>
        </row>
        <row r="320">
          <cell r="A320">
            <v>35870</v>
          </cell>
        </row>
        <row r="321">
          <cell r="A321">
            <v>35871</v>
          </cell>
        </row>
        <row r="322">
          <cell r="A322">
            <v>35872</v>
          </cell>
        </row>
        <row r="323">
          <cell r="A323">
            <v>35873</v>
          </cell>
        </row>
        <row r="324">
          <cell r="A324">
            <v>35874</v>
          </cell>
        </row>
        <row r="325">
          <cell r="A325">
            <v>35877</v>
          </cell>
        </row>
        <row r="326">
          <cell r="A326">
            <v>35878</v>
          </cell>
        </row>
        <row r="327">
          <cell r="A327">
            <v>35879</v>
          </cell>
        </row>
        <row r="328">
          <cell r="A328">
            <v>35880</v>
          </cell>
        </row>
        <row r="329">
          <cell r="A329">
            <v>35881</v>
          </cell>
        </row>
        <row r="330">
          <cell r="A330">
            <v>35884</v>
          </cell>
        </row>
        <row r="331">
          <cell r="A331">
            <v>35885</v>
          </cell>
        </row>
        <row r="332">
          <cell r="A332">
            <v>35886</v>
          </cell>
        </row>
        <row r="333">
          <cell r="A333">
            <v>35887</v>
          </cell>
        </row>
        <row r="334">
          <cell r="A334">
            <v>35888</v>
          </cell>
        </row>
        <row r="335">
          <cell r="A335">
            <v>35891</v>
          </cell>
        </row>
        <row r="336">
          <cell r="A336">
            <v>35892</v>
          </cell>
        </row>
        <row r="337">
          <cell r="A337">
            <v>35893</v>
          </cell>
        </row>
        <row r="338">
          <cell r="A338">
            <v>35894</v>
          </cell>
        </row>
        <row r="339">
          <cell r="A339">
            <v>35895</v>
          </cell>
        </row>
        <row r="340">
          <cell r="A340">
            <v>35898</v>
          </cell>
        </row>
        <row r="341">
          <cell r="A341">
            <v>35899</v>
          </cell>
        </row>
        <row r="342">
          <cell r="A342">
            <v>35900</v>
          </cell>
        </row>
        <row r="343">
          <cell r="A343">
            <v>35901</v>
          </cell>
        </row>
        <row r="344">
          <cell r="A344">
            <v>35902</v>
          </cell>
        </row>
        <row r="345">
          <cell r="A345">
            <v>35905</v>
          </cell>
        </row>
        <row r="346">
          <cell r="A346">
            <v>35906</v>
          </cell>
        </row>
        <row r="347">
          <cell r="A347">
            <v>35907</v>
          </cell>
        </row>
        <row r="348">
          <cell r="A348">
            <v>35908</v>
          </cell>
        </row>
        <row r="349">
          <cell r="A349">
            <v>35909</v>
          </cell>
        </row>
        <row r="350">
          <cell r="A350">
            <v>35912</v>
          </cell>
        </row>
        <row r="351">
          <cell r="A351">
            <v>35913</v>
          </cell>
        </row>
        <row r="352">
          <cell r="A352">
            <v>35914</v>
          </cell>
        </row>
        <row r="353">
          <cell r="A353">
            <v>35915</v>
          </cell>
        </row>
        <row r="354">
          <cell r="A354">
            <v>35916</v>
          </cell>
        </row>
        <row r="355">
          <cell r="A355">
            <v>35919</v>
          </cell>
        </row>
        <row r="356">
          <cell r="A356">
            <v>35920</v>
          </cell>
        </row>
        <row r="357">
          <cell r="A357">
            <v>35921</v>
          </cell>
        </row>
        <row r="358">
          <cell r="A358">
            <v>35922</v>
          </cell>
        </row>
        <row r="359">
          <cell r="A359">
            <v>35923</v>
          </cell>
        </row>
        <row r="360">
          <cell r="A360">
            <v>35926</v>
          </cell>
        </row>
        <row r="361">
          <cell r="A361">
            <v>35927</v>
          </cell>
        </row>
        <row r="362">
          <cell r="A362">
            <v>35928</v>
          </cell>
        </row>
        <row r="363">
          <cell r="A363">
            <v>35929</v>
          </cell>
        </row>
        <row r="364">
          <cell r="A364">
            <v>35930</v>
          </cell>
        </row>
        <row r="365">
          <cell r="A365">
            <v>35933</v>
          </cell>
        </row>
        <row r="366">
          <cell r="A366">
            <v>35934</v>
          </cell>
        </row>
        <row r="367">
          <cell r="A367">
            <v>35935</v>
          </cell>
        </row>
        <row r="368">
          <cell r="A368">
            <v>35936</v>
          </cell>
        </row>
        <row r="369">
          <cell r="A369">
            <v>35937</v>
          </cell>
        </row>
        <row r="370">
          <cell r="A370">
            <v>35940</v>
          </cell>
        </row>
        <row r="371">
          <cell r="A371">
            <v>35941</v>
          </cell>
        </row>
        <row r="372">
          <cell r="A372">
            <v>35942</v>
          </cell>
        </row>
        <row r="373">
          <cell r="A373">
            <v>35943</v>
          </cell>
        </row>
        <row r="374">
          <cell r="A374">
            <v>35944</v>
          </cell>
        </row>
        <row r="375">
          <cell r="A375">
            <v>35947</v>
          </cell>
        </row>
        <row r="376">
          <cell r="A376">
            <v>35948</v>
          </cell>
        </row>
        <row r="377">
          <cell r="A377">
            <v>35949</v>
          </cell>
        </row>
        <row r="378">
          <cell r="A378">
            <v>35950</v>
          </cell>
        </row>
        <row r="379">
          <cell r="A379">
            <v>35951</v>
          </cell>
        </row>
        <row r="380">
          <cell r="A380">
            <v>35954</v>
          </cell>
        </row>
        <row r="381">
          <cell r="A381">
            <v>35955</v>
          </cell>
        </row>
        <row r="382">
          <cell r="A382">
            <v>35956</v>
          </cell>
        </row>
        <row r="383">
          <cell r="A383">
            <v>35957</v>
          </cell>
        </row>
        <row r="384">
          <cell r="A384">
            <v>35958</v>
          </cell>
        </row>
        <row r="385">
          <cell r="A385">
            <v>35961</v>
          </cell>
        </row>
        <row r="386">
          <cell r="A386">
            <v>35962</v>
          </cell>
        </row>
        <row r="387">
          <cell r="A387">
            <v>35963</v>
          </cell>
        </row>
        <row r="388">
          <cell r="A388">
            <v>35964</v>
          </cell>
        </row>
        <row r="389">
          <cell r="A389">
            <v>35965</v>
          </cell>
        </row>
        <row r="390">
          <cell r="A390">
            <v>35968</v>
          </cell>
        </row>
        <row r="391">
          <cell r="A391">
            <v>35969</v>
          </cell>
        </row>
        <row r="392">
          <cell r="A392">
            <v>35970</v>
          </cell>
        </row>
        <row r="393">
          <cell r="A393">
            <v>35971</v>
          </cell>
        </row>
        <row r="394">
          <cell r="A394">
            <v>35972</v>
          </cell>
        </row>
        <row r="395">
          <cell r="A395">
            <v>35975</v>
          </cell>
        </row>
        <row r="396">
          <cell r="A396">
            <v>35976</v>
          </cell>
        </row>
        <row r="397">
          <cell r="A397">
            <v>35977</v>
          </cell>
        </row>
        <row r="398">
          <cell r="A398">
            <v>35978</v>
          </cell>
        </row>
        <row r="399">
          <cell r="A399">
            <v>35979</v>
          </cell>
        </row>
        <row r="400">
          <cell r="A400">
            <v>35982</v>
          </cell>
        </row>
        <row r="401">
          <cell r="A401">
            <v>35983</v>
          </cell>
        </row>
        <row r="402">
          <cell r="A402">
            <v>35984</v>
          </cell>
        </row>
        <row r="403">
          <cell r="A403">
            <v>35985</v>
          </cell>
        </row>
        <row r="404">
          <cell r="A404">
            <v>35986</v>
          </cell>
        </row>
        <row r="405">
          <cell r="A405">
            <v>35989</v>
          </cell>
        </row>
        <row r="406">
          <cell r="A406">
            <v>35990</v>
          </cell>
        </row>
        <row r="407">
          <cell r="A407">
            <v>35991</v>
          </cell>
        </row>
        <row r="408">
          <cell r="A408">
            <v>35992</v>
          </cell>
        </row>
        <row r="409">
          <cell r="A409">
            <v>35993</v>
          </cell>
        </row>
        <row r="410">
          <cell r="A410">
            <v>35996</v>
          </cell>
        </row>
        <row r="411">
          <cell r="A411">
            <v>35997</v>
          </cell>
        </row>
        <row r="412">
          <cell r="A412">
            <v>35998</v>
          </cell>
        </row>
        <row r="413">
          <cell r="A413">
            <v>35999</v>
          </cell>
        </row>
        <row r="414">
          <cell r="A414">
            <v>36000</v>
          </cell>
        </row>
        <row r="415">
          <cell r="A415">
            <v>36003</v>
          </cell>
        </row>
        <row r="416">
          <cell r="A416">
            <v>36004</v>
          </cell>
        </row>
        <row r="417">
          <cell r="A417">
            <v>36005</v>
          </cell>
        </row>
        <row r="418">
          <cell r="A418">
            <v>36006</v>
          </cell>
        </row>
        <row r="419">
          <cell r="A419">
            <v>36007</v>
          </cell>
        </row>
        <row r="420">
          <cell r="A420">
            <v>36010</v>
          </cell>
        </row>
        <row r="421">
          <cell r="A421">
            <v>36011</v>
          </cell>
        </row>
        <row r="422">
          <cell r="A422">
            <v>36012</v>
          </cell>
        </row>
        <row r="423">
          <cell r="A423">
            <v>36013</v>
          </cell>
        </row>
        <row r="424">
          <cell r="A424">
            <v>36014</v>
          </cell>
        </row>
        <row r="425">
          <cell r="A425">
            <v>36017</v>
          </cell>
        </row>
        <row r="426">
          <cell r="A426">
            <v>36018</v>
          </cell>
        </row>
        <row r="427">
          <cell r="A427">
            <v>36019</v>
          </cell>
        </row>
        <row r="428">
          <cell r="A428">
            <v>36020</v>
          </cell>
        </row>
        <row r="429">
          <cell r="A429">
            <v>36021</v>
          </cell>
        </row>
        <row r="430">
          <cell r="A430">
            <v>36024</v>
          </cell>
        </row>
        <row r="431">
          <cell r="A431">
            <v>36025</v>
          </cell>
        </row>
        <row r="432">
          <cell r="A432">
            <v>36026</v>
          </cell>
        </row>
        <row r="433">
          <cell r="A433">
            <v>36027</v>
          </cell>
        </row>
        <row r="434">
          <cell r="A434">
            <v>36028</v>
          </cell>
        </row>
        <row r="435">
          <cell r="A435">
            <v>36031</v>
          </cell>
        </row>
        <row r="436">
          <cell r="A436">
            <v>36032</v>
          </cell>
        </row>
        <row r="437">
          <cell r="A437">
            <v>36033</v>
          </cell>
        </row>
        <row r="438">
          <cell r="A438">
            <v>36034</v>
          </cell>
        </row>
        <row r="439">
          <cell r="A439">
            <v>36035</v>
          </cell>
        </row>
        <row r="440">
          <cell r="A440">
            <v>36038</v>
          </cell>
        </row>
        <row r="441">
          <cell r="A441">
            <v>36039</v>
          </cell>
        </row>
        <row r="442">
          <cell r="A442">
            <v>36040</v>
          </cell>
        </row>
        <row r="443">
          <cell r="A443">
            <v>36041</v>
          </cell>
        </row>
        <row r="444">
          <cell r="A444">
            <v>36042</v>
          </cell>
        </row>
        <row r="445">
          <cell r="A445">
            <v>36045</v>
          </cell>
        </row>
        <row r="446">
          <cell r="A446">
            <v>36046</v>
          </cell>
        </row>
        <row r="447">
          <cell r="A447">
            <v>36047</v>
          </cell>
        </row>
        <row r="448">
          <cell r="A448">
            <v>36048</v>
          </cell>
        </row>
        <row r="449">
          <cell r="A449">
            <v>36049</v>
          </cell>
        </row>
        <row r="450">
          <cell r="A450">
            <v>36052</v>
          </cell>
        </row>
        <row r="451">
          <cell r="A451">
            <v>36053</v>
          </cell>
        </row>
        <row r="452">
          <cell r="A452">
            <v>36054</v>
          </cell>
        </row>
        <row r="453">
          <cell r="A453">
            <v>36055</v>
          </cell>
        </row>
        <row r="454">
          <cell r="A454">
            <v>36056</v>
          </cell>
        </row>
        <row r="455">
          <cell r="A455">
            <v>36059</v>
          </cell>
        </row>
        <row r="456">
          <cell r="A456">
            <v>36060</v>
          </cell>
        </row>
        <row r="457">
          <cell r="A457">
            <v>36061</v>
          </cell>
        </row>
        <row r="458">
          <cell r="A458">
            <v>36062</v>
          </cell>
        </row>
        <row r="459">
          <cell r="A459">
            <v>36063</v>
          </cell>
        </row>
        <row r="460">
          <cell r="A460">
            <v>36066</v>
          </cell>
        </row>
        <row r="461">
          <cell r="A461">
            <v>36067</v>
          </cell>
        </row>
        <row r="462">
          <cell r="A462">
            <v>36068</v>
          </cell>
        </row>
        <row r="463">
          <cell r="A463">
            <v>36069</v>
          </cell>
        </row>
        <row r="464">
          <cell r="A464">
            <v>36070</v>
          </cell>
        </row>
        <row r="465">
          <cell r="A465">
            <v>36073</v>
          </cell>
        </row>
        <row r="466">
          <cell r="A466">
            <v>36074</v>
          </cell>
        </row>
        <row r="467">
          <cell r="A467">
            <v>36075</v>
          </cell>
        </row>
        <row r="468">
          <cell r="A468">
            <v>36076</v>
          </cell>
        </row>
        <row r="469">
          <cell r="A469">
            <v>36077</v>
          </cell>
        </row>
        <row r="470">
          <cell r="A470">
            <v>36080</v>
          </cell>
        </row>
        <row r="471">
          <cell r="A471">
            <v>36081</v>
          </cell>
        </row>
        <row r="472">
          <cell r="A472">
            <v>36082</v>
          </cell>
        </row>
        <row r="473">
          <cell r="A473">
            <v>36083</v>
          </cell>
        </row>
        <row r="474">
          <cell r="A474">
            <v>36084</v>
          </cell>
        </row>
        <row r="475">
          <cell r="A475">
            <v>36087</v>
          </cell>
        </row>
        <row r="476">
          <cell r="A476">
            <v>36088</v>
          </cell>
        </row>
        <row r="477">
          <cell r="A477">
            <v>36089</v>
          </cell>
        </row>
        <row r="478">
          <cell r="A478">
            <v>36090</v>
          </cell>
        </row>
        <row r="479">
          <cell r="A479">
            <v>36091</v>
          </cell>
        </row>
        <row r="480">
          <cell r="A480">
            <v>36094</v>
          </cell>
        </row>
        <row r="481">
          <cell r="A481">
            <v>36095</v>
          </cell>
        </row>
        <row r="482">
          <cell r="A482">
            <v>36096</v>
          </cell>
        </row>
        <row r="483">
          <cell r="A483">
            <v>36097</v>
          </cell>
        </row>
        <row r="484">
          <cell r="A484">
            <v>36098</v>
          </cell>
        </row>
        <row r="485">
          <cell r="A485">
            <v>36101</v>
          </cell>
        </row>
        <row r="486">
          <cell r="A486">
            <v>36102</v>
          </cell>
        </row>
        <row r="487">
          <cell r="A487">
            <v>36103</v>
          </cell>
        </row>
        <row r="488">
          <cell r="A488">
            <v>36104</v>
          </cell>
        </row>
        <row r="489">
          <cell r="A489">
            <v>36105</v>
          </cell>
        </row>
        <row r="490">
          <cell r="A490">
            <v>36108</v>
          </cell>
        </row>
        <row r="491">
          <cell r="A491">
            <v>36109</v>
          </cell>
        </row>
        <row r="492">
          <cell r="A492">
            <v>36110</v>
          </cell>
        </row>
        <row r="493">
          <cell r="A493">
            <v>36111</v>
          </cell>
        </row>
        <row r="494">
          <cell r="A494">
            <v>36112</v>
          </cell>
        </row>
        <row r="495">
          <cell r="A495">
            <v>36115</v>
          </cell>
        </row>
        <row r="496">
          <cell r="A496">
            <v>36116</v>
          </cell>
        </row>
        <row r="497">
          <cell r="A497">
            <v>36117</v>
          </cell>
        </row>
        <row r="498">
          <cell r="A498">
            <v>36118</v>
          </cell>
        </row>
        <row r="499">
          <cell r="A499">
            <v>36119</v>
          </cell>
        </row>
        <row r="500">
          <cell r="A500">
            <v>36122</v>
          </cell>
        </row>
        <row r="501">
          <cell r="A501">
            <v>36123</v>
          </cell>
        </row>
        <row r="502">
          <cell r="A502">
            <v>36124</v>
          </cell>
        </row>
        <row r="503">
          <cell r="A503">
            <v>36125</v>
          </cell>
        </row>
        <row r="504">
          <cell r="A504">
            <v>36126</v>
          </cell>
        </row>
        <row r="505">
          <cell r="A505">
            <v>36129</v>
          </cell>
        </row>
        <row r="506">
          <cell r="A506">
            <v>36130</v>
          </cell>
        </row>
        <row r="507">
          <cell r="A507">
            <v>36131</v>
          </cell>
        </row>
        <row r="508">
          <cell r="A508">
            <v>36132</v>
          </cell>
        </row>
        <row r="509">
          <cell r="A509">
            <v>36133</v>
          </cell>
        </row>
        <row r="510">
          <cell r="A510">
            <v>36136</v>
          </cell>
        </row>
        <row r="511">
          <cell r="A511">
            <v>36137</v>
          </cell>
        </row>
        <row r="512">
          <cell r="A512">
            <v>36138</v>
          </cell>
        </row>
        <row r="513">
          <cell r="A513">
            <v>36139</v>
          </cell>
        </row>
        <row r="514">
          <cell r="A514">
            <v>36140</v>
          </cell>
        </row>
        <row r="515">
          <cell r="A515">
            <v>36143</v>
          </cell>
        </row>
        <row r="516">
          <cell r="A516">
            <v>36144</v>
          </cell>
        </row>
        <row r="517">
          <cell r="A517">
            <v>36145</v>
          </cell>
        </row>
        <row r="518">
          <cell r="A518">
            <v>36146</v>
          </cell>
        </row>
        <row r="519">
          <cell r="A519">
            <v>36147</v>
          </cell>
        </row>
        <row r="520">
          <cell r="A520">
            <v>36150</v>
          </cell>
        </row>
        <row r="521">
          <cell r="A521">
            <v>36151</v>
          </cell>
        </row>
        <row r="522">
          <cell r="A522">
            <v>36152</v>
          </cell>
        </row>
        <row r="523">
          <cell r="A523">
            <v>36153</v>
          </cell>
        </row>
        <row r="524">
          <cell r="A524">
            <v>36154</v>
          </cell>
        </row>
        <row r="525">
          <cell r="A525">
            <v>36157</v>
          </cell>
        </row>
        <row r="526">
          <cell r="A526">
            <v>36158</v>
          </cell>
        </row>
        <row r="527">
          <cell r="A527">
            <v>36159</v>
          </cell>
        </row>
        <row r="528">
          <cell r="A528">
            <v>36160</v>
          </cell>
        </row>
        <row r="529">
          <cell r="A529">
            <v>36161</v>
          </cell>
        </row>
        <row r="530">
          <cell r="A530">
            <v>36164</v>
          </cell>
        </row>
        <row r="531">
          <cell r="A531">
            <v>36165</v>
          </cell>
        </row>
        <row r="532">
          <cell r="A532">
            <v>36166</v>
          </cell>
        </row>
        <row r="533">
          <cell r="A533">
            <v>36167</v>
          </cell>
        </row>
        <row r="534">
          <cell r="A534">
            <v>36168</v>
          </cell>
        </row>
        <row r="535">
          <cell r="A535">
            <v>36171</v>
          </cell>
        </row>
        <row r="536">
          <cell r="A536">
            <v>36172</v>
          </cell>
        </row>
        <row r="537">
          <cell r="A537">
            <v>36173</v>
          </cell>
        </row>
        <row r="538">
          <cell r="A538">
            <v>36174</v>
          </cell>
        </row>
        <row r="539">
          <cell r="A539">
            <v>36175</v>
          </cell>
        </row>
        <row r="540">
          <cell r="A540">
            <v>36178</v>
          </cell>
        </row>
        <row r="541">
          <cell r="A541">
            <v>36179</v>
          </cell>
        </row>
        <row r="542">
          <cell r="A542">
            <v>36180</v>
          </cell>
        </row>
        <row r="543">
          <cell r="A543">
            <v>36181</v>
          </cell>
        </row>
        <row r="544">
          <cell r="A544">
            <v>36182</v>
          </cell>
        </row>
        <row r="545">
          <cell r="A545">
            <v>36185</v>
          </cell>
        </row>
        <row r="546">
          <cell r="A546">
            <v>36186</v>
          </cell>
        </row>
        <row r="547">
          <cell r="A547">
            <v>36187</v>
          </cell>
        </row>
        <row r="548">
          <cell r="A548">
            <v>36188</v>
          </cell>
        </row>
        <row r="549">
          <cell r="A549">
            <v>36189</v>
          </cell>
        </row>
        <row r="550">
          <cell r="A550">
            <v>36192</v>
          </cell>
        </row>
        <row r="551">
          <cell r="A551">
            <v>36193</v>
          </cell>
        </row>
        <row r="552">
          <cell r="A552">
            <v>36194</v>
          </cell>
        </row>
        <row r="553">
          <cell r="A553">
            <v>36195</v>
          </cell>
        </row>
        <row r="554">
          <cell r="A554">
            <v>36196</v>
          </cell>
        </row>
        <row r="555">
          <cell r="A555">
            <v>36199</v>
          </cell>
        </row>
        <row r="556">
          <cell r="A556">
            <v>36200</v>
          </cell>
        </row>
        <row r="557">
          <cell r="A557">
            <v>36201</v>
          </cell>
        </row>
        <row r="558">
          <cell r="A558">
            <v>36202</v>
          </cell>
        </row>
        <row r="559">
          <cell r="A559">
            <v>36203</v>
          </cell>
        </row>
        <row r="560">
          <cell r="A560">
            <v>36206</v>
          </cell>
        </row>
        <row r="561">
          <cell r="A561">
            <v>36207</v>
          </cell>
        </row>
        <row r="562">
          <cell r="A562">
            <v>36208</v>
          </cell>
        </row>
        <row r="563">
          <cell r="A563">
            <v>36209</v>
          </cell>
        </row>
        <row r="564">
          <cell r="A564">
            <v>36210</v>
          </cell>
        </row>
        <row r="565">
          <cell r="A565">
            <v>36213</v>
          </cell>
        </row>
        <row r="566">
          <cell r="A566">
            <v>36214</v>
          </cell>
        </row>
        <row r="567">
          <cell r="A567">
            <v>36215</v>
          </cell>
        </row>
        <row r="568">
          <cell r="A568">
            <v>36216</v>
          </cell>
        </row>
        <row r="569">
          <cell r="A569">
            <v>36217</v>
          </cell>
        </row>
        <row r="570">
          <cell r="A570">
            <v>36220</v>
          </cell>
        </row>
        <row r="571">
          <cell r="A571">
            <v>36221</v>
          </cell>
        </row>
        <row r="572">
          <cell r="A572">
            <v>36222</v>
          </cell>
        </row>
        <row r="573">
          <cell r="A573">
            <v>36223</v>
          </cell>
        </row>
        <row r="574">
          <cell r="A574">
            <v>36224</v>
          </cell>
        </row>
        <row r="575">
          <cell r="A575">
            <v>36227</v>
          </cell>
        </row>
        <row r="576">
          <cell r="A576">
            <v>36228</v>
          </cell>
        </row>
        <row r="577">
          <cell r="A577">
            <v>36229</v>
          </cell>
        </row>
        <row r="578">
          <cell r="A578">
            <v>36230</v>
          </cell>
        </row>
        <row r="579">
          <cell r="A579">
            <v>36231</v>
          </cell>
        </row>
        <row r="580">
          <cell r="A580">
            <v>36234</v>
          </cell>
        </row>
        <row r="581">
          <cell r="A581">
            <v>36235</v>
          </cell>
        </row>
        <row r="582">
          <cell r="A582">
            <v>36236</v>
          </cell>
        </row>
        <row r="583">
          <cell r="A583">
            <v>36237</v>
          </cell>
        </row>
        <row r="584">
          <cell r="A584">
            <v>36238</v>
          </cell>
        </row>
        <row r="585">
          <cell r="A585">
            <v>36241</v>
          </cell>
        </row>
        <row r="586">
          <cell r="A586">
            <v>36242</v>
          </cell>
        </row>
        <row r="587">
          <cell r="A587">
            <v>36243</v>
          </cell>
        </row>
        <row r="588">
          <cell r="A588">
            <v>36244</v>
          </cell>
        </row>
        <row r="589">
          <cell r="A589">
            <v>36245</v>
          </cell>
        </row>
        <row r="590">
          <cell r="A590">
            <v>36248</v>
          </cell>
        </row>
        <row r="591">
          <cell r="A591">
            <v>36249</v>
          </cell>
        </row>
        <row r="592">
          <cell r="A592">
            <v>36250</v>
          </cell>
        </row>
        <row r="593">
          <cell r="A593">
            <v>36251</v>
          </cell>
        </row>
        <row r="594">
          <cell r="A594">
            <v>36252</v>
          </cell>
        </row>
        <row r="595">
          <cell r="A595">
            <v>36255</v>
          </cell>
        </row>
        <row r="596">
          <cell r="A596">
            <v>36256</v>
          </cell>
        </row>
        <row r="597">
          <cell r="A597">
            <v>36257</v>
          </cell>
        </row>
        <row r="598">
          <cell r="A598">
            <v>36258</v>
          </cell>
        </row>
        <row r="599">
          <cell r="A599">
            <v>36259</v>
          </cell>
        </row>
        <row r="600">
          <cell r="A600">
            <v>36262</v>
          </cell>
        </row>
        <row r="601">
          <cell r="A601">
            <v>36263</v>
          </cell>
        </row>
        <row r="602">
          <cell r="A602">
            <v>36264</v>
          </cell>
        </row>
        <row r="603">
          <cell r="A603">
            <v>36265</v>
          </cell>
        </row>
        <row r="604">
          <cell r="A604">
            <v>36266</v>
          </cell>
        </row>
        <row r="605">
          <cell r="A605">
            <v>36269</v>
          </cell>
        </row>
        <row r="606">
          <cell r="A606">
            <v>36270</v>
          </cell>
        </row>
        <row r="607">
          <cell r="A607">
            <v>36271</v>
          </cell>
        </row>
        <row r="608">
          <cell r="A608">
            <v>36272</v>
          </cell>
        </row>
        <row r="609">
          <cell r="A609">
            <v>36273</v>
          </cell>
        </row>
        <row r="610">
          <cell r="A610">
            <v>36276</v>
          </cell>
        </row>
        <row r="611">
          <cell r="A611">
            <v>36277</v>
          </cell>
        </row>
        <row r="612">
          <cell r="A612">
            <v>36278</v>
          </cell>
        </row>
        <row r="613">
          <cell r="A613">
            <v>36279</v>
          </cell>
        </row>
        <row r="614">
          <cell r="A614">
            <v>36280</v>
          </cell>
        </row>
        <row r="615">
          <cell r="A615">
            <v>36283</v>
          </cell>
        </row>
        <row r="616">
          <cell r="A616">
            <v>36284</v>
          </cell>
        </row>
        <row r="617">
          <cell r="A617">
            <v>36285</v>
          </cell>
        </row>
        <row r="618">
          <cell r="A618">
            <v>36286</v>
          </cell>
        </row>
        <row r="619">
          <cell r="A619">
            <v>36287</v>
          </cell>
        </row>
        <row r="620">
          <cell r="A620">
            <v>36290</v>
          </cell>
        </row>
        <row r="621">
          <cell r="A621">
            <v>36291</v>
          </cell>
        </row>
        <row r="622">
          <cell r="A622">
            <v>36292</v>
          </cell>
        </row>
        <row r="623">
          <cell r="A623">
            <v>36293</v>
          </cell>
        </row>
        <row r="624">
          <cell r="A624">
            <v>36294</v>
          </cell>
        </row>
        <row r="625">
          <cell r="A625">
            <v>36297</v>
          </cell>
        </row>
        <row r="626">
          <cell r="A626">
            <v>36298</v>
          </cell>
        </row>
        <row r="627">
          <cell r="A627">
            <v>36299</v>
          </cell>
        </row>
        <row r="628">
          <cell r="A628">
            <v>36300</v>
          </cell>
        </row>
        <row r="629">
          <cell r="A629">
            <v>36301</v>
          </cell>
        </row>
        <row r="630">
          <cell r="A630">
            <v>36304</v>
          </cell>
        </row>
        <row r="631">
          <cell r="A631">
            <v>36305</v>
          </cell>
        </row>
        <row r="632">
          <cell r="A632">
            <v>36306</v>
          </cell>
        </row>
        <row r="633">
          <cell r="A633">
            <v>36307</v>
          </cell>
        </row>
        <row r="634">
          <cell r="A634">
            <v>36308</v>
          </cell>
        </row>
        <row r="635">
          <cell r="A635">
            <v>36311</v>
          </cell>
        </row>
        <row r="636">
          <cell r="A636">
            <v>36312</v>
          </cell>
        </row>
        <row r="637">
          <cell r="A637">
            <v>36313</v>
          </cell>
        </row>
        <row r="638">
          <cell r="A638">
            <v>36314</v>
          </cell>
        </row>
        <row r="639">
          <cell r="A639">
            <v>36315</v>
          </cell>
        </row>
        <row r="640">
          <cell r="A640">
            <v>36318</v>
          </cell>
        </row>
        <row r="641">
          <cell r="A641">
            <v>36319</v>
          </cell>
        </row>
        <row r="642">
          <cell r="A642">
            <v>36320</v>
          </cell>
        </row>
        <row r="643">
          <cell r="A643">
            <v>36321</v>
          </cell>
        </row>
        <row r="644">
          <cell r="A644">
            <v>36322</v>
          </cell>
        </row>
        <row r="645">
          <cell r="A645">
            <v>36325</v>
          </cell>
        </row>
        <row r="646">
          <cell r="A646">
            <v>36326</v>
          </cell>
        </row>
        <row r="647">
          <cell r="A647">
            <v>36327</v>
          </cell>
        </row>
        <row r="648">
          <cell r="A648">
            <v>36328</v>
          </cell>
        </row>
        <row r="649">
          <cell r="A649">
            <v>36329</v>
          </cell>
        </row>
        <row r="650">
          <cell r="A650">
            <v>36332</v>
          </cell>
        </row>
        <row r="651">
          <cell r="A651">
            <v>36333</v>
          </cell>
        </row>
        <row r="652">
          <cell r="A652">
            <v>36334</v>
          </cell>
        </row>
        <row r="653">
          <cell r="A653">
            <v>36335</v>
          </cell>
        </row>
        <row r="654">
          <cell r="A654">
            <v>36336</v>
          </cell>
        </row>
        <row r="655">
          <cell r="A655">
            <v>36339</v>
          </cell>
        </row>
        <row r="656">
          <cell r="A656">
            <v>36340</v>
          </cell>
        </row>
        <row r="657">
          <cell r="A657">
            <v>36341</v>
          </cell>
        </row>
        <row r="658">
          <cell r="A658">
            <v>36342</v>
          </cell>
        </row>
        <row r="659">
          <cell r="A659">
            <v>36343</v>
          </cell>
        </row>
        <row r="660">
          <cell r="A660">
            <v>36346</v>
          </cell>
        </row>
        <row r="661">
          <cell r="A661">
            <v>36347</v>
          </cell>
        </row>
        <row r="662">
          <cell r="A662">
            <v>36348</v>
          </cell>
        </row>
        <row r="663">
          <cell r="A663">
            <v>36349</v>
          </cell>
        </row>
        <row r="664">
          <cell r="A664">
            <v>36350</v>
          </cell>
        </row>
        <row r="665">
          <cell r="A665">
            <v>36353</v>
          </cell>
        </row>
        <row r="666">
          <cell r="A666">
            <v>36354</v>
          </cell>
        </row>
        <row r="667">
          <cell r="A667">
            <v>36355</v>
          </cell>
        </row>
        <row r="668">
          <cell r="A668">
            <v>36356</v>
          </cell>
        </row>
        <row r="669">
          <cell r="A669">
            <v>36357</v>
          </cell>
        </row>
        <row r="670">
          <cell r="A670">
            <v>36360</v>
          </cell>
        </row>
        <row r="671">
          <cell r="A671">
            <v>36361</v>
          </cell>
        </row>
        <row r="672">
          <cell r="A672">
            <v>36362</v>
          </cell>
        </row>
        <row r="673">
          <cell r="A673">
            <v>36363</v>
          </cell>
        </row>
        <row r="674">
          <cell r="A674">
            <v>36364</v>
          </cell>
        </row>
        <row r="675">
          <cell r="A675">
            <v>36367</v>
          </cell>
        </row>
        <row r="676">
          <cell r="A676">
            <v>36368</v>
          </cell>
        </row>
        <row r="677">
          <cell r="A677">
            <v>36369</v>
          </cell>
        </row>
        <row r="678">
          <cell r="A678">
            <v>36370</v>
          </cell>
        </row>
        <row r="679">
          <cell r="A679">
            <v>36371</v>
          </cell>
        </row>
        <row r="680">
          <cell r="A680">
            <v>36374</v>
          </cell>
        </row>
        <row r="681">
          <cell r="A681">
            <v>36375</v>
          </cell>
        </row>
        <row r="682">
          <cell r="A682">
            <v>36376</v>
          </cell>
        </row>
        <row r="683">
          <cell r="A683">
            <v>36377</v>
          </cell>
        </row>
        <row r="684">
          <cell r="A684">
            <v>36378</v>
          </cell>
        </row>
        <row r="685">
          <cell r="A685">
            <v>36381</v>
          </cell>
        </row>
        <row r="686">
          <cell r="A686">
            <v>36382</v>
          </cell>
        </row>
        <row r="687">
          <cell r="A687">
            <v>36383</v>
          </cell>
        </row>
        <row r="688">
          <cell r="A688">
            <v>36384</v>
          </cell>
        </row>
        <row r="689">
          <cell r="A689">
            <v>36385</v>
          </cell>
        </row>
        <row r="690">
          <cell r="A690">
            <v>36388</v>
          </cell>
        </row>
        <row r="691">
          <cell r="A691">
            <v>36389</v>
          </cell>
        </row>
        <row r="692">
          <cell r="A692">
            <v>36390</v>
          </cell>
        </row>
        <row r="693">
          <cell r="A693">
            <v>36391</v>
          </cell>
        </row>
        <row r="694">
          <cell r="A694">
            <v>36392</v>
          </cell>
        </row>
        <row r="695">
          <cell r="A695">
            <v>36395</v>
          </cell>
        </row>
        <row r="696">
          <cell r="A696">
            <v>36396</v>
          </cell>
        </row>
        <row r="697">
          <cell r="A697">
            <v>36397</v>
          </cell>
        </row>
        <row r="698">
          <cell r="A698">
            <v>36398</v>
          </cell>
        </row>
        <row r="699">
          <cell r="A699">
            <v>36399</v>
          </cell>
        </row>
        <row r="700">
          <cell r="A700">
            <v>36402</v>
          </cell>
        </row>
        <row r="701">
          <cell r="A701">
            <v>36403</v>
          </cell>
        </row>
        <row r="702">
          <cell r="A702">
            <v>36404</v>
          </cell>
        </row>
        <row r="703">
          <cell r="A703">
            <v>36405</v>
          </cell>
        </row>
        <row r="704">
          <cell r="A704">
            <v>36406</v>
          </cell>
        </row>
        <row r="705">
          <cell r="A705">
            <v>36409</v>
          </cell>
        </row>
        <row r="706">
          <cell r="A706">
            <v>36410</v>
          </cell>
        </row>
        <row r="707">
          <cell r="A707">
            <v>36411</v>
          </cell>
        </row>
        <row r="708">
          <cell r="A708">
            <v>36412</v>
          </cell>
        </row>
        <row r="709">
          <cell r="A709">
            <v>36413</v>
          </cell>
        </row>
        <row r="710">
          <cell r="A710">
            <v>36416</v>
          </cell>
        </row>
        <row r="711">
          <cell r="A711">
            <v>36417</v>
          </cell>
        </row>
        <row r="712">
          <cell r="A712">
            <v>36418</v>
          </cell>
        </row>
        <row r="713">
          <cell r="A713">
            <v>36419</v>
          </cell>
        </row>
        <row r="714">
          <cell r="A714">
            <v>36420</v>
          </cell>
        </row>
        <row r="715">
          <cell r="A715">
            <v>36423</v>
          </cell>
        </row>
        <row r="716">
          <cell r="A716">
            <v>36424</v>
          </cell>
        </row>
        <row r="717">
          <cell r="A717">
            <v>36425</v>
          </cell>
        </row>
        <row r="718">
          <cell r="A718">
            <v>36426</v>
          </cell>
        </row>
        <row r="719">
          <cell r="A719">
            <v>36427</v>
          </cell>
        </row>
        <row r="720">
          <cell r="A720">
            <v>36430</v>
          </cell>
        </row>
        <row r="721">
          <cell r="A721">
            <v>36431</v>
          </cell>
        </row>
        <row r="722">
          <cell r="A722">
            <v>36432</v>
          </cell>
        </row>
        <row r="723">
          <cell r="A723">
            <v>36433</v>
          </cell>
        </row>
        <row r="724">
          <cell r="A724">
            <v>36434</v>
          </cell>
        </row>
        <row r="725">
          <cell r="A725">
            <v>36437</v>
          </cell>
        </row>
        <row r="726">
          <cell r="A726">
            <v>36438</v>
          </cell>
        </row>
        <row r="727">
          <cell r="A727">
            <v>36439</v>
          </cell>
        </row>
        <row r="728">
          <cell r="A728">
            <v>36440</v>
          </cell>
        </row>
        <row r="729">
          <cell r="A729">
            <v>36441</v>
          </cell>
        </row>
        <row r="730">
          <cell r="A730">
            <v>36444</v>
          </cell>
        </row>
        <row r="731">
          <cell r="A731">
            <v>36445</v>
          </cell>
        </row>
        <row r="732">
          <cell r="A732">
            <v>36446</v>
          </cell>
        </row>
        <row r="733">
          <cell r="A733">
            <v>36447</v>
          </cell>
        </row>
        <row r="734">
          <cell r="A734">
            <v>36448</v>
          </cell>
        </row>
        <row r="735">
          <cell r="A735">
            <v>36451</v>
          </cell>
        </row>
        <row r="736">
          <cell r="A736">
            <v>36452</v>
          </cell>
        </row>
        <row r="737">
          <cell r="A737">
            <v>36453</v>
          </cell>
        </row>
        <row r="738">
          <cell r="A738">
            <v>36454</v>
          </cell>
        </row>
        <row r="739">
          <cell r="A739">
            <v>36455</v>
          </cell>
        </row>
        <row r="740">
          <cell r="A740">
            <v>36458</v>
          </cell>
        </row>
        <row r="741">
          <cell r="A741">
            <v>36459</v>
          </cell>
        </row>
        <row r="742">
          <cell r="A742">
            <v>36460</v>
          </cell>
        </row>
        <row r="743">
          <cell r="A743">
            <v>36461</v>
          </cell>
        </row>
        <row r="744">
          <cell r="A744">
            <v>36462</v>
          </cell>
        </row>
        <row r="745">
          <cell r="A745">
            <v>36465</v>
          </cell>
        </row>
        <row r="746">
          <cell r="A746">
            <v>36466</v>
          </cell>
        </row>
        <row r="747">
          <cell r="A747">
            <v>36467</v>
          </cell>
        </row>
        <row r="748">
          <cell r="A748">
            <v>36468</v>
          </cell>
        </row>
        <row r="749">
          <cell r="A749">
            <v>36469</v>
          </cell>
        </row>
        <row r="750">
          <cell r="A750">
            <v>36472</v>
          </cell>
        </row>
        <row r="751">
          <cell r="A751">
            <v>36473</v>
          </cell>
        </row>
        <row r="752">
          <cell r="A752">
            <v>36474</v>
          </cell>
        </row>
        <row r="753">
          <cell r="A753">
            <v>36475</v>
          </cell>
        </row>
        <row r="754">
          <cell r="A754">
            <v>36476</v>
          </cell>
        </row>
        <row r="755">
          <cell r="A755">
            <v>36479</v>
          </cell>
        </row>
        <row r="756">
          <cell r="A756">
            <v>36480</v>
          </cell>
        </row>
        <row r="757">
          <cell r="A757">
            <v>36481</v>
          </cell>
        </row>
        <row r="758">
          <cell r="A758">
            <v>36482</v>
          </cell>
        </row>
        <row r="759">
          <cell r="A759">
            <v>36483</v>
          </cell>
        </row>
        <row r="760">
          <cell r="A760">
            <v>36486</v>
          </cell>
        </row>
        <row r="761">
          <cell r="A761">
            <v>36487</v>
          </cell>
        </row>
        <row r="762">
          <cell r="A762">
            <v>36488</v>
          </cell>
        </row>
        <row r="763">
          <cell r="A763">
            <v>36489</v>
          </cell>
        </row>
        <row r="764">
          <cell r="A764">
            <v>36490</v>
          </cell>
        </row>
        <row r="765">
          <cell r="A765">
            <v>36493</v>
          </cell>
        </row>
        <row r="766">
          <cell r="A766">
            <v>36494</v>
          </cell>
        </row>
        <row r="767">
          <cell r="A767">
            <v>36495</v>
          </cell>
        </row>
        <row r="768">
          <cell r="A768">
            <v>36496</v>
          </cell>
        </row>
        <row r="769">
          <cell r="A769">
            <v>36497</v>
          </cell>
        </row>
        <row r="770">
          <cell r="A770">
            <v>36500</v>
          </cell>
        </row>
        <row r="771">
          <cell r="A771">
            <v>36501</v>
          </cell>
        </row>
        <row r="772">
          <cell r="A772">
            <v>36502</v>
          </cell>
        </row>
        <row r="773">
          <cell r="A773">
            <v>36503</v>
          </cell>
        </row>
        <row r="774">
          <cell r="A774">
            <v>36504</v>
          </cell>
        </row>
        <row r="775">
          <cell r="A775">
            <v>36507</v>
          </cell>
        </row>
        <row r="776">
          <cell r="A776">
            <v>36508</v>
          </cell>
        </row>
        <row r="777">
          <cell r="A777">
            <v>36509</v>
          </cell>
        </row>
        <row r="778">
          <cell r="A778">
            <v>36510</v>
          </cell>
        </row>
        <row r="779">
          <cell r="A779">
            <v>36511</v>
          </cell>
        </row>
        <row r="780">
          <cell r="A780">
            <v>36514</v>
          </cell>
        </row>
        <row r="781">
          <cell r="A781">
            <v>36515</v>
          </cell>
        </row>
        <row r="782">
          <cell r="A782">
            <v>36516</v>
          </cell>
        </row>
        <row r="783">
          <cell r="A783">
            <v>36517</v>
          </cell>
        </row>
        <row r="784">
          <cell r="A784">
            <v>36518</v>
          </cell>
        </row>
        <row r="785">
          <cell r="A785">
            <v>36521</v>
          </cell>
        </row>
        <row r="786">
          <cell r="A786">
            <v>36522</v>
          </cell>
        </row>
        <row r="787">
          <cell r="A787">
            <v>36523</v>
          </cell>
        </row>
        <row r="788">
          <cell r="A788">
            <v>36524</v>
          </cell>
        </row>
        <row r="789">
          <cell r="A789">
            <v>36525</v>
          </cell>
        </row>
        <row r="790">
          <cell r="A790">
            <v>36528</v>
          </cell>
        </row>
        <row r="791">
          <cell r="A791">
            <v>36529</v>
          </cell>
        </row>
        <row r="792">
          <cell r="A792">
            <v>36530</v>
          </cell>
        </row>
        <row r="793">
          <cell r="A793">
            <v>36531</v>
          </cell>
        </row>
        <row r="794">
          <cell r="A794">
            <v>36532</v>
          </cell>
        </row>
        <row r="795">
          <cell r="A795">
            <v>36535</v>
          </cell>
        </row>
        <row r="796">
          <cell r="A796">
            <v>36536</v>
          </cell>
        </row>
        <row r="797">
          <cell r="A797">
            <v>36537</v>
          </cell>
        </row>
        <row r="798">
          <cell r="A798">
            <v>36538</v>
          </cell>
        </row>
        <row r="799">
          <cell r="A799">
            <v>36539</v>
          </cell>
        </row>
        <row r="800">
          <cell r="A800">
            <v>36542</v>
          </cell>
        </row>
        <row r="801">
          <cell r="A801">
            <v>36543</v>
          </cell>
        </row>
        <row r="802">
          <cell r="A802">
            <v>36544</v>
          </cell>
        </row>
        <row r="803">
          <cell r="A803">
            <v>36545</v>
          </cell>
        </row>
        <row r="804">
          <cell r="A804">
            <v>36546</v>
          </cell>
        </row>
        <row r="805">
          <cell r="A805">
            <v>36549</v>
          </cell>
        </row>
        <row r="806">
          <cell r="A806">
            <v>36550</v>
          </cell>
        </row>
        <row r="807">
          <cell r="A807">
            <v>36551</v>
          </cell>
        </row>
        <row r="808">
          <cell r="A808">
            <v>36552</v>
          </cell>
        </row>
        <row r="809">
          <cell r="A809">
            <v>36553</v>
          </cell>
        </row>
        <row r="810">
          <cell r="A810">
            <v>36556</v>
          </cell>
        </row>
        <row r="811">
          <cell r="A811">
            <v>36557</v>
          </cell>
        </row>
        <row r="812">
          <cell r="A812">
            <v>36558</v>
          </cell>
        </row>
        <row r="813">
          <cell r="A813">
            <v>36559</v>
          </cell>
        </row>
        <row r="814">
          <cell r="A814">
            <v>36560</v>
          </cell>
        </row>
        <row r="815">
          <cell r="A815">
            <v>36563</v>
          </cell>
        </row>
        <row r="816">
          <cell r="A816">
            <v>36564</v>
          </cell>
        </row>
        <row r="817">
          <cell r="A817">
            <v>36565</v>
          </cell>
        </row>
        <row r="818">
          <cell r="A818">
            <v>36566</v>
          </cell>
        </row>
        <row r="819">
          <cell r="A819">
            <v>36567</v>
          </cell>
        </row>
        <row r="820">
          <cell r="A820">
            <v>36570</v>
          </cell>
        </row>
        <row r="821">
          <cell r="A821">
            <v>36571</v>
          </cell>
        </row>
        <row r="822">
          <cell r="A822">
            <v>36572</v>
          </cell>
        </row>
        <row r="823">
          <cell r="A823">
            <v>36573</v>
          </cell>
        </row>
        <row r="824">
          <cell r="A824">
            <v>36574</v>
          </cell>
        </row>
        <row r="825">
          <cell r="A825">
            <v>36577</v>
          </cell>
        </row>
        <row r="826">
          <cell r="A826">
            <v>36578</v>
          </cell>
        </row>
        <row r="827">
          <cell r="A827">
            <v>36579</v>
          </cell>
        </row>
        <row r="828">
          <cell r="A828">
            <v>36580</v>
          </cell>
        </row>
        <row r="829">
          <cell r="A829">
            <v>36581</v>
          </cell>
        </row>
        <row r="830">
          <cell r="A830">
            <v>36584</v>
          </cell>
        </row>
        <row r="831">
          <cell r="A831">
            <v>36585</v>
          </cell>
        </row>
        <row r="832">
          <cell r="A832">
            <v>36586</v>
          </cell>
        </row>
        <row r="833">
          <cell r="A833">
            <v>36587</v>
          </cell>
        </row>
        <row r="834">
          <cell r="A834">
            <v>36588</v>
          </cell>
        </row>
        <row r="835">
          <cell r="A835">
            <v>36591</v>
          </cell>
        </row>
        <row r="836">
          <cell r="A836">
            <v>36592</v>
          </cell>
        </row>
        <row r="837">
          <cell r="A837">
            <v>36593</v>
          </cell>
        </row>
        <row r="838">
          <cell r="A838">
            <v>36594</v>
          </cell>
        </row>
        <row r="839">
          <cell r="A839">
            <v>36595</v>
          </cell>
        </row>
        <row r="840">
          <cell r="A840">
            <v>36598</v>
          </cell>
        </row>
        <row r="841">
          <cell r="A841">
            <v>36599</v>
          </cell>
        </row>
        <row r="842">
          <cell r="A842">
            <v>36600</v>
          </cell>
        </row>
        <row r="843">
          <cell r="A843">
            <v>36601</v>
          </cell>
        </row>
        <row r="844">
          <cell r="A844">
            <v>36602</v>
          </cell>
        </row>
        <row r="845">
          <cell r="A845">
            <v>36605</v>
          </cell>
        </row>
        <row r="846">
          <cell r="A846">
            <v>36606</v>
          </cell>
        </row>
        <row r="847">
          <cell r="A847">
            <v>36607</v>
          </cell>
        </row>
        <row r="848">
          <cell r="A848">
            <v>36608</v>
          </cell>
        </row>
        <row r="849">
          <cell r="A849">
            <v>36609</v>
          </cell>
        </row>
        <row r="850">
          <cell r="A850">
            <v>36612</v>
          </cell>
        </row>
        <row r="851">
          <cell r="A851">
            <v>36613</v>
          </cell>
        </row>
        <row r="852">
          <cell r="A852">
            <v>36614</v>
          </cell>
        </row>
        <row r="853">
          <cell r="A853">
            <v>36615</v>
          </cell>
        </row>
        <row r="854">
          <cell r="A854">
            <v>36616</v>
          </cell>
        </row>
        <row r="855">
          <cell r="A855">
            <v>36619</v>
          </cell>
        </row>
        <row r="856">
          <cell r="A856">
            <v>36620</v>
          </cell>
        </row>
        <row r="857">
          <cell r="A857">
            <v>36621</v>
          </cell>
        </row>
        <row r="858">
          <cell r="A858">
            <v>36622</v>
          </cell>
        </row>
        <row r="859">
          <cell r="A859">
            <v>36623</v>
          </cell>
        </row>
        <row r="860">
          <cell r="A860">
            <v>36626</v>
          </cell>
        </row>
        <row r="861">
          <cell r="A861">
            <v>36627</v>
          </cell>
        </row>
        <row r="862">
          <cell r="A862">
            <v>36628</v>
          </cell>
        </row>
        <row r="863">
          <cell r="A863">
            <v>36629</v>
          </cell>
        </row>
        <row r="864">
          <cell r="A864">
            <v>36630</v>
          </cell>
        </row>
        <row r="865">
          <cell r="A865">
            <v>36633</v>
          </cell>
        </row>
        <row r="866">
          <cell r="A866">
            <v>36634</v>
          </cell>
        </row>
        <row r="867">
          <cell r="A867">
            <v>36635</v>
          </cell>
        </row>
        <row r="868">
          <cell r="A868">
            <v>36636</v>
          </cell>
        </row>
        <row r="869">
          <cell r="A869">
            <v>36637</v>
          </cell>
        </row>
        <row r="870">
          <cell r="A870">
            <v>36640</v>
          </cell>
        </row>
        <row r="871">
          <cell r="A871">
            <v>36641</v>
          </cell>
        </row>
        <row r="872">
          <cell r="A872">
            <v>36642</v>
          </cell>
        </row>
        <row r="873">
          <cell r="A873">
            <v>36643</v>
          </cell>
        </row>
        <row r="874">
          <cell r="A874">
            <v>36644</v>
          </cell>
        </row>
        <row r="875">
          <cell r="A875">
            <v>36647</v>
          </cell>
        </row>
        <row r="876">
          <cell r="A876">
            <v>36648</v>
          </cell>
        </row>
        <row r="877">
          <cell r="A877">
            <v>36649</v>
          </cell>
        </row>
        <row r="878">
          <cell r="A878">
            <v>36650</v>
          </cell>
        </row>
        <row r="879">
          <cell r="A879">
            <v>36651</v>
          </cell>
        </row>
        <row r="880">
          <cell r="A880">
            <v>36654</v>
          </cell>
        </row>
        <row r="881">
          <cell r="A881">
            <v>36655</v>
          </cell>
        </row>
        <row r="882">
          <cell r="A882">
            <v>36656</v>
          </cell>
        </row>
        <row r="883">
          <cell r="A883">
            <v>36657</v>
          </cell>
        </row>
        <row r="884">
          <cell r="A884">
            <v>36658</v>
          </cell>
        </row>
        <row r="885">
          <cell r="A885">
            <v>36661</v>
          </cell>
        </row>
        <row r="886">
          <cell r="A886">
            <v>36662</v>
          </cell>
        </row>
        <row r="887">
          <cell r="A887">
            <v>36663</v>
          </cell>
        </row>
        <row r="888">
          <cell r="A888">
            <v>36664</v>
          </cell>
        </row>
        <row r="889">
          <cell r="A889">
            <v>36665</v>
          </cell>
        </row>
        <row r="890">
          <cell r="A890">
            <v>36668</v>
          </cell>
        </row>
        <row r="891">
          <cell r="A891">
            <v>36669</v>
          </cell>
        </row>
        <row r="892">
          <cell r="A892">
            <v>36670</v>
          </cell>
        </row>
        <row r="893">
          <cell r="A893">
            <v>36671</v>
          </cell>
        </row>
        <row r="894">
          <cell r="A894">
            <v>36672</v>
          </cell>
        </row>
        <row r="895">
          <cell r="A895">
            <v>36675</v>
          </cell>
        </row>
        <row r="896">
          <cell r="A896">
            <v>36676</v>
          </cell>
        </row>
        <row r="897">
          <cell r="A897">
            <v>36677</v>
          </cell>
        </row>
        <row r="898">
          <cell r="A898">
            <v>36678</v>
          </cell>
        </row>
        <row r="899">
          <cell r="A899">
            <v>36679</v>
          </cell>
        </row>
        <row r="900">
          <cell r="A900">
            <v>36682</v>
          </cell>
        </row>
        <row r="901">
          <cell r="A901">
            <v>36683</v>
          </cell>
        </row>
        <row r="902">
          <cell r="A902">
            <v>36684</v>
          </cell>
        </row>
        <row r="903">
          <cell r="A903">
            <v>36685</v>
          </cell>
        </row>
        <row r="904">
          <cell r="A904">
            <v>36686</v>
          </cell>
        </row>
        <row r="905">
          <cell r="A905">
            <v>36689</v>
          </cell>
        </row>
        <row r="906">
          <cell r="A906">
            <v>36690</v>
          </cell>
        </row>
        <row r="907">
          <cell r="A907">
            <v>36691</v>
          </cell>
        </row>
        <row r="908">
          <cell r="A908">
            <v>36692</v>
          </cell>
        </row>
        <row r="909">
          <cell r="A909">
            <v>36693</v>
          </cell>
        </row>
        <row r="910">
          <cell r="A910">
            <v>36696</v>
          </cell>
        </row>
        <row r="911">
          <cell r="A911">
            <v>36697</v>
          </cell>
        </row>
        <row r="912">
          <cell r="A912">
            <v>36698</v>
          </cell>
        </row>
        <row r="913">
          <cell r="A913">
            <v>36699</v>
          </cell>
        </row>
        <row r="914">
          <cell r="A914">
            <v>36700</v>
          </cell>
        </row>
        <row r="915">
          <cell r="A915">
            <v>36703</v>
          </cell>
        </row>
        <row r="916">
          <cell r="A916">
            <v>36704</v>
          </cell>
        </row>
        <row r="917">
          <cell r="A917">
            <v>36705</v>
          </cell>
        </row>
        <row r="918">
          <cell r="A918">
            <v>36706</v>
          </cell>
        </row>
        <row r="919">
          <cell r="A919">
            <v>36707</v>
          </cell>
        </row>
        <row r="920">
          <cell r="A920">
            <v>36710</v>
          </cell>
        </row>
        <row r="921">
          <cell r="A921">
            <v>36711</v>
          </cell>
        </row>
        <row r="922">
          <cell r="A922">
            <v>36712</v>
          </cell>
        </row>
        <row r="923">
          <cell r="A923">
            <v>36713</v>
          </cell>
        </row>
        <row r="924">
          <cell r="A924">
            <v>36714</v>
          </cell>
        </row>
        <row r="925">
          <cell r="A925">
            <v>36717</v>
          </cell>
        </row>
        <row r="926">
          <cell r="A926">
            <v>36718</v>
          </cell>
        </row>
        <row r="927">
          <cell r="A927">
            <v>36719</v>
          </cell>
        </row>
        <row r="928">
          <cell r="A928">
            <v>36720</v>
          </cell>
        </row>
        <row r="929">
          <cell r="A929">
            <v>36721</v>
          </cell>
        </row>
        <row r="930">
          <cell r="A930">
            <v>36724</v>
          </cell>
        </row>
        <row r="931">
          <cell r="A931">
            <v>36725</v>
          </cell>
        </row>
        <row r="932">
          <cell r="A932">
            <v>36726</v>
          </cell>
        </row>
        <row r="933">
          <cell r="A933">
            <v>36727</v>
          </cell>
        </row>
        <row r="934">
          <cell r="A934">
            <v>36728</v>
          </cell>
        </row>
        <row r="935">
          <cell r="A935">
            <v>36731</v>
          </cell>
        </row>
        <row r="936">
          <cell r="A936">
            <v>36732</v>
          </cell>
        </row>
        <row r="937">
          <cell r="A937">
            <v>36733</v>
          </cell>
        </row>
        <row r="938">
          <cell r="A938">
            <v>36734</v>
          </cell>
        </row>
        <row r="939">
          <cell r="A939">
            <v>36735</v>
          </cell>
        </row>
        <row r="940">
          <cell r="A940">
            <v>36738</v>
          </cell>
        </row>
        <row r="941">
          <cell r="A941">
            <v>36739</v>
          </cell>
        </row>
        <row r="942">
          <cell r="A942">
            <v>36740</v>
          </cell>
        </row>
        <row r="943">
          <cell r="A943">
            <v>36741</v>
          </cell>
        </row>
        <row r="944">
          <cell r="A944">
            <v>36742</v>
          </cell>
        </row>
        <row r="945">
          <cell r="A945">
            <v>36745</v>
          </cell>
        </row>
        <row r="946">
          <cell r="A946">
            <v>36746</v>
          </cell>
        </row>
        <row r="947">
          <cell r="A947">
            <v>36747</v>
          </cell>
        </row>
        <row r="948">
          <cell r="A948">
            <v>36748</v>
          </cell>
        </row>
        <row r="949">
          <cell r="A949">
            <v>36749</v>
          </cell>
        </row>
        <row r="950">
          <cell r="A950">
            <v>36752</v>
          </cell>
        </row>
        <row r="951">
          <cell r="A951">
            <v>36753</v>
          </cell>
        </row>
        <row r="952">
          <cell r="A952">
            <v>36754</v>
          </cell>
        </row>
        <row r="953">
          <cell r="A953">
            <v>36755</v>
          </cell>
        </row>
        <row r="954">
          <cell r="A954">
            <v>36756</v>
          </cell>
        </row>
        <row r="955">
          <cell r="A955">
            <v>36759</v>
          </cell>
        </row>
        <row r="956">
          <cell r="A956">
            <v>36760</v>
          </cell>
        </row>
        <row r="957">
          <cell r="A957">
            <v>36761</v>
          </cell>
        </row>
        <row r="958">
          <cell r="A958">
            <v>36762</v>
          </cell>
        </row>
        <row r="959">
          <cell r="A959">
            <v>36763</v>
          </cell>
        </row>
        <row r="960">
          <cell r="A960">
            <v>36766</v>
          </cell>
        </row>
        <row r="961">
          <cell r="A961">
            <v>36767</v>
          </cell>
        </row>
        <row r="962">
          <cell r="A962">
            <v>36768</v>
          </cell>
        </row>
        <row r="963">
          <cell r="A963">
            <v>36769</v>
          </cell>
        </row>
        <row r="964">
          <cell r="A964">
            <v>36770</v>
          </cell>
        </row>
        <row r="965">
          <cell r="A965">
            <v>36773</v>
          </cell>
        </row>
        <row r="966">
          <cell r="A966">
            <v>36774</v>
          </cell>
        </row>
        <row r="967">
          <cell r="A967">
            <v>36775</v>
          </cell>
        </row>
        <row r="968">
          <cell r="A968">
            <v>36776</v>
          </cell>
        </row>
        <row r="969">
          <cell r="A969">
            <v>36777</v>
          </cell>
        </row>
        <row r="970">
          <cell r="A970">
            <v>36780</v>
          </cell>
        </row>
        <row r="971">
          <cell r="A971">
            <v>36781</v>
          </cell>
        </row>
        <row r="972">
          <cell r="A972">
            <v>36782</v>
          </cell>
        </row>
        <row r="973">
          <cell r="A973">
            <v>36783</v>
          </cell>
        </row>
        <row r="974">
          <cell r="A974">
            <v>36784</v>
          </cell>
        </row>
        <row r="975">
          <cell r="A975">
            <v>36787</v>
          </cell>
        </row>
        <row r="976">
          <cell r="A976">
            <v>36788</v>
          </cell>
        </row>
        <row r="977">
          <cell r="A977">
            <v>36789</v>
          </cell>
        </row>
        <row r="978">
          <cell r="A978">
            <v>36790</v>
          </cell>
        </row>
        <row r="979">
          <cell r="A979">
            <v>36791</v>
          </cell>
        </row>
        <row r="980">
          <cell r="A980">
            <v>36794</v>
          </cell>
        </row>
        <row r="981">
          <cell r="A981">
            <v>36795</v>
          </cell>
        </row>
        <row r="982">
          <cell r="A982">
            <v>36796</v>
          </cell>
        </row>
        <row r="983">
          <cell r="A983">
            <v>36797</v>
          </cell>
        </row>
        <row r="984">
          <cell r="A984">
            <v>36798</v>
          </cell>
        </row>
        <row r="985">
          <cell r="A985">
            <v>36801</v>
          </cell>
        </row>
        <row r="986">
          <cell r="A986">
            <v>36802</v>
          </cell>
        </row>
        <row r="987">
          <cell r="A987">
            <v>36803</v>
          </cell>
        </row>
        <row r="988">
          <cell r="A988">
            <v>36804</v>
          </cell>
        </row>
        <row r="989">
          <cell r="A989">
            <v>36805</v>
          </cell>
        </row>
        <row r="990">
          <cell r="A990">
            <v>36808</v>
          </cell>
        </row>
        <row r="991">
          <cell r="A991">
            <v>36809</v>
          </cell>
        </row>
        <row r="992">
          <cell r="A992">
            <v>36810</v>
          </cell>
        </row>
        <row r="993">
          <cell r="A993">
            <v>36811</v>
          </cell>
        </row>
        <row r="994">
          <cell r="A994">
            <v>36812</v>
          </cell>
        </row>
        <row r="995">
          <cell r="A995">
            <v>36815</v>
          </cell>
        </row>
        <row r="996">
          <cell r="A996">
            <v>36816</v>
          </cell>
        </row>
        <row r="997">
          <cell r="A997">
            <v>36817</v>
          </cell>
        </row>
        <row r="998">
          <cell r="A998">
            <v>36818</v>
          </cell>
        </row>
        <row r="999">
          <cell r="A999">
            <v>36819</v>
          </cell>
        </row>
        <row r="1000">
          <cell r="A1000">
            <v>36822</v>
          </cell>
        </row>
        <row r="1001">
          <cell r="A1001">
            <v>36823</v>
          </cell>
        </row>
        <row r="1002">
          <cell r="A1002">
            <v>36824</v>
          </cell>
        </row>
        <row r="1003">
          <cell r="A1003">
            <v>36825</v>
          </cell>
        </row>
        <row r="1004">
          <cell r="A1004">
            <v>36826</v>
          </cell>
        </row>
        <row r="1005">
          <cell r="A1005">
            <v>36829</v>
          </cell>
        </row>
        <row r="1006">
          <cell r="A1006">
            <v>36830</v>
          </cell>
        </row>
        <row r="1007">
          <cell r="A1007">
            <v>36831</v>
          </cell>
        </row>
        <row r="1008">
          <cell r="A1008">
            <v>36832</v>
          </cell>
        </row>
        <row r="1009">
          <cell r="A1009">
            <v>36833</v>
          </cell>
        </row>
        <row r="1010">
          <cell r="A1010">
            <v>36836</v>
          </cell>
        </row>
        <row r="1011">
          <cell r="A1011">
            <v>36837</v>
          </cell>
        </row>
        <row r="1012">
          <cell r="A1012">
            <v>36838</v>
          </cell>
        </row>
        <row r="1013">
          <cell r="A1013">
            <v>36839</v>
          </cell>
        </row>
        <row r="1014">
          <cell r="A1014">
            <v>36840</v>
          </cell>
        </row>
        <row r="1015">
          <cell r="A1015">
            <v>36843</v>
          </cell>
        </row>
        <row r="1016">
          <cell r="A1016">
            <v>36844</v>
          </cell>
        </row>
        <row r="1017">
          <cell r="A1017">
            <v>36845</v>
          </cell>
        </row>
        <row r="1018">
          <cell r="A1018">
            <v>36846</v>
          </cell>
        </row>
        <row r="1019">
          <cell r="A1019">
            <v>36847</v>
          </cell>
        </row>
        <row r="1020">
          <cell r="A1020">
            <v>36850</v>
          </cell>
        </row>
        <row r="1021">
          <cell r="A1021">
            <v>36851</v>
          </cell>
        </row>
        <row r="1022">
          <cell r="A1022">
            <v>36852</v>
          </cell>
        </row>
        <row r="1023">
          <cell r="A1023">
            <v>36853</v>
          </cell>
        </row>
        <row r="1024">
          <cell r="A1024">
            <v>36854</v>
          </cell>
        </row>
        <row r="1025">
          <cell r="A1025">
            <v>36857</v>
          </cell>
        </row>
        <row r="1026">
          <cell r="A1026">
            <v>36858</v>
          </cell>
        </row>
        <row r="1027">
          <cell r="A1027">
            <v>36859</v>
          </cell>
        </row>
        <row r="1028">
          <cell r="A1028">
            <v>36860</v>
          </cell>
        </row>
        <row r="1029">
          <cell r="A1029">
            <v>36861</v>
          </cell>
        </row>
        <row r="1030">
          <cell r="A1030">
            <v>36864</v>
          </cell>
        </row>
        <row r="1031">
          <cell r="A1031">
            <v>36865</v>
          </cell>
        </row>
        <row r="1032">
          <cell r="A1032">
            <v>36866</v>
          </cell>
        </row>
        <row r="1033">
          <cell r="A1033">
            <v>36867</v>
          </cell>
        </row>
        <row r="1034">
          <cell r="A1034">
            <v>36868</v>
          </cell>
        </row>
        <row r="1035">
          <cell r="A1035">
            <v>36871</v>
          </cell>
        </row>
        <row r="1036">
          <cell r="A1036">
            <v>36872</v>
          </cell>
        </row>
        <row r="1037">
          <cell r="A1037">
            <v>36873</v>
          </cell>
        </row>
        <row r="1038">
          <cell r="A1038">
            <v>36874</v>
          </cell>
        </row>
        <row r="1039">
          <cell r="A1039">
            <v>36875</v>
          </cell>
        </row>
        <row r="1040">
          <cell r="A1040">
            <v>36878</v>
          </cell>
        </row>
        <row r="1041">
          <cell r="A1041">
            <v>36879</v>
          </cell>
        </row>
        <row r="1042">
          <cell r="A1042">
            <v>36880</v>
          </cell>
        </row>
        <row r="1043">
          <cell r="A1043">
            <v>36881</v>
          </cell>
        </row>
        <row r="1044">
          <cell r="A1044">
            <v>36882</v>
          </cell>
        </row>
        <row r="1045">
          <cell r="A1045">
            <v>36885</v>
          </cell>
        </row>
        <row r="1046">
          <cell r="A1046">
            <v>36886</v>
          </cell>
        </row>
        <row r="1047">
          <cell r="A1047">
            <v>36887</v>
          </cell>
        </row>
        <row r="1048">
          <cell r="A1048">
            <v>36888</v>
          </cell>
        </row>
        <row r="1049">
          <cell r="A1049">
            <v>36889</v>
          </cell>
        </row>
        <row r="1050">
          <cell r="A1050">
            <v>36892</v>
          </cell>
        </row>
        <row r="1051">
          <cell r="A1051">
            <v>36893</v>
          </cell>
        </row>
        <row r="1052">
          <cell r="A1052">
            <v>36894</v>
          </cell>
        </row>
        <row r="1053">
          <cell r="A1053">
            <v>36895</v>
          </cell>
        </row>
        <row r="1054">
          <cell r="A1054">
            <v>36896</v>
          </cell>
        </row>
        <row r="1055">
          <cell r="A1055">
            <v>36899</v>
          </cell>
        </row>
        <row r="1056">
          <cell r="A1056">
            <v>36900</v>
          </cell>
        </row>
        <row r="1057">
          <cell r="A1057">
            <v>36901</v>
          </cell>
        </row>
        <row r="1058">
          <cell r="A1058">
            <v>36902</v>
          </cell>
        </row>
        <row r="1059">
          <cell r="A1059">
            <v>36903</v>
          </cell>
        </row>
        <row r="1060">
          <cell r="A1060">
            <v>36906</v>
          </cell>
        </row>
        <row r="1061">
          <cell r="A1061">
            <v>36907</v>
          </cell>
        </row>
        <row r="1062">
          <cell r="A1062">
            <v>36908</v>
          </cell>
        </row>
        <row r="1063">
          <cell r="A1063">
            <v>36909</v>
          </cell>
        </row>
        <row r="1064">
          <cell r="A1064">
            <v>36910</v>
          </cell>
        </row>
        <row r="1065">
          <cell r="A1065">
            <v>36913</v>
          </cell>
        </row>
        <row r="1066">
          <cell r="A1066">
            <v>36914</v>
          </cell>
        </row>
        <row r="1067">
          <cell r="A1067">
            <v>36915</v>
          </cell>
        </row>
        <row r="1068">
          <cell r="A1068">
            <v>36916</v>
          </cell>
        </row>
        <row r="1069">
          <cell r="A1069">
            <v>36917</v>
          </cell>
        </row>
        <row r="1070">
          <cell r="A1070">
            <v>36920</v>
          </cell>
        </row>
        <row r="1071">
          <cell r="A1071">
            <v>36921</v>
          </cell>
        </row>
        <row r="1072">
          <cell r="A1072">
            <v>36922</v>
          </cell>
        </row>
        <row r="1073">
          <cell r="A1073">
            <v>36923</v>
          </cell>
        </row>
        <row r="1074">
          <cell r="A1074">
            <v>36924</v>
          </cell>
        </row>
        <row r="1075">
          <cell r="A1075">
            <v>36927</v>
          </cell>
        </row>
        <row r="1076">
          <cell r="A1076">
            <v>36928</v>
          </cell>
        </row>
        <row r="1077">
          <cell r="A1077">
            <v>36929</v>
          </cell>
        </row>
        <row r="1078">
          <cell r="A1078">
            <v>36930</v>
          </cell>
        </row>
        <row r="1079">
          <cell r="A1079">
            <v>36931</v>
          </cell>
        </row>
        <row r="1080">
          <cell r="A1080">
            <v>36934</v>
          </cell>
        </row>
        <row r="1081">
          <cell r="A1081">
            <v>36935</v>
          </cell>
        </row>
        <row r="1082">
          <cell r="A1082">
            <v>36936</v>
          </cell>
        </row>
        <row r="1083">
          <cell r="A1083">
            <v>36937</v>
          </cell>
        </row>
        <row r="1084">
          <cell r="A1084">
            <v>36938</v>
          </cell>
        </row>
        <row r="1085">
          <cell r="A1085">
            <v>36941</v>
          </cell>
        </row>
        <row r="1086">
          <cell r="A1086">
            <v>36942</v>
          </cell>
        </row>
        <row r="1087">
          <cell r="A1087">
            <v>36943</v>
          </cell>
        </row>
        <row r="1088">
          <cell r="A1088">
            <v>36944</v>
          </cell>
        </row>
        <row r="1089">
          <cell r="A1089">
            <v>36945</v>
          </cell>
        </row>
        <row r="1090">
          <cell r="A1090">
            <v>36948</v>
          </cell>
        </row>
        <row r="1091">
          <cell r="A1091">
            <v>36949</v>
          </cell>
        </row>
        <row r="1092">
          <cell r="A1092">
            <v>36950</v>
          </cell>
        </row>
        <row r="1093">
          <cell r="A1093">
            <v>36951</v>
          </cell>
        </row>
        <row r="1094">
          <cell r="A1094">
            <v>36952</v>
          </cell>
        </row>
        <row r="1095">
          <cell r="A1095">
            <v>36955</v>
          </cell>
        </row>
        <row r="1096">
          <cell r="A1096">
            <v>36956</v>
          </cell>
        </row>
        <row r="1097">
          <cell r="A1097">
            <v>36957</v>
          </cell>
        </row>
        <row r="1098">
          <cell r="A1098">
            <v>36958</v>
          </cell>
        </row>
        <row r="1099">
          <cell r="A1099">
            <v>36959</v>
          </cell>
        </row>
        <row r="1100">
          <cell r="A1100">
            <v>36962</v>
          </cell>
        </row>
        <row r="1101">
          <cell r="A1101">
            <v>36963</v>
          </cell>
        </row>
        <row r="1102">
          <cell r="A1102">
            <v>36964</v>
          </cell>
        </row>
        <row r="1103">
          <cell r="A1103">
            <v>36965</v>
          </cell>
        </row>
        <row r="1104">
          <cell r="A1104">
            <v>36966</v>
          </cell>
        </row>
        <row r="1105">
          <cell r="A1105">
            <v>36969</v>
          </cell>
        </row>
        <row r="1106">
          <cell r="A1106">
            <v>36970</v>
          </cell>
        </row>
        <row r="1107">
          <cell r="A1107">
            <v>36971</v>
          </cell>
        </row>
        <row r="1108">
          <cell r="A1108">
            <v>36972</v>
          </cell>
        </row>
        <row r="1109">
          <cell r="A1109">
            <v>36973</v>
          </cell>
        </row>
        <row r="1110">
          <cell r="A1110">
            <v>36976</v>
          </cell>
        </row>
        <row r="1111">
          <cell r="A1111">
            <v>36977</v>
          </cell>
        </row>
        <row r="1112">
          <cell r="A1112">
            <v>36978</v>
          </cell>
        </row>
        <row r="1113">
          <cell r="A1113">
            <v>36979</v>
          </cell>
        </row>
        <row r="1114">
          <cell r="A1114">
            <v>36980</v>
          </cell>
        </row>
        <row r="1115">
          <cell r="A1115">
            <v>36983</v>
          </cell>
        </row>
        <row r="1116">
          <cell r="A1116">
            <v>36984</v>
          </cell>
        </row>
        <row r="1117">
          <cell r="A1117">
            <v>36985</v>
          </cell>
        </row>
        <row r="1118">
          <cell r="A1118">
            <v>36986</v>
          </cell>
        </row>
        <row r="1119">
          <cell r="A1119">
            <v>36987</v>
          </cell>
        </row>
        <row r="1120">
          <cell r="A1120">
            <v>36990</v>
          </cell>
        </row>
        <row r="1121">
          <cell r="A1121">
            <v>36991</v>
          </cell>
        </row>
        <row r="1122">
          <cell r="A1122">
            <v>36992</v>
          </cell>
        </row>
        <row r="1123">
          <cell r="A1123">
            <v>36993</v>
          </cell>
        </row>
        <row r="1124">
          <cell r="A1124">
            <v>36994</v>
          </cell>
        </row>
        <row r="1125">
          <cell r="A1125">
            <v>36997</v>
          </cell>
        </row>
        <row r="1126">
          <cell r="A1126">
            <v>36998</v>
          </cell>
        </row>
        <row r="1127">
          <cell r="A1127">
            <v>36999</v>
          </cell>
        </row>
        <row r="1128">
          <cell r="A1128">
            <v>37000</v>
          </cell>
        </row>
        <row r="1129">
          <cell r="A1129">
            <v>37001</v>
          </cell>
        </row>
        <row r="1130">
          <cell r="A1130">
            <v>37004</v>
          </cell>
        </row>
        <row r="1131">
          <cell r="A1131">
            <v>37005</v>
          </cell>
        </row>
        <row r="1132">
          <cell r="A1132">
            <v>37006</v>
          </cell>
        </row>
        <row r="1133">
          <cell r="A1133">
            <v>37007</v>
          </cell>
        </row>
        <row r="1134">
          <cell r="A1134">
            <v>37008</v>
          </cell>
        </row>
        <row r="1135">
          <cell r="A1135">
            <v>37011</v>
          </cell>
        </row>
        <row r="1136">
          <cell r="A1136">
            <v>37012</v>
          </cell>
        </row>
        <row r="1137">
          <cell r="A1137">
            <v>37013</v>
          </cell>
        </row>
        <row r="1138">
          <cell r="A1138">
            <v>37014</v>
          </cell>
        </row>
        <row r="1139">
          <cell r="A1139">
            <v>37015</v>
          </cell>
        </row>
        <row r="1140">
          <cell r="A1140">
            <v>37018</v>
          </cell>
        </row>
        <row r="1141">
          <cell r="A1141">
            <v>37019</v>
          </cell>
        </row>
        <row r="1142">
          <cell r="A1142">
            <v>37020</v>
          </cell>
        </row>
        <row r="1143">
          <cell r="A1143">
            <v>37021</v>
          </cell>
        </row>
        <row r="1144">
          <cell r="A1144">
            <v>37022</v>
          </cell>
        </row>
        <row r="1145">
          <cell r="A1145">
            <v>37025</v>
          </cell>
        </row>
        <row r="1146">
          <cell r="A1146">
            <v>37026</v>
          </cell>
        </row>
        <row r="1147">
          <cell r="A1147">
            <v>37027</v>
          </cell>
        </row>
        <row r="1148">
          <cell r="A1148">
            <v>37028</v>
          </cell>
        </row>
        <row r="1149">
          <cell r="A1149">
            <v>37029</v>
          </cell>
        </row>
        <row r="1150">
          <cell r="A1150">
            <v>37032</v>
          </cell>
        </row>
        <row r="1151">
          <cell r="A1151">
            <v>37033</v>
          </cell>
        </row>
        <row r="1152">
          <cell r="A1152">
            <v>37034</v>
          </cell>
        </row>
        <row r="1153">
          <cell r="A1153">
            <v>37035</v>
          </cell>
        </row>
        <row r="1154">
          <cell r="A1154">
            <v>37036</v>
          </cell>
        </row>
        <row r="1155">
          <cell r="A1155">
            <v>37039</v>
          </cell>
        </row>
        <row r="1156">
          <cell r="A1156">
            <v>37040</v>
          </cell>
        </row>
        <row r="1157">
          <cell r="A1157">
            <v>37041</v>
          </cell>
        </row>
        <row r="1158">
          <cell r="A1158">
            <v>37042</v>
          </cell>
        </row>
        <row r="1159">
          <cell r="A1159">
            <v>37043</v>
          </cell>
        </row>
        <row r="1160">
          <cell r="A1160">
            <v>37046</v>
          </cell>
        </row>
        <row r="1161">
          <cell r="A1161">
            <v>37047</v>
          </cell>
        </row>
        <row r="1162">
          <cell r="A1162">
            <v>37048</v>
          </cell>
        </row>
        <row r="1163">
          <cell r="A1163">
            <v>37049</v>
          </cell>
        </row>
        <row r="1164">
          <cell r="A1164">
            <v>37050</v>
          </cell>
        </row>
        <row r="1165">
          <cell r="A1165">
            <v>37053</v>
          </cell>
        </row>
        <row r="1166">
          <cell r="A1166">
            <v>37054</v>
          </cell>
        </row>
        <row r="1167">
          <cell r="A1167">
            <v>37055</v>
          </cell>
        </row>
        <row r="1168">
          <cell r="A1168">
            <v>37056</v>
          </cell>
        </row>
        <row r="1169">
          <cell r="A1169">
            <v>37057</v>
          </cell>
        </row>
        <row r="1170">
          <cell r="A1170">
            <v>37060</v>
          </cell>
        </row>
        <row r="1171">
          <cell r="A1171">
            <v>37061</v>
          </cell>
        </row>
        <row r="1172">
          <cell r="A1172">
            <v>37062</v>
          </cell>
        </row>
        <row r="1173">
          <cell r="A1173">
            <v>37063</v>
          </cell>
        </row>
        <row r="1174">
          <cell r="A1174">
            <v>37064</v>
          </cell>
        </row>
        <row r="1175">
          <cell r="A1175">
            <v>37067</v>
          </cell>
        </row>
        <row r="1176">
          <cell r="A1176">
            <v>37068</v>
          </cell>
        </row>
        <row r="1177">
          <cell r="A1177">
            <v>37069</v>
          </cell>
        </row>
        <row r="1178">
          <cell r="A1178">
            <v>37070</v>
          </cell>
        </row>
        <row r="1179">
          <cell r="A1179">
            <v>37071</v>
          </cell>
        </row>
        <row r="1180">
          <cell r="A1180">
            <v>37074</v>
          </cell>
        </row>
        <row r="1181">
          <cell r="A1181">
            <v>37075</v>
          </cell>
        </row>
        <row r="1182">
          <cell r="A1182">
            <v>37076</v>
          </cell>
        </row>
        <row r="1183">
          <cell r="A1183">
            <v>37077</v>
          </cell>
        </row>
        <row r="1184">
          <cell r="A1184">
            <v>37078</v>
          </cell>
        </row>
        <row r="1185">
          <cell r="A1185">
            <v>37081</v>
          </cell>
        </row>
        <row r="1186">
          <cell r="A1186">
            <v>37082</v>
          </cell>
        </row>
        <row r="1187">
          <cell r="A1187">
            <v>37083</v>
          </cell>
        </row>
        <row r="1188">
          <cell r="A1188">
            <v>37084</v>
          </cell>
        </row>
        <row r="1189">
          <cell r="A1189">
            <v>37085</v>
          </cell>
        </row>
        <row r="1190">
          <cell r="A1190">
            <v>37088</v>
          </cell>
        </row>
        <row r="1191">
          <cell r="A1191">
            <v>37089</v>
          </cell>
        </row>
        <row r="1192">
          <cell r="A1192">
            <v>37090</v>
          </cell>
        </row>
        <row r="1193">
          <cell r="A1193">
            <v>37091</v>
          </cell>
        </row>
        <row r="1194">
          <cell r="A1194">
            <v>37092</v>
          </cell>
        </row>
        <row r="1195">
          <cell r="A1195">
            <v>37095</v>
          </cell>
        </row>
        <row r="1196">
          <cell r="A1196">
            <v>37096</v>
          </cell>
        </row>
        <row r="1197">
          <cell r="A1197">
            <v>37097</v>
          </cell>
        </row>
        <row r="1198">
          <cell r="A1198">
            <v>37098</v>
          </cell>
        </row>
        <row r="1199">
          <cell r="A1199">
            <v>37099</v>
          </cell>
        </row>
        <row r="1200">
          <cell r="A1200">
            <v>37102</v>
          </cell>
        </row>
        <row r="1201">
          <cell r="A1201">
            <v>37103</v>
          </cell>
        </row>
        <row r="1202">
          <cell r="A1202">
            <v>37104</v>
          </cell>
        </row>
        <row r="1203">
          <cell r="A1203">
            <v>37105</v>
          </cell>
        </row>
        <row r="1204">
          <cell r="A1204">
            <v>37106</v>
          </cell>
        </row>
        <row r="1205">
          <cell r="A1205">
            <v>37109</v>
          </cell>
        </row>
        <row r="1206">
          <cell r="A1206">
            <v>37110</v>
          </cell>
        </row>
        <row r="1207">
          <cell r="A1207">
            <v>37111</v>
          </cell>
        </row>
        <row r="1208">
          <cell r="A1208">
            <v>37112</v>
          </cell>
        </row>
        <row r="1209">
          <cell r="A1209">
            <v>37113</v>
          </cell>
        </row>
        <row r="1210">
          <cell r="A1210">
            <v>37116</v>
          </cell>
        </row>
        <row r="1211">
          <cell r="A1211">
            <v>37117</v>
          </cell>
        </row>
        <row r="1212">
          <cell r="A1212">
            <v>37118</v>
          </cell>
        </row>
        <row r="1213">
          <cell r="A1213">
            <v>37119</v>
          </cell>
        </row>
        <row r="1214">
          <cell r="A1214">
            <v>37120</v>
          </cell>
        </row>
        <row r="1215">
          <cell r="A1215">
            <v>37123</v>
          </cell>
        </row>
        <row r="1216">
          <cell r="A1216">
            <v>37124</v>
          </cell>
        </row>
        <row r="1217">
          <cell r="A1217">
            <v>37125</v>
          </cell>
        </row>
        <row r="1218">
          <cell r="A1218">
            <v>37126</v>
          </cell>
        </row>
        <row r="1219">
          <cell r="A1219">
            <v>37127</v>
          </cell>
        </row>
        <row r="1220">
          <cell r="A1220">
            <v>37130</v>
          </cell>
        </row>
        <row r="1221">
          <cell r="A1221">
            <v>37131</v>
          </cell>
        </row>
        <row r="1222">
          <cell r="A1222">
            <v>37132</v>
          </cell>
        </row>
        <row r="1223">
          <cell r="A1223">
            <v>37133</v>
          </cell>
        </row>
        <row r="1224">
          <cell r="A1224">
            <v>37134</v>
          </cell>
        </row>
        <row r="1225">
          <cell r="A1225">
            <v>37137</v>
          </cell>
        </row>
        <row r="1226">
          <cell r="A1226">
            <v>37138</v>
          </cell>
        </row>
        <row r="1227">
          <cell r="A1227">
            <v>37139</v>
          </cell>
        </row>
        <row r="1228">
          <cell r="A1228">
            <v>37140</v>
          </cell>
        </row>
        <row r="1229">
          <cell r="A1229">
            <v>37141</v>
          </cell>
        </row>
        <row r="1230">
          <cell r="A1230">
            <v>37144</v>
          </cell>
        </row>
        <row r="1231">
          <cell r="A1231">
            <v>37145</v>
          </cell>
        </row>
        <row r="1232">
          <cell r="A1232">
            <v>37146</v>
          </cell>
        </row>
        <row r="1233">
          <cell r="A1233">
            <v>37147</v>
          </cell>
        </row>
        <row r="1234">
          <cell r="A1234">
            <v>37148</v>
          </cell>
        </row>
        <row r="1235">
          <cell r="A1235">
            <v>37151</v>
          </cell>
        </row>
        <row r="1236">
          <cell r="A1236">
            <v>37152</v>
          </cell>
        </row>
        <row r="1237">
          <cell r="A1237">
            <v>37153</v>
          </cell>
        </row>
        <row r="1238">
          <cell r="A1238">
            <v>37154</v>
          </cell>
        </row>
        <row r="1239">
          <cell r="A1239">
            <v>37155</v>
          </cell>
        </row>
        <row r="1240">
          <cell r="A1240">
            <v>37158</v>
          </cell>
        </row>
        <row r="1241">
          <cell r="A1241">
            <v>37159</v>
          </cell>
        </row>
        <row r="1242">
          <cell r="A1242">
            <v>37160</v>
          </cell>
        </row>
        <row r="1243">
          <cell r="A1243">
            <v>37161</v>
          </cell>
        </row>
        <row r="1244">
          <cell r="A1244">
            <v>37162</v>
          </cell>
        </row>
        <row r="1245">
          <cell r="A1245">
            <v>37165</v>
          </cell>
        </row>
        <row r="1246">
          <cell r="A1246">
            <v>37166</v>
          </cell>
        </row>
        <row r="1247">
          <cell r="A1247">
            <v>37167</v>
          </cell>
        </row>
        <row r="1248">
          <cell r="A1248">
            <v>37168</v>
          </cell>
        </row>
        <row r="1249">
          <cell r="A1249">
            <v>37169</v>
          </cell>
        </row>
        <row r="1250">
          <cell r="A1250">
            <v>37172</v>
          </cell>
        </row>
        <row r="1251">
          <cell r="A1251">
            <v>37173</v>
          </cell>
        </row>
        <row r="1252">
          <cell r="A1252">
            <v>37174</v>
          </cell>
        </row>
        <row r="1253">
          <cell r="A1253">
            <v>37175</v>
          </cell>
        </row>
        <row r="1254">
          <cell r="A1254">
            <v>37176</v>
          </cell>
        </row>
        <row r="1255">
          <cell r="A1255">
            <v>37179</v>
          </cell>
        </row>
        <row r="1256">
          <cell r="A1256">
            <v>37180</v>
          </cell>
        </row>
        <row r="1257">
          <cell r="A1257">
            <v>37181</v>
          </cell>
        </row>
        <row r="1258">
          <cell r="A1258">
            <v>37182</v>
          </cell>
        </row>
        <row r="1259">
          <cell r="A1259">
            <v>37183</v>
          </cell>
        </row>
        <row r="1260">
          <cell r="A1260">
            <v>37186</v>
          </cell>
        </row>
        <row r="1261">
          <cell r="A1261">
            <v>37187</v>
          </cell>
        </row>
        <row r="1262">
          <cell r="A1262">
            <v>37188</v>
          </cell>
        </row>
        <row r="1263">
          <cell r="A1263">
            <v>37189</v>
          </cell>
        </row>
        <row r="1264">
          <cell r="A1264">
            <v>37190</v>
          </cell>
        </row>
        <row r="1265">
          <cell r="A1265">
            <v>37193</v>
          </cell>
        </row>
        <row r="1266">
          <cell r="A1266">
            <v>37194</v>
          </cell>
        </row>
        <row r="1267">
          <cell r="A1267">
            <v>37195</v>
          </cell>
        </row>
        <row r="1268">
          <cell r="A1268">
            <v>37196</v>
          </cell>
        </row>
        <row r="1269">
          <cell r="A1269">
            <v>37197</v>
          </cell>
        </row>
        <row r="1270">
          <cell r="A1270">
            <v>37200</v>
          </cell>
        </row>
        <row r="1271">
          <cell r="A1271">
            <v>37201</v>
          </cell>
        </row>
        <row r="1272">
          <cell r="A1272">
            <v>37202</v>
          </cell>
        </row>
        <row r="1273">
          <cell r="A1273">
            <v>37203</v>
          </cell>
        </row>
        <row r="1274">
          <cell r="A1274">
            <v>37204</v>
          </cell>
        </row>
        <row r="1275">
          <cell r="A1275">
            <v>37207</v>
          </cell>
        </row>
        <row r="1276">
          <cell r="A1276">
            <v>37208</v>
          </cell>
        </row>
        <row r="1277">
          <cell r="A1277">
            <v>37209</v>
          </cell>
        </row>
        <row r="1278">
          <cell r="A1278">
            <v>37210</v>
          </cell>
        </row>
        <row r="1279">
          <cell r="A1279">
            <v>37211</v>
          </cell>
        </row>
        <row r="1280">
          <cell r="A1280">
            <v>37214</v>
          </cell>
        </row>
        <row r="1281">
          <cell r="A1281">
            <v>37215</v>
          </cell>
        </row>
        <row r="1282">
          <cell r="A1282">
            <v>37216</v>
          </cell>
        </row>
        <row r="1283">
          <cell r="A1283">
            <v>37217</v>
          </cell>
        </row>
        <row r="1284">
          <cell r="A1284">
            <v>37218</v>
          </cell>
        </row>
        <row r="1285">
          <cell r="A1285">
            <v>37221</v>
          </cell>
        </row>
        <row r="1286">
          <cell r="A1286">
            <v>37222</v>
          </cell>
        </row>
        <row r="1287">
          <cell r="A1287">
            <v>37223</v>
          </cell>
        </row>
        <row r="1288">
          <cell r="A1288">
            <v>37224</v>
          </cell>
        </row>
        <row r="1289">
          <cell r="A1289">
            <v>37225</v>
          </cell>
        </row>
        <row r="1290">
          <cell r="A1290">
            <v>37228</v>
          </cell>
        </row>
        <row r="1291">
          <cell r="A1291">
            <v>37229</v>
          </cell>
        </row>
        <row r="1292">
          <cell r="A1292">
            <v>37230</v>
          </cell>
        </row>
        <row r="1293">
          <cell r="A1293">
            <v>37231</v>
          </cell>
        </row>
        <row r="1294">
          <cell r="A1294">
            <v>37232</v>
          </cell>
        </row>
        <row r="1295">
          <cell r="A1295">
            <v>37235</v>
          </cell>
        </row>
        <row r="1296">
          <cell r="A1296">
            <v>37236</v>
          </cell>
        </row>
        <row r="1297">
          <cell r="A1297">
            <v>37237</v>
          </cell>
        </row>
        <row r="1298">
          <cell r="A1298">
            <v>37238</v>
          </cell>
        </row>
        <row r="1299">
          <cell r="A1299">
            <v>37239</v>
          </cell>
        </row>
        <row r="1300">
          <cell r="A1300">
            <v>37242</v>
          </cell>
        </row>
        <row r="1301">
          <cell r="A1301">
            <v>37243</v>
          </cell>
        </row>
        <row r="1302">
          <cell r="A1302">
            <v>37244</v>
          </cell>
        </row>
        <row r="1303">
          <cell r="A1303">
            <v>37245</v>
          </cell>
        </row>
        <row r="1304">
          <cell r="A1304">
            <v>37246</v>
          </cell>
        </row>
        <row r="1305">
          <cell r="A1305">
            <v>37249</v>
          </cell>
        </row>
        <row r="1306">
          <cell r="A1306">
            <v>37250</v>
          </cell>
        </row>
        <row r="1307">
          <cell r="A1307">
            <v>37251</v>
          </cell>
        </row>
        <row r="1308">
          <cell r="A1308">
            <v>37252</v>
          </cell>
        </row>
        <row r="1309">
          <cell r="A1309">
            <v>37253</v>
          </cell>
        </row>
        <row r="1310">
          <cell r="A1310">
            <v>37256</v>
          </cell>
        </row>
        <row r="1311">
          <cell r="A1311">
            <v>37257</v>
          </cell>
        </row>
        <row r="1312">
          <cell r="A1312">
            <v>37258</v>
          </cell>
        </row>
        <row r="1313">
          <cell r="A1313">
            <v>37259</v>
          </cell>
        </row>
        <row r="1314">
          <cell r="A1314">
            <v>37260</v>
          </cell>
        </row>
        <row r="1315">
          <cell r="A1315">
            <v>37263</v>
          </cell>
        </row>
        <row r="1316">
          <cell r="A1316">
            <v>37264</v>
          </cell>
        </row>
        <row r="1317">
          <cell r="A1317">
            <v>37265</v>
          </cell>
        </row>
        <row r="1318">
          <cell r="A1318">
            <v>37266</v>
          </cell>
        </row>
        <row r="1319">
          <cell r="A1319">
            <v>37267</v>
          </cell>
        </row>
        <row r="1320">
          <cell r="A1320">
            <v>37270</v>
          </cell>
        </row>
        <row r="1321">
          <cell r="A1321">
            <v>37271</v>
          </cell>
        </row>
        <row r="1322">
          <cell r="A1322">
            <v>37272</v>
          </cell>
        </row>
        <row r="1323">
          <cell r="A1323">
            <v>37273</v>
          </cell>
        </row>
        <row r="1324">
          <cell r="A1324">
            <v>37274</v>
          </cell>
        </row>
        <row r="1325">
          <cell r="A1325">
            <v>37277</v>
          </cell>
        </row>
        <row r="1326">
          <cell r="A1326">
            <v>37278</v>
          </cell>
        </row>
        <row r="1327">
          <cell r="A1327">
            <v>37279</v>
          </cell>
        </row>
        <row r="1328">
          <cell r="A1328">
            <v>37280</v>
          </cell>
        </row>
        <row r="1329">
          <cell r="A1329">
            <v>37281</v>
          </cell>
        </row>
        <row r="1330">
          <cell r="A1330">
            <v>37284</v>
          </cell>
        </row>
        <row r="1331">
          <cell r="A1331">
            <v>37285</v>
          </cell>
        </row>
        <row r="1332">
          <cell r="A1332">
            <v>37286</v>
          </cell>
        </row>
        <row r="1333">
          <cell r="A1333">
            <v>37287</v>
          </cell>
        </row>
        <row r="1334">
          <cell r="A1334">
            <v>37288</v>
          </cell>
        </row>
        <row r="1335">
          <cell r="A1335">
            <v>37291</v>
          </cell>
        </row>
        <row r="1336">
          <cell r="A1336">
            <v>37292</v>
          </cell>
        </row>
        <row r="1337">
          <cell r="A1337">
            <v>37293</v>
          </cell>
        </row>
        <row r="1338">
          <cell r="A1338">
            <v>37294</v>
          </cell>
        </row>
        <row r="1339">
          <cell r="A1339">
            <v>37295</v>
          </cell>
        </row>
        <row r="1340">
          <cell r="A1340">
            <v>37298</v>
          </cell>
        </row>
        <row r="1341">
          <cell r="A1341">
            <v>37299</v>
          </cell>
        </row>
        <row r="1342">
          <cell r="A1342">
            <v>37300</v>
          </cell>
        </row>
        <row r="1343">
          <cell r="A1343">
            <v>37301</v>
          </cell>
        </row>
        <row r="1344">
          <cell r="A1344">
            <v>37302</v>
          </cell>
        </row>
        <row r="1345">
          <cell r="A1345">
            <v>37305</v>
          </cell>
        </row>
        <row r="1346">
          <cell r="A1346">
            <v>37306</v>
          </cell>
        </row>
        <row r="1347">
          <cell r="A1347">
            <v>37307</v>
          </cell>
        </row>
        <row r="1348">
          <cell r="A1348">
            <v>37308</v>
          </cell>
        </row>
        <row r="1349">
          <cell r="A1349">
            <v>37309</v>
          </cell>
        </row>
        <row r="1350">
          <cell r="A1350">
            <v>37312</v>
          </cell>
        </row>
        <row r="1351">
          <cell r="A1351">
            <v>37313</v>
          </cell>
        </row>
        <row r="1352">
          <cell r="A1352">
            <v>37314</v>
          </cell>
        </row>
        <row r="1353">
          <cell r="A1353">
            <v>37315</v>
          </cell>
        </row>
        <row r="1354">
          <cell r="A1354">
            <v>37316</v>
          </cell>
        </row>
        <row r="1355">
          <cell r="A1355">
            <v>37319</v>
          </cell>
        </row>
        <row r="1356">
          <cell r="A1356">
            <v>37320</v>
          </cell>
        </row>
        <row r="1357">
          <cell r="A1357">
            <v>37321</v>
          </cell>
        </row>
        <row r="1358">
          <cell r="A1358">
            <v>37322</v>
          </cell>
        </row>
        <row r="1359">
          <cell r="A1359">
            <v>37323</v>
          </cell>
        </row>
        <row r="1360">
          <cell r="A1360">
            <v>37326</v>
          </cell>
        </row>
        <row r="1361">
          <cell r="A1361">
            <v>37327</v>
          </cell>
        </row>
        <row r="1362">
          <cell r="A1362">
            <v>37328</v>
          </cell>
        </row>
        <row r="1363">
          <cell r="A1363">
            <v>37329</v>
          </cell>
        </row>
        <row r="1364">
          <cell r="A1364">
            <v>37330</v>
          </cell>
        </row>
        <row r="1365">
          <cell r="A1365">
            <v>37333</v>
          </cell>
        </row>
        <row r="1366">
          <cell r="A1366">
            <v>37334</v>
          </cell>
        </row>
        <row r="1367">
          <cell r="A1367">
            <v>37335</v>
          </cell>
        </row>
        <row r="1368">
          <cell r="A1368">
            <v>37336</v>
          </cell>
        </row>
        <row r="1369">
          <cell r="A1369">
            <v>37337</v>
          </cell>
        </row>
        <row r="1370">
          <cell r="A1370">
            <v>37340</v>
          </cell>
        </row>
        <row r="1371">
          <cell r="A1371">
            <v>37341</v>
          </cell>
        </row>
        <row r="1372">
          <cell r="A1372">
            <v>37342</v>
          </cell>
        </row>
        <row r="1373">
          <cell r="A1373">
            <v>37343</v>
          </cell>
        </row>
        <row r="1374">
          <cell r="A1374">
            <v>37344</v>
          </cell>
        </row>
        <row r="1375">
          <cell r="A1375">
            <v>37347</v>
          </cell>
        </row>
        <row r="1376">
          <cell r="A1376">
            <v>37348</v>
          </cell>
        </row>
        <row r="1377">
          <cell r="A1377">
            <v>37349</v>
          </cell>
        </row>
        <row r="1378">
          <cell r="A1378">
            <v>37350</v>
          </cell>
        </row>
        <row r="1379">
          <cell r="A1379">
            <v>37351</v>
          </cell>
        </row>
        <row r="1380">
          <cell r="A1380">
            <v>37354</v>
          </cell>
        </row>
        <row r="1381">
          <cell r="A1381">
            <v>37355</v>
          </cell>
        </row>
        <row r="1382">
          <cell r="A1382">
            <v>37356</v>
          </cell>
        </row>
        <row r="1383">
          <cell r="A1383">
            <v>37357</v>
          </cell>
        </row>
        <row r="1384">
          <cell r="A1384">
            <v>37358</v>
          </cell>
        </row>
        <row r="1385">
          <cell r="A1385">
            <v>37361</v>
          </cell>
        </row>
        <row r="1386">
          <cell r="A1386">
            <v>37362</v>
          </cell>
        </row>
        <row r="1387">
          <cell r="A1387">
            <v>37363</v>
          </cell>
        </row>
        <row r="1388">
          <cell r="A1388">
            <v>37364</v>
          </cell>
        </row>
        <row r="1389">
          <cell r="A1389">
            <v>37365</v>
          </cell>
        </row>
        <row r="1390">
          <cell r="A1390">
            <v>37368</v>
          </cell>
        </row>
        <row r="1391">
          <cell r="A1391">
            <v>37369</v>
          </cell>
        </row>
        <row r="1392">
          <cell r="A1392">
            <v>37370</v>
          </cell>
        </row>
        <row r="1393">
          <cell r="A1393">
            <v>37371</v>
          </cell>
        </row>
        <row r="1394">
          <cell r="A1394">
            <v>37372</v>
          </cell>
        </row>
        <row r="1395">
          <cell r="A1395">
            <v>37375</v>
          </cell>
        </row>
        <row r="1396">
          <cell r="A1396">
            <v>37376</v>
          </cell>
        </row>
        <row r="1397">
          <cell r="A1397">
            <v>37377</v>
          </cell>
        </row>
        <row r="1398">
          <cell r="A1398">
            <v>37378</v>
          </cell>
        </row>
        <row r="1399">
          <cell r="A1399">
            <v>37379</v>
          </cell>
        </row>
        <row r="1400">
          <cell r="A1400">
            <v>37382</v>
          </cell>
        </row>
        <row r="1401">
          <cell r="A1401">
            <v>37383</v>
          </cell>
        </row>
        <row r="1402">
          <cell r="A1402">
            <v>37384</v>
          </cell>
        </row>
        <row r="1403">
          <cell r="A1403">
            <v>37385</v>
          </cell>
        </row>
        <row r="1404">
          <cell r="A1404">
            <v>37386</v>
          </cell>
        </row>
        <row r="1405">
          <cell r="A1405">
            <v>37389</v>
          </cell>
        </row>
        <row r="1406">
          <cell r="A1406">
            <v>37390</v>
          </cell>
        </row>
        <row r="1407">
          <cell r="A1407">
            <v>37391</v>
          </cell>
        </row>
        <row r="1408">
          <cell r="A1408">
            <v>37392</v>
          </cell>
        </row>
        <row r="1409">
          <cell r="A1409">
            <v>37393</v>
          </cell>
        </row>
        <row r="1410">
          <cell r="A1410">
            <v>37396</v>
          </cell>
        </row>
        <row r="1411">
          <cell r="A1411">
            <v>37397</v>
          </cell>
        </row>
        <row r="1412">
          <cell r="A1412">
            <v>37398</v>
          </cell>
        </row>
        <row r="1413">
          <cell r="A1413">
            <v>37399</v>
          </cell>
        </row>
        <row r="1414">
          <cell r="A1414">
            <v>37400</v>
          </cell>
        </row>
        <row r="1415">
          <cell r="A1415">
            <v>37403</v>
          </cell>
        </row>
        <row r="1416">
          <cell r="A1416">
            <v>37404</v>
          </cell>
        </row>
        <row r="1417">
          <cell r="A1417">
            <v>37405</v>
          </cell>
        </row>
        <row r="1418">
          <cell r="A1418">
            <v>37406</v>
          </cell>
        </row>
        <row r="1419">
          <cell r="A1419">
            <v>37407</v>
          </cell>
        </row>
        <row r="1420">
          <cell r="A1420">
            <v>37410</v>
          </cell>
        </row>
        <row r="1421">
          <cell r="A1421">
            <v>37411</v>
          </cell>
        </row>
        <row r="1422">
          <cell r="A1422">
            <v>37412</v>
          </cell>
        </row>
        <row r="1423">
          <cell r="A1423">
            <v>37413</v>
          </cell>
        </row>
        <row r="1424">
          <cell r="A1424">
            <v>37414</v>
          </cell>
        </row>
        <row r="1425">
          <cell r="A1425">
            <v>37417</v>
          </cell>
        </row>
        <row r="1426">
          <cell r="A1426">
            <v>37418</v>
          </cell>
        </row>
        <row r="1427">
          <cell r="A1427">
            <v>37419</v>
          </cell>
        </row>
        <row r="1428">
          <cell r="A1428">
            <v>37420</v>
          </cell>
        </row>
        <row r="1429">
          <cell r="A1429">
            <v>37421</v>
          </cell>
        </row>
        <row r="1430">
          <cell r="A1430">
            <v>37424</v>
          </cell>
        </row>
        <row r="1431">
          <cell r="A1431">
            <v>37425</v>
          </cell>
        </row>
        <row r="1432">
          <cell r="A1432">
            <v>37426</v>
          </cell>
        </row>
        <row r="1433">
          <cell r="A1433">
            <v>37427</v>
          </cell>
        </row>
        <row r="1434">
          <cell r="A1434">
            <v>37428</v>
          </cell>
        </row>
        <row r="1435">
          <cell r="A1435">
            <v>37431</v>
          </cell>
        </row>
        <row r="1436">
          <cell r="A1436">
            <v>37432</v>
          </cell>
        </row>
        <row r="1437">
          <cell r="A1437">
            <v>37433</v>
          </cell>
        </row>
        <row r="1438">
          <cell r="A1438">
            <v>37434</v>
          </cell>
        </row>
        <row r="1439">
          <cell r="A1439">
            <v>37435</v>
          </cell>
        </row>
        <row r="1440">
          <cell r="A1440">
            <v>37438</v>
          </cell>
        </row>
        <row r="1441">
          <cell r="A1441">
            <v>37439</v>
          </cell>
        </row>
        <row r="1442">
          <cell r="A1442">
            <v>37440</v>
          </cell>
        </row>
        <row r="1443">
          <cell r="A1443">
            <v>37441</v>
          </cell>
        </row>
        <row r="1444">
          <cell r="A1444">
            <v>37442</v>
          </cell>
        </row>
        <row r="1445">
          <cell r="A1445">
            <v>37445</v>
          </cell>
        </row>
        <row r="1446">
          <cell r="A1446">
            <v>37446</v>
          </cell>
        </row>
        <row r="1447">
          <cell r="A1447">
            <v>37447</v>
          </cell>
        </row>
        <row r="1448">
          <cell r="A1448">
            <v>37448</v>
          </cell>
        </row>
        <row r="1449">
          <cell r="A1449">
            <v>37449</v>
          </cell>
        </row>
        <row r="1450">
          <cell r="A1450">
            <v>37452</v>
          </cell>
        </row>
        <row r="1451">
          <cell r="A1451">
            <v>37453</v>
          </cell>
        </row>
        <row r="1452">
          <cell r="A1452">
            <v>37454</v>
          </cell>
        </row>
        <row r="1453">
          <cell r="A1453">
            <v>37455</v>
          </cell>
        </row>
        <row r="1454">
          <cell r="A1454">
            <v>37456</v>
          </cell>
        </row>
        <row r="1455">
          <cell r="A1455">
            <v>37459</v>
          </cell>
        </row>
        <row r="1456">
          <cell r="A1456">
            <v>37460</v>
          </cell>
        </row>
        <row r="1457">
          <cell r="A1457">
            <v>37461</v>
          </cell>
        </row>
        <row r="1458">
          <cell r="A1458">
            <v>37462</v>
          </cell>
        </row>
        <row r="1459">
          <cell r="A1459">
            <v>37463</v>
          </cell>
        </row>
        <row r="1460">
          <cell r="A1460">
            <v>37466</v>
          </cell>
        </row>
        <row r="1461">
          <cell r="A1461">
            <v>37467</v>
          </cell>
        </row>
        <row r="1462">
          <cell r="A1462">
            <v>37468</v>
          </cell>
        </row>
        <row r="1463">
          <cell r="A1463">
            <v>37469</v>
          </cell>
        </row>
        <row r="1464">
          <cell r="A1464">
            <v>37470</v>
          </cell>
        </row>
        <row r="1465">
          <cell r="A1465">
            <v>37473</v>
          </cell>
        </row>
        <row r="1466">
          <cell r="A1466">
            <v>37474</v>
          </cell>
        </row>
        <row r="1467">
          <cell r="A1467">
            <v>37475</v>
          </cell>
        </row>
        <row r="1468">
          <cell r="A1468">
            <v>37476</v>
          </cell>
        </row>
        <row r="1469">
          <cell r="A1469">
            <v>37477</v>
          </cell>
        </row>
        <row r="1470">
          <cell r="A1470">
            <v>37480</v>
          </cell>
        </row>
        <row r="1471">
          <cell r="A1471">
            <v>37481</v>
          </cell>
        </row>
        <row r="1472">
          <cell r="A1472">
            <v>37482</v>
          </cell>
        </row>
        <row r="1473">
          <cell r="A1473">
            <v>37483</v>
          </cell>
        </row>
        <row r="1474">
          <cell r="A1474">
            <v>37484</v>
          </cell>
        </row>
        <row r="1475">
          <cell r="A1475">
            <v>37487</v>
          </cell>
        </row>
        <row r="1476">
          <cell r="A1476">
            <v>37488</v>
          </cell>
        </row>
        <row r="1477">
          <cell r="A1477">
            <v>37489</v>
          </cell>
        </row>
        <row r="1478">
          <cell r="A1478">
            <v>37490</v>
          </cell>
        </row>
        <row r="1479">
          <cell r="A1479">
            <v>37491</v>
          </cell>
        </row>
        <row r="1480">
          <cell r="A1480">
            <v>37494</v>
          </cell>
        </row>
        <row r="1481">
          <cell r="A1481">
            <v>37495</v>
          </cell>
        </row>
        <row r="1482">
          <cell r="A1482">
            <v>37496</v>
          </cell>
        </row>
        <row r="1483">
          <cell r="A1483">
            <v>37497</v>
          </cell>
        </row>
        <row r="1484">
          <cell r="A1484">
            <v>37498</v>
          </cell>
        </row>
        <row r="1485">
          <cell r="A1485">
            <v>37501</v>
          </cell>
        </row>
        <row r="1486">
          <cell r="A1486">
            <v>37502</v>
          </cell>
        </row>
        <row r="1487">
          <cell r="A1487">
            <v>37503</v>
          </cell>
        </row>
        <row r="1488">
          <cell r="A1488">
            <v>37504</v>
          </cell>
        </row>
        <row r="1489">
          <cell r="A1489">
            <v>37505</v>
          </cell>
        </row>
        <row r="1490">
          <cell r="A1490">
            <v>37508</v>
          </cell>
        </row>
        <row r="1491">
          <cell r="A1491">
            <v>37509</v>
          </cell>
        </row>
        <row r="1492">
          <cell r="A1492">
            <v>37510</v>
          </cell>
        </row>
        <row r="1493">
          <cell r="A1493">
            <v>37511</v>
          </cell>
        </row>
        <row r="1494">
          <cell r="A1494">
            <v>37512</v>
          </cell>
        </row>
        <row r="1495">
          <cell r="A1495">
            <v>37515</v>
          </cell>
        </row>
        <row r="1496">
          <cell r="A1496">
            <v>37516</v>
          </cell>
        </row>
        <row r="1497">
          <cell r="A1497">
            <v>37517</v>
          </cell>
        </row>
        <row r="1498">
          <cell r="A1498">
            <v>37518</v>
          </cell>
        </row>
        <row r="1499">
          <cell r="A1499">
            <v>37519</v>
          </cell>
        </row>
        <row r="1500">
          <cell r="A1500">
            <v>37522</v>
          </cell>
        </row>
        <row r="1501">
          <cell r="A1501">
            <v>37523</v>
          </cell>
        </row>
        <row r="1502">
          <cell r="A1502">
            <v>37524</v>
          </cell>
        </row>
        <row r="1503">
          <cell r="A1503">
            <v>37525</v>
          </cell>
        </row>
        <row r="1504">
          <cell r="A1504">
            <v>37526</v>
          </cell>
        </row>
        <row r="1505">
          <cell r="A1505">
            <v>37529</v>
          </cell>
        </row>
        <row r="1506">
          <cell r="A1506">
            <v>37530</v>
          </cell>
        </row>
        <row r="1507">
          <cell r="A1507">
            <v>37531</v>
          </cell>
        </row>
        <row r="1508">
          <cell r="A1508">
            <v>37532</v>
          </cell>
        </row>
        <row r="1509">
          <cell r="A1509">
            <v>37533</v>
          </cell>
        </row>
        <row r="1510">
          <cell r="A1510">
            <v>37536</v>
          </cell>
        </row>
        <row r="1511">
          <cell r="A1511">
            <v>37537</v>
          </cell>
        </row>
        <row r="1512">
          <cell r="A1512">
            <v>37538</v>
          </cell>
        </row>
        <row r="1513">
          <cell r="A1513">
            <v>37539</v>
          </cell>
        </row>
        <row r="1514">
          <cell r="A1514">
            <v>37540</v>
          </cell>
        </row>
        <row r="1515">
          <cell r="A1515">
            <v>37543</v>
          </cell>
        </row>
        <row r="1516">
          <cell r="A1516">
            <v>37544</v>
          </cell>
        </row>
        <row r="1517">
          <cell r="A1517">
            <v>37545</v>
          </cell>
        </row>
        <row r="1518">
          <cell r="A1518">
            <v>37546</v>
          </cell>
        </row>
        <row r="1519">
          <cell r="A1519">
            <v>37547</v>
          </cell>
        </row>
        <row r="1520">
          <cell r="A1520">
            <v>37550</v>
          </cell>
        </row>
        <row r="1521">
          <cell r="A1521">
            <v>37551</v>
          </cell>
        </row>
        <row r="1522">
          <cell r="A1522">
            <v>37552</v>
          </cell>
        </row>
        <row r="1523">
          <cell r="A1523">
            <v>37553</v>
          </cell>
        </row>
        <row r="1524">
          <cell r="A1524">
            <v>37554</v>
          </cell>
        </row>
        <row r="1525">
          <cell r="A1525">
            <v>37557</v>
          </cell>
        </row>
        <row r="1526">
          <cell r="A1526">
            <v>37558</v>
          </cell>
        </row>
        <row r="1527">
          <cell r="A1527">
            <v>37559</v>
          </cell>
        </row>
        <row r="1528">
          <cell r="A1528">
            <v>37560</v>
          </cell>
        </row>
        <row r="1529">
          <cell r="A1529">
            <v>37561</v>
          </cell>
        </row>
        <row r="1530">
          <cell r="A1530">
            <v>37564</v>
          </cell>
        </row>
        <row r="1531">
          <cell r="A1531">
            <v>37565</v>
          </cell>
        </row>
        <row r="1532">
          <cell r="A1532">
            <v>37566</v>
          </cell>
        </row>
        <row r="1533">
          <cell r="A1533">
            <v>37567</v>
          </cell>
        </row>
        <row r="1534">
          <cell r="A1534">
            <v>37568</v>
          </cell>
        </row>
        <row r="1535">
          <cell r="A1535">
            <v>37571</v>
          </cell>
        </row>
        <row r="1536">
          <cell r="A1536">
            <v>37572</v>
          </cell>
        </row>
        <row r="1537">
          <cell r="A1537">
            <v>37573</v>
          </cell>
        </row>
        <row r="1538">
          <cell r="A1538">
            <v>37574</v>
          </cell>
        </row>
        <row r="1539">
          <cell r="A1539">
            <v>37575</v>
          </cell>
        </row>
        <row r="1540">
          <cell r="A1540">
            <v>37578</v>
          </cell>
        </row>
        <row r="1541">
          <cell r="A1541">
            <v>37579</v>
          </cell>
        </row>
        <row r="1542">
          <cell r="A1542">
            <v>37580</v>
          </cell>
        </row>
        <row r="1543">
          <cell r="A1543">
            <v>37581</v>
          </cell>
        </row>
        <row r="1544">
          <cell r="A1544">
            <v>37582</v>
          </cell>
        </row>
        <row r="1545">
          <cell r="A1545">
            <v>37585</v>
          </cell>
        </row>
        <row r="1546">
          <cell r="A1546">
            <v>37586</v>
          </cell>
        </row>
        <row r="1547">
          <cell r="A1547">
            <v>37587</v>
          </cell>
        </row>
        <row r="1548">
          <cell r="A1548">
            <v>37588</v>
          </cell>
        </row>
        <row r="1549">
          <cell r="A1549">
            <v>37589</v>
          </cell>
        </row>
        <row r="1550">
          <cell r="A1550">
            <v>37592</v>
          </cell>
        </row>
        <row r="1551">
          <cell r="A1551">
            <v>37593</v>
          </cell>
        </row>
        <row r="1552">
          <cell r="A1552">
            <v>37594</v>
          </cell>
        </row>
        <row r="1553">
          <cell r="A1553">
            <v>37595</v>
          </cell>
        </row>
        <row r="1554">
          <cell r="A1554">
            <v>37596</v>
          </cell>
        </row>
        <row r="1555">
          <cell r="A1555">
            <v>37599</v>
          </cell>
        </row>
        <row r="1556">
          <cell r="A1556">
            <v>37600</v>
          </cell>
        </row>
        <row r="1557">
          <cell r="A1557">
            <v>37601</v>
          </cell>
        </row>
        <row r="1558">
          <cell r="A1558">
            <v>37602</v>
          </cell>
        </row>
        <row r="1559">
          <cell r="A1559">
            <v>37603</v>
          </cell>
        </row>
        <row r="1560">
          <cell r="A1560">
            <v>37606</v>
          </cell>
        </row>
        <row r="1561">
          <cell r="A1561">
            <v>37607</v>
          </cell>
        </row>
        <row r="1562">
          <cell r="A1562">
            <v>37608</v>
          </cell>
        </row>
        <row r="1563">
          <cell r="A1563">
            <v>37609</v>
          </cell>
        </row>
        <row r="1564">
          <cell r="A1564">
            <v>37610</v>
          </cell>
        </row>
        <row r="1565">
          <cell r="A1565">
            <v>37613</v>
          </cell>
        </row>
        <row r="1566">
          <cell r="A1566">
            <v>37614</v>
          </cell>
        </row>
        <row r="1567">
          <cell r="A1567">
            <v>37615</v>
          </cell>
        </row>
        <row r="1568">
          <cell r="A1568">
            <v>37616</v>
          </cell>
        </row>
        <row r="1569">
          <cell r="A1569">
            <v>37617</v>
          </cell>
        </row>
        <row r="1570">
          <cell r="A1570">
            <v>37620</v>
          </cell>
        </row>
        <row r="1571">
          <cell r="A1571">
            <v>37621</v>
          </cell>
        </row>
        <row r="1572">
          <cell r="A1572">
            <v>37622</v>
          </cell>
        </row>
        <row r="1573">
          <cell r="A1573">
            <v>37623</v>
          </cell>
        </row>
        <row r="1574">
          <cell r="A1574">
            <v>37624</v>
          </cell>
        </row>
        <row r="1575">
          <cell r="A1575">
            <v>37627</v>
          </cell>
        </row>
        <row r="1576">
          <cell r="A1576">
            <v>37628</v>
          </cell>
        </row>
        <row r="1577">
          <cell r="A1577">
            <v>37629</v>
          </cell>
        </row>
        <row r="1578">
          <cell r="A1578">
            <v>37630</v>
          </cell>
        </row>
        <row r="1579">
          <cell r="A1579">
            <v>37631</v>
          </cell>
        </row>
        <row r="1580">
          <cell r="A1580">
            <v>37634</v>
          </cell>
        </row>
        <row r="1581">
          <cell r="A1581">
            <v>37635</v>
          </cell>
        </row>
        <row r="1582">
          <cell r="A1582">
            <v>37636</v>
          </cell>
        </row>
        <row r="1583">
          <cell r="A1583">
            <v>37637</v>
          </cell>
        </row>
        <row r="1584">
          <cell r="A1584">
            <v>37638</v>
          </cell>
        </row>
        <row r="1585">
          <cell r="A1585">
            <v>37641</v>
          </cell>
        </row>
        <row r="1586">
          <cell r="A1586">
            <v>37642</v>
          </cell>
        </row>
        <row r="1587">
          <cell r="A1587">
            <v>37643</v>
          </cell>
        </row>
        <row r="1588">
          <cell r="A1588">
            <v>37644</v>
          </cell>
        </row>
        <row r="1589">
          <cell r="A1589">
            <v>37645</v>
          </cell>
        </row>
        <row r="1590">
          <cell r="A1590">
            <v>37648</v>
          </cell>
        </row>
        <row r="1591">
          <cell r="A1591">
            <v>37649</v>
          </cell>
        </row>
        <row r="1592">
          <cell r="A1592">
            <v>37650</v>
          </cell>
        </row>
        <row r="1593">
          <cell r="A1593">
            <v>37651</v>
          </cell>
        </row>
        <row r="1594">
          <cell r="A1594">
            <v>37652</v>
          </cell>
        </row>
        <row r="1595">
          <cell r="A1595">
            <v>37655</v>
          </cell>
        </row>
        <row r="1596">
          <cell r="A1596">
            <v>37656</v>
          </cell>
        </row>
        <row r="1597">
          <cell r="A1597">
            <v>37657</v>
          </cell>
        </row>
        <row r="1598">
          <cell r="A1598">
            <v>37658</v>
          </cell>
        </row>
        <row r="1599">
          <cell r="A1599">
            <v>37659</v>
          </cell>
        </row>
        <row r="1600">
          <cell r="A1600">
            <v>37662</v>
          </cell>
        </row>
        <row r="1601">
          <cell r="A1601">
            <v>37663</v>
          </cell>
        </row>
        <row r="1602">
          <cell r="A1602">
            <v>37664</v>
          </cell>
        </row>
        <row r="1603">
          <cell r="A1603">
            <v>37665</v>
          </cell>
        </row>
        <row r="1604">
          <cell r="A1604">
            <v>37666</v>
          </cell>
        </row>
        <row r="1605">
          <cell r="A1605">
            <v>37669</v>
          </cell>
        </row>
        <row r="1606">
          <cell r="A1606">
            <v>37670</v>
          </cell>
        </row>
        <row r="1607">
          <cell r="A1607">
            <v>37671</v>
          </cell>
        </row>
        <row r="1608">
          <cell r="A1608">
            <v>37672</v>
          </cell>
        </row>
        <row r="1609">
          <cell r="A1609">
            <v>37673</v>
          </cell>
        </row>
        <row r="1610">
          <cell r="A1610">
            <v>37676</v>
          </cell>
        </row>
        <row r="1611">
          <cell r="A1611">
            <v>37677</v>
          </cell>
        </row>
        <row r="1612">
          <cell r="A1612">
            <v>37678</v>
          </cell>
        </row>
        <row r="1613">
          <cell r="A1613">
            <v>37679</v>
          </cell>
        </row>
        <row r="1614">
          <cell r="A1614">
            <v>37680</v>
          </cell>
        </row>
        <row r="1615">
          <cell r="A1615">
            <v>37683</v>
          </cell>
        </row>
        <row r="1616">
          <cell r="A1616">
            <v>37684</v>
          </cell>
        </row>
        <row r="1617">
          <cell r="A1617">
            <v>37685</v>
          </cell>
        </row>
        <row r="1618">
          <cell r="A1618">
            <v>37686</v>
          </cell>
        </row>
        <row r="1619">
          <cell r="A1619">
            <v>37687</v>
          </cell>
        </row>
        <row r="1620">
          <cell r="A1620">
            <v>37690</v>
          </cell>
        </row>
        <row r="1621">
          <cell r="A1621">
            <v>37691</v>
          </cell>
        </row>
        <row r="1622">
          <cell r="A1622">
            <v>37692</v>
          </cell>
        </row>
        <row r="1623">
          <cell r="A1623">
            <v>37693</v>
          </cell>
        </row>
        <row r="1624">
          <cell r="A1624">
            <v>37694</v>
          </cell>
        </row>
        <row r="1625">
          <cell r="A1625">
            <v>37697</v>
          </cell>
        </row>
        <row r="1626">
          <cell r="A1626">
            <v>37698</v>
          </cell>
        </row>
        <row r="1627">
          <cell r="A1627">
            <v>37699</v>
          </cell>
        </row>
        <row r="1628">
          <cell r="A1628">
            <v>37700</v>
          </cell>
        </row>
        <row r="1629">
          <cell r="A1629">
            <v>37701</v>
          </cell>
        </row>
        <row r="1630">
          <cell r="A1630">
            <v>37704</v>
          </cell>
        </row>
        <row r="1631">
          <cell r="A1631">
            <v>37705</v>
          </cell>
        </row>
        <row r="1632">
          <cell r="A1632">
            <v>37706</v>
          </cell>
        </row>
        <row r="1633">
          <cell r="A1633">
            <v>37707</v>
          </cell>
        </row>
        <row r="1634">
          <cell r="A1634">
            <v>37708</v>
          </cell>
        </row>
        <row r="1635">
          <cell r="A1635">
            <v>37711</v>
          </cell>
        </row>
        <row r="1636">
          <cell r="A1636">
            <v>37712</v>
          </cell>
        </row>
        <row r="1637">
          <cell r="A1637">
            <v>37713</v>
          </cell>
        </row>
        <row r="1638">
          <cell r="A1638">
            <v>37714</v>
          </cell>
        </row>
        <row r="1639">
          <cell r="A1639">
            <v>37715</v>
          </cell>
        </row>
        <row r="1640">
          <cell r="A1640">
            <v>37718</v>
          </cell>
        </row>
        <row r="1641">
          <cell r="A1641">
            <v>37719</v>
          </cell>
        </row>
        <row r="1642">
          <cell r="A1642">
            <v>37720</v>
          </cell>
        </row>
        <row r="1643">
          <cell r="A1643">
            <v>37721</v>
          </cell>
        </row>
        <row r="1644">
          <cell r="A1644">
            <v>37722</v>
          </cell>
        </row>
        <row r="1645">
          <cell r="A1645">
            <v>37725</v>
          </cell>
        </row>
        <row r="1646">
          <cell r="A1646">
            <v>37726</v>
          </cell>
        </row>
        <row r="1647">
          <cell r="A1647">
            <v>37727</v>
          </cell>
        </row>
        <row r="1648">
          <cell r="A1648">
            <v>37728</v>
          </cell>
        </row>
        <row r="1649">
          <cell r="A1649">
            <v>37729</v>
          </cell>
        </row>
        <row r="1650">
          <cell r="A1650">
            <v>37732</v>
          </cell>
        </row>
        <row r="1651">
          <cell r="A1651">
            <v>37733</v>
          </cell>
        </row>
        <row r="1652">
          <cell r="A1652">
            <v>37734</v>
          </cell>
        </row>
        <row r="1653">
          <cell r="A1653">
            <v>37735</v>
          </cell>
        </row>
        <row r="1654">
          <cell r="A1654">
            <v>37736</v>
          </cell>
        </row>
        <row r="1655">
          <cell r="A1655">
            <v>37739</v>
          </cell>
        </row>
        <row r="1656">
          <cell r="A1656">
            <v>37740</v>
          </cell>
        </row>
        <row r="1657">
          <cell r="A1657">
            <v>37741</v>
          </cell>
        </row>
        <row r="1658">
          <cell r="A1658">
            <v>37742</v>
          </cell>
        </row>
        <row r="1659">
          <cell r="A1659">
            <v>37743</v>
          </cell>
        </row>
        <row r="1660">
          <cell r="A1660">
            <v>37746</v>
          </cell>
        </row>
        <row r="1661">
          <cell r="A1661">
            <v>37747</v>
          </cell>
        </row>
        <row r="1662">
          <cell r="A1662">
            <v>37748</v>
          </cell>
        </row>
        <row r="1663">
          <cell r="A1663">
            <v>37749</v>
          </cell>
        </row>
        <row r="1664">
          <cell r="A1664">
            <v>37750</v>
          </cell>
        </row>
        <row r="1665">
          <cell r="A1665">
            <v>37753</v>
          </cell>
        </row>
        <row r="1666">
          <cell r="A1666">
            <v>37754</v>
          </cell>
        </row>
        <row r="1667">
          <cell r="A1667">
            <v>37755</v>
          </cell>
        </row>
        <row r="1668">
          <cell r="A1668">
            <v>37756</v>
          </cell>
        </row>
        <row r="1669">
          <cell r="A1669">
            <v>37757</v>
          </cell>
        </row>
        <row r="1670">
          <cell r="A1670">
            <v>37760</v>
          </cell>
        </row>
        <row r="1671">
          <cell r="A1671">
            <v>37761</v>
          </cell>
        </row>
        <row r="1672">
          <cell r="A1672">
            <v>37762</v>
          </cell>
        </row>
        <row r="1673">
          <cell r="A1673">
            <v>37763</v>
          </cell>
        </row>
        <row r="1674">
          <cell r="A1674">
            <v>37764</v>
          </cell>
        </row>
        <row r="1675">
          <cell r="A1675">
            <v>37767</v>
          </cell>
        </row>
        <row r="1676">
          <cell r="A1676">
            <v>37768</v>
          </cell>
        </row>
        <row r="1677">
          <cell r="A1677">
            <v>37769</v>
          </cell>
        </row>
        <row r="1678">
          <cell r="A1678">
            <v>37770</v>
          </cell>
        </row>
        <row r="1679">
          <cell r="A1679">
            <v>37771</v>
          </cell>
        </row>
        <row r="1680">
          <cell r="A1680">
            <v>37774</v>
          </cell>
        </row>
        <row r="1681">
          <cell r="A1681">
            <v>37775</v>
          </cell>
        </row>
        <row r="1682">
          <cell r="A1682">
            <v>37776</v>
          </cell>
        </row>
        <row r="1683">
          <cell r="A1683">
            <v>37777</v>
          </cell>
        </row>
        <row r="1684">
          <cell r="A1684">
            <v>37778</v>
          </cell>
        </row>
        <row r="1685">
          <cell r="A1685">
            <v>37781</v>
          </cell>
        </row>
        <row r="1686">
          <cell r="A1686">
            <v>37782</v>
          </cell>
        </row>
        <row r="1687">
          <cell r="A1687">
            <v>37783</v>
          </cell>
        </row>
        <row r="1688">
          <cell r="A1688">
            <v>37784</v>
          </cell>
        </row>
        <row r="1689">
          <cell r="A1689">
            <v>37785</v>
          </cell>
        </row>
        <row r="1690">
          <cell r="A1690">
            <v>37788</v>
          </cell>
        </row>
        <row r="1691">
          <cell r="A1691">
            <v>37789</v>
          </cell>
        </row>
        <row r="1692">
          <cell r="A1692">
            <v>37790</v>
          </cell>
        </row>
        <row r="1693">
          <cell r="A1693">
            <v>37791</v>
          </cell>
        </row>
        <row r="1694">
          <cell r="A1694">
            <v>37792</v>
          </cell>
        </row>
        <row r="1695">
          <cell r="A1695">
            <v>37795</v>
          </cell>
        </row>
        <row r="1696">
          <cell r="A1696">
            <v>37796</v>
          </cell>
        </row>
        <row r="1697">
          <cell r="A1697">
            <v>37797</v>
          </cell>
        </row>
        <row r="1698">
          <cell r="A1698">
            <v>37798</v>
          </cell>
        </row>
        <row r="1699">
          <cell r="A1699">
            <v>37799</v>
          </cell>
        </row>
        <row r="1700">
          <cell r="A1700">
            <v>37802</v>
          </cell>
        </row>
        <row r="1701">
          <cell r="A1701">
            <v>37803</v>
          </cell>
        </row>
        <row r="1702">
          <cell r="A1702">
            <v>37804</v>
          </cell>
        </row>
        <row r="1703">
          <cell r="A1703">
            <v>37805</v>
          </cell>
        </row>
        <row r="1704">
          <cell r="A1704">
            <v>37806</v>
          </cell>
        </row>
        <row r="1705">
          <cell r="A1705">
            <v>37809</v>
          </cell>
        </row>
        <row r="1706">
          <cell r="A1706">
            <v>37810</v>
          </cell>
        </row>
        <row r="1707">
          <cell r="A1707">
            <v>37811</v>
          </cell>
        </row>
        <row r="1708">
          <cell r="A1708">
            <v>37812</v>
          </cell>
        </row>
        <row r="1709">
          <cell r="A1709">
            <v>37813</v>
          </cell>
        </row>
        <row r="1710">
          <cell r="A1710">
            <v>37816</v>
          </cell>
        </row>
        <row r="1711">
          <cell r="A1711">
            <v>37817</v>
          </cell>
        </row>
        <row r="1712">
          <cell r="A1712">
            <v>37818</v>
          </cell>
        </row>
        <row r="1713">
          <cell r="A1713">
            <v>37819</v>
          </cell>
        </row>
        <row r="1714">
          <cell r="A1714">
            <v>37820</v>
          </cell>
        </row>
        <row r="1715">
          <cell r="A1715">
            <v>37823</v>
          </cell>
        </row>
        <row r="1716">
          <cell r="A1716">
            <v>37824</v>
          </cell>
        </row>
        <row r="1717">
          <cell r="A1717">
            <v>37825</v>
          </cell>
        </row>
        <row r="1718">
          <cell r="A1718">
            <v>37826</v>
          </cell>
        </row>
        <row r="1719">
          <cell r="A1719">
            <v>37827</v>
          </cell>
        </row>
        <row r="1720">
          <cell r="A1720">
            <v>37830</v>
          </cell>
        </row>
        <row r="1721">
          <cell r="A1721">
            <v>37831</v>
          </cell>
        </row>
        <row r="1722">
          <cell r="A1722">
            <v>37832</v>
          </cell>
        </row>
        <row r="1723">
          <cell r="A1723">
            <v>37833</v>
          </cell>
        </row>
        <row r="1724">
          <cell r="A1724">
            <v>37834</v>
          </cell>
        </row>
        <row r="1725">
          <cell r="A1725">
            <v>37837</v>
          </cell>
        </row>
        <row r="1726">
          <cell r="A1726">
            <v>37838</v>
          </cell>
        </row>
        <row r="1727">
          <cell r="A1727">
            <v>37839</v>
          </cell>
        </row>
        <row r="1728">
          <cell r="A1728">
            <v>37840</v>
          </cell>
        </row>
        <row r="1729">
          <cell r="A1729">
            <v>37841</v>
          </cell>
        </row>
        <row r="1730">
          <cell r="A1730">
            <v>37844</v>
          </cell>
        </row>
        <row r="1731">
          <cell r="A1731">
            <v>37845</v>
          </cell>
        </row>
        <row r="1732">
          <cell r="A1732">
            <v>37846</v>
          </cell>
        </row>
        <row r="1733">
          <cell r="A1733">
            <v>37847</v>
          </cell>
        </row>
        <row r="1734">
          <cell r="A1734">
            <v>37848</v>
          </cell>
        </row>
        <row r="1735">
          <cell r="A1735">
            <v>37851</v>
          </cell>
        </row>
        <row r="1736">
          <cell r="A1736">
            <v>37852</v>
          </cell>
        </row>
        <row r="1737">
          <cell r="A1737">
            <v>37853</v>
          </cell>
        </row>
        <row r="1738">
          <cell r="A1738">
            <v>37854</v>
          </cell>
        </row>
        <row r="1739">
          <cell r="A1739">
            <v>37855</v>
          </cell>
        </row>
        <row r="1740">
          <cell r="A1740">
            <v>37858</v>
          </cell>
        </row>
        <row r="1741">
          <cell r="A1741">
            <v>37859</v>
          </cell>
        </row>
        <row r="1742">
          <cell r="A1742">
            <v>37860</v>
          </cell>
        </row>
        <row r="1743">
          <cell r="A1743">
            <v>37861</v>
          </cell>
        </row>
        <row r="1744">
          <cell r="A1744">
            <v>37862</v>
          </cell>
        </row>
        <row r="1745">
          <cell r="A1745">
            <v>37865</v>
          </cell>
        </row>
        <row r="1746">
          <cell r="A1746">
            <v>37866</v>
          </cell>
        </row>
        <row r="1747">
          <cell r="A1747">
            <v>37867</v>
          </cell>
        </row>
        <row r="1748">
          <cell r="A1748">
            <v>37868</v>
          </cell>
        </row>
        <row r="1749">
          <cell r="A1749">
            <v>37869</v>
          </cell>
        </row>
        <row r="1750">
          <cell r="A1750">
            <v>37872</v>
          </cell>
        </row>
        <row r="1751">
          <cell r="A1751">
            <v>37873</v>
          </cell>
        </row>
        <row r="1752">
          <cell r="A1752">
            <v>37874</v>
          </cell>
        </row>
        <row r="1753">
          <cell r="A1753">
            <v>37875</v>
          </cell>
        </row>
        <row r="1754">
          <cell r="A1754">
            <v>37876</v>
          </cell>
        </row>
        <row r="1755">
          <cell r="A1755">
            <v>37879</v>
          </cell>
        </row>
        <row r="1756">
          <cell r="A1756">
            <v>37880</v>
          </cell>
        </row>
        <row r="1757">
          <cell r="A1757">
            <v>37881</v>
          </cell>
        </row>
        <row r="1758">
          <cell r="A1758">
            <v>37882</v>
          </cell>
        </row>
        <row r="1759">
          <cell r="A1759">
            <v>37883</v>
          </cell>
        </row>
        <row r="1760">
          <cell r="A1760">
            <v>37886</v>
          </cell>
        </row>
        <row r="1761">
          <cell r="A1761">
            <v>37887</v>
          </cell>
        </row>
        <row r="1762">
          <cell r="A1762">
            <v>37888</v>
          </cell>
        </row>
        <row r="1763">
          <cell r="A1763">
            <v>37889</v>
          </cell>
        </row>
        <row r="1764">
          <cell r="A1764">
            <v>37890</v>
          </cell>
        </row>
        <row r="1765">
          <cell r="A1765">
            <v>37893</v>
          </cell>
        </row>
        <row r="1766">
          <cell r="A1766">
            <v>37894</v>
          </cell>
        </row>
        <row r="1767">
          <cell r="A1767">
            <v>37895</v>
          </cell>
        </row>
        <row r="1768">
          <cell r="A1768">
            <v>37896</v>
          </cell>
        </row>
        <row r="1769">
          <cell r="A1769">
            <v>37897</v>
          </cell>
        </row>
        <row r="1770">
          <cell r="A1770">
            <v>37900</v>
          </cell>
        </row>
        <row r="1771">
          <cell r="A1771">
            <v>37901</v>
          </cell>
        </row>
        <row r="1772">
          <cell r="A1772">
            <v>37902</v>
          </cell>
        </row>
        <row r="1773">
          <cell r="A1773">
            <v>37903</v>
          </cell>
        </row>
        <row r="1774">
          <cell r="A1774">
            <v>37904</v>
          </cell>
        </row>
        <row r="1775">
          <cell r="A1775">
            <v>37907</v>
          </cell>
        </row>
        <row r="1776">
          <cell r="A1776">
            <v>37908</v>
          </cell>
        </row>
        <row r="1777">
          <cell r="A1777">
            <v>37909</v>
          </cell>
        </row>
        <row r="1778">
          <cell r="A1778">
            <v>37910</v>
          </cell>
        </row>
        <row r="1779">
          <cell r="A1779">
            <v>37911</v>
          </cell>
        </row>
        <row r="1780">
          <cell r="A1780">
            <v>37914</v>
          </cell>
        </row>
        <row r="1781">
          <cell r="A1781">
            <v>37915</v>
          </cell>
        </row>
        <row r="1782">
          <cell r="A1782">
            <v>37916</v>
          </cell>
        </row>
        <row r="1783">
          <cell r="A1783">
            <v>37917</v>
          </cell>
        </row>
        <row r="1784">
          <cell r="A1784">
            <v>37918</v>
          </cell>
        </row>
        <row r="1785">
          <cell r="A1785">
            <v>37921</v>
          </cell>
        </row>
        <row r="1786">
          <cell r="A1786">
            <v>37922</v>
          </cell>
        </row>
        <row r="1787">
          <cell r="A1787">
            <v>37923</v>
          </cell>
        </row>
        <row r="1788">
          <cell r="A1788">
            <v>37924</v>
          </cell>
        </row>
        <row r="1789">
          <cell r="A1789">
            <v>37925</v>
          </cell>
        </row>
        <row r="1790">
          <cell r="A1790">
            <v>37928</v>
          </cell>
        </row>
        <row r="1791">
          <cell r="A1791">
            <v>37929</v>
          </cell>
        </row>
        <row r="1792">
          <cell r="A1792">
            <v>37930</v>
          </cell>
        </row>
        <row r="1793">
          <cell r="A1793">
            <v>37931</v>
          </cell>
        </row>
        <row r="1794">
          <cell r="A1794">
            <v>37932</v>
          </cell>
        </row>
        <row r="1795">
          <cell r="A1795">
            <v>37935</v>
          </cell>
        </row>
        <row r="1796">
          <cell r="A1796">
            <v>37936</v>
          </cell>
        </row>
        <row r="1797">
          <cell r="A1797">
            <v>37937</v>
          </cell>
        </row>
        <row r="1798">
          <cell r="A1798">
            <v>37938</v>
          </cell>
        </row>
        <row r="1799">
          <cell r="A1799">
            <v>37939</v>
          </cell>
        </row>
        <row r="1800">
          <cell r="A1800">
            <v>37942</v>
          </cell>
        </row>
        <row r="1801">
          <cell r="A1801">
            <v>37943</v>
          </cell>
        </row>
        <row r="1802">
          <cell r="A1802">
            <v>37944</v>
          </cell>
        </row>
        <row r="1803">
          <cell r="A1803">
            <v>37945</v>
          </cell>
        </row>
        <row r="1804">
          <cell r="A1804">
            <v>37946</v>
          </cell>
        </row>
        <row r="1805">
          <cell r="A1805">
            <v>37949</v>
          </cell>
        </row>
        <row r="1806">
          <cell r="A1806">
            <v>37950</v>
          </cell>
        </row>
        <row r="1807">
          <cell r="A1807">
            <v>37951</v>
          </cell>
        </row>
        <row r="1808">
          <cell r="A1808">
            <v>37952</v>
          </cell>
        </row>
        <row r="1809">
          <cell r="A1809">
            <v>37953</v>
          </cell>
        </row>
        <row r="1810">
          <cell r="A1810">
            <v>37956</v>
          </cell>
        </row>
        <row r="1811">
          <cell r="A1811">
            <v>37957</v>
          </cell>
        </row>
        <row r="1812">
          <cell r="A1812">
            <v>37958</v>
          </cell>
        </row>
        <row r="1813">
          <cell r="A1813">
            <v>37959</v>
          </cell>
        </row>
        <row r="1814">
          <cell r="A1814">
            <v>37960</v>
          </cell>
        </row>
        <row r="1815">
          <cell r="A1815">
            <v>37963</v>
          </cell>
        </row>
        <row r="1816">
          <cell r="A1816">
            <v>37964</v>
          </cell>
        </row>
        <row r="1817">
          <cell r="A1817">
            <v>37965</v>
          </cell>
        </row>
        <row r="1818">
          <cell r="A1818">
            <v>37966</v>
          </cell>
        </row>
        <row r="1819">
          <cell r="A1819">
            <v>37967</v>
          </cell>
        </row>
        <row r="1820">
          <cell r="A1820">
            <v>37970</v>
          </cell>
        </row>
        <row r="1821">
          <cell r="A1821">
            <v>37971</v>
          </cell>
        </row>
        <row r="1822">
          <cell r="A1822">
            <v>37972</v>
          </cell>
        </row>
        <row r="1823">
          <cell r="A1823">
            <v>37973</v>
          </cell>
        </row>
        <row r="1824">
          <cell r="A1824">
            <v>37974</v>
          </cell>
        </row>
        <row r="1825">
          <cell r="A1825">
            <v>37977</v>
          </cell>
        </row>
        <row r="1826">
          <cell r="A1826">
            <v>37978</v>
          </cell>
        </row>
        <row r="1827">
          <cell r="A1827">
            <v>37979</v>
          </cell>
        </row>
        <row r="1828">
          <cell r="A1828">
            <v>37980</v>
          </cell>
        </row>
        <row r="1829">
          <cell r="A1829">
            <v>37981</v>
          </cell>
        </row>
        <row r="1830">
          <cell r="A1830">
            <v>37984</v>
          </cell>
        </row>
        <row r="1831">
          <cell r="A1831">
            <v>37985</v>
          </cell>
        </row>
        <row r="1832">
          <cell r="A1832">
            <v>37986</v>
          </cell>
        </row>
        <row r="1833">
          <cell r="A1833">
            <v>37987</v>
          </cell>
        </row>
        <row r="1834">
          <cell r="A1834">
            <v>37988</v>
          </cell>
        </row>
        <row r="1835">
          <cell r="A1835">
            <v>37991</v>
          </cell>
        </row>
        <row r="1836">
          <cell r="A1836">
            <v>37992</v>
          </cell>
        </row>
        <row r="1837">
          <cell r="A1837">
            <v>37993</v>
          </cell>
        </row>
        <row r="1838">
          <cell r="A1838">
            <v>37994</v>
          </cell>
        </row>
        <row r="1839">
          <cell r="A1839">
            <v>37995</v>
          </cell>
        </row>
        <row r="1840">
          <cell r="A1840">
            <v>37998</v>
          </cell>
        </row>
        <row r="1841">
          <cell r="A1841">
            <v>37999</v>
          </cell>
        </row>
        <row r="1842">
          <cell r="A1842">
            <v>38000</v>
          </cell>
        </row>
        <row r="1843">
          <cell r="A1843">
            <v>38001</v>
          </cell>
        </row>
        <row r="1844">
          <cell r="A1844">
            <v>38002</v>
          </cell>
        </row>
        <row r="1845">
          <cell r="A1845">
            <v>38005</v>
          </cell>
        </row>
        <row r="1846">
          <cell r="A1846">
            <v>38006</v>
          </cell>
        </row>
        <row r="1847">
          <cell r="A1847">
            <v>38007</v>
          </cell>
        </row>
        <row r="1848">
          <cell r="A1848">
            <v>38008</v>
          </cell>
        </row>
        <row r="1849">
          <cell r="A1849">
            <v>38009</v>
          </cell>
        </row>
        <row r="1850">
          <cell r="A1850">
            <v>38012</v>
          </cell>
        </row>
        <row r="1851">
          <cell r="A1851">
            <v>38013</v>
          </cell>
        </row>
        <row r="1852">
          <cell r="A1852">
            <v>38014</v>
          </cell>
        </row>
        <row r="1853">
          <cell r="A1853">
            <v>38015</v>
          </cell>
        </row>
        <row r="1854">
          <cell r="A1854">
            <v>38016</v>
          </cell>
        </row>
        <row r="1855">
          <cell r="A1855">
            <v>38019</v>
          </cell>
        </row>
        <row r="1856">
          <cell r="A1856">
            <v>38020</v>
          </cell>
        </row>
        <row r="1857">
          <cell r="A1857">
            <v>38021</v>
          </cell>
        </row>
        <row r="1858">
          <cell r="A1858">
            <v>38022</v>
          </cell>
        </row>
        <row r="1859">
          <cell r="A1859">
            <v>38023</v>
          </cell>
        </row>
        <row r="1860">
          <cell r="A1860">
            <v>38026</v>
          </cell>
        </row>
        <row r="1861">
          <cell r="A1861">
            <v>38027</v>
          </cell>
        </row>
        <row r="1862">
          <cell r="A1862">
            <v>38028</v>
          </cell>
        </row>
        <row r="1863">
          <cell r="A1863">
            <v>38029</v>
          </cell>
        </row>
        <row r="1864">
          <cell r="A1864">
            <v>38030</v>
          </cell>
        </row>
        <row r="1865">
          <cell r="A1865">
            <v>38033</v>
          </cell>
        </row>
        <row r="1866">
          <cell r="A1866">
            <v>38034</v>
          </cell>
        </row>
        <row r="1867">
          <cell r="A1867">
            <v>38035</v>
          </cell>
        </row>
        <row r="1868">
          <cell r="A1868">
            <v>38036</v>
          </cell>
        </row>
        <row r="1869">
          <cell r="A1869">
            <v>38037</v>
          </cell>
        </row>
        <row r="1870">
          <cell r="A1870">
            <v>38040</v>
          </cell>
        </row>
        <row r="1871">
          <cell r="A1871">
            <v>38041</v>
          </cell>
        </row>
        <row r="1872">
          <cell r="A1872">
            <v>38042</v>
          </cell>
        </row>
        <row r="1873">
          <cell r="A1873">
            <v>38043</v>
          </cell>
        </row>
        <row r="1874">
          <cell r="A1874">
            <v>38044</v>
          </cell>
        </row>
        <row r="1875">
          <cell r="A1875">
            <v>38047</v>
          </cell>
        </row>
        <row r="1876">
          <cell r="A1876">
            <v>38048</v>
          </cell>
        </row>
        <row r="1877">
          <cell r="A1877">
            <v>38049</v>
          </cell>
        </row>
        <row r="1878">
          <cell r="A1878">
            <v>38050</v>
          </cell>
        </row>
        <row r="1879">
          <cell r="A1879">
            <v>38051</v>
          </cell>
        </row>
        <row r="1880">
          <cell r="A1880">
            <v>38054</v>
          </cell>
        </row>
        <row r="1881">
          <cell r="A1881">
            <v>38055</v>
          </cell>
        </row>
        <row r="1882">
          <cell r="A1882">
            <v>38056</v>
          </cell>
        </row>
        <row r="1883">
          <cell r="A1883">
            <v>38057</v>
          </cell>
        </row>
        <row r="1884">
          <cell r="A1884">
            <v>38058</v>
          </cell>
        </row>
        <row r="1885">
          <cell r="A1885">
            <v>38061</v>
          </cell>
        </row>
        <row r="1886">
          <cell r="A1886">
            <v>38062</v>
          </cell>
        </row>
        <row r="1887">
          <cell r="A1887">
            <v>38063</v>
          </cell>
        </row>
        <row r="1888">
          <cell r="A1888">
            <v>38064</v>
          </cell>
        </row>
        <row r="1889">
          <cell r="A1889">
            <v>38065</v>
          </cell>
        </row>
        <row r="1890">
          <cell r="A1890">
            <v>38068</v>
          </cell>
        </row>
        <row r="1891">
          <cell r="A1891">
            <v>38069</v>
          </cell>
        </row>
        <row r="1892">
          <cell r="A1892">
            <v>38070</v>
          </cell>
        </row>
        <row r="1893">
          <cell r="A1893">
            <v>38071</v>
          </cell>
        </row>
        <row r="1894">
          <cell r="A1894">
            <v>38072</v>
          </cell>
        </row>
        <row r="1895">
          <cell r="A1895">
            <v>38075</v>
          </cell>
        </row>
        <row r="1896">
          <cell r="A1896">
            <v>38076</v>
          </cell>
        </row>
        <row r="1897">
          <cell r="A1897">
            <v>38077</v>
          </cell>
        </row>
        <row r="1898">
          <cell r="A1898">
            <v>38078</v>
          </cell>
        </row>
        <row r="1899">
          <cell r="A1899">
            <v>38079</v>
          </cell>
        </row>
        <row r="1900">
          <cell r="A1900">
            <v>38082</v>
          </cell>
        </row>
        <row r="1901">
          <cell r="A1901">
            <v>38083</v>
          </cell>
        </row>
        <row r="1902">
          <cell r="A1902">
            <v>38084</v>
          </cell>
        </row>
        <row r="1903">
          <cell r="A1903">
            <v>38085</v>
          </cell>
        </row>
        <row r="1904">
          <cell r="A1904">
            <v>38086</v>
          </cell>
        </row>
        <row r="1905">
          <cell r="A1905">
            <v>38089</v>
          </cell>
        </row>
        <row r="1906">
          <cell r="A1906">
            <v>38090</v>
          </cell>
        </row>
        <row r="1907">
          <cell r="A1907">
            <v>38091</v>
          </cell>
        </row>
        <row r="1908">
          <cell r="A1908">
            <v>38092</v>
          </cell>
        </row>
        <row r="1909">
          <cell r="A1909">
            <v>38093</v>
          </cell>
        </row>
        <row r="1910">
          <cell r="A1910">
            <v>38096</v>
          </cell>
        </row>
        <row r="1911">
          <cell r="A1911">
            <v>38097</v>
          </cell>
        </row>
        <row r="1912">
          <cell r="A1912">
            <v>38098</v>
          </cell>
        </row>
        <row r="1913">
          <cell r="A1913">
            <v>38099</v>
          </cell>
        </row>
        <row r="1914">
          <cell r="A1914">
            <v>38100</v>
          </cell>
        </row>
        <row r="1915">
          <cell r="A1915">
            <v>38103</v>
          </cell>
        </row>
        <row r="1916">
          <cell r="A1916">
            <v>38104</v>
          </cell>
        </row>
        <row r="1917">
          <cell r="A1917">
            <v>38105</v>
          </cell>
        </row>
        <row r="1918">
          <cell r="A1918">
            <v>38106</v>
          </cell>
        </row>
        <row r="1919">
          <cell r="A1919">
            <v>38107</v>
          </cell>
        </row>
        <row r="1920">
          <cell r="A1920">
            <v>38110</v>
          </cell>
        </row>
        <row r="1921">
          <cell r="A1921">
            <v>38111</v>
          </cell>
        </row>
        <row r="1922">
          <cell r="A1922">
            <v>38112</v>
          </cell>
        </row>
        <row r="1923">
          <cell r="A1923">
            <v>38113</v>
          </cell>
        </row>
        <row r="1924">
          <cell r="A1924">
            <v>38114</v>
          </cell>
        </row>
        <row r="1925">
          <cell r="A1925">
            <v>38117</v>
          </cell>
        </row>
        <row r="1926">
          <cell r="A1926">
            <v>38118</v>
          </cell>
        </row>
        <row r="1927">
          <cell r="A1927">
            <v>38119</v>
          </cell>
        </row>
        <row r="1928">
          <cell r="A1928">
            <v>38120</v>
          </cell>
        </row>
        <row r="1929">
          <cell r="A1929">
            <v>38121</v>
          </cell>
        </row>
        <row r="1930">
          <cell r="A1930">
            <v>38124</v>
          </cell>
        </row>
        <row r="1931">
          <cell r="A1931">
            <v>38125</v>
          </cell>
        </row>
        <row r="1932">
          <cell r="A1932">
            <v>38126</v>
          </cell>
        </row>
        <row r="1933">
          <cell r="A1933">
            <v>38127</v>
          </cell>
        </row>
        <row r="1934">
          <cell r="A1934">
            <v>38128</v>
          </cell>
        </row>
        <row r="1935">
          <cell r="A1935">
            <v>38131</v>
          </cell>
        </row>
        <row r="1936">
          <cell r="A1936">
            <v>38132</v>
          </cell>
        </row>
        <row r="1937">
          <cell r="A1937">
            <v>38133</v>
          </cell>
        </row>
        <row r="1938">
          <cell r="A1938">
            <v>38134</v>
          </cell>
        </row>
        <row r="1939">
          <cell r="A1939">
            <v>38135</v>
          </cell>
        </row>
        <row r="1940">
          <cell r="A1940">
            <v>38138</v>
          </cell>
        </row>
        <row r="1941">
          <cell r="A1941">
            <v>38139</v>
          </cell>
        </row>
        <row r="1942">
          <cell r="A1942">
            <v>38140</v>
          </cell>
        </row>
        <row r="1943">
          <cell r="A1943">
            <v>38141</v>
          </cell>
        </row>
        <row r="1944">
          <cell r="A1944">
            <v>38142</v>
          </cell>
        </row>
        <row r="1945">
          <cell r="A1945">
            <v>38145</v>
          </cell>
        </row>
        <row r="1946">
          <cell r="A1946">
            <v>38146</v>
          </cell>
        </row>
        <row r="1947">
          <cell r="A1947">
            <v>38147</v>
          </cell>
        </row>
        <row r="1948">
          <cell r="A1948">
            <v>38148</v>
          </cell>
        </row>
        <row r="1949">
          <cell r="A1949">
            <v>38149</v>
          </cell>
        </row>
        <row r="1950">
          <cell r="A1950">
            <v>38152</v>
          </cell>
        </row>
        <row r="1951">
          <cell r="A1951">
            <v>38153</v>
          </cell>
        </row>
        <row r="1952">
          <cell r="A1952">
            <v>38154</v>
          </cell>
        </row>
        <row r="1953">
          <cell r="A1953">
            <v>38155</v>
          </cell>
        </row>
        <row r="1954">
          <cell r="A1954">
            <v>38156</v>
          </cell>
        </row>
        <row r="1955">
          <cell r="A1955">
            <v>38159</v>
          </cell>
        </row>
        <row r="1956">
          <cell r="A1956">
            <v>38160</v>
          </cell>
        </row>
        <row r="1957">
          <cell r="A1957">
            <v>38161</v>
          </cell>
        </row>
        <row r="1958">
          <cell r="A1958">
            <v>38162</v>
          </cell>
        </row>
        <row r="1959">
          <cell r="A1959">
            <v>38163</v>
          </cell>
        </row>
        <row r="1960">
          <cell r="A1960">
            <v>38166</v>
          </cell>
        </row>
        <row r="1961">
          <cell r="A1961">
            <v>38167</v>
          </cell>
        </row>
        <row r="1962">
          <cell r="A1962">
            <v>38168</v>
          </cell>
        </row>
        <row r="1963">
          <cell r="A1963">
            <v>38169</v>
          </cell>
        </row>
        <row r="1964">
          <cell r="A1964">
            <v>38170</v>
          </cell>
        </row>
        <row r="1965">
          <cell r="A1965">
            <v>38173</v>
          </cell>
        </row>
        <row r="1966">
          <cell r="A1966">
            <v>38174</v>
          </cell>
        </row>
        <row r="1967">
          <cell r="A1967">
            <v>38175</v>
          </cell>
        </row>
        <row r="1968">
          <cell r="A1968">
            <v>38176</v>
          </cell>
        </row>
        <row r="1969">
          <cell r="A1969">
            <v>38177</v>
          </cell>
        </row>
        <row r="1970">
          <cell r="A1970">
            <v>38180</v>
          </cell>
        </row>
        <row r="1971">
          <cell r="A1971">
            <v>38181</v>
          </cell>
        </row>
        <row r="1972">
          <cell r="A1972">
            <v>38182</v>
          </cell>
        </row>
        <row r="1973">
          <cell r="A1973">
            <v>38183</v>
          </cell>
        </row>
        <row r="1974">
          <cell r="A1974">
            <v>38184</v>
          </cell>
        </row>
        <row r="1975">
          <cell r="A1975">
            <v>38187</v>
          </cell>
        </row>
        <row r="1976">
          <cell r="A1976">
            <v>38188</v>
          </cell>
        </row>
        <row r="1977">
          <cell r="A1977">
            <v>38189</v>
          </cell>
        </row>
        <row r="1978">
          <cell r="A1978">
            <v>38190</v>
          </cell>
        </row>
        <row r="1979">
          <cell r="A1979">
            <v>38191</v>
          </cell>
        </row>
        <row r="1980">
          <cell r="A1980">
            <v>38194</v>
          </cell>
        </row>
        <row r="1981">
          <cell r="A1981">
            <v>38195</v>
          </cell>
        </row>
        <row r="1982">
          <cell r="A1982">
            <v>38196</v>
          </cell>
        </row>
        <row r="1983">
          <cell r="A1983">
            <v>38197</v>
          </cell>
        </row>
        <row r="1984">
          <cell r="A1984">
            <v>38198</v>
          </cell>
        </row>
        <row r="1985">
          <cell r="A1985">
            <v>38201</v>
          </cell>
        </row>
        <row r="1986">
          <cell r="A1986">
            <v>38202</v>
          </cell>
        </row>
        <row r="1987">
          <cell r="A1987">
            <v>38203</v>
          </cell>
        </row>
        <row r="1988">
          <cell r="A1988">
            <v>38204</v>
          </cell>
        </row>
        <row r="1989">
          <cell r="A1989">
            <v>38205</v>
          </cell>
        </row>
        <row r="1990">
          <cell r="A1990">
            <v>38208</v>
          </cell>
        </row>
        <row r="1991">
          <cell r="A1991">
            <v>38209</v>
          </cell>
        </row>
        <row r="1992">
          <cell r="A1992">
            <v>38210</v>
          </cell>
        </row>
        <row r="1993">
          <cell r="A1993">
            <v>38211</v>
          </cell>
        </row>
        <row r="1994">
          <cell r="A1994">
            <v>38212</v>
          </cell>
        </row>
        <row r="1995">
          <cell r="A1995">
            <v>38215</v>
          </cell>
        </row>
        <row r="1996">
          <cell r="A1996">
            <v>38216</v>
          </cell>
        </row>
        <row r="1997">
          <cell r="A1997">
            <v>38217</v>
          </cell>
        </row>
        <row r="1998">
          <cell r="A1998">
            <v>38218</v>
          </cell>
        </row>
        <row r="1999">
          <cell r="A1999">
            <v>38219</v>
          </cell>
        </row>
        <row r="2000">
          <cell r="A2000">
            <v>38222</v>
          </cell>
        </row>
        <row r="2001">
          <cell r="A2001">
            <v>38223</v>
          </cell>
        </row>
        <row r="2002">
          <cell r="A2002">
            <v>38224</v>
          </cell>
        </row>
        <row r="2003">
          <cell r="A2003">
            <v>38225</v>
          </cell>
        </row>
        <row r="2004">
          <cell r="A2004">
            <v>38226</v>
          </cell>
        </row>
        <row r="2005">
          <cell r="A2005">
            <v>38229</v>
          </cell>
        </row>
        <row r="2006">
          <cell r="A2006">
            <v>38230</v>
          </cell>
        </row>
        <row r="2007">
          <cell r="A2007">
            <v>38231</v>
          </cell>
        </row>
        <row r="2008">
          <cell r="A2008">
            <v>38232</v>
          </cell>
        </row>
        <row r="2009">
          <cell r="A2009">
            <v>38233</v>
          </cell>
        </row>
        <row r="2010">
          <cell r="A2010">
            <v>38236</v>
          </cell>
        </row>
        <row r="2011">
          <cell r="A2011">
            <v>38237</v>
          </cell>
        </row>
        <row r="2012">
          <cell r="A2012">
            <v>38238</v>
          </cell>
        </row>
        <row r="2013">
          <cell r="A2013">
            <v>38239</v>
          </cell>
        </row>
        <row r="2014">
          <cell r="A2014">
            <v>38240</v>
          </cell>
        </row>
        <row r="2015">
          <cell r="A2015">
            <v>38243</v>
          </cell>
        </row>
        <row r="2016">
          <cell r="A2016">
            <v>38244</v>
          </cell>
        </row>
        <row r="2017">
          <cell r="A2017">
            <v>38245</v>
          </cell>
        </row>
        <row r="2018">
          <cell r="A2018">
            <v>38246</v>
          </cell>
        </row>
        <row r="2019">
          <cell r="A2019">
            <v>38247</v>
          </cell>
        </row>
        <row r="2020">
          <cell r="A2020">
            <v>38250</v>
          </cell>
        </row>
        <row r="2021">
          <cell r="A2021">
            <v>38251</v>
          </cell>
        </row>
        <row r="2022">
          <cell r="A2022">
            <v>38252</v>
          </cell>
        </row>
        <row r="2023">
          <cell r="A2023">
            <v>38253</v>
          </cell>
        </row>
        <row r="2024">
          <cell r="A2024">
            <v>38254</v>
          </cell>
        </row>
        <row r="2025">
          <cell r="A2025">
            <v>38257</v>
          </cell>
        </row>
        <row r="2026">
          <cell r="A2026">
            <v>38258</v>
          </cell>
        </row>
        <row r="2027">
          <cell r="A2027">
            <v>38259</v>
          </cell>
        </row>
        <row r="2028">
          <cell r="A2028">
            <v>38260</v>
          </cell>
        </row>
        <row r="2029">
          <cell r="A2029">
            <v>38261</v>
          </cell>
        </row>
        <row r="2030">
          <cell r="A2030">
            <v>38264</v>
          </cell>
        </row>
        <row r="2031">
          <cell r="A2031">
            <v>38265</v>
          </cell>
        </row>
        <row r="2032">
          <cell r="A2032">
            <v>38266</v>
          </cell>
        </row>
        <row r="2033">
          <cell r="A2033">
            <v>38267</v>
          </cell>
        </row>
        <row r="2034">
          <cell r="A2034">
            <v>38268</v>
          </cell>
        </row>
        <row r="2035">
          <cell r="A2035">
            <v>38271</v>
          </cell>
        </row>
        <row r="2036">
          <cell r="A2036">
            <v>38272</v>
          </cell>
        </row>
        <row r="2037">
          <cell r="A2037">
            <v>38273</v>
          </cell>
        </row>
        <row r="2038">
          <cell r="A2038">
            <v>38274</v>
          </cell>
        </row>
        <row r="2039">
          <cell r="A2039">
            <v>38275</v>
          </cell>
        </row>
        <row r="2040">
          <cell r="A2040">
            <v>38278</v>
          </cell>
        </row>
        <row r="2041">
          <cell r="A2041">
            <v>38279</v>
          </cell>
        </row>
        <row r="2042">
          <cell r="A2042">
            <v>38280</v>
          </cell>
        </row>
        <row r="2043">
          <cell r="A2043">
            <v>38281</v>
          </cell>
        </row>
        <row r="2044">
          <cell r="A2044">
            <v>38282</v>
          </cell>
        </row>
        <row r="2045">
          <cell r="A2045">
            <v>38285</v>
          </cell>
        </row>
        <row r="2046">
          <cell r="A2046">
            <v>38286</v>
          </cell>
        </row>
        <row r="2047">
          <cell r="A2047">
            <v>38287</v>
          </cell>
        </row>
        <row r="2048">
          <cell r="A2048">
            <v>38288</v>
          </cell>
        </row>
        <row r="2049">
          <cell r="A2049">
            <v>38289</v>
          </cell>
        </row>
        <row r="2050">
          <cell r="A2050">
            <v>38292</v>
          </cell>
        </row>
        <row r="2051">
          <cell r="A2051">
            <v>38293</v>
          </cell>
        </row>
        <row r="2052">
          <cell r="A2052">
            <v>38294</v>
          </cell>
        </row>
        <row r="2053">
          <cell r="A2053">
            <v>38295</v>
          </cell>
        </row>
        <row r="2054">
          <cell r="A2054">
            <v>38296</v>
          </cell>
        </row>
        <row r="2055">
          <cell r="A2055">
            <v>38299</v>
          </cell>
        </row>
        <row r="2056">
          <cell r="A2056">
            <v>38300</v>
          </cell>
        </row>
        <row r="2057">
          <cell r="A2057">
            <v>38301</v>
          </cell>
        </row>
        <row r="2058">
          <cell r="A2058">
            <v>38302</v>
          </cell>
        </row>
        <row r="2059">
          <cell r="A2059">
            <v>38303</v>
          </cell>
        </row>
        <row r="2060">
          <cell r="A2060">
            <v>38306</v>
          </cell>
        </row>
        <row r="2061">
          <cell r="A2061">
            <v>38307</v>
          </cell>
        </row>
        <row r="2062">
          <cell r="A2062">
            <v>38308</v>
          </cell>
        </row>
        <row r="2063">
          <cell r="A2063">
            <v>38309</v>
          </cell>
        </row>
        <row r="2064">
          <cell r="A2064">
            <v>38310</v>
          </cell>
        </row>
        <row r="2065">
          <cell r="A2065">
            <v>38313</v>
          </cell>
        </row>
        <row r="2066">
          <cell r="A2066">
            <v>38314</v>
          </cell>
        </row>
        <row r="2067">
          <cell r="A2067">
            <v>38315</v>
          </cell>
        </row>
        <row r="2068">
          <cell r="A2068">
            <v>38316</v>
          </cell>
        </row>
        <row r="2069">
          <cell r="A2069">
            <v>38317</v>
          </cell>
        </row>
        <row r="2070">
          <cell r="A2070">
            <v>38320</v>
          </cell>
        </row>
        <row r="2071">
          <cell r="A2071">
            <v>38321</v>
          </cell>
        </row>
        <row r="2072">
          <cell r="A2072">
            <v>38322</v>
          </cell>
        </row>
        <row r="2073">
          <cell r="A2073">
            <v>38323</v>
          </cell>
        </row>
        <row r="2074">
          <cell r="A2074">
            <v>38324</v>
          </cell>
        </row>
        <row r="2075">
          <cell r="A2075">
            <v>38327</v>
          </cell>
        </row>
        <row r="2076">
          <cell r="A2076">
            <v>38328</v>
          </cell>
        </row>
        <row r="2077">
          <cell r="A2077">
            <v>38329</v>
          </cell>
        </row>
        <row r="2078">
          <cell r="A2078">
            <v>38330</v>
          </cell>
        </row>
        <row r="2079">
          <cell r="A2079">
            <v>38331</v>
          </cell>
        </row>
        <row r="2080">
          <cell r="A2080">
            <v>38334</v>
          </cell>
        </row>
        <row r="2081">
          <cell r="A2081">
            <v>38335</v>
          </cell>
        </row>
        <row r="2082">
          <cell r="A2082">
            <v>38336</v>
          </cell>
        </row>
        <row r="2083">
          <cell r="A2083">
            <v>38337</v>
          </cell>
        </row>
        <row r="2084">
          <cell r="A2084">
            <v>38338</v>
          </cell>
        </row>
        <row r="2085">
          <cell r="A2085">
            <v>38341</v>
          </cell>
        </row>
        <row r="2086">
          <cell r="A2086">
            <v>38342</v>
          </cell>
        </row>
        <row r="2087">
          <cell r="A2087">
            <v>38343</v>
          </cell>
        </row>
        <row r="2088">
          <cell r="A2088">
            <v>38344</v>
          </cell>
        </row>
        <row r="2089">
          <cell r="A2089">
            <v>38345</v>
          </cell>
        </row>
        <row r="2090">
          <cell r="A2090">
            <v>38348</v>
          </cell>
        </row>
        <row r="2091">
          <cell r="A2091">
            <v>38349</v>
          </cell>
        </row>
        <row r="2092">
          <cell r="A2092">
            <v>38350</v>
          </cell>
        </row>
        <row r="2093">
          <cell r="A2093">
            <v>38351</v>
          </cell>
        </row>
        <row r="2094">
          <cell r="A2094">
            <v>38352</v>
          </cell>
        </row>
        <row r="2095">
          <cell r="A2095">
            <v>38355</v>
          </cell>
        </row>
        <row r="2096">
          <cell r="A2096">
            <v>38356</v>
          </cell>
        </row>
        <row r="2097">
          <cell r="A2097">
            <v>38357</v>
          </cell>
        </row>
        <row r="2098">
          <cell r="A2098">
            <v>38358</v>
          </cell>
        </row>
        <row r="2099">
          <cell r="A2099">
            <v>38359</v>
          </cell>
        </row>
        <row r="2100">
          <cell r="A2100">
            <v>38362</v>
          </cell>
        </row>
        <row r="2101">
          <cell r="A2101">
            <v>38363</v>
          </cell>
        </row>
        <row r="2102">
          <cell r="A2102">
            <v>38364</v>
          </cell>
        </row>
        <row r="2103">
          <cell r="A2103">
            <v>38365</v>
          </cell>
        </row>
        <row r="2104">
          <cell r="A2104">
            <v>38366</v>
          </cell>
        </row>
        <row r="2105">
          <cell r="A2105">
            <v>38369</v>
          </cell>
        </row>
        <row r="2106">
          <cell r="A2106">
            <v>38370</v>
          </cell>
        </row>
        <row r="2107">
          <cell r="A2107">
            <v>38371</v>
          </cell>
        </row>
        <row r="2108">
          <cell r="A2108">
            <v>38372</v>
          </cell>
        </row>
        <row r="2109">
          <cell r="A2109">
            <v>38373</v>
          </cell>
        </row>
        <row r="2110">
          <cell r="A2110">
            <v>38376</v>
          </cell>
        </row>
        <row r="2111">
          <cell r="A2111">
            <v>38377</v>
          </cell>
        </row>
        <row r="2112">
          <cell r="A2112">
            <v>38378</v>
          </cell>
        </row>
        <row r="2113">
          <cell r="A2113">
            <v>38379</v>
          </cell>
        </row>
        <row r="2114">
          <cell r="A2114">
            <v>38380</v>
          </cell>
        </row>
        <row r="2115">
          <cell r="A2115">
            <v>38383</v>
          </cell>
        </row>
        <row r="2116">
          <cell r="A2116">
            <v>38384</v>
          </cell>
        </row>
        <row r="2117">
          <cell r="A2117">
            <v>38385</v>
          </cell>
        </row>
        <row r="2118">
          <cell r="A2118">
            <v>38386</v>
          </cell>
        </row>
        <row r="2119">
          <cell r="A2119">
            <v>38387</v>
          </cell>
        </row>
        <row r="2120">
          <cell r="A2120">
            <v>38390</v>
          </cell>
        </row>
        <row r="2121">
          <cell r="A2121">
            <v>38391</v>
          </cell>
        </row>
        <row r="2122">
          <cell r="A2122">
            <v>38392</v>
          </cell>
        </row>
        <row r="2123">
          <cell r="A2123">
            <v>38393</v>
          </cell>
        </row>
        <row r="2124">
          <cell r="A2124">
            <v>38394</v>
          </cell>
        </row>
        <row r="2125">
          <cell r="A2125">
            <v>38397</v>
          </cell>
        </row>
        <row r="2126">
          <cell r="A2126">
            <v>38398</v>
          </cell>
        </row>
        <row r="2127">
          <cell r="A2127">
            <v>38399</v>
          </cell>
        </row>
        <row r="2128">
          <cell r="A2128">
            <v>38400</v>
          </cell>
        </row>
        <row r="2129">
          <cell r="A2129">
            <v>38401</v>
          </cell>
        </row>
        <row r="2130">
          <cell r="A2130">
            <v>38404</v>
          </cell>
        </row>
        <row r="2131">
          <cell r="A2131">
            <v>38405</v>
          </cell>
        </row>
        <row r="2132">
          <cell r="A2132">
            <v>38406</v>
          </cell>
        </row>
        <row r="2133">
          <cell r="A2133">
            <v>38407</v>
          </cell>
        </row>
        <row r="2134">
          <cell r="A2134">
            <v>38408</v>
          </cell>
        </row>
        <row r="2135">
          <cell r="A2135">
            <v>38411</v>
          </cell>
        </row>
        <row r="2136">
          <cell r="A2136">
            <v>38412</v>
          </cell>
        </row>
        <row r="2137">
          <cell r="A2137">
            <v>38413</v>
          </cell>
        </row>
        <row r="2138">
          <cell r="A2138">
            <v>38414</v>
          </cell>
        </row>
        <row r="2139">
          <cell r="A2139">
            <v>38415</v>
          </cell>
        </row>
        <row r="2140">
          <cell r="A2140">
            <v>38418</v>
          </cell>
        </row>
        <row r="2141">
          <cell r="A2141">
            <v>38419</v>
          </cell>
        </row>
        <row r="2142">
          <cell r="A2142">
            <v>38420</v>
          </cell>
        </row>
        <row r="2143">
          <cell r="A2143">
            <v>38421</v>
          </cell>
        </row>
        <row r="2144">
          <cell r="A2144">
            <v>38422</v>
          </cell>
        </row>
        <row r="2145">
          <cell r="A2145">
            <v>38425</v>
          </cell>
        </row>
        <row r="2146">
          <cell r="A2146">
            <v>38426</v>
          </cell>
        </row>
        <row r="2147">
          <cell r="A2147">
            <v>38427</v>
          </cell>
        </row>
        <row r="2148">
          <cell r="A2148">
            <v>38428</v>
          </cell>
        </row>
        <row r="2149">
          <cell r="A2149">
            <v>38429</v>
          </cell>
        </row>
        <row r="2150">
          <cell r="A2150">
            <v>38432</v>
          </cell>
        </row>
        <row r="2151">
          <cell r="A2151">
            <v>38433</v>
          </cell>
        </row>
        <row r="2152">
          <cell r="A2152">
            <v>38434</v>
          </cell>
        </row>
        <row r="2153">
          <cell r="A2153">
            <v>38435</v>
          </cell>
        </row>
        <row r="2154">
          <cell r="A2154">
            <v>38436</v>
          </cell>
        </row>
        <row r="2155">
          <cell r="A2155">
            <v>38439</v>
          </cell>
        </row>
        <row r="2156">
          <cell r="A2156">
            <v>38440</v>
          </cell>
        </row>
        <row r="2157">
          <cell r="A2157">
            <v>38441</v>
          </cell>
        </row>
        <row r="2158">
          <cell r="A2158">
            <v>38442</v>
          </cell>
        </row>
        <row r="2159">
          <cell r="A2159">
            <v>38443</v>
          </cell>
        </row>
        <row r="2160">
          <cell r="A2160">
            <v>38446</v>
          </cell>
        </row>
        <row r="2161">
          <cell r="A2161">
            <v>38447</v>
          </cell>
        </row>
        <row r="2162">
          <cell r="A2162">
            <v>38448</v>
          </cell>
        </row>
        <row r="2163">
          <cell r="A2163">
            <v>38449</v>
          </cell>
        </row>
        <row r="2164">
          <cell r="A2164">
            <v>38450</v>
          </cell>
        </row>
        <row r="2165">
          <cell r="A2165">
            <v>38453</v>
          </cell>
        </row>
        <row r="2166">
          <cell r="A2166">
            <v>38454</v>
          </cell>
        </row>
        <row r="2167">
          <cell r="A2167">
            <v>38455</v>
          </cell>
        </row>
        <row r="2168">
          <cell r="A2168">
            <v>38456</v>
          </cell>
        </row>
        <row r="2169">
          <cell r="A2169">
            <v>38457</v>
          </cell>
        </row>
        <row r="2170">
          <cell r="A2170">
            <v>38460</v>
          </cell>
        </row>
        <row r="2171">
          <cell r="A2171">
            <v>38461</v>
          </cell>
        </row>
        <row r="2172">
          <cell r="A2172">
            <v>38462</v>
          </cell>
        </row>
        <row r="2173">
          <cell r="A2173">
            <v>38463</v>
          </cell>
        </row>
        <row r="2174">
          <cell r="A2174">
            <v>38464</v>
          </cell>
        </row>
        <row r="2175">
          <cell r="A2175">
            <v>38467</v>
          </cell>
        </row>
        <row r="2176">
          <cell r="A2176">
            <v>38468</v>
          </cell>
        </row>
        <row r="2177">
          <cell r="A2177">
            <v>38469</v>
          </cell>
        </row>
        <row r="2178">
          <cell r="A2178">
            <v>38470</v>
          </cell>
        </row>
        <row r="2179">
          <cell r="A2179">
            <v>38471</v>
          </cell>
        </row>
        <row r="2180">
          <cell r="A2180">
            <v>38474</v>
          </cell>
        </row>
        <row r="2181">
          <cell r="A2181">
            <v>38475</v>
          </cell>
        </row>
        <row r="2182">
          <cell r="A2182">
            <v>38476</v>
          </cell>
        </row>
        <row r="2183">
          <cell r="A2183">
            <v>38477</v>
          </cell>
        </row>
        <row r="2184">
          <cell r="A2184">
            <v>38478</v>
          </cell>
        </row>
        <row r="2185">
          <cell r="A2185">
            <v>38481</v>
          </cell>
        </row>
        <row r="2186">
          <cell r="A2186">
            <v>38482</v>
          </cell>
        </row>
        <row r="2187">
          <cell r="A2187">
            <v>38483</v>
          </cell>
        </row>
        <row r="2188">
          <cell r="A2188">
            <v>38484</v>
          </cell>
        </row>
        <row r="2189">
          <cell r="A2189">
            <v>38485</v>
          </cell>
        </row>
        <row r="2190">
          <cell r="A2190">
            <v>38488</v>
          </cell>
        </row>
        <row r="2191">
          <cell r="A2191">
            <v>38489</v>
          </cell>
        </row>
        <row r="2192">
          <cell r="A2192">
            <v>38490</v>
          </cell>
        </row>
        <row r="2193">
          <cell r="A2193">
            <v>38491</v>
          </cell>
        </row>
        <row r="2194">
          <cell r="A2194">
            <v>38492</v>
          </cell>
        </row>
        <row r="2195">
          <cell r="A2195">
            <v>38495</v>
          </cell>
        </row>
        <row r="2196">
          <cell r="A2196">
            <v>38496</v>
          </cell>
        </row>
        <row r="2197">
          <cell r="A2197">
            <v>38497</v>
          </cell>
        </row>
        <row r="2198">
          <cell r="A2198">
            <v>38498</v>
          </cell>
        </row>
        <row r="2199">
          <cell r="A2199">
            <v>38499</v>
          </cell>
        </row>
        <row r="2200">
          <cell r="A2200">
            <v>38502</v>
          </cell>
        </row>
        <row r="2201">
          <cell r="A2201">
            <v>38503</v>
          </cell>
        </row>
        <row r="2202">
          <cell r="A2202">
            <v>38504</v>
          </cell>
        </row>
        <row r="2203">
          <cell r="A2203">
            <v>38505</v>
          </cell>
        </row>
        <row r="2204">
          <cell r="A2204">
            <v>38506</v>
          </cell>
        </row>
        <row r="2205">
          <cell r="A2205">
            <v>38509</v>
          </cell>
        </row>
        <row r="2206">
          <cell r="A2206">
            <v>38510</v>
          </cell>
        </row>
        <row r="2207">
          <cell r="A2207">
            <v>38511</v>
          </cell>
        </row>
        <row r="2208">
          <cell r="A2208">
            <v>38512</v>
          </cell>
        </row>
        <row r="2209">
          <cell r="A2209">
            <v>38513</v>
          </cell>
        </row>
        <row r="2210">
          <cell r="A2210">
            <v>38516</v>
          </cell>
        </row>
        <row r="2211">
          <cell r="A2211">
            <v>38517</v>
          </cell>
        </row>
        <row r="2212">
          <cell r="A2212">
            <v>38518</v>
          </cell>
        </row>
        <row r="2213">
          <cell r="A2213">
            <v>38519</v>
          </cell>
        </row>
        <row r="2214">
          <cell r="A2214">
            <v>38520</v>
          </cell>
        </row>
        <row r="2215">
          <cell r="A2215">
            <v>38523</v>
          </cell>
        </row>
        <row r="2216">
          <cell r="A2216">
            <v>38524</v>
          </cell>
        </row>
        <row r="2217">
          <cell r="A2217">
            <v>38525</v>
          </cell>
        </row>
        <row r="2218">
          <cell r="A2218">
            <v>38526</v>
          </cell>
        </row>
        <row r="2219">
          <cell r="A2219">
            <v>38527</v>
          </cell>
        </row>
        <row r="2220">
          <cell r="A2220">
            <v>38530</v>
          </cell>
        </row>
        <row r="2221">
          <cell r="A2221">
            <v>38531</v>
          </cell>
        </row>
        <row r="2222">
          <cell r="A2222">
            <v>38532</v>
          </cell>
        </row>
        <row r="2223">
          <cell r="A2223">
            <v>38533</v>
          </cell>
        </row>
        <row r="2224">
          <cell r="A2224">
            <v>38534</v>
          </cell>
        </row>
        <row r="2225">
          <cell r="A2225">
            <v>38537</v>
          </cell>
        </row>
        <row r="2226">
          <cell r="A2226">
            <v>38538</v>
          </cell>
        </row>
        <row r="2227">
          <cell r="A2227">
            <v>38539</v>
          </cell>
        </row>
        <row r="2228">
          <cell r="A2228">
            <v>38540</v>
          </cell>
        </row>
        <row r="2229">
          <cell r="A2229">
            <v>38541</v>
          </cell>
        </row>
        <row r="2230">
          <cell r="A2230">
            <v>38544</v>
          </cell>
        </row>
        <row r="2231">
          <cell r="A2231">
            <v>38545</v>
          </cell>
        </row>
        <row r="2232">
          <cell r="A2232">
            <v>38546</v>
          </cell>
        </row>
        <row r="2233">
          <cell r="A2233">
            <v>38547</v>
          </cell>
        </row>
        <row r="2234">
          <cell r="A2234">
            <v>38548</v>
          </cell>
        </row>
        <row r="2235">
          <cell r="A2235">
            <v>38551</v>
          </cell>
        </row>
        <row r="2236">
          <cell r="A2236">
            <v>38552</v>
          </cell>
        </row>
        <row r="2237">
          <cell r="A2237">
            <v>38553</v>
          </cell>
        </row>
        <row r="2238">
          <cell r="A2238">
            <v>38554</v>
          </cell>
        </row>
        <row r="2239">
          <cell r="A2239">
            <v>38555</v>
          </cell>
        </row>
        <row r="2240">
          <cell r="A2240">
            <v>38558</v>
          </cell>
        </row>
        <row r="2241">
          <cell r="A2241">
            <v>38559</v>
          </cell>
        </row>
        <row r="2242">
          <cell r="A2242">
            <v>38560</v>
          </cell>
        </row>
        <row r="2243">
          <cell r="A2243">
            <v>38561</v>
          </cell>
        </row>
        <row r="2244">
          <cell r="A2244">
            <v>38562</v>
          </cell>
        </row>
        <row r="2245">
          <cell r="A2245">
            <v>38565</v>
          </cell>
        </row>
        <row r="2246">
          <cell r="A2246">
            <v>38566</v>
          </cell>
        </row>
        <row r="2247">
          <cell r="A2247">
            <v>38567</v>
          </cell>
        </row>
        <row r="2248">
          <cell r="A2248">
            <v>38568</v>
          </cell>
        </row>
        <row r="2249">
          <cell r="A2249">
            <v>38569</v>
          </cell>
        </row>
        <row r="2250">
          <cell r="A2250">
            <v>38572</v>
          </cell>
        </row>
        <row r="2251">
          <cell r="A2251">
            <v>38573</v>
          </cell>
        </row>
        <row r="2252">
          <cell r="A2252">
            <v>38574</v>
          </cell>
        </row>
        <row r="2253">
          <cell r="A2253">
            <v>38575</v>
          </cell>
        </row>
        <row r="2254">
          <cell r="A2254">
            <v>38576</v>
          </cell>
        </row>
        <row r="2255">
          <cell r="A2255">
            <v>38579</v>
          </cell>
        </row>
        <row r="2256">
          <cell r="A2256">
            <v>38580</v>
          </cell>
        </row>
        <row r="2257">
          <cell r="A2257">
            <v>38581</v>
          </cell>
        </row>
        <row r="2258">
          <cell r="A2258">
            <v>38582</v>
          </cell>
        </row>
        <row r="2259">
          <cell r="A2259">
            <v>38583</v>
          </cell>
        </row>
        <row r="2260">
          <cell r="A2260">
            <v>38586</v>
          </cell>
        </row>
        <row r="2261">
          <cell r="A2261">
            <v>38587</v>
          </cell>
        </row>
        <row r="2262">
          <cell r="A2262">
            <v>38588</v>
          </cell>
        </row>
        <row r="2263">
          <cell r="A2263">
            <v>38589</v>
          </cell>
        </row>
        <row r="2264">
          <cell r="A2264">
            <v>38590</v>
          </cell>
        </row>
        <row r="2265">
          <cell r="A2265">
            <v>38593</v>
          </cell>
        </row>
        <row r="2266">
          <cell r="A2266">
            <v>38594</v>
          </cell>
        </row>
        <row r="2267">
          <cell r="A2267">
            <v>38595</v>
          </cell>
        </row>
        <row r="2268">
          <cell r="A2268">
            <v>38596</v>
          </cell>
        </row>
        <row r="2269">
          <cell r="A2269">
            <v>38597</v>
          </cell>
        </row>
        <row r="2270">
          <cell r="A2270">
            <v>38600</v>
          </cell>
        </row>
        <row r="2271">
          <cell r="A2271">
            <v>38601</v>
          </cell>
        </row>
        <row r="2272">
          <cell r="A2272">
            <v>38602</v>
          </cell>
        </row>
        <row r="2273">
          <cell r="A2273">
            <v>38603</v>
          </cell>
        </row>
        <row r="2274">
          <cell r="A2274">
            <v>38604</v>
          </cell>
        </row>
        <row r="2275">
          <cell r="A2275">
            <v>38607</v>
          </cell>
        </row>
        <row r="2276">
          <cell r="A2276">
            <v>38608</v>
          </cell>
        </row>
        <row r="2277">
          <cell r="A2277">
            <v>38609</v>
          </cell>
        </row>
        <row r="2278">
          <cell r="A2278">
            <v>38610</v>
          </cell>
        </row>
        <row r="2279">
          <cell r="A2279">
            <v>38611</v>
          </cell>
        </row>
        <row r="2280">
          <cell r="A2280">
            <v>38614</v>
          </cell>
        </row>
        <row r="2281">
          <cell r="A2281">
            <v>38615</v>
          </cell>
        </row>
        <row r="2282">
          <cell r="A2282">
            <v>38616</v>
          </cell>
        </row>
        <row r="2283">
          <cell r="A2283">
            <v>38617</v>
          </cell>
        </row>
        <row r="2284">
          <cell r="A2284">
            <v>38618</v>
          </cell>
        </row>
        <row r="2285">
          <cell r="A2285">
            <v>38621</v>
          </cell>
        </row>
        <row r="2286">
          <cell r="A2286">
            <v>38622</v>
          </cell>
        </row>
        <row r="2287">
          <cell r="A2287">
            <v>38623</v>
          </cell>
        </row>
        <row r="2288">
          <cell r="A2288">
            <v>38624</v>
          </cell>
        </row>
        <row r="2289">
          <cell r="A2289">
            <v>38625</v>
          </cell>
        </row>
        <row r="2290">
          <cell r="A2290">
            <v>38628</v>
          </cell>
        </row>
        <row r="2291">
          <cell r="A2291">
            <v>38629</v>
          </cell>
        </row>
        <row r="2292">
          <cell r="A2292">
            <v>38630</v>
          </cell>
        </row>
        <row r="2293">
          <cell r="A2293">
            <v>38631</v>
          </cell>
        </row>
        <row r="2294">
          <cell r="A2294">
            <v>38632</v>
          </cell>
        </row>
        <row r="2295">
          <cell r="A2295">
            <v>38635</v>
          </cell>
        </row>
        <row r="2296">
          <cell r="A2296">
            <v>38636</v>
          </cell>
        </row>
        <row r="2297">
          <cell r="A2297">
            <v>38637</v>
          </cell>
        </row>
        <row r="2298">
          <cell r="A2298">
            <v>38638</v>
          </cell>
        </row>
        <row r="2299">
          <cell r="A2299">
            <v>38639</v>
          </cell>
        </row>
        <row r="2300">
          <cell r="A2300">
            <v>38642</v>
          </cell>
        </row>
        <row r="2301">
          <cell r="A2301">
            <v>38643</v>
          </cell>
        </row>
        <row r="2302">
          <cell r="A2302">
            <v>38644</v>
          </cell>
        </row>
        <row r="2303">
          <cell r="A2303">
            <v>38645</v>
          </cell>
        </row>
        <row r="2304">
          <cell r="A2304">
            <v>38646</v>
          </cell>
        </row>
        <row r="2305">
          <cell r="A2305">
            <v>38649</v>
          </cell>
        </row>
        <row r="2306">
          <cell r="A2306">
            <v>38650</v>
          </cell>
        </row>
        <row r="2307">
          <cell r="A2307">
            <v>38651</v>
          </cell>
        </row>
        <row r="2308">
          <cell r="A2308">
            <v>38652</v>
          </cell>
        </row>
        <row r="2309">
          <cell r="A2309">
            <v>38653</v>
          </cell>
        </row>
        <row r="2310">
          <cell r="A2310">
            <v>38656</v>
          </cell>
        </row>
        <row r="2311">
          <cell r="A2311">
            <v>38657</v>
          </cell>
        </row>
        <row r="2312">
          <cell r="A2312">
            <v>38658</v>
          </cell>
        </row>
        <row r="2313">
          <cell r="A2313">
            <v>38659</v>
          </cell>
        </row>
        <row r="2314">
          <cell r="A2314">
            <v>38660</v>
          </cell>
        </row>
        <row r="2315">
          <cell r="A2315">
            <v>38663</v>
          </cell>
        </row>
        <row r="2316">
          <cell r="A2316">
            <v>38664</v>
          </cell>
        </row>
        <row r="2317">
          <cell r="A2317">
            <v>38665</v>
          </cell>
        </row>
        <row r="2318">
          <cell r="A2318">
            <v>38666</v>
          </cell>
        </row>
        <row r="2319">
          <cell r="A2319">
            <v>38667</v>
          </cell>
        </row>
        <row r="2320">
          <cell r="A2320">
            <v>38670</v>
          </cell>
        </row>
        <row r="2321">
          <cell r="A2321">
            <v>38671</v>
          </cell>
        </row>
        <row r="2322">
          <cell r="A2322">
            <v>38672</v>
          </cell>
        </row>
        <row r="2323">
          <cell r="A2323">
            <v>38673</v>
          </cell>
        </row>
        <row r="2324">
          <cell r="A2324">
            <v>38674</v>
          </cell>
        </row>
        <row r="2325">
          <cell r="A2325">
            <v>38677</v>
          </cell>
        </row>
        <row r="2326">
          <cell r="A2326">
            <v>38678</v>
          </cell>
        </row>
        <row r="2327">
          <cell r="A2327">
            <v>38679</v>
          </cell>
        </row>
        <row r="2328">
          <cell r="A2328">
            <v>38680</v>
          </cell>
        </row>
        <row r="2329">
          <cell r="A2329">
            <v>38681</v>
          </cell>
        </row>
        <row r="2330">
          <cell r="A2330">
            <v>38684</v>
          </cell>
        </row>
        <row r="2331">
          <cell r="A2331">
            <v>38685</v>
          </cell>
        </row>
        <row r="2332">
          <cell r="A2332">
            <v>38686</v>
          </cell>
        </row>
        <row r="2333">
          <cell r="A2333">
            <v>38687</v>
          </cell>
        </row>
        <row r="2334">
          <cell r="A2334">
            <v>38688</v>
          </cell>
        </row>
        <row r="2335">
          <cell r="A2335">
            <v>38691</v>
          </cell>
        </row>
        <row r="2336">
          <cell r="A2336">
            <v>38692</v>
          </cell>
        </row>
        <row r="2337">
          <cell r="A2337">
            <v>38693</v>
          </cell>
        </row>
        <row r="2338">
          <cell r="A2338">
            <v>38694</v>
          </cell>
        </row>
        <row r="2339">
          <cell r="A2339">
            <v>38695</v>
          </cell>
        </row>
        <row r="2340">
          <cell r="A2340">
            <v>38698</v>
          </cell>
        </row>
        <row r="2341">
          <cell r="A2341">
            <v>38699</v>
          </cell>
        </row>
        <row r="2342">
          <cell r="A2342">
            <v>38700</v>
          </cell>
        </row>
        <row r="2343">
          <cell r="A2343">
            <v>38701</v>
          </cell>
        </row>
        <row r="2344">
          <cell r="A2344">
            <v>38702</v>
          </cell>
        </row>
        <row r="2345">
          <cell r="A2345">
            <v>38705</v>
          </cell>
        </row>
        <row r="2346">
          <cell r="A2346">
            <v>38706</v>
          </cell>
        </row>
        <row r="2347">
          <cell r="A2347">
            <v>38707</v>
          </cell>
        </row>
        <row r="2348">
          <cell r="A2348">
            <v>38708</v>
          </cell>
        </row>
        <row r="2349">
          <cell r="A2349">
            <v>38709</v>
          </cell>
        </row>
        <row r="2350">
          <cell r="A2350">
            <v>38712</v>
          </cell>
        </row>
        <row r="2351">
          <cell r="A2351">
            <v>38713</v>
          </cell>
        </row>
        <row r="2352">
          <cell r="A2352">
            <v>38714</v>
          </cell>
        </row>
        <row r="2353">
          <cell r="A2353">
            <v>38715</v>
          </cell>
        </row>
        <row r="2354">
          <cell r="A2354">
            <v>38716</v>
          </cell>
        </row>
        <row r="2355">
          <cell r="A2355">
            <v>38719</v>
          </cell>
        </row>
        <row r="2356">
          <cell r="A2356">
            <v>38720</v>
          </cell>
        </row>
        <row r="2357">
          <cell r="A2357">
            <v>38721</v>
          </cell>
        </row>
        <row r="2358">
          <cell r="A2358">
            <v>38722</v>
          </cell>
        </row>
        <row r="2359">
          <cell r="A2359">
            <v>38723</v>
          </cell>
        </row>
        <row r="2360">
          <cell r="A2360">
            <v>38726</v>
          </cell>
        </row>
        <row r="2361">
          <cell r="A2361">
            <v>38727</v>
          </cell>
        </row>
        <row r="2362">
          <cell r="A2362">
            <v>38728</v>
          </cell>
        </row>
        <row r="2363">
          <cell r="A2363">
            <v>38729</v>
          </cell>
        </row>
        <row r="2364">
          <cell r="A2364">
            <v>38730</v>
          </cell>
        </row>
        <row r="2365">
          <cell r="A2365">
            <v>38733</v>
          </cell>
        </row>
        <row r="2366">
          <cell r="A2366">
            <v>38734</v>
          </cell>
        </row>
        <row r="2367">
          <cell r="A2367">
            <v>38735</v>
          </cell>
        </row>
        <row r="2368">
          <cell r="A2368">
            <v>38736</v>
          </cell>
        </row>
        <row r="2369">
          <cell r="A2369">
            <v>38737</v>
          </cell>
        </row>
        <row r="2370">
          <cell r="A2370">
            <v>38740</v>
          </cell>
        </row>
        <row r="2371">
          <cell r="A2371">
            <v>38741</v>
          </cell>
        </row>
        <row r="2372">
          <cell r="A2372">
            <v>38742</v>
          </cell>
        </row>
        <row r="2373">
          <cell r="A2373">
            <v>38743</v>
          </cell>
        </row>
        <row r="2374">
          <cell r="A2374">
            <v>38744</v>
          </cell>
        </row>
        <row r="2375">
          <cell r="A2375">
            <v>38747</v>
          </cell>
        </row>
        <row r="2376">
          <cell r="A2376">
            <v>38748</v>
          </cell>
        </row>
        <row r="2377">
          <cell r="A2377">
            <v>38749</v>
          </cell>
        </row>
        <row r="2378">
          <cell r="A2378">
            <v>38750</v>
          </cell>
        </row>
        <row r="2379">
          <cell r="A2379">
            <v>38751</v>
          </cell>
        </row>
        <row r="2380">
          <cell r="A2380">
            <v>38754</v>
          </cell>
        </row>
        <row r="2381">
          <cell r="A2381">
            <v>38755</v>
          </cell>
        </row>
        <row r="2382">
          <cell r="A2382">
            <v>38756</v>
          </cell>
        </row>
        <row r="2383">
          <cell r="A2383">
            <v>38757</v>
          </cell>
        </row>
        <row r="2384">
          <cell r="A2384">
            <v>38758</v>
          </cell>
        </row>
        <row r="2385">
          <cell r="A2385">
            <v>38761</v>
          </cell>
        </row>
        <row r="2386">
          <cell r="A2386">
            <v>38762</v>
          </cell>
        </row>
        <row r="2387">
          <cell r="A2387">
            <v>38763</v>
          </cell>
        </row>
        <row r="2388">
          <cell r="A2388">
            <v>38764</v>
          </cell>
        </row>
        <row r="2389">
          <cell r="A2389">
            <v>38765</v>
          </cell>
        </row>
        <row r="2390">
          <cell r="A2390">
            <v>38768</v>
          </cell>
        </row>
        <row r="2391">
          <cell r="A2391">
            <v>38769</v>
          </cell>
        </row>
        <row r="2392">
          <cell r="A2392">
            <v>38770</v>
          </cell>
        </row>
        <row r="2393">
          <cell r="A2393">
            <v>38771</v>
          </cell>
        </row>
        <row r="2394">
          <cell r="A2394">
            <v>38772</v>
          </cell>
        </row>
        <row r="2395">
          <cell r="A2395">
            <v>38775</v>
          </cell>
        </row>
        <row r="2396">
          <cell r="A2396">
            <v>38776</v>
          </cell>
        </row>
        <row r="2397">
          <cell r="A2397">
            <v>38777</v>
          </cell>
        </row>
        <row r="2398">
          <cell r="A2398">
            <v>38778</v>
          </cell>
        </row>
        <row r="2399">
          <cell r="A2399">
            <v>38779</v>
          </cell>
        </row>
        <row r="2400">
          <cell r="A2400" t="str">
            <v/>
          </cell>
        </row>
        <row r="2401">
          <cell r="A2401" t="str">
            <v/>
          </cell>
        </row>
        <row r="2402">
          <cell r="A2402" t="str">
            <v/>
          </cell>
        </row>
        <row r="2403">
          <cell r="A2403" t="str">
            <v/>
          </cell>
        </row>
        <row r="2404">
          <cell r="A2404" t="str">
            <v/>
          </cell>
        </row>
        <row r="2405">
          <cell r="A2405" t="str">
            <v/>
          </cell>
        </row>
        <row r="2406">
          <cell r="A2406" t="str">
            <v/>
          </cell>
        </row>
        <row r="2407">
          <cell r="A2407" t="str">
            <v/>
          </cell>
        </row>
        <row r="2408">
          <cell r="A2408" t="str">
            <v/>
          </cell>
        </row>
        <row r="2409">
          <cell r="A2409" t="str">
            <v/>
          </cell>
        </row>
        <row r="2410">
          <cell r="A2410" t="str">
            <v/>
          </cell>
        </row>
        <row r="2411">
          <cell r="A2411" t="str">
            <v/>
          </cell>
        </row>
        <row r="2412">
          <cell r="A2412" t="str">
            <v/>
          </cell>
        </row>
        <row r="2413">
          <cell r="A2413" t="str">
            <v/>
          </cell>
        </row>
        <row r="2414">
          <cell r="A2414" t="str">
            <v/>
          </cell>
        </row>
        <row r="2415">
          <cell r="A2415" t="str">
            <v/>
          </cell>
        </row>
        <row r="2416">
          <cell r="A2416" t="str">
            <v/>
          </cell>
        </row>
        <row r="2417">
          <cell r="A2417" t="str">
            <v/>
          </cell>
        </row>
        <row r="2418">
          <cell r="A2418" t="str">
            <v/>
          </cell>
        </row>
        <row r="2419">
          <cell r="A2419" t="str">
            <v/>
          </cell>
        </row>
        <row r="2420">
          <cell r="A2420" t="str">
            <v/>
          </cell>
        </row>
        <row r="2421">
          <cell r="A2421" t="str">
            <v/>
          </cell>
        </row>
        <row r="2422">
          <cell r="A2422" t="str">
            <v/>
          </cell>
        </row>
        <row r="2423">
          <cell r="A2423" t="str">
            <v/>
          </cell>
        </row>
        <row r="2424">
          <cell r="A2424" t="str">
            <v/>
          </cell>
        </row>
        <row r="2425">
          <cell r="A2425" t="str">
            <v/>
          </cell>
        </row>
        <row r="2426">
          <cell r="A2426" t="str">
            <v/>
          </cell>
        </row>
        <row r="2427">
          <cell r="A2427" t="str">
            <v/>
          </cell>
        </row>
        <row r="2428">
          <cell r="A2428" t="str">
            <v/>
          </cell>
        </row>
        <row r="2429">
          <cell r="A2429" t="str">
            <v/>
          </cell>
        </row>
        <row r="2430">
          <cell r="A2430" t="str">
            <v/>
          </cell>
        </row>
        <row r="2431">
          <cell r="A2431" t="str">
            <v/>
          </cell>
        </row>
        <row r="2432">
          <cell r="A2432" t="str">
            <v/>
          </cell>
        </row>
        <row r="2433">
          <cell r="A2433" t="str">
            <v/>
          </cell>
        </row>
        <row r="2434">
          <cell r="A2434" t="str">
            <v/>
          </cell>
        </row>
        <row r="2435">
          <cell r="A2435" t="str">
            <v/>
          </cell>
        </row>
        <row r="2436">
          <cell r="A2436" t="str">
            <v/>
          </cell>
        </row>
        <row r="2437">
          <cell r="A2437" t="str">
            <v/>
          </cell>
        </row>
        <row r="2438">
          <cell r="A2438" t="str">
            <v/>
          </cell>
        </row>
        <row r="2439">
          <cell r="A2439" t="str">
            <v/>
          </cell>
        </row>
        <row r="2440">
          <cell r="A2440" t="str">
            <v/>
          </cell>
        </row>
        <row r="2441">
          <cell r="A2441" t="str">
            <v/>
          </cell>
        </row>
        <row r="2442">
          <cell r="A2442" t="str">
            <v/>
          </cell>
        </row>
        <row r="2443">
          <cell r="A2443" t="str">
            <v/>
          </cell>
        </row>
        <row r="2444">
          <cell r="A2444" t="str">
            <v/>
          </cell>
        </row>
        <row r="2445">
          <cell r="A2445" t="str">
            <v/>
          </cell>
        </row>
        <row r="2446">
          <cell r="A2446" t="str">
            <v/>
          </cell>
        </row>
        <row r="2447">
          <cell r="A2447" t="str">
            <v/>
          </cell>
        </row>
        <row r="2448">
          <cell r="A2448" t="str">
            <v/>
          </cell>
        </row>
        <row r="2449">
          <cell r="A2449" t="str">
            <v/>
          </cell>
        </row>
        <row r="2450">
          <cell r="A2450" t="str">
            <v/>
          </cell>
        </row>
        <row r="2451">
          <cell r="A2451" t="str">
            <v/>
          </cell>
        </row>
        <row r="2452">
          <cell r="A2452" t="str">
            <v/>
          </cell>
        </row>
        <row r="2453">
          <cell r="A2453" t="str">
            <v/>
          </cell>
        </row>
        <row r="2454">
          <cell r="A2454" t="str">
            <v/>
          </cell>
        </row>
        <row r="2455">
          <cell r="A2455" t="str">
            <v/>
          </cell>
        </row>
        <row r="2456">
          <cell r="A2456" t="str">
            <v/>
          </cell>
        </row>
        <row r="2457">
          <cell r="A2457" t="str">
            <v/>
          </cell>
        </row>
        <row r="2458">
          <cell r="A2458" t="str">
            <v/>
          </cell>
        </row>
        <row r="2459">
          <cell r="A2459" t="str">
            <v/>
          </cell>
        </row>
        <row r="2460">
          <cell r="A2460" t="str">
            <v/>
          </cell>
        </row>
        <row r="2461">
          <cell r="A2461" t="str">
            <v/>
          </cell>
        </row>
        <row r="2462">
          <cell r="A2462" t="str">
            <v/>
          </cell>
        </row>
        <row r="2463">
          <cell r="A2463" t="str">
            <v/>
          </cell>
        </row>
        <row r="2464">
          <cell r="A2464" t="str">
            <v/>
          </cell>
        </row>
        <row r="2465">
          <cell r="A2465" t="str">
            <v/>
          </cell>
        </row>
        <row r="2466">
          <cell r="A2466" t="str">
            <v/>
          </cell>
        </row>
        <row r="2467">
          <cell r="A2467" t="str">
            <v/>
          </cell>
        </row>
        <row r="2468">
          <cell r="A2468" t="str">
            <v/>
          </cell>
        </row>
        <row r="2469">
          <cell r="A2469" t="str">
            <v/>
          </cell>
        </row>
        <row r="2470">
          <cell r="A2470" t="str">
            <v/>
          </cell>
        </row>
        <row r="2471">
          <cell r="A2471" t="str">
            <v/>
          </cell>
        </row>
        <row r="2472">
          <cell r="A2472" t="str">
            <v/>
          </cell>
        </row>
        <row r="2473">
          <cell r="A2473" t="str">
            <v/>
          </cell>
        </row>
        <row r="2474">
          <cell r="A2474" t="str">
            <v/>
          </cell>
        </row>
        <row r="2475">
          <cell r="A2475" t="str">
            <v/>
          </cell>
        </row>
        <row r="2476">
          <cell r="A2476" t="str">
            <v/>
          </cell>
        </row>
        <row r="2477">
          <cell r="A2477" t="str">
            <v/>
          </cell>
        </row>
        <row r="2478">
          <cell r="A2478" t="str">
            <v/>
          </cell>
        </row>
        <row r="2479">
          <cell r="A2479" t="str">
            <v/>
          </cell>
        </row>
        <row r="2480">
          <cell r="A2480" t="str">
            <v/>
          </cell>
        </row>
        <row r="2481">
          <cell r="A2481" t="str">
            <v/>
          </cell>
        </row>
        <row r="2482">
          <cell r="A2482" t="str">
            <v/>
          </cell>
        </row>
        <row r="2483">
          <cell r="A2483" t="str">
            <v/>
          </cell>
        </row>
        <row r="2484">
          <cell r="A2484" t="str">
            <v/>
          </cell>
        </row>
        <row r="2485">
          <cell r="A2485" t="str">
            <v/>
          </cell>
        </row>
        <row r="2486">
          <cell r="A2486" t="str">
            <v/>
          </cell>
        </row>
        <row r="2487">
          <cell r="A2487" t="str">
            <v/>
          </cell>
        </row>
        <row r="2488">
          <cell r="A2488" t="str">
            <v/>
          </cell>
        </row>
        <row r="2489">
          <cell r="A2489" t="str">
            <v/>
          </cell>
        </row>
        <row r="2490">
          <cell r="A2490" t="str">
            <v/>
          </cell>
        </row>
        <row r="2491">
          <cell r="A2491" t="str">
            <v/>
          </cell>
        </row>
        <row r="2492">
          <cell r="A2492" t="str">
            <v/>
          </cell>
        </row>
        <row r="2493">
          <cell r="A2493" t="str">
            <v/>
          </cell>
        </row>
        <row r="2494">
          <cell r="A2494" t="str">
            <v/>
          </cell>
        </row>
        <row r="2495">
          <cell r="A2495" t="str">
            <v/>
          </cell>
        </row>
        <row r="2496">
          <cell r="A2496" t="str">
            <v/>
          </cell>
        </row>
        <row r="2497">
          <cell r="A2497" t="str">
            <v/>
          </cell>
        </row>
        <row r="2498">
          <cell r="A2498" t="str">
            <v/>
          </cell>
        </row>
        <row r="2499">
          <cell r="A2499" t="str">
            <v/>
          </cell>
        </row>
        <row r="2500">
          <cell r="A2500" t="str">
            <v/>
          </cell>
        </row>
        <row r="2501">
          <cell r="A2501" t="str">
            <v/>
          </cell>
        </row>
        <row r="2502">
          <cell r="A2502" t="str">
            <v/>
          </cell>
        </row>
        <row r="2503">
          <cell r="A2503" t="str">
            <v/>
          </cell>
        </row>
        <row r="2504">
          <cell r="A2504" t="str">
            <v/>
          </cell>
        </row>
        <row r="2505">
          <cell r="A2505" t="str">
            <v/>
          </cell>
        </row>
        <row r="2506">
          <cell r="A2506" t="str">
            <v/>
          </cell>
        </row>
        <row r="2507">
          <cell r="A2507" t="str">
            <v/>
          </cell>
        </row>
        <row r="2508">
          <cell r="A2508" t="str">
            <v/>
          </cell>
        </row>
        <row r="2509">
          <cell r="A2509" t="str">
            <v/>
          </cell>
        </row>
        <row r="2510">
          <cell r="A2510" t="str">
            <v/>
          </cell>
        </row>
        <row r="2511">
          <cell r="A2511" t="str">
            <v/>
          </cell>
        </row>
        <row r="2512">
          <cell r="A2512" t="str">
            <v/>
          </cell>
        </row>
        <row r="2513">
          <cell r="A2513" t="str">
            <v/>
          </cell>
        </row>
        <row r="2514">
          <cell r="A2514" t="str">
            <v/>
          </cell>
        </row>
        <row r="2515">
          <cell r="A2515" t="str">
            <v/>
          </cell>
        </row>
        <row r="2516">
          <cell r="A2516" t="str">
            <v/>
          </cell>
        </row>
        <row r="2517">
          <cell r="A2517" t="str">
            <v/>
          </cell>
        </row>
        <row r="2518">
          <cell r="A2518" t="str">
            <v/>
          </cell>
        </row>
        <row r="2519">
          <cell r="A2519" t="str">
            <v/>
          </cell>
        </row>
        <row r="2520">
          <cell r="A2520" t="str">
            <v/>
          </cell>
        </row>
        <row r="2521">
          <cell r="A2521" t="str">
            <v/>
          </cell>
        </row>
        <row r="2522">
          <cell r="A2522" t="str">
            <v/>
          </cell>
        </row>
        <row r="2523">
          <cell r="A2523" t="str">
            <v/>
          </cell>
        </row>
        <row r="2524">
          <cell r="A2524" t="str">
            <v/>
          </cell>
        </row>
        <row r="2525">
          <cell r="A2525" t="str">
            <v/>
          </cell>
        </row>
        <row r="2526">
          <cell r="A2526" t="str">
            <v/>
          </cell>
        </row>
        <row r="2527">
          <cell r="A2527" t="str">
            <v/>
          </cell>
        </row>
        <row r="2528">
          <cell r="A2528" t="str">
            <v/>
          </cell>
        </row>
        <row r="2529">
          <cell r="A2529" t="str">
            <v/>
          </cell>
        </row>
        <row r="2530">
          <cell r="A2530" t="str">
            <v/>
          </cell>
        </row>
        <row r="2531">
          <cell r="A2531" t="str">
            <v/>
          </cell>
        </row>
        <row r="2532">
          <cell r="A2532" t="str">
            <v/>
          </cell>
        </row>
        <row r="2533">
          <cell r="A2533" t="str">
            <v/>
          </cell>
        </row>
        <row r="2534">
          <cell r="A2534" t="str">
            <v/>
          </cell>
        </row>
        <row r="2535">
          <cell r="A2535" t="str">
            <v/>
          </cell>
        </row>
        <row r="2536">
          <cell r="A2536" t="str">
            <v/>
          </cell>
        </row>
        <row r="2537">
          <cell r="A2537" t="str">
            <v/>
          </cell>
        </row>
        <row r="2538">
          <cell r="A2538" t="str">
            <v/>
          </cell>
        </row>
        <row r="2539">
          <cell r="A2539" t="str">
            <v/>
          </cell>
        </row>
        <row r="2540">
          <cell r="A2540" t="str">
            <v/>
          </cell>
        </row>
        <row r="2541">
          <cell r="A2541" t="str">
            <v/>
          </cell>
        </row>
        <row r="2542">
          <cell r="A2542" t="str">
            <v/>
          </cell>
        </row>
        <row r="2543">
          <cell r="A2543" t="str">
            <v/>
          </cell>
        </row>
        <row r="2544">
          <cell r="A2544" t="str">
            <v/>
          </cell>
        </row>
        <row r="2545">
          <cell r="A2545" t="str">
            <v/>
          </cell>
        </row>
        <row r="2546">
          <cell r="A2546" t="str">
            <v/>
          </cell>
        </row>
        <row r="2547">
          <cell r="A2547" t="str">
            <v/>
          </cell>
        </row>
        <row r="2548">
          <cell r="A2548" t="str">
            <v/>
          </cell>
        </row>
        <row r="2549">
          <cell r="A2549" t="str">
            <v/>
          </cell>
        </row>
        <row r="2550">
          <cell r="A2550" t="str">
            <v/>
          </cell>
        </row>
        <row r="2551">
          <cell r="A2551" t="str">
            <v/>
          </cell>
        </row>
        <row r="2552">
          <cell r="A2552" t="str">
            <v/>
          </cell>
        </row>
        <row r="2553">
          <cell r="A2553" t="str">
            <v/>
          </cell>
        </row>
        <row r="2554">
          <cell r="A2554" t="str">
            <v/>
          </cell>
        </row>
        <row r="2555">
          <cell r="A2555" t="str">
            <v/>
          </cell>
        </row>
        <row r="2556">
          <cell r="A2556" t="str">
            <v/>
          </cell>
        </row>
        <row r="2557">
          <cell r="A2557" t="str">
            <v/>
          </cell>
        </row>
        <row r="2558">
          <cell r="A2558" t="str">
            <v/>
          </cell>
        </row>
        <row r="2559">
          <cell r="A2559" t="str">
            <v/>
          </cell>
        </row>
        <row r="2560">
          <cell r="A2560" t="str">
            <v/>
          </cell>
        </row>
        <row r="2561">
          <cell r="A2561" t="str">
            <v/>
          </cell>
        </row>
        <row r="2562">
          <cell r="A2562" t="str">
            <v/>
          </cell>
        </row>
        <row r="2563">
          <cell r="A2563" t="str">
            <v/>
          </cell>
        </row>
        <row r="2564">
          <cell r="A2564" t="str">
            <v/>
          </cell>
        </row>
        <row r="2565">
          <cell r="A2565" t="str">
            <v/>
          </cell>
        </row>
        <row r="2566">
          <cell r="A2566" t="str">
            <v/>
          </cell>
        </row>
        <row r="2567">
          <cell r="A2567" t="str">
            <v/>
          </cell>
        </row>
        <row r="2568">
          <cell r="A2568" t="str">
            <v/>
          </cell>
        </row>
        <row r="2569">
          <cell r="A2569" t="str">
            <v/>
          </cell>
        </row>
        <row r="2570">
          <cell r="A2570" t="str">
            <v/>
          </cell>
        </row>
        <row r="2571">
          <cell r="A2571" t="str">
            <v/>
          </cell>
        </row>
        <row r="2572">
          <cell r="A2572" t="str">
            <v/>
          </cell>
        </row>
        <row r="2573">
          <cell r="A2573" t="str">
            <v/>
          </cell>
        </row>
        <row r="2574">
          <cell r="A2574" t="str">
            <v/>
          </cell>
        </row>
        <row r="2575">
          <cell r="A2575" t="str">
            <v/>
          </cell>
        </row>
        <row r="2576">
          <cell r="A2576" t="str">
            <v/>
          </cell>
        </row>
        <row r="2577">
          <cell r="A2577" t="str">
            <v/>
          </cell>
        </row>
        <row r="2578">
          <cell r="A2578" t="str">
            <v/>
          </cell>
        </row>
        <row r="2579">
          <cell r="A2579" t="str">
            <v/>
          </cell>
        </row>
        <row r="2580">
          <cell r="A2580" t="str">
            <v/>
          </cell>
        </row>
        <row r="2581">
          <cell r="A2581" t="str">
            <v/>
          </cell>
        </row>
        <row r="2582">
          <cell r="A2582" t="str">
            <v/>
          </cell>
        </row>
        <row r="2583">
          <cell r="A2583" t="str">
            <v/>
          </cell>
        </row>
        <row r="2584">
          <cell r="A2584" t="str">
            <v/>
          </cell>
        </row>
        <row r="2585">
          <cell r="A2585" t="str">
            <v/>
          </cell>
        </row>
        <row r="2586">
          <cell r="A2586" t="str">
            <v/>
          </cell>
        </row>
        <row r="2587">
          <cell r="A2587" t="str">
            <v/>
          </cell>
        </row>
        <row r="2588">
          <cell r="A2588" t="str">
            <v/>
          </cell>
        </row>
        <row r="2589">
          <cell r="A2589" t="str">
            <v/>
          </cell>
        </row>
        <row r="2590">
          <cell r="A2590" t="str">
            <v/>
          </cell>
        </row>
        <row r="2591">
          <cell r="A2591" t="str">
            <v/>
          </cell>
        </row>
        <row r="2592">
          <cell r="A2592">
            <v>0</v>
          </cell>
        </row>
        <row r="2593">
          <cell r="A2593">
            <v>0</v>
          </cell>
        </row>
        <row r="2594">
          <cell r="A2594">
            <v>0</v>
          </cell>
        </row>
        <row r="2595">
          <cell r="A2595">
            <v>0</v>
          </cell>
        </row>
        <row r="2596">
          <cell r="A2596">
            <v>0</v>
          </cell>
        </row>
        <row r="2597">
          <cell r="A2597">
            <v>0</v>
          </cell>
        </row>
        <row r="2598">
          <cell r="A2598">
            <v>0</v>
          </cell>
        </row>
        <row r="2599">
          <cell r="A2599">
            <v>0</v>
          </cell>
        </row>
        <row r="2600">
          <cell r="A2600">
            <v>0</v>
          </cell>
        </row>
        <row r="2601">
          <cell r="A2601">
            <v>0</v>
          </cell>
        </row>
        <row r="2602">
          <cell r="A2602">
            <v>0</v>
          </cell>
        </row>
        <row r="2603">
          <cell r="A2603">
            <v>0</v>
          </cell>
        </row>
        <row r="2604">
          <cell r="A2604">
            <v>0</v>
          </cell>
        </row>
        <row r="2605">
          <cell r="A2605">
            <v>0</v>
          </cell>
        </row>
        <row r="2606">
          <cell r="A2606">
            <v>0</v>
          </cell>
        </row>
        <row r="2607">
          <cell r="A2607">
            <v>0</v>
          </cell>
        </row>
        <row r="2608">
          <cell r="A2608">
            <v>0</v>
          </cell>
        </row>
        <row r="2609">
          <cell r="A2609">
            <v>0</v>
          </cell>
        </row>
        <row r="2610">
          <cell r="A2610">
            <v>0</v>
          </cell>
        </row>
        <row r="2611">
          <cell r="A2611">
            <v>0</v>
          </cell>
        </row>
        <row r="2612">
          <cell r="A2612">
            <v>0</v>
          </cell>
        </row>
        <row r="2613">
          <cell r="A2613">
            <v>0</v>
          </cell>
        </row>
        <row r="2614">
          <cell r="A2614">
            <v>0</v>
          </cell>
        </row>
        <row r="2615">
          <cell r="A2615">
            <v>0</v>
          </cell>
        </row>
        <row r="2616">
          <cell r="A2616">
            <v>0</v>
          </cell>
        </row>
        <row r="2617">
          <cell r="A2617">
            <v>0</v>
          </cell>
        </row>
        <row r="2618">
          <cell r="A2618">
            <v>0</v>
          </cell>
        </row>
        <row r="2619">
          <cell r="A2619">
            <v>0</v>
          </cell>
        </row>
        <row r="2620">
          <cell r="A2620">
            <v>0</v>
          </cell>
        </row>
        <row r="2621">
          <cell r="A2621">
            <v>0</v>
          </cell>
        </row>
        <row r="2622">
          <cell r="A2622">
            <v>0</v>
          </cell>
        </row>
        <row r="2623">
          <cell r="A2623">
            <v>0</v>
          </cell>
        </row>
        <row r="2624">
          <cell r="A2624">
            <v>0</v>
          </cell>
        </row>
        <row r="2625">
          <cell r="A2625">
            <v>0</v>
          </cell>
        </row>
        <row r="2626">
          <cell r="A2626">
            <v>0</v>
          </cell>
        </row>
        <row r="2627">
          <cell r="A2627">
            <v>0</v>
          </cell>
        </row>
        <row r="2628">
          <cell r="A2628">
            <v>0</v>
          </cell>
        </row>
        <row r="2629">
          <cell r="A2629">
            <v>0</v>
          </cell>
        </row>
        <row r="2630">
          <cell r="A2630">
            <v>0</v>
          </cell>
        </row>
        <row r="2631">
          <cell r="A2631">
            <v>0</v>
          </cell>
        </row>
        <row r="2632">
          <cell r="A2632">
            <v>0</v>
          </cell>
        </row>
        <row r="2633">
          <cell r="A2633">
            <v>0</v>
          </cell>
        </row>
        <row r="2634">
          <cell r="A2634">
            <v>0</v>
          </cell>
        </row>
        <row r="2635">
          <cell r="A2635">
            <v>0</v>
          </cell>
        </row>
        <row r="2636">
          <cell r="A2636">
            <v>0</v>
          </cell>
        </row>
        <row r="2637">
          <cell r="A2637">
            <v>0</v>
          </cell>
        </row>
        <row r="2638">
          <cell r="A2638">
            <v>0</v>
          </cell>
        </row>
        <row r="2639">
          <cell r="A2639">
            <v>0</v>
          </cell>
        </row>
        <row r="2640">
          <cell r="A2640">
            <v>0</v>
          </cell>
        </row>
        <row r="2641">
          <cell r="A2641">
            <v>0</v>
          </cell>
        </row>
        <row r="2642">
          <cell r="A2642">
            <v>0</v>
          </cell>
        </row>
        <row r="2643">
          <cell r="A2643">
            <v>0</v>
          </cell>
        </row>
        <row r="2644">
          <cell r="A2644">
            <v>0</v>
          </cell>
        </row>
        <row r="2645">
          <cell r="A2645">
            <v>0</v>
          </cell>
        </row>
        <row r="2646">
          <cell r="A2646">
            <v>0</v>
          </cell>
        </row>
        <row r="2647">
          <cell r="A2647">
            <v>0</v>
          </cell>
        </row>
        <row r="2648">
          <cell r="A2648">
            <v>0</v>
          </cell>
        </row>
        <row r="2649">
          <cell r="A2649">
            <v>0</v>
          </cell>
        </row>
        <row r="2650">
          <cell r="A2650">
            <v>0</v>
          </cell>
        </row>
        <row r="2651">
          <cell r="A2651">
            <v>0</v>
          </cell>
        </row>
        <row r="2652">
          <cell r="A2652">
            <v>0</v>
          </cell>
        </row>
        <row r="2653">
          <cell r="A2653">
            <v>0</v>
          </cell>
        </row>
        <row r="2654">
          <cell r="A2654">
            <v>0</v>
          </cell>
        </row>
        <row r="2655">
          <cell r="A2655">
            <v>0</v>
          </cell>
        </row>
        <row r="2656">
          <cell r="A2656">
            <v>0</v>
          </cell>
        </row>
        <row r="2657">
          <cell r="A2657">
            <v>0</v>
          </cell>
        </row>
        <row r="2658">
          <cell r="A2658">
            <v>0</v>
          </cell>
        </row>
        <row r="2659">
          <cell r="A2659">
            <v>0</v>
          </cell>
        </row>
        <row r="2660">
          <cell r="A2660">
            <v>0</v>
          </cell>
        </row>
        <row r="2661">
          <cell r="A2661">
            <v>0</v>
          </cell>
        </row>
        <row r="2662">
          <cell r="A2662">
            <v>0</v>
          </cell>
        </row>
        <row r="2663">
          <cell r="A2663">
            <v>0</v>
          </cell>
        </row>
        <row r="2664">
          <cell r="A2664">
            <v>0</v>
          </cell>
        </row>
        <row r="2665">
          <cell r="A2665">
            <v>0</v>
          </cell>
        </row>
        <row r="2666">
          <cell r="A2666">
            <v>0</v>
          </cell>
        </row>
        <row r="2667">
          <cell r="A2667">
            <v>0</v>
          </cell>
        </row>
        <row r="2668">
          <cell r="A2668">
            <v>0</v>
          </cell>
        </row>
        <row r="2669">
          <cell r="A2669">
            <v>0</v>
          </cell>
        </row>
        <row r="2670">
          <cell r="A2670">
            <v>0</v>
          </cell>
        </row>
        <row r="2671">
          <cell r="A2671">
            <v>0</v>
          </cell>
        </row>
        <row r="2672">
          <cell r="A2672">
            <v>0</v>
          </cell>
        </row>
        <row r="2673">
          <cell r="A2673">
            <v>0</v>
          </cell>
        </row>
        <row r="2674">
          <cell r="A2674">
            <v>0</v>
          </cell>
        </row>
        <row r="2675">
          <cell r="A2675">
            <v>0</v>
          </cell>
        </row>
        <row r="2676">
          <cell r="A2676">
            <v>0</v>
          </cell>
        </row>
        <row r="2677">
          <cell r="A2677">
            <v>0</v>
          </cell>
        </row>
        <row r="2678">
          <cell r="A2678">
            <v>0</v>
          </cell>
        </row>
        <row r="2679">
          <cell r="A2679">
            <v>0</v>
          </cell>
        </row>
        <row r="2680">
          <cell r="A2680">
            <v>0</v>
          </cell>
        </row>
        <row r="2681">
          <cell r="A2681">
            <v>0</v>
          </cell>
        </row>
        <row r="2682">
          <cell r="A2682">
            <v>0</v>
          </cell>
        </row>
        <row r="2683">
          <cell r="A2683">
            <v>0</v>
          </cell>
        </row>
        <row r="2684">
          <cell r="A2684">
            <v>0</v>
          </cell>
        </row>
        <row r="2685">
          <cell r="A2685">
            <v>0</v>
          </cell>
        </row>
        <row r="2686">
          <cell r="A2686">
            <v>0</v>
          </cell>
        </row>
        <row r="2687">
          <cell r="A2687">
            <v>0</v>
          </cell>
        </row>
        <row r="2688">
          <cell r="A2688">
            <v>0</v>
          </cell>
        </row>
        <row r="2689">
          <cell r="A2689">
            <v>0</v>
          </cell>
        </row>
        <row r="2690">
          <cell r="A2690">
            <v>0</v>
          </cell>
        </row>
        <row r="2691">
          <cell r="A2691">
            <v>0</v>
          </cell>
        </row>
        <row r="2692">
          <cell r="A2692">
            <v>0</v>
          </cell>
        </row>
        <row r="2693">
          <cell r="A2693">
            <v>0</v>
          </cell>
        </row>
        <row r="2694">
          <cell r="A2694">
            <v>0</v>
          </cell>
        </row>
        <row r="2695">
          <cell r="A2695">
            <v>0</v>
          </cell>
        </row>
        <row r="2696">
          <cell r="A2696">
            <v>0</v>
          </cell>
        </row>
        <row r="2697">
          <cell r="A2697">
            <v>0</v>
          </cell>
        </row>
        <row r="2698">
          <cell r="A2698">
            <v>0</v>
          </cell>
        </row>
        <row r="2699">
          <cell r="A2699">
            <v>0</v>
          </cell>
        </row>
        <row r="2700">
          <cell r="A2700">
            <v>0</v>
          </cell>
        </row>
        <row r="2701">
          <cell r="A2701">
            <v>0</v>
          </cell>
        </row>
        <row r="2702">
          <cell r="A2702">
            <v>0</v>
          </cell>
        </row>
        <row r="2703">
          <cell r="A2703">
            <v>0</v>
          </cell>
        </row>
        <row r="2704">
          <cell r="A2704">
            <v>0</v>
          </cell>
        </row>
        <row r="2705">
          <cell r="A2705">
            <v>0</v>
          </cell>
        </row>
        <row r="2706">
          <cell r="A2706">
            <v>0</v>
          </cell>
        </row>
        <row r="2707">
          <cell r="A2707">
            <v>0</v>
          </cell>
        </row>
        <row r="2708">
          <cell r="A2708">
            <v>0</v>
          </cell>
        </row>
        <row r="2709">
          <cell r="A2709">
            <v>0</v>
          </cell>
        </row>
        <row r="2710">
          <cell r="A2710">
            <v>0</v>
          </cell>
        </row>
        <row r="2711">
          <cell r="A2711">
            <v>0</v>
          </cell>
        </row>
        <row r="2712">
          <cell r="A2712">
            <v>0</v>
          </cell>
        </row>
        <row r="2713">
          <cell r="A2713">
            <v>0</v>
          </cell>
        </row>
        <row r="2714">
          <cell r="A2714">
            <v>0</v>
          </cell>
        </row>
        <row r="2715">
          <cell r="A2715">
            <v>0</v>
          </cell>
        </row>
        <row r="2716">
          <cell r="A2716">
            <v>0</v>
          </cell>
        </row>
        <row r="2717">
          <cell r="A2717">
            <v>0</v>
          </cell>
        </row>
        <row r="2718">
          <cell r="A2718">
            <v>0</v>
          </cell>
        </row>
        <row r="2719">
          <cell r="A2719">
            <v>0</v>
          </cell>
        </row>
        <row r="2720">
          <cell r="A2720">
            <v>0</v>
          </cell>
        </row>
        <row r="2721">
          <cell r="A2721">
            <v>0</v>
          </cell>
        </row>
        <row r="2722">
          <cell r="A2722">
            <v>0</v>
          </cell>
        </row>
        <row r="2723">
          <cell r="A2723">
            <v>0</v>
          </cell>
        </row>
        <row r="2724">
          <cell r="A2724">
            <v>0</v>
          </cell>
        </row>
        <row r="2725">
          <cell r="A2725">
            <v>0</v>
          </cell>
        </row>
        <row r="2726">
          <cell r="A2726">
            <v>0</v>
          </cell>
        </row>
        <row r="2727">
          <cell r="A2727">
            <v>0</v>
          </cell>
        </row>
        <row r="2728">
          <cell r="A2728">
            <v>0</v>
          </cell>
        </row>
        <row r="2729">
          <cell r="A2729">
            <v>0</v>
          </cell>
        </row>
        <row r="2730">
          <cell r="A2730">
            <v>0</v>
          </cell>
        </row>
        <row r="2731">
          <cell r="A2731">
            <v>0</v>
          </cell>
        </row>
        <row r="2732">
          <cell r="A2732">
            <v>0</v>
          </cell>
        </row>
        <row r="2733">
          <cell r="A2733">
            <v>0</v>
          </cell>
        </row>
        <row r="2734">
          <cell r="A2734">
            <v>0</v>
          </cell>
        </row>
        <row r="2735">
          <cell r="A2735">
            <v>0</v>
          </cell>
        </row>
        <row r="2736">
          <cell r="A2736">
            <v>0</v>
          </cell>
        </row>
        <row r="2737">
          <cell r="A2737">
            <v>0</v>
          </cell>
        </row>
        <row r="2738">
          <cell r="A2738">
            <v>0</v>
          </cell>
        </row>
        <row r="2739">
          <cell r="A2739">
            <v>0</v>
          </cell>
        </row>
        <row r="2740">
          <cell r="A2740">
            <v>0</v>
          </cell>
        </row>
        <row r="2741">
          <cell r="A2741">
            <v>0</v>
          </cell>
        </row>
        <row r="2742">
          <cell r="A2742">
            <v>0</v>
          </cell>
        </row>
        <row r="2743">
          <cell r="A2743">
            <v>0</v>
          </cell>
        </row>
        <row r="2744">
          <cell r="A2744">
            <v>0</v>
          </cell>
        </row>
        <row r="2745">
          <cell r="A2745">
            <v>0</v>
          </cell>
        </row>
        <row r="2746">
          <cell r="A2746">
            <v>0</v>
          </cell>
        </row>
        <row r="2747">
          <cell r="A2747">
            <v>0</v>
          </cell>
        </row>
        <row r="2748">
          <cell r="A2748">
            <v>0</v>
          </cell>
        </row>
        <row r="2749">
          <cell r="A2749">
            <v>0</v>
          </cell>
        </row>
        <row r="2750">
          <cell r="A2750">
            <v>0</v>
          </cell>
        </row>
        <row r="2751">
          <cell r="A2751">
            <v>0</v>
          </cell>
        </row>
        <row r="2752">
          <cell r="A2752">
            <v>0</v>
          </cell>
        </row>
        <row r="2753">
          <cell r="A2753">
            <v>0</v>
          </cell>
        </row>
        <row r="2754">
          <cell r="A2754">
            <v>0</v>
          </cell>
        </row>
        <row r="2755">
          <cell r="A2755">
            <v>0</v>
          </cell>
        </row>
        <row r="2756">
          <cell r="A2756">
            <v>0</v>
          </cell>
        </row>
        <row r="2757">
          <cell r="A2757">
            <v>0</v>
          </cell>
        </row>
        <row r="2758">
          <cell r="A2758">
            <v>0</v>
          </cell>
        </row>
        <row r="2759">
          <cell r="A2759">
            <v>0</v>
          </cell>
        </row>
        <row r="2760">
          <cell r="A2760">
            <v>0</v>
          </cell>
        </row>
        <row r="2761">
          <cell r="A2761">
            <v>0</v>
          </cell>
        </row>
        <row r="2762">
          <cell r="A2762">
            <v>0</v>
          </cell>
        </row>
        <row r="2763">
          <cell r="A2763">
            <v>0</v>
          </cell>
        </row>
        <row r="2764">
          <cell r="A2764">
            <v>0</v>
          </cell>
        </row>
        <row r="2765">
          <cell r="A2765">
            <v>0</v>
          </cell>
        </row>
        <row r="2766">
          <cell r="A2766">
            <v>0</v>
          </cell>
        </row>
        <row r="2767">
          <cell r="A2767">
            <v>0</v>
          </cell>
        </row>
        <row r="2768">
          <cell r="A2768">
            <v>0</v>
          </cell>
        </row>
        <row r="2769">
          <cell r="A2769">
            <v>0</v>
          </cell>
        </row>
        <row r="2770">
          <cell r="A2770">
            <v>0</v>
          </cell>
        </row>
        <row r="2771">
          <cell r="A2771">
            <v>0</v>
          </cell>
        </row>
        <row r="2772">
          <cell r="A2772">
            <v>0</v>
          </cell>
        </row>
        <row r="2773">
          <cell r="A2773">
            <v>0</v>
          </cell>
        </row>
        <row r="2774">
          <cell r="A2774">
            <v>0</v>
          </cell>
        </row>
        <row r="2775">
          <cell r="A2775">
            <v>0</v>
          </cell>
        </row>
        <row r="2776">
          <cell r="A2776">
            <v>0</v>
          </cell>
        </row>
        <row r="2777">
          <cell r="A2777">
            <v>0</v>
          </cell>
        </row>
        <row r="2778">
          <cell r="A2778">
            <v>0</v>
          </cell>
        </row>
        <row r="2779">
          <cell r="A2779">
            <v>0</v>
          </cell>
        </row>
        <row r="2780">
          <cell r="A2780">
            <v>0</v>
          </cell>
        </row>
        <row r="2781">
          <cell r="A2781">
            <v>0</v>
          </cell>
        </row>
        <row r="2782">
          <cell r="A2782">
            <v>0</v>
          </cell>
        </row>
        <row r="2783">
          <cell r="A2783">
            <v>0</v>
          </cell>
        </row>
        <row r="2784">
          <cell r="A2784">
            <v>0</v>
          </cell>
        </row>
        <row r="2785">
          <cell r="A2785">
            <v>0</v>
          </cell>
        </row>
        <row r="2786">
          <cell r="A2786">
            <v>0</v>
          </cell>
        </row>
        <row r="2787">
          <cell r="A2787">
            <v>0</v>
          </cell>
        </row>
        <row r="2788">
          <cell r="A2788">
            <v>0</v>
          </cell>
        </row>
        <row r="2789">
          <cell r="A2789">
            <v>0</v>
          </cell>
        </row>
        <row r="2790">
          <cell r="A2790">
            <v>0</v>
          </cell>
        </row>
        <row r="2791">
          <cell r="A2791">
            <v>0</v>
          </cell>
        </row>
        <row r="2792">
          <cell r="A2792">
            <v>0</v>
          </cell>
        </row>
        <row r="2793">
          <cell r="A2793">
            <v>0</v>
          </cell>
        </row>
        <row r="2794">
          <cell r="A2794">
            <v>0</v>
          </cell>
        </row>
        <row r="2795">
          <cell r="A2795">
            <v>0</v>
          </cell>
        </row>
        <row r="2796">
          <cell r="A2796">
            <v>0</v>
          </cell>
        </row>
        <row r="2797">
          <cell r="A2797">
            <v>0</v>
          </cell>
        </row>
        <row r="2798">
          <cell r="A2798">
            <v>0</v>
          </cell>
        </row>
        <row r="2799">
          <cell r="A2799">
            <v>0</v>
          </cell>
        </row>
        <row r="2800">
          <cell r="A2800">
            <v>0</v>
          </cell>
        </row>
        <row r="2801">
          <cell r="A2801">
            <v>0</v>
          </cell>
        </row>
        <row r="2802">
          <cell r="A2802">
            <v>0</v>
          </cell>
        </row>
        <row r="2803">
          <cell r="A2803">
            <v>0</v>
          </cell>
        </row>
        <row r="2804">
          <cell r="A2804">
            <v>0</v>
          </cell>
        </row>
        <row r="2805">
          <cell r="A2805">
            <v>0</v>
          </cell>
        </row>
        <row r="2806">
          <cell r="A2806">
            <v>0</v>
          </cell>
        </row>
        <row r="2807">
          <cell r="A2807">
            <v>0</v>
          </cell>
        </row>
        <row r="2808">
          <cell r="A2808">
            <v>0</v>
          </cell>
        </row>
        <row r="2809">
          <cell r="A2809">
            <v>0</v>
          </cell>
        </row>
        <row r="2810">
          <cell r="A2810">
            <v>0</v>
          </cell>
        </row>
        <row r="2811">
          <cell r="A2811">
            <v>0</v>
          </cell>
        </row>
        <row r="2812">
          <cell r="A2812">
            <v>0</v>
          </cell>
        </row>
        <row r="2813">
          <cell r="A2813">
            <v>0</v>
          </cell>
        </row>
        <row r="2814">
          <cell r="A2814">
            <v>0</v>
          </cell>
        </row>
        <row r="2815">
          <cell r="A2815">
            <v>0</v>
          </cell>
        </row>
        <row r="2816">
          <cell r="A2816">
            <v>0</v>
          </cell>
        </row>
        <row r="2817">
          <cell r="A2817">
            <v>0</v>
          </cell>
        </row>
        <row r="2818">
          <cell r="A2818">
            <v>0</v>
          </cell>
        </row>
        <row r="2819">
          <cell r="A2819">
            <v>0</v>
          </cell>
        </row>
        <row r="2820">
          <cell r="A2820">
            <v>0</v>
          </cell>
        </row>
        <row r="2821">
          <cell r="A2821">
            <v>0</v>
          </cell>
        </row>
        <row r="2822">
          <cell r="A2822">
            <v>0</v>
          </cell>
        </row>
        <row r="2823">
          <cell r="A2823">
            <v>0</v>
          </cell>
        </row>
        <row r="2824">
          <cell r="A2824">
            <v>0</v>
          </cell>
        </row>
        <row r="2825">
          <cell r="A2825">
            <v>0</v>
          </cell>
        </row>
        <row r="2826">
          <cell r="A2826">
            <v>0</v>
          </cell>
        </row>
        <row r="2827">
          <cell r="A2827">
            <v>0</v>
          </cell>
        </row>
        <row r="2828">
          <cell r="A2828">
            <v>0</v>
          </cell>
        </row>
        <row r="2829">
          <cell r="A2829">
            <v>0</v>
          </cell>
        </row>
        <row r="2830">
          <cell r="A2830">
            <v>0</v>
          </cell>
        </row>
        <row r="2831">
          <cell r="A2831">
            <v>0</v>
          </cell>
        </row>
        <row r="2832">
          <cell r="A2832">
            <v>0</v>
          </cell>
        </row>
        <row r="2833">
          <cell r="A2833">
            <v>0</v>
          </cell>
        </row>
        <row r="2834">
          <cell r="A2834">
            <v>0</v>
          </cell>
        </row>
        <row r="2835">
          <cell r="A2835">
            <v>0</v>
          </cell>
        </row>
        <row r="2836">
          <cell r="A2836">
            <v>0</v>
          </cell>
        </row>
        <row r="2837">
          <cell r="A2837">
            <v>0</v>
          </cell>
        </row>
        <row r="2838">
          <cell r="A2838">
            <v>0</v>
          </cell>
        </row>
        <row r="2839">
          <cell r="A2839">
            <v>0</v>
          </cell>
        </row>
        <row r="2840">
          <cell r="A2840">
            <v>0</v>
          </cell>
        </row>
        <row r="2841">
          <cell r="A2841">
            <v>0</v>
          </cell>
        </row>
        <row r="2842">
          <cell r="A2842">
            <v>0</v>
          </cell>
        </row>
        <row r="2843">
          <cell r="A2843">
            <v>0</v>
          </cell>
        </row>
        <row r="2844">
          <cell r="A2844">
            <v>0</v>
          </cell>
        </row>
        <row r="2845">
          <cell r="A2845">
            <v>0</v>
          </cell>
        </row>
        <row r="2846">
          <cell r="A2846">
            <v>0</v>
          </cell>
        </row>
        <row r="2847">
          <cell r="A2847">
            <v>0</v>
          </cell>
        </row>
        <row r="2848">
          <cell r="A2848">
            <v>0</v>
          </cell>
        </row>
        <row r="2849">
          <cell r="A2849">
            <v>0</v>
          </cell>
        </row>
        <row r="2850">
          <cell r="A2850">
            <v>0</v>
          </cell>
        </row>
        <row r="2851">
          <cell r="A2851">
            <v>0</v>
          </cell>
        </row>
        <row r="2852">
          <cell r="A2852">
            <v>0</v>
          </cell>
        </row>
        <row r="2853">
          <cell r="A2853">
            <v>0</v>
          </cell>
        </row>
        <row r="2854">
          <cell r="A2854">
            <v>0</v>
          </cell>
        </row>
        <row r="2855">
          <cell r="A2855">
            <v>0</v>
          </cell>
        </row>
        <row r="2856">
          <cell r="A2856">
            <v>0</v>
          </cell>
        </row>
        <row r="2857">
          <cell r="A2857">
            <v>0</v>
          </cell>
        </row>
        <row r="2858">
          <cell r="A2858">
            <v>0</v>
          </cell>
        </row>
        <row r="2859">
          <cell r="A2859">
            <v>0</v>
          </cell>
        </row>
        <row r="2860">
          <cell r="A2860">
            <v>0</v>
          </cell>
        </row>
        <row r="2861">
          <cell r="A2861">
            <v>0</v>
          </cell>
        </row>
        <row r="2862">
          <cell r="A2862">
            <v>0</v>
          </cell>
        </row>
        <row r="2863">
          <cell r="A2863">
            <v>0</v>
          </cell>
        </row>
        <row r="2864">
          <cell r="A2864">
            <v>0</v>
          </cell>
        </row>
        <row r="2865">
          <cell r="A2865">
            <v>0</v>
          </cell>
        </row>
        <row r="2866">
          <cell r="A2866">
            <v>0</v>
          </cell>
        </row>
        <row r="2867">
          <cell r="A2867">
            <v>0</v>
          </cell>
        </row>
        <row r="2868">
          <cell r="A2868">
            <v>0</v>
          </cell>
        </row>
        <row r="2869">
          <cell r="A2869">
            <v>0</v>
          </cell>
        </row>
        <row r="2870">
          <cell r="A2870">
            <v>0</v>
          </cell>
        </row>
        <row r="2871">
          <cell r="A2871">
            <v>0</v>
          </cell>
        </row>
        <row r="2872">
          <cell r="A2872">
            <v>0</v>
          </cell>
        </row>
        <row r="2873">
          <cell r="A2873">
            <v>0</v>
          </cell>
        </row>
        <row r="2874">
          <cell r="A2874">
            <v>0</v>
          </cell>
        </row>
        <row r="2875">
          <cell r="A2875">
            <v>0</v>
          </cell>
        </row>
        <row r="2876">
          <cell r="A2876">
            <v>0</v>
          </cell>
        </row>
        <row r="2877">
          <cell r="A2877">
            <v>0</v>
          </cell>
        </row>
        <row r="2878">
          <cell r="A2878">
            <v>0</v>
          </cell>
        </row>
        <row r="2879">
          <cell r="A2879">
            <v>0</v>
          </cell>
        </row>
        <row r="2880">
          <cell r="A2880">
            <v>0</v>
          </cell>
        </row>
        <row r="2881">
          <cell r="A2881">
            <v>0</v>
          </cell>
        </row>
        <row r="2882">
          <cell r="A2882">
            <v>0</v>
          </cell>
        </row>
        <row r="2883">
          <cell r="A2883">
            <v>0</v>
          </cell>
        </row>
        <row r="2884">
          <cell r="A2884">
            <v>0</v>
          </cell>
        </row>
        <row r="2885">
          <cell r="A2885">
            <v>0</v>
          </cell>
        </row>
        <row r="2886">
          <cell r="A2886">
            <v>0</v>
          </cell>
        </row>
        <row r="2887">
          <cell r="A2887">
            <v>0</v>
          </cell>
        </row>
        <row r="2888">
          <cell r="A2888">
            <v>0</v>
          </cell>
        </row>
        <row r="2889">
          <cell r="A2889">
            <v>0</v>
          </cell>
        </row>
        <row r="2890">
          <cell r="A2890">
            <v>0</v>
          </cell>
        </row>
        <row r="2891">
          <cell r="A2891">
            <v>0</v>
          </cell>
        </row>
        <row r="2892">
          <cell r="A2892">
            <v>0</v>
          </cell>
        </row>
        <row r="2893">
          <cell r="A2893">
            <v>0</v>
          </cell>
        </row>
        <row r="2894">
          <cell r="A2894">
            <v>0</v>
          </cell>
        </row>
        <row r="2895">
          <cell r="A2895">
            <v>0</v>
          </cell>
        </row>
        <row r="2896">
          <cell r="A2896">
            <v>0</v>
          </cell>
        </row>
        <row r="2897">
          <cell r="A2897">
            <v>0</v>
          </cell>
        </row>
        <row r="2898">
          <cell r="A2898">
            <v>0</v>
          </cell>
        </row>
        <row r="2899">
          <cell r="A2899">
            <v>0</v>
          </cell>
        </row>
        <row r="2900">
          <cell r="A2900">
            <v>0</v>
          </cell>
        </row>
        <row r="2901">
          <cell r="A2901">
            <v>0</v>
          </cell>
        </row>
        <row r="2902">
          <cell r="A2902">
            <v>0</v>
          </cell>
        </row>
        <row r="2903">
          <cell r="A2903">
            <v>0</v>
          </cell>
        </row>
        <row r="2904">
          <cell r="A2904">
            <v>0</v>
          </cell>
        </row>
        <row r="2905">
          <cell r="A2905">
            <v>0</v>
          </cell>
        </row>
        <row r="2906">
          <cell r="A2906">
            <v>0</v>
          </cell>
        </row>
        <row r="2907">
          <cell r="A2907">
            <v>0</v>
          </cell>
        </row>
        <row r="2908">
          <cell r="A2908">
            <v>0</v>
          </cell>
        </row>
        <row r="2909">
          <cell r="A2909">
            <v>0</v>
          </cell>
        </row>
        <row r="2910">
          <cell r="A2910">
            <v>0</v>
          </cell>
        </row>
        <row r="2911">
          <cell r="A2911">
            <v>0</v>
          </cell>
        </row>
        <row r="2912">
          <cell r="A2912">
            <v>0</v>
          </cell>
        </row>
        <row r="2913">
          <cell r="A2913">
            <v>0</v>
          </cell>
        </row>
        <row r="2914">
          <cell r="A2914">
            <v>0</v>
          </cell>
        </row>
        <row r="2915">
          <cell r="A2915">
            <v>0</v>
          </cell>
        </row>
        <row r="2916">
          <cell r="A2916">
            <v>0</v>
          </cell>
        </row>
        <row r="2917">
          <cell r="A2917">
            <v>0</v>
          </cell>
        </row>
        <row r="2918">
          <cell r="A2918">
            <v>0</v>
          </cell>
        </row>
        <row r="2919">
          <cell r="A2919">
            <v>0</v>
          </cell>
        </row>
        <row r="2920">
          <cell r="A2920">
            <v>0</v>
          </cell>
        </row>
        <row r="2921">
          <cell r="A2921">
            <v>0</v>
          </cell>
        </row>
        <row r="2922">
          <cell r="A2922">
            <v>0</v>
          </cell>
        </row>
        <row r="2923">
          <cell r="A2923">
            <v>0</v>
          </cell>
        </row>
        <row r="2924">
          <cell r="A2924">
            <v>0</v>
          </cell>
        </row>
        <row r="2925">
          <cell r="A2925">
            <v>0</v>
          </cell>
        </row>
        <row r="2926">
          <cell r="A2926">
            <v>0</v>
          </cell>
        </row>
        <row r="2927">
          <cell r="A2927">
            <v>0</v>
          </cell>
        </row>
        <row r="2928">
          <cell r="A2928">
            <v>0</v>
          </cell>
        </row>
        <row r="2929">
          <cell r="A2929">
            <v>0</v>
          </cell>
        </row>
        <row r="2930">
          <cell r="A2930">
            <v>0</v>
          </cell>
        </row>
        <row r="2931">
          <cell r="A2931">
            <v>0</v>
          </cell>
        </row>
        <row r="2932">
          <cell r="A2932">
            <v>0</v>
          </cell>
        </row>
        <row r="2933">
          <cell r="A2933">
            <v>0</v>
          </cell>
        </row>
        <row r="2934">
          <cell r="A2934">
            <v>0</v>
          </cell>
        </row>
        <row r="2935">
          <cell r="A2935">
            <v>0</v>
          </cell>
        </row>
        <row r="2936">
          <cell r="A2936">
            <v>0</v>
          </cell>
        </row>
        <row r="2937">
          <cell r="A2937">
            <v>0</v>
          </cell>
        </row>
        <row r="2938">
          <cell r="A2938">
            <v>0</v>
          </cell>
        </row>
        <row r="2939">
          <cell r="A2939">
            <v>0</v>
          </cell>
        </row>
        <row r="2940">
          <cell r="A2940">
            <v>0</v>
          </cell>
        </row>
        <row r="2941">
          <cell r="A2941">
            <v>0</v>
          </cell>
        </row>
        <row r="2942">
          <cell r="A2942">
            <v>0</v>
          </cell>
        </row>
        <row r="2943">
          <cell r="A2943">
            <v>0</v>
          </cell>
        </row>
        <row r="2944">
          <cell r="A2944">
            <v>0</v>
          </cell>
        </row>
        <row r="2945">
          <cell r="A2945">
            <v>0</v>
          </cell>
        </row>
        <row r="2946">
          <cell r="A2946">
            <v>0</v>
          </cell>
        </row>
        <row r="2947">
          <cell r="A2947">
            <v>0</v>
          </cell>
        </row>
        <row r="2948">
          <cell r="A2948">
            <v>0</v>
          </cell>
        </row>
        <row r="2949">
          <cell r="A2949">
            <v>0</v>
          </cell>
        </row>
        <row r="2950">
          <cell r="A2950">
            <v>0</v>
          </cell>
        </row>
        <row r="2951">
          <cell r="A2951">
            <v>0</v>
          </cell>
        </row>
        <row r="2952">
          <cell r="A2952">
            <v>0</v>
          </cell>
        </row>
        <row r="2953">
          <cell r="A2953">
            <v>0</v>
          </cell>
        </row>
        <row r="2954">
          <cell r="A2954">
            <v>0</v>
          </cell>
        </row>
        <row r="2955">
          <cell r="A2955">
            <v>0</v>
          </cell>
        </row>
        <row r="2956">
          <cell r="A2956">
            <v>0</v>
          </cell>
        </row>
        <row r="2957">
          <cell r="A2957">
            <v>0</v>
          </cell>
        </row>
        <row r="2958">
          <cell r="A2958">
            <v>0</v>
          </cell>
        </row>
        <row r="2959">
          <cell r="A2959">
            <v>0</v>
          </cell>
        </row>
        <row r="2960">
          <cell r="A2960">
            <v>0</v>
          </cell>
        </row>
        <row r="2961">
          <cell r="A2961">
            <v>0</v>
          </cell>
        </row>
        <row r="2962">
          <cell r="A2962">
            <v>0</v>
          </cell>
        </row>
        <row r="2963">
          <cell r="A2963">
            <v>0</v>
          </cell>
        </row>
        <row r="2964">
          <cell r="A2964">
            <v>0</v>
          </cell>
        </row>
        <row r="2965">
          <cell r="A2965">
            <v>0</v>
          </cell>
        </row>
        <row r="2966">
          <cell r="A2966">
            <v>0</v>
          </cell>
        </row>
        <row r="2967">
          <cell r="A2967">
            <v>0</v>
          </cell>
        </row>
        <row r="2968">
          <cell r="A2968">
            <v>0</v>
          </cell>
        </row>
        <row r="2969">
          <cell r="A2969">
            <v>0</v>
          </cell>
        </row>
        <row r="2970">
          <cell r="A2970">
            <v>0</v>
          </cell>
        </row>
        <row r="2971">
          <cell r="A2971">
            <v>0</v>
          </cell>
        </row>
        <row r="2972">
          <cell r="A2972">
            <v>0</v>
          </cell>
        </row>
        <row r="2973">
          <cell r="A2973">
            <v>0</v>
          </cell>
        </row>
        <row r="2974">
          <cell r="A2974">
            <v>0</v>
          </cell>
        </row>
        <row r="2975">
          <cell r="A2975">
            <v>0</v>
          </cell>
        </row>
        <row r="2976">
          <cell r="A2976">
            <v>0</v>
          </cell>
        </row>
        <row r="2977">
          <cell r="A2977">
            <v>0</v>
          </cell>
        </row>
        <row r="2978">
          <cell r="A2978">
            <v>0</v>
          </cell>
        </row>
        <row r="2979">
          <cell r="A2979">
            <v>0</v>
          </cell>
        </row>
        <row r="2980">
          <cell r="A2980">
            <v>0</v>
          </cell>
        </row>
        <row r="2981">
          <cell r="A2981">
            <v>0</v>
          </cell>
        </row>
        <row r="2982">
          <cell r="A2982">
            <v>0</v>
          </cell>
        </row>
        <row r="2983">
          <cell r="A2983">
            <v>0</v>
          </cell>
        </row>
        <row r="2984">
          <cell r="A2984">
            <v>0</v>
          </cell>
        </row>
        <row r="2985">
          <cell r="A2985">
            <v>0</v>
          </cell>
        </row>
        <row r="2986">
          <cell r="A2986">
            <v>0</v>
          </cell>
        </row>
        <row r="2987">
          <cell r="A2987">
            <v>0</v>
          </cell>
        </row>
        <row r="2988">
          <cell r="A2988">
            <v>0</v>
          </cell>
        </row>
        <row r="2989">
          <cell r="A2989">
            <v>0</v>
          </cell>
        </row>
        <row r="2990">
          <cell r="A2990">
            <v>0</v>
          </cell>
        </row>
        <row r="2991">
          <cell r="A2991">
            <v>0</v>
          </cell>
        </row>
        <row r="2992">
          <cell r="A2992">
            <v>0</v>
          </cell>
        </row>
        <row r="2993">
          <cell r="A2993">
            <v>0</v>
          </cell>
        </row>
        <row r="2994">
          <cell r="A2994">
            <v>0</v>
          </cell>
        </row>
        <row r="2995">
          <cell r="A2995">
            <v>0</v>
          </cell>
        </row>
        <row r="2996">
          <cell r="A2996">
            <v>0</v>
          </cell>
        </row>
        <row r="2997">
          <cell r="A2997">
            <v>0</v>
          </cell>
        </row>
        <row r="2998">
          <cell r="A2998">
            <v>0</v>
          </cell>
        </row>
        <row r="2999">
          <cell r="A2999">
            <v>0</v>
          </cell>
        </row>
        <row r="3000">
          <cell r="A3000">
            <v>0</v>
          </cell>
        </row>
        <row r="3001">
          <cell r="A3001">
            <v>0</v>
          </cell>
        </row>
        <row r="3002">
          <cell r="A3002">
            <v>0</v>
          </cell>
        </row>
        <row r="3003">
          <cell r="A3003">
            <v>0</v>
          </cell>
        </row>
        <row r="3004">
          <cell r="A3004">
            <v>0</v>
          </cell>
        </row>
        <row r="3005">
          <cell r="A3005">
            <v>0</v>
          </cell>
        </row>
        <row r="3006">
          <cell r="A3006">
            <v>0</v>
          </cell>
        </row>
        <row r="3007">
          <cell r="A3007">
            <v>0</v>
          </cell>
        </row>
        <row r="3008">
          <cell r="A3008">
            <v>0</v>
          </cell>
        </row>
        <row r="3009">
          <cell r="A3009">
            <v>0</v>
          </cell>
        </row>
        <row r="3010">
          <cell r="A3010">
            <v>0</v>
          </cell>
        </row>
        <row r="3011">
          <cell r="A3011">
            <v>0</v>
          </cell>
        </row>
        <row r="3012">
          <cell r="A3012">
            <v>0</v>
          </cell>
        </row>
        <row r="3013">
          <cell r="A3013">
            <v>0</v>
          </cell>
        </row>
        <row r="3014">
          <cell r="A3014">
            <v>0</v>
          </cell>
        </row>
        <row r="3015">
          <cell r="A3015">
            <v>0</v>
          </cell>
        </row>
        <row r="3016">
          <cell r="A3016">
            <v>0</v>
          </cell>
        </row>
        <row r="3017">
          <cell r="A3017">
            <v>0</v>
          </cell>
        </row>
        <row r="3018">
          <cell r="A3018">
            <v>0</v>
          </cell>
        </row>
        <row r="3019">
          <cell r="A3019">
            <v>0</v>
          </cell>
        </row>
        <row r="3020">
          <cell r="A3020">
            <v>0</v>
          </cell>
        </row>
        <row r="3021">
          <cell r="A3021">
            <v>0</v>
          </cell>
        </row>
        <row r="3022">
          <cell r="A3022">
            <v>0</v>
          </cell>
        </row>
        <row r="3023">
          <cell r="A3023">
            <v>0</v>
          </cell>
        </row>
        <row r="3024">
          <cell r="A3024">
            <v>0</v>
          </cell>
        </row>
        <row r="3025">
          <cell r="A3025">
            <v>0</v>
          </cell>
        </row>
        <row r="3026">
          <cell r="A3026">
            <v>0</v>
          </cell>
        </row>
        <row r="3027">
          <cell r="A3027">
            <v>0</v>
          </cell>
        </row>
        <row r="3028">
          <cell r="A3028">
            <v>0</v>
          </cell>
        </row>
        <row r="3029">
          <cell r="A3029">
            <v>0</v>
          </cell>
        </row>
        <row r="3030">
          <cell r="A3030">
            <v>0</v>
          </cell>
        </row>
        <row r="3031">
          <cell r="A3031">
            <v>0</v>
          </cell>
        </row>
        <row r="3032">
          <cell r="A3032">
            <v>0</v>
          </cell>
        </row>
        <row r="3033">
          <cell r="A3033">
            <v>0</v>
          </cell>
        </row>
        <row r="3034">
          <cell r="A3034">
            <v>0</v>
          </cell>
        </row>
        <row r="3035">
          <cell r="A3035">
            <v>0</v>
          </cell>
        </row>
        <row r="3036">
          <cell r="A3036">
            <v>0</v>
          </cell>
        </row>
        <row r="3037">
          <cell r="A3037">
            <v>0</v>
          </cell>
        </row>
        <row r="3038">
          <cell r="A3038">
            <v>0</v>
          </cell>
        </row>
        <row r="3039">
          <cell r="A3039">
            <v>0</v>
          </cell>
        </row>
        <row r="3040">
          <cell r="A3040">
            <v>0</v>
          </cell>
        </row>
        <row r="3041">
          <cell r="A3041">
            <v>0</v>
          </cell>
        </row>
        <row r="3042">
          <cell r="A3042">
            <v>0</v>
          </cell>
        </row>
        <row r="3043">
          <cell r="A3043">
            <v>0</v>
          </cell>
        </row>
        <row r="3044">
          <cell r="A3044">
            <v>0</v>
          </cell>
        </row>
        <row r="3045">
          <cell r="A3045">
            <v>0</v>
          </cell>
        </row>
        <row r="3046">
          <cell r="A3046">
            <v>0</v>
          </cell>
        </row>
        <row r="3047">
          <cell r="A3047">
            <v>0</v>
          </cell>
        </row>
        <row r="3048">
          <cell r="A3048">
            <v>0</v>
          </cell>
        </row>
        <row r="3049">
          <cell r="A3049">
            <v>0</v>
          </cell>
        </row>
        <row r="3050">
          <cell r="A3050">
            <v>0</v>
          </cell>
        </row>
        <row r="3051">
          <cell r="A3051">
            <v>0</v>
          </cell>
        </row>
        <row r="3052">
          <cell r="A3052">
            <v>0</v>
          </cell>
        </row>
        <row r="3053">
          <cell r="A3053">
            <v>0</v>
          </cell>
        </row>
        <row r="3054">
          <cell r="A3054">
            <v>0</v>
          </cell>
        </row>
        <row r="3055">
          <cell r="A3055">
            <v>0</v>
          </cell>
        </row>
        <row r="3056">
          <cell r="A3056">
            <v>0</v>
          </cell>
        </row>
        <row r="3057">
          <cell r="A3057">
            <v>0</v>
          </cell>
        </row>
        <row r="3058">
          <cell r="A3058">
            <v>0</v>
          </cell>
        </row>
        <row r="3059">
          <cell r="A3059">
            <v>0</v>
          </cell>
        </row>
        <row r="3060">
          <cell r="A3060">
            <v>0</v>
          </cell>
        </row>
        <row r="3061">
          <cell r="A3061">
            <v>0</v>
          </cell>
        </row>
        <row r="3062">
          <cell r="A3062">
            <v>0</v>
          </cell>
        </row>
        <row r="3063">
          <cell r="A3063">
            <v>0</v>
          </cell>
        </row>
        <row r="3064">
          <cell r="A3064">
            <v>0</v>
          </cell>
        </row>
        <row r="3065">
          <cell r="A3065">
            <v>0</v>
          </cell>
        </row>
        <row r="3066">
          <cell r="A3066">
            <v>0</v>
          </cell>
        </row>
        <row r="3067">
          <cell r="A3067">
            <v>0</v>
          </cell>
        </row>
        <row r="3068">
          <cell r="A3068">
            <v>0</v>
          </cell>
        </row>
        <row r="3069">
          <cell r="A3069">
            <v>0</v>
          </cell>
        </row>
        <row r="3070">
          <cell r="A3070">
            <v>0</v>
          </cell>
        </row>
        <row r="3071">
          <cell r="A3071">
            <v>0</v>
          </cell>
        </row>
        <row r="3072">
          <cell r="A3072">
            <v>0</v>
          </cell>
        </row>
        <row r="3073">
          <cell r="A3073">
            <v>0</v>
          </cell>
        </row>
        <row r="3074">
          <cell r="A3074">
            <v>0</v>
          </cell>
        </row>
        <row r="3075">
          <cell r="A3075">
            <v>0</v>
          </cell>
        </row>
        <row r="3076">
          <cell r="A3076">
            <v>0</v>
          </cell>
        </row>
        <row r="3077">
          <cell r="A3077">
            <v>0</v>
          </cell>
        </row>
        <row r="3078">
          <cell r="A3078">
            <v>0</v>
          </cell>
        </row>
        <row r="3079">
          <cell r="A3079">
            <v>0</v>
          </cell>
        </row>
        <row r="3080">
          <cell r="A3080">
            <v>0</v>
          </cell>
        </row>
        <row r="3081">
          <cell r="A3081">
            <v>0</v>
          </cell>
        </row>
        <row r="3082">
          <cell r="A3082">
            <v>0</v>
          </cell>
        </row>
        <row r="3083">
          <cell r="A3083">
            <v>0</v>
          </cell>
        </row>
        <row r="3084">
          <cell r="A3084">
            <v>0</v>
          </cell>
        </row>
        <row r="3085">
          <cell r="A3085">
            <v>0</v>
          </cell>
        </row>
        <row r="3086">
          <cell r="A3086">
            <v>0</v>
          </cell>
        </row>
        <row r="3087">
          <cell r="A3087">
            <v>0</v>
          </cell>
        </row>
        <row r="3088">
          <cell r="A3088">
            <v>0</v>
          </cell>
        </row>
        <row r="3089">
          <cell r="A3089">
            <v>0</v>
          </cell>
        </row>
        <row r="3090">
          <cell r="A3090">
            <v>0</v>
          </cell>
        </row>
        <row r="3091">
          <cell r="A3091">
            <v>0</v>
          </cell>
        </row>
        <row r="3092">
          <cell r="A3092">
            <v>0</v>
          </cell>
        </row>
        <row r="3093">
          <cell r="A3093">
            <v>0</v>
          </cell>
        </row>
        <row r="3094">
          <cell r="A3094">
            <v>0</v>
          </cell>
        </row>
        <row r="3095">
          <cell r="A3095">
            <v>0</v>
          </cell>
        </row>
        <row r="3096">
          <cell r="A3096">
            <v>0</v>
          </cell>
        </row>
        <row r="3097">
          <cell r="A3097">
            <v>0</v>
          </cell>
        </row>
        <row r="3098">
          <cell r="A3098">
            <v>0</v>
          </cell>
        </row>
        <row r="3099">
          <cell r="A3099">
            <v>0</v>
          </cell>
        </row>
        <row r="3100">
          <cell r="A3100">
            <v>0</v>
          </cell>
        </row>
        <row r="3101">
          <cell r="A3101">
            <v>0</v>
          </cell>
        </row>
        <row r="3102">
          <cell r="A3102">
            <v>0</v>
          </cell>
        </row>
        <row r="3103">
          <cell r="A3103">
            <v>0</v>
          </cell>
        </row>
        <row r="3104">
          <cell r="A3104">
            <v>0</v>
          </cell>
        </row>
        <row r="3105">
          <cell r="A3105">
            <v>0</v>
          </cell>
        </row>
        <row r="3106">
          <cell r="A3106">
            <v>0</v>
          </cell>
        </row>
        <row r="3107">
          <cell r="A3107">
            <v>0</v>
          </cell>
        </row>
        <row r="3108">
          <cell r="A3108">
            <v>0</v>
          </cell>
        </row>
        <row r="3109">
          <cell r="A3109">
            <v>0</v>
          </cell>
        </row>
        <row r="3110">
          <cell r="A3110">
            <v>0</v>
          </cell>
        </row>
        <row r="3111">
          <cell r="A3111">
            <v>0</v>
          </cell>
        </row>
        <row r="3112">
          <cell r="A3112">
            <v>0</v>
          </cell>
        </row>
        <row r="3113">
          <cell r="A3113">
            <v>0</v>
          </cell>
        </row>
        <row r="3114">
          <cell r="A3114">
            <v>0</v>
          </cell>
        </row>
        <row r="3115">
          <cell r="A3115">
            <v>0</v>
          </cell>
        </row>
        <row r="3116">
          <cell r="A3116">
            <v>0</v>
          </cell>
        </row>
        <row r="3117">
          <cell r="A3117">
            <v>0</v>
          </cell>
        </row>
        <row r="3118">
          <cell r="A3118">
            <v>0</v>
          </cell>
        </row>
        <row r="3119">
          <cell r="A3119">
            <v>0</v>
          </cell>
        </row>
        <row r="3120">
          <cell r="A3120">
            <v>0</v>
          </cell>
        </row>
        <row r="3121">
          <cell r="A3121">
            <v>0</v>
          </cell>
        </row>
        <row r="3122">
          <cell r="A3122">
            <v>0</v>
          </cell>
        </row>
        <row r="3123">
          <cell r="A3123">
            <v>0</v>
          </cell>
        </row>
        <row r="3124">
          <cell r="A3124">
            <v>0</v>
          </cell>
        </row>
        <row r="3125">
          <cell r="A3125">
            <v>0</v>
          </cell>
        </row>
        <row r="3126">
          <cell r="A3126">
            <v>0</v>
          </cell>
        </row>
        <row r="3127">
          <cell r="A3127">
            <v>0</v>
          </cell>
        </row>
        <row r="3128">
          <cell r="A3128">
            <v>0</v>
          </cell>
        </row>
        <row r="3129">
          <cell r="A3129">
            <v>0</v>
          </cell>
        </row>
        <row r="3130">
          <cell r="A3130">
            <v>0</v>
          </cell>
        </row>
        <row r="3131">
          <cell r="A3131">
            <v>0</v>
          </cell>
        </row>
        <row r="3132">
          <cell r="A3132">
            <v>0</v>
          </cell>
        </row>
        <row r="3133">
          <cell r="A3133">
            <v>0</v>
          </cell>
        </row>
        <row r="3134">
          <cell r="A3134">
            <v>0</v>
          </cell>
        </row>
        <row r="3135">
          <cell r="A3135">
            <v>0</v>
          </cell>
        </row>
        <row r="3136">
          <cell r="A3136">
            <v>0</v>
          </cell>
        </row>
        <row r="3137">
          <cell r="A3137">
            <v>0</v>
          </cell>
        </row>
        <row r="3138">
          <cell r="A3138">
            <v>0</v>
          </cell>
        </row>
        <row r="3139">
          <cell r="A3139">
            <v>0</v>
          </cell>
        </row>
        <row r="3140">
          <cell r="A3140">
            <v>0</v>
          </cell>
        </row>
        <row r="3141">
          <cell r="A3141">
            <v>0</v>
          </cell>
        </row>
        <row r="3142">
          <cell r="A3142">
            <v>0</v>
          </cell>
        </row>
        <row r="3143">
          <cell r="A3143">
            <v>0</v>
          </cell>
        </row>
        <row r="3144">
          <cell r="A3144">
            <v>0</v>
          </cell>
        </row>
        <row r="3145">
          <cell r="A3145">
            <v>0</v>
          </cell>
        </row>
        <row r="3146">
          <cell r="A3146">
            <v>0</v>
          </cell>
        </row>
        <row r="3147">
          <cell r="A3147">
            <v>0</v>
          </cell>
        </row>
        <row r="3148">
          <cell r="A3148">
            <v>0</v>
          </cell>
        </row>
        <row r="3149">
          <cell r="A3149">
            <v>0</v>
          </cell>
        </row>
        <row r="3150">
          <cell r="A3150">
            <v>0</v>
          </cell>
        </row>
        <row r="3151">
          <cell r="A3151">
            <v>0</v>
          </cell>
        </row>
        <row r="3152">
          <cell r="A3152">
            <v>0</v>
          </cell>
        </row>
        <row r="3153">
          <cell r="A3153">
            <v>0</v>
          </cell>
        </row>
        <row r="3154">
          <cell r="A3154">
            <v>0</v>
          </cell>
        </row>
        <row r="3155">
          <cell r="A3155">
            <v>0</v>
          </cell>
        </row>
        <row r="3156">
          <cell r="A3156">
            <v>0</v>
          </cell>
        </row>
        <row r="3157">
          <cell r="A3157">
            <v>0</v>
          </cell>
        </row>
        <row r="3158">
          <cell r="A3158">
            <v>0</v>
          </cell>
        </row>
        <row r="3159">
          <cell r="A3159">
            <v>0</v>
          </cell>
        </row>
        <row r="3160">
          <cell r="A3160">
            <v>0</v>
          </cell>
        </row>
        <row r="3161">
          <cell r="A3161">
            <v>0</v>
          </cell>
        </row>
        <row r="3162">
          <cell r="A3162">
            <v>0</v>
          </cell>
        </row>
        <row r="3163">
          <cell r="A3163">
            <v>0</v>
          </cell>
        </row>
        <row r="3164">
          <cell r="A3164">
            <v>0</v>
          </cell>
        </row>
        <row r="3165">
          <cell r="A3165">
            <v>0</v>
          </cell>
        </row>
        <row r="3166">
          <cell r="A3166">
            <v>0</v>
          </cell>
        </row>
        <row r="3167">
          <cell r="A3167">
            <v>0</v>
          </cell>
        </row>
        <row r="3168">
          <cell r="A3168">
            <v>0</v>
          </cell>
        </row>
        <row r="3169">
          <cell r="A3169">
            <v>0</v>
          </cell>
        </row>
        <row r="3170">
          <cell r="A3170">
            <v>0</v>
          </cell>
        </row>
        <row r="3171">
          <cell r="A3171">
            <v>0</v>
          </cell>
        </row>
        <row r="3172">
          <cell r="A3172">
            <v>0</v>
          </cell>
        </row>
        <row r="3173">
          <cell r="A3173">
            <v>0</v>
          </cell>
        </row>
        <row r="3174">
          <cell r="A3174">
            <v>0</v>
          </cell>
        </row>
        <row r="3175">
          <cell r="A3175">
            <v>0</v>
          </cell>
        </row>
        <row r="3176">
          <cell r="A3176">
            <v>0</v>
          </cell>
        </row>
        <row r="3177">
          <cell r="A3177">
            <v>0</v>
          </cell>
        </row>
        <row r="3178">
          <cell r="A3178">
            <v>0</v>
          </cell>
        </row>
        <row r="3179">
          <cell r="A3179">
            <v>0</v>
          </cell>
        </row>
        <row r="3180">
          <cell r="A3180">
            <v>0</v>
          </cell>
        </row>
        <row r="3181">
          <cell r="A3181">
            <v>0</v>
          </cell>
        </row>
        <row r="3182">
          <cell r="A3182">
            <v>0</v>
          </cell>
        </row>
        <row r="3183">
          <cell r="A3183">
            <v>0</v>
          </cell>
        </row>
        <row r="3184">
          <cell r="A3184">
            <v>0</v>
          </cell>
        </row>
        <row r="3185">
          <cell r="A3185">
            <v>0</v>
          </cell>
        </row>
        <row r="3186">
          <cell r="A3186">
            <v>0</v>
          </cell>
        </row>
        <row r="3187">
          <cell r="A3187">
            <v>0</v>
          </cell>
        </row>
        <row r="3188">
          <cell r="A3188">
            <v>0</v>
          </cell>
        </row>
        <row r="3189">
          <cell r="A3189">
            <v>0</v>
          </cell>
        </row>
        <row r="3190">
          <cell r="A3190">
            <v>0</v>
          </cell>
        </row>
        <row r="3191">
          <cell r="A3191">
            <v>0</v>
          </cell>
        </row>
        <row r="3192">
          <cell r="A3192">
            <v>0</v>
          </cell>
        </row>
        <row r="3193">
          <cell r="A3193">
            <v>0</v>
          </cell>
        </row>
        <row r="3194">
          <cell r="A3194">
            <v>0</v>
          </cell>
        </row>
        <row r="3195">
          <cell r="A3195">
            <v>0</v>
          </cell>
        </row>
        <row r="3196">
          <cell r="A3196">
            <v>0</v>
          </cell>
        </row>
        <row r="3197">
          <cell r="A3197">
            <v>0</v>
          </cell>
        </row>
        <row r="3198">
          <cell r="A3198">
            <v>0</v>
          </cell>
        </row>
        <row r="3199">
          <cell r="A3199">
            <v>0</v>
          </cell>
        </row>
        <row r="3200">
          <cell r="A3200">
            <v>0</v>
          </cell>
        </row>
        <row r="3201">
          <cell r="A3201">
            <v>0</v>
          </cell>
        </row>
        <row r="3202">
          <cell r="A3202">
            <v>0</v>
          </cell>
        </row>
        <row r="3203">
          <cell r="A3203">
            <v>0</v>
          </cell>
        </row>
        <row r="3204">
          <cell r="A3204">
            <v>0</v>
          </cell>
        </row>
        <row r="3205">
          <cell r="A3205">
            <v>0</v>
          </cell>
        </row>
        <row r="3206">
          <cell r="A3206">
            <v>0</v>
          </cell>
        </row>
        <row r="3207">
          <cell r="A3207">
            <v>0</v>
          </cell>
        </row>
        <row r="3208">
          <cell r="A3208">
            <v>0</v>
          </cell>
        </row>
        <row r="3209">
          <cell r="A3209">
            <v>0</v>
          </cell>
        </row>
        <row r="3210">
          <cell r="A3210">
            <v>0</v>
          </cell>
        </row>
        <row r="3211">
          <cell r="A3211">
            <v>0</v>
          </cell>
        </row>
        <row r="3212">
          <cell r="A3212">
            <v>0</v>
          </cell>
        </row>
        <row r="3213">
          <cell r="A3213">
            <v>0</v>
          </cell>
        </row>
        <row r="3214">
          <cell r="A3214">
            <v>0</v>
          </cell>
        </row>
        <row r="3215">
          <cell r="A3215">
            <v>0</v>
          </cell>
        </row>
        <row r="3216">
          <cell r="A3216">
            <v>0</v>
          </cell>
        </row>
        <row r="3217">
          <cell r="A3217">
            <v>0</v>
          </cell>
        </row>
        <row r="3218">
          <cell r="A3218">
            <v>0</v>
          </cell>
        </row>
        <row r="3219">
          <cell r="A3219">
            <v>0</v>
          </cell>
        </row>
        <row r="3220">
          <cell r="A3220">
            <v>0</v>
          </cell>
        </row>
        <row r="3221">
          <cell r="A3221">
            <v>0</v>
          </cell>
        </row>
        <row r="3222">
          <cell r="A3222">
            <v>0</v>
          </cell>
        </row>
        <row r="3223">
          <cell r="A3223">
            <v>0</v>
          </cell>
        </row>
        <row r="3224">
          <cell r="A3224">
            <v>0</v>
          </cell>
        </row>
        <row r="3225">
          <cell r="A3225">
            <v>0</v>
          </cell>
        </row>
        <row r="3226">
          <cell r="A3226">
            <v>0</v>
          </cell>
        </row>
        <row r="3227">
          <cell r="A3227">
            <v>0</v>
          </cell>
        </row>
        <row r="3228">
          <cell r="A3228">
            <v>0</v>
          </cell>
        </row>
        <row r="3229">
          <cell r="A3229">
            <v>0</v>
          </cell>
        </row>
        <row r="3230">
          <cell r="A3230">
            <v>0</v>
          </cell>
        </row>
        <row r="3231">
          <cell r="A3231">
            <v>0</v>
          </cell>
        </row>
        <row r="3232">
          <cell r="A3232">
            <v>0</v>
          </cell>
        </row>
        <row r="3233">
          <cell r="A3233">
            <v>0</v>
          </cell>
        </row>
        <row r="3234">
          <cell r="A3234">
            <v>0</v>
          </cell>
        </row>
        <row r="3235">
          <cell r="A3235">
            <v>0</v>
          </cell>
        </row>
        <row r="3236">
          <cell r="A3236">
            <v>0</v>
          </cell>
        </row>
        <row r="3237">
          <cell r="A3237">
            <v>0</v>
          </cell>
        </row>
        <row r="3238">
          <cell r="A3238">
            <v>0</v>
          </cell>
        </row>
        <row r="3239">
          <cell r="A3239">
            <v>0</v>
          </cell>
        </row>
        <row r="3240">
          <cell r="A3240">
            <v>0</v>
          </cell>
        </row>
        <row r="3241">
          <cell r="A3241">
            <v>0</v>
          </cell>
        </row>
        <row r="3242">
          <cell r="A3242">
            <v>0</v>
          </cell>
        </row>
        <row r="3243">
          <cell r="A3243">
            <v>0</v>
          </cell>
        </row>
        <row r="3244">
          <cell r="A3244">
            <v>0</v>
          </cell>
        </row>
        <row r="3245">
          <cell r="A3245">
            <v>0</v>
          </cell>
        </row>
        <row r="3246">
          <cell r="A3246">
            <v>0</v>
          </cell>
        </row>
        <row r="3247">
          <cell r="A3247">
            <v>0</v>
          </cell>
        </row>
        <row r="3248">
          <cell r="A3248">
            <v>0</v>
          </cell>
        </row>
        <row r="3249">
          <cell r="A3249">
            <v>0</v>
          </cell>
        </row>
        <row r="3250">
          <cell r="A3250">
            <v>0</v>
          </cell>
        </row>
        <row r="3251">
          <cell r="A3251">
            <v>0</v>
          </cell>
        </row>
        <row r="3252">
          <cell r="A3252">
            <v>0</v>
          </cell>
        </row>
        <row r="3253">
          <cell r="A3253">
            <v>0</v>
          </cell>
        </row>
        <row r="3254">
          <cell r="A3254">
            <v>0</v>
          </cell>
        </row>
        <row r="3255">
          <cell r="A3255">
            <v>0</v>
          </cell>
        </row>
        <row r="3256">
          <cell r="A3256">
            <v>0</v>
          </cell>
        </row>
        <row r="3257">
          <cell r="A3257">
            <v>0</v>
          </cell>
        </row>
        <row r="3258">
          <cell r="A3258">
            <v>0</v>
          </cell>
        </row>
        <row r="3259">
          <cell r="A3259">
            <v>0</v>
          </cell>
        </row>
        <row r="3260">
          <cell r="A3260">
            <v>0</v>
          </cell>
        </row>
        <row r="3261">
          <cell r="A3261">
            <v>0</v>
          </cell>
        </row>
        <row r="3262">
          <cell r="A3262">
            <v>0</v>
          </cell>
        </row>
        <row r="3263">
          <cell r="A3263">
            <v>0</v>
          </cell>
        </row>
        <row r="3264">
          <cell r="A3264">
            <v>0</v>
          </cell>
        </row>
        <row r="3265">
          <cell r="A3265">
            <v>0</v>
          </cell>
        </row>
        <row r="3266">
          <cell r="A3266">
            <v>0</v>
          </cell>
        </row>
        <row r="3267">
          <cell r="A3267">
            <v>0</v>
          </cell>
        </row>
        <row r="3268">
          <cell r="A3268">
            <v>0</v>
          </cell>
        </row>
        <row r="3269">
          <cell r="A3269">
            <v>0</v>
          </cell>
        </row>
        <row r="3270">
          <cell r="A3270">
            <v>0</v>
          </cell>
        </row>
        <row r="3271">
          <cell r="A3271">
            <v>0</v>
          </cell>
        </row>
        <row r="3272">
          <cell r="A3272">
            <v>0</v>
          </cell>
        </row>
        <row r="3273">
          <cell r="A3273">
            <v>0</v>
          </cell>
        </row>
        <row r="3274">
          <cell r="A3274">
            <v>0</v>
          </cell>
        </row>
        <row r="3275">
          <cell r="A3275">
            <v>0</v>
          </cell>
        </row>
        <row r="3276">
          <cell r="A3276">
            <v>0</v>
          </cell>
        </row>
        <row r="3277">
          <cell r="A3277">
            <v>0</v>
          </cell>
        </row>
        <row r="3278">
          <cell r="A3278">
            <v>0</v>
          </cell>
        </row>
        <row r="3279">
          <cell r="A3279">
            <v>0</v>
          </cell>
        </row>
        <row r="3280">
          <cell r="A3280">
            <v>0</v>
          </cell>
        </row>
        <row r="3281">
          <cell r="A3281">
            <v>0</v>
          </cell>
        </row>
        <row r="3282">
          <cell r="A3282">
            <v>0</v>
          </cell>
        </row>
        <row r="3283">
          <cell r="A3283">
            <v>0</v>
          </cell>
        </row>
        <row r="3284">
          <cell r="A3284">
            <v>0</v>
          </cell>
        </row>
        <row r="3285">
          <cell r="A3285">
            <v>0</v>
          </cell>
        </row>
        <row r="3286">
          <cell r="A3286">
            <v>0</v>
          </cell>
        </row>
        <row r="3287">
          <cell r="A3287">
            <v>0</v>
          </cell>
        </row>
        <row r="3288">
          <cell r="A3288">
            <v>0</v>
          </cell>
        </row>
        <row r="3289">
          <cell r="A3289">
            <v>0</v>
          </cell>
        </row>
        <row r="3290">
          <cell r="A3290">
            <v>0</v>
          </cell>
        </row>
        <row r="3291">
          <cell r="A3291">
            <v>0</v>
          </cell>
        </row>
        <row r="3292">
          <cell r="A3292">
            <v>0</v>
          </cell>
        </row>
        <row r="3293">
          <cell r="A3293">
            <v>0</v>
          </cell>
        </row>
        <row r="3294">
          <cell r="A3294">
            <v>0</v>
          </cell>
        </row>
        <row r="3295">
          <cell r="A3295">
            <v>0</v>
          </cell>
        </row>
        <row r="3296">
          <cell r="A3296">
            <v>0</v>
          </cell>
        </row>
        <row r="3297">
          <cell r="A3297">
            <v>0</v>
          </cell>
        </row>
        <row r="3298">
          <cell r="A3298">
            <v>0</v>
          </cell>
        </row>
        <row r="3299">
          <cell r="A3299">
            <v>0</v>
          </cell>
        </row>
        <row r="3300">
          <cell r="A3300">
            <v>0</v>
          </cell>
        </row>
        <row r="3301">
          <cell r="A3301">
            <v>0</v>
          </cell>
        </row>
        <row r="3302">
          <cell r="A3302">
            <v>0</v>
          </cell>
        </row>
        <row r="3303">
          <cell r="A3303">
            <v>0</v>
          </cell>
        </row>
        <row r="3304">
          <cell r="A3304">
            <v>0</v>
          </cell>
        </row>
        <row r="3305">
          <cell r="A3305">
            <v>0</v>
          </cell>
        </row>
        <row r="3306">
          <cell r="A3306">
            <v>0</v>
          </cell>
        </row>
        <row r="3307">
          <cell r="A3307">
            <v>0</v>
          </cell>
        </row>
        <row r="3308">
          <cell r="A3308">
            <v>0</v>
          </cell>
        </row>
        <row r="3309">
          <cell r="A3309">
            <v>0</v>
          </cell>
        </row>
        <row r="3310">
          <cell r="A3310">
            <v>0</v>
          </cell>
        </row>
        <row r="3311">
          <cell r="A3311">
            <v>0</v>
          </cell>
        </row>
        <row r="3312">
          <cell r="A3312">
            <v>0</v>
          </cell>
        </row>
        <row r="3313">
          <cell r="A3313">
            <v>0</v>
          </cell>
        </row>
        <row r="3314">
          <cell r="A3314">
            <v>0</v>
          </cell>
        </row>
        <row r="3315">
          <cell r="A3315">
            <v>0</v>
          </cell>
        </row>
        <row r="3316">
          <cell r="A3316">
            <v>0</v>
          </cell>
        </row>
        <row r="3317">
          <cell r="A3317">
            <v>0</v>
          </cell>
        </row>
        <row r="3318">
          <cell r="A3318">
            <v>0</v>
          </cell>
        </row>
        <row r="3319">
          <cell r="A3319">
            <v>0</v>
          </cell>
        </row>
        <row r="3320">
          <cell r="A3320">
            <v>0</v>
          </cell>
        </row>
        <row r="3321">
          <cell r="A3321">
            <v>0</v>
          </cell>
        </row>
        <row r="3322">
          <cell r="A3322">
            <v>0</v>
          </cell>
        </row>
        <row r="3323">
          <cell r="A3323">
            <v>0</v>
          </cell>
        </row>
        <row r="3324">
          <cell r="A3324">
            <v>0</v>
          </cell>
        </row>
        <row r="3325">
          <cell r="A3325">
            <v>0</v>
          </cell>
        </row>
        <row r="3326">
          <cell r="A3326">
            <v>0</v>
          </cell>
        </row>
        <row r="3327">
          <cell r="A3327">
            <v>0</v>
          </cell>
        </row>
        <row r="3328">
          <cell r="A3328">
            <v>0</v>
          </cell>
        </row>
        <row r="3329">
          <cell r="A3329">
            <v>0</v>
          </cell>
        </row>
        <row r="3330">
          <cell r="A3330">
            <v>0</v>
          </cell>
        </row>
        <row r="3331">
          <cell r="A3331">
            <v>0</v>
          </cell>
        </row>
        <row r="3332">
          <cell r="A3332">
            <v>0</v>
          </cell>
        </row>
        <row r="3333">
          <cell r="A3333">
            <v>0</v>
          </cell>
        </row>
        <row r="3334">
          <cell r="A3334">
            <v>0</v>
          </cell>
        </row>
        <row r="3335">
          <cell r="A3335">
            <v>0</v>
          </cell>
        </row>
        <row r="3336">
          <cell r="A3336">
            <v>0</v>
          </cell>
        </row>
        <row r="3337">
          <cell r="A3337">
            <v>0</v>
          </cell>
        </row>
        <row r="3338">
          <cell r="A3338">
            <v>0</v>
          </cell>
        </row>
        <row r="3339">
          <cell r="A3339">
            <v>0</v>
          </cell>
        </row>
        <row r="3340">
          <cell r="A3340">
            <v>0</v>
          </cell>
        </row>
        <row r="3341">
          <cell r="A3341">
            <v>0</v>
          </cell>
        </row>
        <row r="3342">
          <cell r="A3342">
            <v>0</v>
          </cell>
        </row>
        <row r="3343">
          <cell r="A3343">
            <v>0</v>
          </cell>
        </row>
        <row r="3344">
          <cell r="A3344">
            <v>0</v>
          </cell>
        </row>
        <row r="3345">
          <cell r="A3345">
            <v>0</v>
          </cell>
        </row>
        <row r="3346">
          <cell r="A3346">
            <v>0</v>
          </cell>
        </row>
        <row r="3347">
          <cell r="A3347">
            <v>0</v>
          </cell>
        </row>
        <row r="3348">
          <cell r="A3348">
            <v>0</v>
          </cell>
        </row>
        <row r="3349">
          <cell r="A3349">
            <v>0</v>
          </cell>
        </row>
        <row r="3350">
          <cell r="A3350">
            <v>0</v>
          </cell>
        </row>
        <row r="3351">
          <cell r="A3351">
            <v>0</v>
          </cell>
        </row>
        <row r="3352">
          <cell r="A3352">
            <v>0</v>
          </cell>
        </row>
        <row r="3353">
          <cell r="A3353">
            <v>0</v>
          </cell>
        </row>
        <row r="3354">
          <cell r="A3354">
            <v>0</v>
          </cell>
        </row>
        <row r="3355">
          <cell r="A3355">
            <v>0</v>
          </cell>
        </row>
        <row r="3356">
          <cell r="A3356">
            <v>0</v>
          </cell>
        </row>
      </sheetData>
      <sheetData sheetId="3" refreshError="1"/>
      <sheetData sheetId="4" refreshError="1">
        <row r="1">
          <cell r="A1" t="str">
            <v>GBT YIELDS</v>
          </cell>
        </row>
        <row r="5">
          <cell r="B5" t="str">
            <v>AW-U Equity</v>
          </cell>
          <cell r="C5" t="str">
            <v>AYP-U Equity</v>
          </cell>
          <cell r="D5" t="str">
            <v>AFT-U Equity</v>
          </cell>
          <cell r="E5" t="str">
            <v>AFN-U Equity</v>
          </cell>
          <cell r="F5" t="str">
            <v>ALA-U Equity</v>
          </cell>
          <cell r="G5" t="str">
            <v>AMT-U Equity</v>
          </cell>
          <cell r="H5" t="str">
            <v>AG-U Equity</v>
          </cell>
          <cell r="I5" t="str">
            <v>ARF-U Equity</v>
          </cell>
          <cell r="J5" t="str">
            <v>AIN-U Equity</v>
          </cell>
          <cell r="K5" t="str">
            <v>AIM-U Equity</v>
          </cell>
          <cell r="L5" t="str">
            <v>ABF-U Equity</v>
          </cell>
          <cell r="M5" t="str">
            <v>FZR-U Equity</v>
          </cell>
          <cell r="N5" t="str">
            <v>AVF-U Equity</v>
          </cell>
          <cell r="O5" t="str">
            <v>BAD-U Equity</v>
          </cell>
          <cell r="P5" t="str">
            <v>BNQ-U Equity</v>
          </cell>
          <cell r="Q5" t="str">
            <v>BFC-U Equity</v>
          </cell>
          <cell r="R5" t="str">
            <v>BR-U Equity</v>
          </cell>
          <cell r="S5" t="str">
            <v>BPF-U Equity</v>
          </cell>
          <cell r="T5" t="str">
            <v>BYD-U Equity</v>
          </cell>
          <cell r="U5" t="str">
            <v>BRK-U Equity</v>
          </cell>
          <cell r="V5" t="str">
            <v>BET-U Equity</v>
          </cell>
          <cell r="W5" t="str">
            <v>CET-U Equity</v>
          </cell>
          <cell r="X5" t="str">
            <v>CCR-U Equity</v>
          </cell>
          <cell r="Y5" t="str">
            <v>CVP-U Equity</v>
          </cell>
          <cell r="Z5" t="str">
            <v>CHE-U Equity</v>
          </cell>
          <cell r="AA5" t="str">
            <v>CGX-U Equity</v>
          </cell>
          <cell r="AB5" t="str">
            <v>CLR-U Equity</v>
          </cell>
          <cell r="AC5" t="str">
            <v>CLC-U Equity</v>
          </cell>
          <cell r="AD5" t="str">
            <v>CBF-U Equity</v>
          </cell>
          <cell r="AE5" t="str">
            <v>CWI-U Equity</v>
          </cell>
          <cell r="AF5" t="str">
            <v>CSS-U Equity</v>
          </cell>
          <cell r="AG5" t="str">
            <v>CDI-U Equity</v>
          </cell>
          <cell r="AH5" t="str">
            <v>DHF-U Equity</v>
          </cell>
          <cell r="AI5" t="str">
            <v>DGI-U Equity</v>
          </cell>
          <cell r="AJ5" t="str">
            <v>DCI-U Equity</v>
          </cell>
          <cell r="AK5" t="str">
            <v>SIF-U Equity</v>
          </cell>
          <cell r="AL5" t="str">
            <v>FDG-U Equity</v>
          </cell>
          <cell r="AM5" t="str">
            <v>FMO-U Equity</v>
          </cell>
          <cell r="AN5" t="str">
            <v>FP-U Equity</v>
          </cell>
          <cell r="AO5" t="str">
            <v>GCI-U Equity</v>
          </cell>
          <cell r="AP5" t="str">
            <v>GZM-U Equity</v>
          </cell>
          <cell r="AQ5" t="str">
            <v>GDI-U Equity</v>
          </cell>
          <cell r="AR5" t="str">
            <v>GIF-U Equity</v>
          </cell>
          <cell r="AS5" t="str">
            <v>GLF-U Equity</v>
          </cell>
          <cell r="AT5" t="str">
            <v>GBY-U Equity</v>
          </cell>
          <cell r="AU5" t="str">
            <v>GLC-U Equity</v>
          </cell>
          <cell r="AV5" t="str">
            <v>HAL-U Equity</v>
          </cell>
          <cell r="AW5" t="str">
            <v>HWD-U Equity</v>
          </cell>
          <cell r="AX5" t="str">
            <v>HIF-U Equity</v>
          </cell>
          <cell r="AY5" t="str">
            <v>HEQ-U Equity</v>
          </cell>
          <cell r="AZ5" t="str">
            <v>VEG-U Equity</v>
          </cell>
          <cell r="BA5" t="str">
            <v>ACF-U Equity</v>
          </cell>
          <cell r="BB5" t="str">
            <v>IBG-U Equity</v>
          </cell>
          <cell r="BC5" t="str">
            <v>KBL-U Equity</v>
          </cell>
          <cell r="BD5" t="str">
            <v>KCP-U Equity</v>
          </cell>
          <cell r="BE5" t="str">
            <v>KEG-U Equity</v>
          </cell>
          <cell r="BF5" t="str">
            <v>KEY-U Equity</v>
          </cell>
          <cell r="BG5" t="str">
            <v>KNA-U Equity</v>
          </cell>
          <cell r="BH5" t="str">
            <v>LIF-U Equity</v>
          </cell>
          <cell r="BI5" t="str">
            <v>LIV-U Equity</v>
          </cell>
          <cell r="BJ5" t="str">
            <v>LIQ-U Equity</v>
          </cell>
          <cell r="BK5" t="str">
            <v>DR-U Equity</v>
          </cell>
          <cell r="BL5" t="str">
            <v>MHG-U Equity</v>
          </cell>
          <cell r="BM5" t="str">
            <v>MEW-U Equity</v>
          </cell>
          <cell r="BN5" t="str">
            <v>FLM-U Equity</v>
          </cell>
          <cell r="BO5" t="str">
            <v>NAL-U Equity</v>
          </cell>
          <cell r="BP5" t="str">
            <v>NIF-U Equity</v>
          </cell>
          <cell r="BQ5" t="str">
            <v>NWF-U Equity</v>
          </cell>
          <cell r="BR5" t="str">
            <v>OAX-U Equity</v>
          </cell>
          <cell r="BS5" t="str">
            <v>OSP-U Equity</v>
          </cell>
          <cell r="BT5" t="str">
            <v>PKI-U Equity</v>
          </cell>
          <cell r="BU5" t="str">
            <v>PBB-U Equity</v>
          </cell>
          <cell r="BV5" t="str">
            <v>PDM-U Equity</v>
          </cell>
          <cell r="BW5" t="str">
            <v>PES-U Equity</v>
          </cell>
          <cell r="BX5" t="str">
            <v>PHX-U Equity</v>
          </cell>
          <cell r="BY5" t="str">
            <v>EAT-U Equity</v>
          </cell>
          <cell r="BZ5" t="str">
            <v>QSR-U Equity</v>
          </cell>
          <cell r="CA5" t="str">
            <v>PRT-U Equity</v>
          </cell>
          <cell r="CB5" t="str">
            <v>RNK-U Equity</v>
          </cell>
          <cell r="CC5" t="str">
            <v>RPI-U Equity</v>
          </cell>
          <cell r="CD5" t="str">
            <v>RSI-U Equity</v>
          </cell>
          <cell r="CE5" t="str">
            <v>ROW-U Equity</v>
          </cell>
          <cell r="CF5" t="str">
            <v>RSF-U Equity</v>
          </cell>
          <cell r="CG5" t="str">
            <v>SMN-U Equity</v>
          </cell>
          <cell r="CH5" t="str">
            <v>SCU-U Equity</v>
          </cell>
          <cell r="CI5" t="str">
            <v>SFK-U Equity</v>
          </cell>
          <cell r="CJ5" t="str">
            <v>Z-U Equity</v>
          </cell>
          <cell r="CK5" t="str">
            <v>HAM-U Equity</v>
          </cell>
          <cell r="CL5" t="str">
            <v>SNF-U Equity</v>
          </cell>
          <cell r="CM5" t="str">
            <v>SRV-U Equity</v>
          </cell>
          <cell r="CN5" t="str">
            <v>SDG-U Equity</v>
          </cell>
          <cell r="CO5" t="str">
            <v>STB-U Equity</v>
          </cell>
          <cell r="CP5" t="str">
            <v>GRO-U Equity</v>
          </cell>
          <cell r="CQ5" t="str">
            <v>SPF-U Equity</v>
          </cell>
          <cell r="CR5" t="str">
            <v>SWS-U Equity</v>
          </cell>
          <cell r="CS5" t="str">
            <v>TAY-U Equity</v>
          </cell>
          <cell r="CT5" t="str">
            <v>TI-U Equity</v>
          </cell>
          <cell r="CU5" t="str">
            <v>TWF-U Equity</v>
          </cell>
          <cell r="CV5" t="str">
            <v>TIF-U Equity</v>
          </cell>
          <cell r="CW5" t="str">
            <v>TIL-U Equity</v>
          </cell>
          <cell r="CX5" t="str">
            <v>TDG-U Equity</v>
          </cell>
          <cell r="CY5" t="str">
            <v>UWH-U Equity</v>
          </cell>
          <cell r="CZ5" t="str">
            <v>ICE-U Equity</v>
          </cell>
          <cell r="DA5" t="str">
            <v>WTE-U Equity</v>
          </cell>
          <cell r="DB5" t="str">
            <v>WLL-U Equity</v>
          </cell>
          <cell r="DC5" t="str">
            <v>YLO-U Equity</v>
          </cell>
        </row>
      </sheetData>
      <sheetData sheetId="5" refreshError="1">
        <row r="1">
          <cell r="A1" t="str">
            <v>GBT PRICES</v>
          </cell>
        </row>
        <row r="5">
          <cell r="B5" t="str">
            <v>AW-U Equity</v>
          </cell>
          <cell r="C5" t="str">
            <v>AYP-U Equity</v>
          </cell>
          <cell r="D5" t="str">
            <v>AFT-U Equity</v>
          </cell>
          <cell r="E5" t="str">
            <v>AFN-U Equity</v>
          </cell>
          <cell r="F5" t="str">
            <v>ALA-U Equity</v>
          </cell>
          <cell r="G5" t="str">
            <v>AMT-U Equity</v>
          </cell>
          <cell r="H5" t="str">
            <v>AG-U Equity</v>
          </cell>
          <cell r="I5" t="str">
            <v>ARF-U Equity</v>
          </cell>
          <cell r="J5" t="str">
            <v>AIN-U Equity</v>
          </cell>
          <cell r="K5" t="str">
            <v>AIM-U Equity</v>
          </cell>
          <cell r="L5" t="str">
            <v>ABF-U Equity</v>
          </cell>
          <cell r="M5" t="str">
            <v>FZR-U Equity</v>
          </cell>
          <cell r="N5" t="str">
            <v>AVF-U Equity</v>
          </cell>
          <cell r="O5" t="str">
            <v>BAD-U Equity</v>
          </cell>
          <cell r="P5" t="str">
            <v>BNQ-U Equity</v>
          </cell>
          <cell r="Q5" t="str">
            <v>BFC-U Equity</v>
          </cell>
          <cell r="R5" t="str">
            <v>BR-U Equity</v>
          </cell>
          <cell r="S5" t="str">
            <v>BPF-U Equity</v>
          </cell>
          <cell r="T5" t="str">
            <v>BYD-U Equity</v>
          </cell>
          <cell r="U5" t="str">
            <v>BRK-U Equity</v>
          </cell>
          <cell r="V5" t="str">
            <v>BET-U Equity</v>
          </cell>
          <cell r="W5" t="str">
            <v>CET-U Equity</v>
          </cell>
          <cell r="X5" t="str">
            <v>CCR-U Equity</v>
          </cell>
          <cell r="Y5" t="str">
            <v>CVP-U Equity</v>
          </cell>
          <cell r="Z5" t="str">
            <v>CHE-U Equity</v>
          </cell>
          <cell r="AA5" t="str">
            <v>CGX-U Equity</v>
          </cell>
          <cell r="AB5" t="str">
            <v>CLR-U Equity</v>
          </cell>
          <cell r="AC5" t="str">
            <v>CLC-U Equity</v>
          </cell>
          <cell r="AD5" t="str">
            <v>CBF-U Equity</v>
          </cell>
          <cell r="AE5" t="str">
            <v>CWI-U Equity</v>
          </cell>
          <cell r="AF5" t="str">
            <v>CSS-U Equity</v>
          </cell>
          <cell r="AG5" t="str">
            <v>CDI-U Equity</v>
          </cell>
          <cell r="AH5" t="str">
            <v>DHF-U Equity</v>
          </cell>
          <cell r="AI5" t="str">
            <v>DGI-U Equity</v>
          </cell>
          <cell r="AJ5" t="str">
            <v>DCI-U Equity</v>
          </cell>
          <cell r="AK5" t="str">
            <v>SIF-U Equity</v>
          </cell>
          <cell r="AL5" t="str">
            <v>FDG-U Equity</v>
          </cell>
          <cell r="AM5" t="str">
            <v>FMO-U Equity</v>
          </cell>
          <cell r="AN5" t="str">
            <v>FP-U Equity</v>
          </cell>
          <cell r="AO5" t="str">
            <v>GCI-U Equity</v>
          </cell>
          <cell r="AP5" t="str">
            <v>GZM-U Equity</v>
          </cell>
          <cell r="AQ5" t="str">
            <v>GDI-U Equity</v>
          </cell>
          <cell r="AR5" t="str">
            <v>GIF-U Equity</v>
          </cell>
          <cell r="AS5" t="str">
            <v>GLF-U Equity</v>
          </cell>
          <cell r="AT5" t="str">
            <v>GBY-U Equity</v>
          </cell>
          <cell r="AU5" t="str">
            <v>GLC-U Equity</v>
          </cell>
          <cell r="AV5" t="str">
            <v>HAL-U Equity</v>
          </cell>
          <cell r="AW5" t="str">
            <v>HWD-U Equity</v>
          </cell>
          <cell r="AX5" t="str">
            <v>HIF-U Equity</v>
          </cell>
          <cell r="AY5" t="str">
            <v>HEQ-U Equity</v>
          </cell>
          <cell r="AZ5" t="str">
            <v>VEG-U Equity</v>
          </cell>
          <cell r="BA5" t="str">
            <v>ACF-U Equity</v>
          </cell>
          <cell r="BB5" t="str">
            <v>IBG-U Equity</v>
          </cell>
          <cell r="BC5" t="str">
            <v>KBL-U Equity</v>
          </cell>
          <cell r="BD5" t="str">
            <v>KCP-U Equity</v>
          </cell>
          <cell r="BE5" t="str">
            <v>KEG-U Equity</v>
          </cell>
          <cell r="BF5" t="str">
            <v>KEY-U Equity</v>
          </cell>
          <cell r="BG5" t="str">
            <v>KNA-U Equity</v>
          </cell>
          <cell r="BH5" t="str">
            <v>LIF-U Equity</v>
          </cell>
          <cell r="BI5" t="str">
            <v>LIV-U Equity</v>
          </cell>
          <cell r="BJ5" t="str">
            <v>LIQ-U Equity</v>
          </cell>
          <cell r="BK5" t="str">
            <v>DR-U Equity</v>
          </cell>
          <cell r="BL5" t="str">
            <v>MHG-U Equity</v>
          </cell>
          <cell r="BM5" t="str">
            <v>MEW-U Equity</v>
          </cell>
          <cell r="BN5" t="str">
            <v>FLM-U Equity</v>
          </cell>
          <cell r="BO5" t="str">
            <v>NAL-U Equity</v>
          </cell>
          <cell r="BP5" t="str">
            <v>NIF-U Equity</v>
          </cell>
          <cell r="BQ5" t="str">
            <v>NWF-U Equity</v>
          </cell>
          <cell r="BR5" t="str">
            <v>OAX-U Equity</v>
          </cell>
          <cell r="BS5" t="str">
            <v>OSP-U Equity</v>
          </cell>
          <cell r="BT5" t="str">
            <v>PKI-U Equity</v>
          </cell>
          <cell r="BU5" t="str">
            <v>PBB-U Equity</v>
          </cell>
          <cell r="BV5" t="str">
            <v>PDM-U Equity</v>
          </cell>
          <cell r="BW5" t="str">
            <v>PES-U Equity</v>
          </cell>
          <cell r="BX5" t="str">
            <v>PHX-U Equity</v>
          </cell>
          <cell r="BY5" t="str">
            <v>EAT-U Equity</v>
          </cell>
          <cell r="BZ5" t="str">
            <v>QSR-U Equity</v>
          </cell>
          <cell r="CA5" t="str">
            <v>PRT-U Equity</v>
          </cell>
          <cell r="CB5" t="str">
            <v>RNK-U Equity</v>
          </cell>
          <cell r="CC5" t="str">
            <v>RPI-U Equity</v>
          </cell>
          <cell r="CD5" t="str">
            <v>RSI-U Equity</v>
          </cell>
          <cell r="CE5" t="str">
            <v>ROW-U Equity</v>
          </cell>
          <cell r="CF5" t="str">
            <v>RSF-U Equity</v>
          </cell>
          <cell r="CG5" t="str">
            <v>SMN-U Equity</v>
          </cell>
          <cell r="CH5" t="str">
            <v>SCU-U Equity</v>
          </cell>
          <cell r="CI5" t="str">
            <v>SFK-U Equity</v>
          </cell>
          <cell r="CJ5" t="str">
            <v>Z-U Equity</v>
          </cell>
          <cell r="CK5" t="str">
            <v>HAM-U Equity</v>
          </cell>
          <cell r="CL5" t="str">
            <v>SNF-U Equity</v>
          </cell>
          <cell r="CM5" t="str">
            <v>SRV-U Equity</v>
          </cell>
          <cell r="CN5" t="str">
            <v>SDG-U Equity</v>
          </cell>
          <cell r="CO5" t="str">
            <v>STB-U Equity</v>
          </cell>
          <cell r="CP5" t="str">
            <v>GRO-U Equity</v>
          </cell>
          <cell r="CQ5" t="str">
            <v>SPF-U Equity</v>
          </cell>
          <cell r="CR5" t="str">
            <v>SWS-U Equity</v>
          </cell>
          <cell r="CS5" t="str">
            <v>TAY-U Equity</v>
          </cell>
          <cell r="CT5" t="str">
            <v>TI-U Equity</v>
          </cell>
          <cell r="CU5" t="str">
            <v>TWF-U Equity</v>
          </cell>
          <cell r="CV5" t="str">
            <v>TIF-U Equity</v>
          </cell>
          <cell r="CW5" t="str">
            <v>TIL-U Equity</v>
          </cell>
          <cell r="CX5" t="str">
            <v>TDG-U Equity</v>
          </cell>
          <cell r="CY5" t="str">
            <v>UWH-U Equity</v>
          </cell>
          <cell r="CZ5" t="str">
            <v>ICE-U Equity</v>
          </cell>
          <cell r="DA5" t="str">
            <v>WTE-U Equity</v>
          </cell>
          <cell r="DB5" t="str">
            <v>WLL-U Equity</v>
          </cell>
          <cell r="DC5" t="str">
            <v>YLO-U Equity</v>
          </cell>
        </row>
      </sheetData>
      <sheetData sheetId="6" refreshError="1">
        <row r="1">
          <cell r="A1" t="str">
            <v>Start Date</v>
          </cell>
        </row>
        <row r="5">
          <cell r="B5" t="str">
            <v>SPTSX Index</v>
          </cell>
          <cell r="C5" t="str">
            <v>0000AR Index</v>
          </cell>
          <cell r="D5" t="str">
            <v>SPRTCM Index</v>
          </cell>
          <cell r="E5" t="str">
            <v>RTCMAR Index</v>
          </cell>
          <cell r="F5" t="str">
            <v>SPRTEN Index</v>
          </cell>
          <cell r="G5" t="str">
            <v>RTENAR Index</v>
          </cell>
          <cell r="H5" t="str">
            <v>SPRTRE Index</v>
          </cell>
          <cell r="I5" t="str">
            <v>RTREAR Index</v>
          </cell>
          <cell r="J5" t="str">
            <v>GCAN10YR Index</v>
          </cell>
        </row>
      </sheetData>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curity_Large"/>
      <sheetName val="Comparison"/>
      <sheetName val="Historical Financial Statements"/>
      <sheetName val="Calculations"/>
      <sheetName val="Ratio Analysis"/>
      <sheetName val="Charts"/>
      <sheetName val="#REF"/>
      <sheetName val="Data_Download"/>
      <sheetName val="IS"/>
      <sheetName val="Security_Comparable_Large"/>
      <sheetName val="Invested capital_VDF"/>
      <sheetName val="Forecasts_VDF"/>
      <sheetName val="Summary Page_VDF"/>
      <sheetName val="NOPAT_VDF"/>
      <sheetName val="DCF_VDF"/>
      <sheetName val="PV of Op Leases_VDF"/>
      <sheetName val="Income Statement_VDF"/>
      <sheetName val="WACC_VDF"/>
      <sheetName val="Charts_VDF"/>
    </sheetNames>
    <sheetDataSet>
      <sheetData sheetId="0"/>
      <sheetData sheetId="1" refreshError="1">
        <row r="5">
          <cell r="E5">
            <v>0.35523561630796929</v>
          </cell>
        </row>
        <row r="6">
          <cell r="E6">
            <v>-0.78947368421052633</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Y UPLOAD"/>
      <sheetName val="Valuations"/>
      <sheetName val="Five Year Sales &amp; Earnings"/>
      <sheetName val="Qtr Income"/>
      <sheetName val="Qtr Margin"/>
      <sheetName val="Q Preview"/>
      <sheetName val="Qtr Sales"/>
      <sheetName val="Annual Product Sales"/>
      <sheetName val="Annual Prod Sales"/>
      <sheetName val="CF2"/>
      <sheetName val="BS2"/>
      <sheetName val="P&amp;L"/>
      <sheetName val="QTR"/>
      <sheetName val="blank"/>
      <sheetName val="Balance"/>
      <sheetName val="Cash flow"/>
      <sheetName val="IS-COMPS"/>
      <sheetName val="Paul - SEGS-MARGIN"/>
      <sheetName val="CF"/>
      <sheetName val="Qtr Link"/>
      <sheetName val="JV"/>
      <sheetName val="Stat SHeet"/>
      <sheetName val="Qtr detail"/>
      <sheetName val="Rx Data"/>
      <sheetName val="Celexa"/>
      <sheetName val="Disclaimer"/>
      <sheetName val="IndexInformation"/>
      <sheetName val="MainCode"/>
      <sheetName val="NY UPLOAD shadow"/>
      <sheetName val="Module1"/>
      <sheetName val="Module2"/>
      <sheetName val="Module3"/>
      <sheetName val="Key Charts"/>
      <sheetName val="Qrt Sales"/>
      <sheetName val="WLAwork1"/>
      <sheetName val="Enbrel Assumptions"/>
    </sheetNames>
    <sheetDataSet>
      <sheetData sheetId="0" refreshError="1"/>
      <sheetData sheetId="1" refreshError="1"/>
      <sheetData sheetId="2" refreshError="1"/>
      <sheetData sheetId="3" refreshError="1">
        <row r="1">
          <cell r="A1" t="str">
            <v>Table 3</v>
          </cell>
          <cell r="C1" t="e">
            <v>#REF!</v>
          </cell>
          <cell r="D1">
            <v>36698.77703784722</v>
          </cell>
        </row>
        <row r="2">
          <cell r="A2" t="str">
            <v>Warner Lambert</v>
          </cell>
        </row>
        <row r="3">
          <cell r="A3" t="str">
            <v>Quarterly Income Statement Comparisons 1998 - 2005E</v>
          </cell>
        </row>
        <row r="4">
          <cell r="A4" t="str">
            <v>($ Millions Except Per Share Data)</v>
          </cell>
        </row>
        <row r="5">
          <cell r="H5" t="str">
            <v>Non-Operating Items</v>
          </cell>
          <cell r="Q5" t="str">
            <v>Tax</v>
          </cell>
          <cell r="T5" t="str">
            <v xml:space="preserve">  Shares</v>
          </cell>
        </row>
        <row r="6">
          <cell r="C6" t="str">
            <v>Cost of</v>
          </cell>
          <cell r="D6" t="str">
            <v xml:space="preserve">  Gross</v>
          </cell>
          <cell r="G6" t="str">
            <v xml:space="preserve">  Oper.</v>
          </cell>
          <cell r="H6" t="str">
            <v>Interest</v>
          </cell>
          <cell r="I6" t="str">
            <v>Interest</v>
          </cell>
          <cell r="J6" t="str">
            <v>Intang.</v>
          </cell>
          <cell r="K6" t="str">
            <v>Celexa</v>
          </cell>
          <cell r="L6" t="str">
            <v>Other</v>
          </cell>
          <cell r="N6" t="str">
            <v>Min.</v>
          </cell>
          <cell r="O6" t="str">
            <v xml:space="preserve">  Pretax </v>
          </cell>
          <cell r="Q6" t="str">
            <v>Rate</v>
          </cell>
          <cell r="R6" t="str">
            <v>Agouron</v>
          </cell>
          <cell r="S6" t="str">
            <v xml:space="preserve">  Net </v>
          </cell>
          <cell r="T6" t="str">
            <v xml:space="preserve">  Out.</v>
          </cell>
          <cell r="U6" t="str">
            <v>WLA</v>
          </cell>
          <cell r="W6" t="str">
            <v>(a)</v>
          </cell>
        </row>
        <row r="7">
          <cell r="B7" t="str">
            <v>Sales</v>
          </cell>
          <cell r="C7" t="str">
            <v xml:space="preserve"> Goods</v>
          </cell>
          <cell r="D7" t="str">
            <v xml:space="preserve">  Profit</v>
          </cell>
          <cell r="E7" t="str">
            <v>SG&amp;A</v>
          </cell>
          <cell r="F7" t="str">
            <v>R&amp;D</v>
          </cell>
          <cell r="G7" t="str">
            <v>Income</v>
          </cell>
          <cell r="H7" t="str">
            <v>Income</v>
          </cell>
          <cell r="I7" t="str">
            <v>Expense</v>
          </cell>
          <cell r="J7" t="str">
            <v>Amort.</v>
          </cell>
          <cell r="K7" t="str">
            <v>Inc.</v>
          </cell>
          <cell r="L7" t="str">
            <v>Inc</v>
          </cell>
          <cell r="M7" t="str">
            <v>Total</v>
          </cell>
          <cell r="N7" t="str">
            <v xml:space="preserve">Int. </v>
          </cell>
          <cell r="O7" t="str">
            <v xml:space="preserve">  Income</v>
          </cell>
          <cell r="P7" t="str">
            <v>Taxes</v>
          </cell>
          <cell r="Q7" t="str">
            <v xml:space="preserve">  (%)</v>
          </cell>
          <cell r="R7" t="str">
            <v>Net</v>
          </cell>
          <cell r="S7" t="str">
            <v>Inc.</v>
          </cell>
          <cell r="T7" t="str">
            <v>(MM)</v>
          </cell>
          <cell r="U7" t="str">
            <v xml:space="preserve">  EPS</v>
          </cell>
          <cell r="V7" t="str">
            <v>DPS</v>
          </cell>
          <cell r="W7" t="str">
            <v>EPS</v>
          </cell>
        </row>
        <row r="9">
          <cell r="A9" t="str">
            <v>1989</v>
          </cell>
          <cell r="B9">
            <v>4195.8999999999996</v>
          </cell>
          <cell r="C9">
            <v>1383.4</v>
          </cell>
          <cell r="D9">
            <v>2812.4999999999995</v>
          </cell>
          <cell r="E9">
            <v>1932.6</v>
          </cell>
          <cell r="F9">
            <v>308.8</v>
          </cell>
          <cell r="G9">
            <v>571.09999999999968</v>
          </cell>
          <cell r="H9">
            <v>0</v>
          </cell>
          <cell r="I9">
            <v>-55.6</v>
          </cell>
          <cell r="J9">
            <v>0</v>
          </cell>
          <cell r="L9">
            <v>76.2</v>
          </cell>
          <cell r="M9">
            <v>20.6</v>
          </cell>
          <cell r="N9">
            <v>0</v>
          </cell>
          <cell r="O9">
            <v>591.6999999999997</v>
          </cell>
          <cell r="P9">
            <v>179</v>
          </cell>
          <cell r="Q9">
            <v>0.30251816799053588</v>
          </cell>
          <cell r="S9">
            <v>412.6999999999997</v>
          </cell>
          <cell r="T9">
            <v>812.40000000000009</v>
          </cell>
          <cell r="U9">
            <v>0.50800098473658251</v>
          </cell>
          <cell r="W9">
            <v>0.32666666666666666</v>
          </cell>
        </row>
        <row r="11">
          <cell r="A11" t="str">
            <v>1990</v>
          </cell>
          <cell r="B11">
            <v>1100</v>
          </cell>
          <cell r="C11">
            <v>356.4</v>
          </cell>
          <cell r="D11">
            <v>743.6</v>
          </cell>
          <cell r="E11">
            <v>487.7</v>
          </cell>
          <cell r="F11">
            <v>81.3</v>
          </cell>
          <cell r="G11">
            <v>174.60000000000002</v>
          </cell>
          <cell r="H11">
            <v>0</v>
          </cell>
          <cell r="I11">
            <v>-20.7</v>
          </cell>
          <cell r="J11">
            <v>0</v>
          </cell>
          <cell r="L11">
            <v>17.899999999999999</v>
          </cell>
          <cell r="M11">
            <v>-2.8000000000000007</v>
          </cell>
          <cell r="N11">
            <v>0</v>
          </cell>
          <cell r="O11">
            <v>171.8</v>
          </cell>
          <cell r="P11">
            <v>51.5</v>
          </cell>
          <cell r="Q11">
            <v>0.29976717112922002</v>
          </cell>
          <cell r="S11">
            <v>120.30000000000001</v>
          </cell>
          <cell r="T11">
            <v>403.5</v>
          </cell>
          <cell r="U11">
            <v>0.29814126394052048</v>
          </cell>
          <cell r="W11">
            <v>0.29666666666666669</v>
          </cell>
        </row>
        <row r="12">
          <cell r="B12">
            <v>1154.8</v>
          </cell>
          <cell r="C12">
            <v>363.6</v>
          </cell>
          <cell r="D12">
            <v>791.19999999999993</v>
          </cell>
          <cell r="E12">
            <v>519.1</v>
          </cell>
          <cell r="F12">
            <v>85.9</v>
          </cell>
          <cell r="G12">
            <v>186.1999999999999</v>
          </cell>
          <cell r="H12">
            <v>0</v>
          </cell>
          <cell r="I12">
            <v>-16.7</v>
          </cell>
          <cell r="J12">
            <v>0</v>
          </cell>
          <cell r="L12">
            <v>19.600000000000001</v>
          </cell>
          <cell r="M12">
            <v>2.9000000000000021</v>
          </cell>
          <cell r="N12">
            <v>0</v>
          </cell>
          <cell r="O12">
            <v>189.09999999999991</v>
          </cell>
          <cell r="P12">
            <v>54.6</v>
          </cell>
          <cell r="Q12">
            <v>0.28873611845584363</v>
          </cell>
          <cell r="S12">
            <v>134.49999999999991</v>
          </cell>
          <cell r="T12">
            <v>402.59999999999997</v>
          </cell>
          <cell r="U12">
            <v>0.33407848981619453</v>
          </cell>
          <cell r="W12">
            <v>0.42796820665673002</v>
          </cell>
        </row>
        <row r="13">
          <cell r="B13">
            <v>1186.7</v>
          </cell>
          <cell r="C13">
            <v>389.7</v>
          </cell>
          <cell r="D13">
            <v>797</v>
          </cell>
          <cell r="E13">
            <v>519.1</v>
          </cell>
          <cell r="F13">
            <v>101.6</v>
          </cell>
          <cell r="G13">
            <v>176.29999999999998</v>
          </cell>
          <cell r="H13">
            <v>0</v>
          </cell>
          <cell r="I13">
            <v>-15.1</v>
          </cell>
          <cell r="J13">
            <v>0</v>
          </cell>
          <cell r="L13">
            <v>15.5</v>
          </cell>
          <cell r="M13">
            <v>0.40000000000000036</v>
          </cell>
          <cell r="N13">
            <v>0</v>
          </cell>
          <cell r="O13">
            <v>176.7</v>
          </cell>
          <cell r="P13">
            <v>52</v>
          </cell>
          <cell r="Q13">
            <v>0.29428409734012451</v>
          </cell>
          <cell r="S13">
            <v>124.69999999999999</v>
          </cell>
          <cell r="T13">
            <v>402.90000000000003</v>
          </cell>
          <cell r="U13">
            <v>0.30950608091337795</v>
          </cell>
          <cell r="W13">
            <v>0.29511044924298835</v>
          </cell>
        </row>
        <row r="14">
          <cell r="B14">
            <v>1245.5</v>
          </cell>
          <cell r="C14">
            <v>405.7</v>
          </cell>
          <cell r="D14">
            <v>839.8</v>
          </cell>
          <cell r="E14">
            <v>603.79999999999995</v>
          </cell>
          <cell r="F14">
            <v>110.5</v>
          </cell>
          <cell r="G14">
            <v>125.5</v>
          </cell>
          <cell r="H14">
            <v>0</v>
          </cell>
          <cell r="I14">
            <v>-16.2</v>
          </cell>
          <cell r="J14">
            <v>0</v>
          </cell>
          <cell r="L14">
            <v>33.9</v>
          </cell>
          <cell r="M14">
            <v>17.7</v>
          </cell>
          <cell r="N14">
            <v>0</v>
          </cell>
          <cell r="O14">
            <v>143.19999999999999</v>
          </cell>
          <cell r="P14">
            <v>37.700000000000003</v>
          </cell>
          <cell r="Q14">
            <v>0.26326815642458107</v>
          </cell>
          <cell r="S14">
            <v>105.49999999999999</v>
          </cell>
          <cell r="T14">
            <v>402.90000000000003</v>
          </cell>
          <cell r="U14">
            <v>0.26185157607346732</v>
          </cell>
          <cell r="W14">
            <v>0.27450980392156865</v>
          </cell>
        </row>
        <row r="16">
          <cell r="A16" t="str">
            <v>1990</v>
          </cell>
          <cell r="B16">
            <v>4687</v>
          </cell>
          <cell r="C16">
            <v>1515.4</v>
          </cell>
          <cell r="D16">
            <v>3171.6</v>
          </cell>
          <cell r="E16">
            <v>2129.6999999999998</v>
          </cell>
          <cell r="F16">
            <v>379.29999999999995</v>
          </cell>
          <cell r="G16">
            <v>662.59999999999991</v>
          </cell>
          <cell r="H16">
            <v>0</v>
          </cell>
          <cell r="I16">
            <v>-68.7</v>
          </cell>
          <cell r="J16">
            <v>0</v>
          </cell>
          <cell r="L16">
            <v>86.9</v>
          </cell>
          <cell r="M16">
            <v>18.200000000000003</v>
          </cell>
          <cell r="N16">
            <v>0</v>
          </cell>
          <cell r="O16">
            <v>680.8</v>
          </cell>
          <cell r="P16">
            <v>195.8</v>
          </cell>
          <cell r="Q16">
            <v>0.2876028202115159</v>
          </cell>
          <cell r="S16">
            <v>484.99999999999989</v>
          </cell>
          <cell r="T16">
            <v>402.90000000000003</v>
          </cell>
          <cell r="U16">
            <v>1.2037726482998259</v>
          </cell>
          <cell r="W16">
            <v>1.2966666666666666</v>
          </cell>
        </row>
        <row r="18">
          <cell r="A18" t="str">
            <v>1991</v>
          </cell>
          <cell r="B18">
            <v>1217.2</v>
          </cell>
          <cell r="C18">
            <v>379.7</v>
          </cell>
          <cell r="D18">
            <v>837.5</v>
          </cell>
          <cell r="E18">
            <v>555.79999999999995</v>
          </cell>
          <cell r="F18">
            <v>94.7</v>
          </cell>
          <cell r="G18">
            <v>187.00000000000006</v>
          </cell>
          <cell r="H18">
            <v>0</v>
          </cell>
          <cell r="I18">
            <v>-16.399999999999999</v>
          </cell>
          <cell r="J18">
            <v>0</v>
          </cell>
          <cell r="L18">
            <v>21.8</v>
          </cell>
          <cell r="M18">
            <v>5.4000000000000021</v>
          </cell>
          <cell r="N18">
            <v>0</v>
          </cell>
          <cell r="O18">
            <v>192.40000000000006</v>
          </cell>
          <cell r="P18">
            <v>52.9</v>
          </cell>
          <cell r="Q18">
            <v>0.27494802494802484</v>
          </cell>
          <cell r="S18">
            <v>139.50000000000006</v>
          </cell>
          <cell r="T18">
            <v>806.40000000000009</v>
          </cell>
          <cell r="U18">
            <v>0.17299107142857148</v>
          </cell>
          <cell r="W18">
            <v>0.17299107142857131</v>
          </cell>
        </row>
        <row r="19">
          <cell r="B19">
            <v>1238.2</v>
          </cell>
          <cell r="C19">
            <v>394.8</v>
          </cell>
          <cell r="D19">
            <v>843.40000000000009</v>
          </cell>
          <cell r="E19">
            <v>544.6</v>
          </cell>
          <cell r="F19">
            <v>101.4</v>
          </cell>
          <cell r="G19">
            <v>197.40000000000006</v>
          </cell>
          <cell r="H19">
            <v>0</v>
          </cell>
          <cell r="I19">
            <v>-14.4</v>
          </cell>
          <cell r="J19">
            <v>0</v>
          </cell>
          <cell r="L19">
            <v>27.5</v>
          </cell>
          <cell r="M19">
            <v>13.1</v>
          </cell>
          <cell r="N19">
            <v>0</v>
          </cell>
          <cell r="O19">
            <v>210.50000000000006</v>
          </cell>
          <cell r="P19">
            <v>55.9</v>
          </cell>
          <cell r="Q19">
            <v>0.26555819477434672</v>
          </cell>
          <cell r="S19">
            <v>154.60000000000005</v>
          </cell>
          <cell r="T19">
            <v>806.40000000000009</v>
          </cell>
          <cell r="U19">
            <v>0.19171626984126988</v>
          </cell>
          <cell r="W19">
            <v>0.19171626984126999</v>
          </cell>
        </row>
        <row r="20">
          <cell r="B20">
            <v>1266.5</v>
          </cell>
          <cell r="C20">
            <v>410.6</v>
          </cell>
          <cell r="D20">
            <v>855.9</v>
          </cell>
          <cell r="E20">
            <v>562.29999999999995</v>
          </cell>
          <cell r="F20">
            <v>106.1</v>
          </cell>
          <cell r="G20">
            <v>187.50000000000003</v>
          </cell>
          <cell r="H20">
            <v>0</v>
          </cell>
          <cell r="I20">
            <v>-12.9</v>
          </cell>
          <cell r="J20">
            <v>0</v>
          </cell>
          <cell r="L20">
            <v>22.4</v>
          </cell>
          <cell r="M20">
            <v>9.4999999999999982</v>
          </cell>
          <cell r="N20">
            <v>0</v>
          </cell>
          <cell r="O20">
            <v>197.00000000000003</v>
          </cell>
          <cell r="P20">
            <v>53.2</v>
          </cell>
          <cell r="Q20">
            <v>0.27005076142131978</v>
          </cell>
          <cell r="S20">
            <v>143.80000000000001</v>
          </cell>
          <cell r="T20">
            <v>806.40000000000009</v>
          </cell>
          <cell r="U20">
            <v>0.1783234126984127</v>
          </cell>
          <cell r="W20">
            <v>0.17212301587301601</v>
          </cell>
        </row>
        <row r="21">
          <cell r="B21">
            <v>1337.8</v>
          </cell>
          <cell r="C21">
            <v>441.3</v>
          </cell>
          <cell r="D21">
            <v>896.5</v>
          </cell>
          <cell r="E21">
            <v>630.6</v>
          </cell>
          <cell r="F21">
            <v>121</v>
          </cell>
          <cell r="G21">
            <v>144.89999999999998</v>
          </cell>
          <cell r="H21">
            <v>0</v>
          </cell>
          <cell r="I21">
            <v>-14.5</v>
          </cell>
          <cell r="J21">
            <v>0</v>
          </cell>
          <cell r="L21">
            <v>35.9</v>
          </cell>
          <cell r="M21">
            <v>21.4</v>
          </cell>
          <cell r="N21">
            <v>0</v>
          </cell>
          <cell r="O21">
            <v>166.29999999999998</v>
          </cell>
          <cell r="P21">
            <v>44.7</v>
          </cell>
          <cell r="Q21">
            <v>0.26879134095009022</v>
          </cell>
          <cell r="S21">
            <v>121.59999999999998</v>
          </cell>
          <cell r="T21">
            <v>807</v>
          </cell>
          <cell r="U21">
            <v>0.15068153655514246</v>
          </cell>
          <cell r="W21">
            <v>0.15068153655514266</v>
          </cell>
        </row>
        <row r="23">
          <cell r="A23" t="str">
            <v>1991</v>
          </cell>
          <cell r="B23">
            <v>5059.7</v>
          </cell>
          <cell r="C23">
            <v>1626.3999999999999</v>
          </cell>
          <cell r="D23">
            <v>3433.3</v>
          </cell>
          <cell r="E23">
            <v>2293.3000000000002</v>
          </cell>
          <cell r="F23">
            <v>423.20000000000005</v>
          </cell>
          <cell r="G23">
            <v>716.80000000000007</v>
          </cell>
          <cell r="H23">
            <v>0</v>
          </cell>
          <cell r="I23">
            <v>-58.199999999999996</v>
          </cell>
          <cell r="J23">
            <v>0</v>
          </cell>
          <cell r="L23">
            <v>107.6</v>
          </cell>
          <cell r="M23">
            <v>49.4</v>
          </cell>
          <cell r="N23">
            <v>0</v>
          </cell>
          <cell r="O23">
            <v>766.2</v>
          </cell>
          <cell r="P23">
            <v>206.7</v>
          </cell>
          <cell r="Q23">
            <v>0.26977290524667186</v>
          </cell>
          <cell r="S23">
            <v>559.50000000000011</v>
          </cell>
          <cell r="T23">
            <v>806.40000000000009</v>
          </cell>
          <cell r="U23">
            <v>0.69382440476190488</v>
          </cell>
          <cell r="W23">
            <v>0.68666666666666665</v>
          </cell>
        </row>
        <row r="24">
          <cell r="E24">
            <v>2292.4</v>
          </cell>
        </row>
        <row r="25">
          <cell r="A25" t="str">
            <v>1992</v>
          </cell>
          <cell r="B25">
            <v>1311.5</v>
          </cell>
          <cell r="C25">
            <v>400.9</v>
          </cell>
          <cell r="D25">
            <v>910.6</v>
          </cell>
          <cell r="E25">
            <v>586.9</v>
          </cell>
          <cell r="F25">
            <v>115.1</v>
          </cell>
          <cell r="G25">
            <v>208.60000000000005</v>
          </cell>
          <cell r="H25">
            <v>0</v>
          </cell>
          <cell r="I25">
            <v>-18.899999999999999</v>
          </cell>
          <cell r="J25">
            <v>0</v>
          </cell>
          <cell r="L25">
            <v>32.9</v>
          </cell>
          <cell r="M25">
            <v>14</v>
          </cell>
          <cell r="N25">
            <v>0</v>
          </cell>
          <cell r="O25">
            <v>222.60000000000005</v>
          </cell>
          <cell r="P25">
            <v>59</v>
          </cell>
          <cell r="Q25">
            <v>0.26504941599281218</v>
          </cell>
          <cell r="S25">
            <v>163.60000000000005</v>
          </cell>
          <cell r="T25">
            <v>807.59999999999991</v>
          </cell>
          <cell r="U25">
            <v>0.20257553244180296</v>
          </cell>
          <cell r="W25">
            <v>0.20333333333333334</v>
          </cell>
        </row>
        <row r="26">
          <cell r="B26">
            <v>1373.3</v>
          </cell>
          <cell r="C26">
            <v>434.2</v>
          </cell>
          <cell r="D26">
            <v>939.09999999999991</v>
          </cell>
          <cell r="E26">
            <v>596.70000000000005</v>
          </cell>
          <cell r="F26">
            <v>105.8</v>
          </cell>
          <cell r="G26">
            <v>236.59999999999985</v>
          </cell>
          <cell r="H26">
            <v>0</v>
          </cell>
          <cell r="I26">
            <v>-18</v>
          </cell>
          <cell r="J26">
            <v>0</v>
          </cell>
          <cell r="L26">
            <v>20</v>
          </cell>
          <cell r="M26">
            <v>2</v>
          </cell>
          <cell r="N26">
            <v>0</v>
          </cell>
          <cell r="O26">
            <v>238.59999999999985</v>
          </cell>
          <cell r="P26">
            <v>61</v>
          </cell>
          <cell r="Q26">
            <v>0.25565800502933794</v>
          </cell>
          <cell r="S26">
            <v>177.59999999999985</v>
          </cell>
          <cell r="T26">
            <v>807.59999999999991</v>
          </cell>
          <cell r="U26">
            <v>0.21991084695393742</v>
          </cell>
          <cell r="W26">
            <v>0.23333333333333331</v>
          </cell>
        </row>
        <row r="27">
          <cell r="B27">
            <v>1438.3</v>
          </cell>
          <cell r="C27">
            <v>481.2</v>
          </cell>
          <cell r="D27">
            <v>957.09999999999991</v>
          </cell>
          <cell r="E27">
            <v>619.6</v>
          </cell>
          <cell r="F27">
            <v>116.03</v>
          </cell>
          <cell r="G27">
            <v>221.46999999999989</v>
          </cell>
          <cell r="H27">
            <v>0</v>
          </cell>
          <cell r="I27">
            <v>-21</v>
          </cell>
          <cell r="J27">
            <v>0</v>
          </cell>
          <cell r="L27">
            <v>22.1</v>
          </cell>
          <cell r="M27">
            <v>1.1000000000000014</v>
          </cell>
          <cell r="N27">
            <v>0</v>
          </cell>
          <cell r="O27">
            <v>222.56999999999988</v>
          </cell>
          <cell r="P27">
            <v>57.85</v>
          </cell>
          <cell r="Q27">
            <v>0.25991822797322206</v>
          </cell>
          <cell r="S27">
            <v>164.71999999999989</v>
          </cell>
          <cell r="T27">
            <v>807.93600000000004</v>
          </cell>
          <cell r="U27">
            <v>0.20387753485424573</v>
          </cell>
          <cell r="W27">
            <v>0.20333333333333334</v>
          </cell>
        </row>
        <row r="28">
          <cell r="B28">
            <v>1474.412</v>
          </cell>
          <cell r="C28">
            <v>498</v>
          </cell>
          <cell r="D28">
            <v>976.41200000000003</v>
          </cell>
          <cell r="E28">
            <v>677.6</v>
          </cell>
          <cell r="F28">
            <v>136.5</v>
          </cell>
          <cell r="G28">
            <v>162.31200000000001</v>
          </cell>
          <cell r="H28">
            <v>0</v>
          </cell>
          <cell r="I28">
            <v>-18</v>
          </cell>
          <cell r="J28">
            <v>0</v>
          </cell>
          <cell r="L28">
            <v>30.5</v>
          </cell>
          <cell r="M28">
            <v>12.5</v>
          </cell>
          <cell r="N28">
            <v>0</v>
          </cell>
          <cell r="O28">
            <v>174.81200000000001</v>
          </cell>
          <cell r="P28">
            <v>36.765000000000001</v>
          </cell>
          <cell r="Q28">
            <v>0.2103116490858751</v>
          </cell>
          <cell r="S28">
            <v>138.04700000000003</v>
          </cell>
          <cell r="T28">
            <v>808.30200000000013</v>
          </cell>
          <cell r="U28">
            <v>0.1707864139888309</v>
          </cell>
          <cell r="W28">
            <v>0.17</v>
          </cell>
        </row>
        <row r="30">
          <cell r="A30" t="str">
            <v>1992</v>
          </cell>
          <cell r="B30">
            <v>5597.5120000000006</v>
          </cell>
          <cell r="C30">
            <v>1814.3</v>
          </cell>
          <cell r="D30">
            <v>3783.2120000000004</v>
          </cell>
          <cell r="E30">
            <v>2480.7999999999997</v>
          </cell>
          <cell r="F30">
            <v>473.42999999999995</v>
          </cell>
          <cell r="G30">
            <v>828.98199999999986</v>
          </cell>
          <cell r="H30">
            <v>0</v>
          </cell>
          <cell r="I30">
            <v>-75.900000000000006</v>
          </cell>
          <cell r="J30">
            <v>0</v>
          </cell>
          <cell r="L30">
            <v>105.5</v>
          </cell>
          <cell r="M30">
            <v>29.6</v>
          </cell>
          <cell r="N30">
            <v>0</v>
          </cell>
          <cell r="O30">
            <v>858.58199999999977</v>
          </cell>
          <cell r="P30">
            <v>214.61500000000001</v>
          </cell>
          <cell r="Q30">
            <v>0.24996447631094068</v>
          </cell>
          <cell r="S30">
            <v>643.96699999999987</v>
          </cell>
          <cell r="T30">
            <v>808.19999999999993</v>
          </cell>
          <cell r="U30">
            <v>0.79679163573372913</v>
          </cell>
          <cell r="W30">
            <v>0.81</v>
          </cell>
        </row>
        <row r="32">
          <cell r="A32" t="str">
            <v>1993</v>
          </cell>
          <cell r="B32">
            <v>1331.7</v>
          </cell>
          <cell r="C32">
            <v>410.9</v>
          </cell>
          <cell r="D32">
            <v>920.80000000000007</v>
          </cell>
          <cell r="E32">
            <v>588</v>
          </cell>
          <cell r="F32">
            <v>110.7</v>
          </cell>
          <cell r="G32">
            <v>222.10000000000008</v>
          </cell>
          <cell r="H32">
            <v>9.5</v>
          </cell>
          <cell r="I32">
            <v>-14</v>
          </cell>
          <cell r="J32">
            <v>-2.8</v>
          </cell>
          <cell r="L32">
            <v>30.099999999999998</v>
          </cell>
          <cell r="M32">
            <v>22.799999999999997</v>
          </cell>
          <cell r="N32">
            <v>0.1</v>
          </cell>
          <cell r="O32">
            <v>245.00000000000009</v>
          </cell>
          <cell r="P32">
            <v>63.7</v>
          </cell>
          <cell r="Q32">
            <v>0.2599999999999999</v>
          </cell>
          <cell r="S32">
            <v>181.30000000000007</v>
          </cell>
          <cell r="T32">
            <v>812.178</v>
          </cell>
          <cell r="U32">
            <v>0.2232269280871928</v>
          </cell>
          <cell r="W32">
            <v>0.22333333333333336</v>
          </cell>
        </row>
        <row r="33">
          <cell r="B33">
            <v>1449.7</v>
          </cell>
          <cell r="C33">
            <v>471.9</v>
          </cell>
          <cell r="D33">
            <v>977.80000000000007</v>
          </cell>
          <cell r="E33">
            <v>630</v>
          </cell>
          <cell r="F33">
            <v>107.7</v>
          </cell>
          <cell r="G33">
            <v>240.10000000000008</v>
          </cell>
          <cell r="H33">
            <v>9.5</v>
          </cell>
          <cell r="I33">
            <v>-16</v>
          </cell>
          <cell r="J33">
            <v>-2.8</v>
          </cell>
          <cell r="L33">
            <v>19.399999999999999</v>
          </cell>
          <cell r="M33">
            <v>10.099999999999998</v>
          </cell>
          <cell r="N33">
            <v>0.1</v>
          </cell>
          <cell r="O33">
            <v>250.30000000000007</v>
          </cell>
          <cell r="P33">
            <v>60.1</v>
          </cell>
          <cell r="Q33">
            <v>0.24011186576108665</v>
          </cell>
          <cell r="S33">
            <v>190.20000000000007</v>
          </cell>
          <cell r="T33">
            <v>811.19999999999993</v>
          </cell>
          <cell r="U33">
            <v>0.23446745562130189</v>
          </cell>
          <cell r="W33">
            <v>0.23333333333333331</v>
          </cell>
        </row>
        <row r="34">
          <cell r="B34">
            <v>1478.5</v>
          </cell>
          <cell r="C34">
            <v>498.3</v>
          </cell>
          <cell r="D34">
            <v>980.2</v>
          </cell>
          <cell r="E34">
            <v>665.3</v>
          </cell>
          <cell r="F34">
            <v>118.5</v>
          </cell>
          <cell r="G34">
            <v>196.40000000000009</v>
          </cell>
          <cell r="H34">
            <v>10.4</v>
          </cell>
          <cell r="I34">
            <v>-18</v>
          </cell>
          <cell r="J34">
            <v>-2.9</v>
          </cell>
          <cell r="L34">
            <v>8.0999999999999979</v>
          </cell>
          <cell r="M34">
            <v>-2.4000000000000021</v>
          </cell>
          <cell r="N34">
            <v>0.1</v>
          </cell>
          <cell r="O34">
            <v>194.10000000000008</v>
          </cell>
          <cell r="P34">
            <v>38.1</v>
          </cell>
          <cell r="Q34">
            <v>0.19629057187016993</v>
          </cell>
          <cell r="S34">
            <v>156.00000000000009</v>
          </cell>
          <cell r="T34">
            <v>809.40000000000009</v>
          </cell>
          <cell r="U34">
            <v>0.19273535952557458</v>
          </cell>
          <cell r="W34">
            <v>0.19333333333333333</v>
          </cell>
        </row>
        <row r="35">
          <cell r="B35">
            <v>1533.8</v>
          </cell>
          <cell r="C35">
            <v>537</v>
          </cell>
          <cell r="D35">
            <v>996.8</v>
          </cell>
          <cell r="E35">
            <v>712.8</v>
          </cell>
          <cell r="F35">
            <v>128</v>
          </cell>
          <cell r="G35">
            <v>156</v>
          </cell>
          <cell r="H35">
            <v>10.3</v>
          </cell>
          <cell r="I35">
            <v>-16.2</v>
          </cell>
          <cell r="J35">
            <v>-2.9</v>
          </cell>
          <cell r="L35">
            <v>6.9000000000000448</v>
          </cell>
          <cell r="M35">
            <v>-1.8999999999999542</v>
          </cell>
          <cell r="N35">
            <v>0.2</v>
          </cell>
          <cell r="O35">
            <v>154.30000000000004</v>
          </cell>
          <cell r="P35">
            <v>36.399999999999977</v>
          </cell>
          <cell r="Q35">
            <v>0.2359040829552817</v>
          </cell>
          <cell r="S35">
            <v>117.90000000000006</v>
          </cell>
          <cell r="T35">
            <v>806.40000000000009</v>
          </cell>
          <cell r="U35">
            <v>0.14620535714285721</v>
          </cell>
          <cell r="W35">
            <v>-0.24</v>
          </cell>
        </row>
        <row r="37">
          <cell r="A37" t="str">
            <v>1993</v>
          </cell>
          <cell r="B37">
            <v>5793.7</v>
          </cell>
          <cell r="C37">
            <v>1918.1</v>
          </cell>
          <cell r="D37">
            <v>3875.6</v>
          </cell>
          <cell r="E37">
            <v>2596.1</v>
          </cell>
          <cell r="F37">
            <v>464.9</v>
          </cell>
          <cell r="G37">
            <v>814.60000000000025</v>
          </cell>
          <cell r="H37">
            <v>39.700000000000003</v>
          </cell>
          <cell r="I37">
            <v>-64.2</v>
          </cell>
          <cell r="J37">
            <v>-11.4</v>
          </cell>
          <cell r="L37">
            <v>64.500000000000043</v>
          </cell>
          <cell r="M37">
            <v>28.600000000000037</v>
          </cell>
          <cell r="N37">
            <v>0.5</v>
          </cell>
          <cell r="O37">
            <v>843.70000000000039</v>
          </cell>
          <cell r="P37">
            <v>198.29999999999998</v>
          </cell>
          <cell r="Q37">
            <v>0.23503615029038746</v>
          </cell>
          <cell r="S37">
            <v>645.40000000000032</v>
          </cell>
          <cell r="T37">
            <v>810</v>
          </cell>
          <cell r="U37">
            <v>0.79679012345679057</v>
          </cell>
          <cell r="W37">
            <v>0.41</v>
          </cell>
        </row>
        <row r="39">
          <cell r="A39" t="str">
            <v>94/93</v>
          </cell>
          <cell r="B39">
            <v>0.10754750850061279</v>
          </cell>
          <cell r="C39">
            <v>0.12355977269172613</v>
          </cell>
          <cell r="D39">
            <v>9.9622768087522129E-2</v>
          </cell>
          <cell r="E39">
            <v>5.365740919070916E-2</v>
          </cell>
          <cell r="F39">
            <v>-1.9143901914390193E-2</v>
          </cell>
          <cell r="G39">
            <v>0.31389393567394963</v>
          </cell>
          <cell r="H39">
            <v>0.25188916876574297</v>
          </cell>
          <cell r="I39">
            <v>0.45950155763239864</v>
          </cell>
          <cell r="J39">
            <v>9.6491228070175294E-2</v>
          </cell>
          <cell r="L39">
            <v>-1.1317829457364341</v>
          </cell>
          <cell r="M39" t="str">
            <v xml:space="preserve">    NM</v>
          </cell>
          <cell r="N39" t="str">
            <v xml:space="preserve">    NM</v>
          </cell>
          <cell r="O39">
            <v>8.2235391726916518E-2</v>
          </cell>
          <cell r="P39">
            <v>0.10489157841654073</v>
          </cell>
          <cell r="Q39">
            <v>2.093462001226154E-2</v>
          </cell>
          <cell r="S39">
            <v>7.5274248528043985E-2</v>
          </cell>
          <cell r="T39">
            <v>-6.6666666666668206E-3</v>
          </cell>
          <cell r="U39">
            <v>8.3514099783079665E-2</v>
          </cell>
          <cell r="W39">
            <v>1.1056910569105689</v>
          </cell>
        </row>
        <row r="40">
          <cell r="A40" t="str">
            <v>1994</v>
          </cell>
        </row>
        <row r="41">
          <cell r="A41" t="str">
            <v xml:space="preserve"> 1Q</v>
          </cell>
          <cell r="B41">
            <v>1472.895</v>
          </cell>
          <cell r="C41">
            <v>479</v>
          </cell>
          <cell r="D41">
            <v>993.89499999999998</v>
          </cell>
          <cell r="E41">
            <v>612.40000000000009</v>
          </cell>
          <cell r="F41">
            <v>97.9</v>
          </cell>
          <cell r="G41">
            <v>283.59499999999991</v>
          </cell>
          <cell r="H41">
            <v>9.6</v>
          </cell>
          <cell r="I41">
            <v>-18.399999999999999</v>
          </cell>
          <cell r="J41">
            <v>-3.1</v>
          </cell>
          <cell r="L41">
            <v>1.8999999999999986</v>
          </cell>
          <cell r="M41">
            <v>-10</v>
          </cell>
          <cell r="N41">
            <v>-19.815999999999999</v>
          </cell>
          <cell r="O41">
            <v>253.77899999999991</v>
          </cell>
          <cell r="P41">
            <v>63.4</v>
          </cell>
          <cell r="Q41">
            <v>0.24982366547271453</v>
          </cell>
          <cell r="S41">
            <v>190.37899999999991</v>
          </cell>
          <cell r="T41">
            <v>803.09999999999991</v>
          </cell>
          <cell r="U41">
            <v>0.23666666666666666</v>
          </cell>
          <cell r="W41">
            <v>0.23666666666666666</v>
          </cell>
        </row>
        <row r="42">
          <cell r="A42" t="str">
            <v xml:space="preserve"> 2Q</v>
          </cell>
          <cell r="B42">
            <v>1552.203</v>
          </cell>
          <cell r="C42">
            <v>509.3</v>
          </cell>
          <cell r="D42">
            <v>1042.903</v>
          </cell>
          <cell r="E42">
            <v>657</v>
          </cell>
          <cell r="F42">
            <v>100.5</v>
          </cell>
          <cell r="G42">
            <v>285.40300000000002</v>
          </cell>
          <cell r="H42">
            <v>14.5</v>
          </cell>
          <cell r="I42">
            <v>-23.8</v>
          </cell>
          <cell r="J42">
            <v>-3.1</v>
          </cell>
          <cell r="L42">
            <v>1.0999999999999996</v>
          </cell>
          <cell r="M42">
            <v>-11.3</v>
          </cell>
          <cell r="N42">
            <v>-18.600000000000001</v>
          </cell>
          <cell r="O42">
            <v>255.50300000000001</v>
          </cell>
          <cell r="P42">
            <v>58.8</v>
          </cell>
          <cell r="Q42">
            <v>0.23013428413756393</v>
          </cell>
          <cell r="S42">
            <v>196.70300000000003</v>
          </cell>
          <cell r="T42">
            <v>802.7940000000001</v>
          </cell>
          <cell r="U42">
            <v>0.24666666666666667</v>
          </cell>
          <cell r="W42">
            <v>0.24666666666666667</v>
          </cell>
        </row>
        <row r="43">
          <cell r="A43" t="str">
            <v xml:space="preserve"> 3Q</v>
          </cell>
          <cell r="B43">
            <v>1671</v>
          </cell>
          <cell r="C43">
            <v>569.4</v>
          </cell>
          <cell r="D43">
            <v>1101.5999999999999</v>
          </cell>
          <cell r="E43">
            <v>701.1</v>
          </cell>
          <cell r="F43">
            <v>124.2</v>
          </cell>
          <cell r="G43">
            <v>276.2999999999999</v>
          </cell>
          <cell r="H43">
            <v>14.6</v>
          </cell>
          <cell r="I43">
            <v>-26</v>
          </cell>
          <cell r="J43">
            <v>-3.1</v>
          </cell>
          <cell r="L43">
            <v>-4.4000000000000004</v>
          </cell>
          <cell r="M43">
            <v>-18.899999999999999</v>
          </cell>
          <cell r="N43">
            <v>-34.700000000000003</v>
          </cell>
          <cell r="O43">
            <v>222.69999999999993</v>
          </cell>
          <cell r="P43">
            <v>53.5</v>
          </cell>
          <cell r="Q43">
            <v>0.24023349797934448</v>
          </cell>
          <cell r="S43">
            <v>169.19999999999993</v>
          </cell>
          <cell r="T43">
            <v>805.19999999999993</v>
          </cell>
          <cell r="U43">
            <v>0.21</v>
          </cell>
          <cell r="W43">
            <v>0.21</v>
          </cell>
        </row>
        <row r="44">
          <cell r="A44" t="str">
            <v xml:space="preserve"> 4Q</v>
          </cell>
          <cell r="B44">
            <v>1720.7</v>
          </cell>
          <cell r="C44">
            <v>597.4</v>
          </cell>
          <cell r="D44">
            <v>1123.3000000000002</v>
          </cell>
          <cell r="E44">
            <v>764.90000000000009</v>
          </cell>
          <cell r="F44">
            <v>133.4</v>
          </cell>
          <cell r="G44">
            <v>225.00000000000009</v>
          </cell>
          <cell r="H44">
            <v>11</v>
          </cell>
          <cell r="I44">
            <v>-25.5</v>
          </cell>
          <cell r="J44">
            <v>-3.2</v>
          </cell>
          <cell r="L44">
            <v>-7.1000000000000005</v>
          </cell>
          <cell r="M44">
            <v>-24.8</v>
          </cell>
          <cell r="N44">
            <v>-19.100000000000001</v>
          </cell>
          <cell r="O44">
            <v>181.10000000000008</v>
          </cell>
          <cell r="P44">
            <v>43.4</v>
          </cell>
          <cell r="Q44">
            <v>0.23964660408614014</v>
          </cell>
          <cell r="S44">
            <v>137.70000000000007</v>
          </cell>
          <cell r="T44">
            <v>807.24599999999998</v>
          </cell>
          <cell r="U44">
            <v>0.17</v>
          </cell>
          <cell r="W44">
            <v>0.17</v>
          </cell>
        </row>
        <row r="46">
          <cell r="A46" t="str">
            <v>1994</v>
          </cell>
          <cell r="B46">
            <v>6416.7979999999998</v>
          </cell>
          <cell r="C46">
            <v>2155.1</v>
          </cell>
          <cell r="D46">
            <v>4261.6980000000003</v>
          </cell>
          <cell r="E46">
            <v>2735.4</v>
          </cell>
          <cell r="F46">
            <v>456</v>
          </cell>
          <cell r="G46">
            <v>1070.2979999999998</v>
          </cell>
          <cell r="H46">
            <v>49.7</v>
          </cell>
          <cell r="I46">
            <v>-93.7</v>
          </cell>
          <cell r="J46">
            <v>-12.5</v>
          </cell>
          <cell r="L46">
            <v>-8.5000000000000036</v>
          </cell>
          <cell r="M46">
            <v>-65</v>
          </cell>
          <cell r="N46">
            <v>-92.216000000000008</v>
          </cell>
          <cell r="O46">
            <v>913.08199999999988</v>
          </cell>
          <cell r="P46">
            <v>219.1</v>
          </cell>
          <cell r="Q46">
            <v>0.23995654278586154</v>
          </cell>
          <cell r="S46">
            <v>693.98199999999997</v>
          </cell>
          <cell r="T46">
            <v>804.59999999999991</v>
          </cell>
          <cell r="U46">
            <v>0.86333333333333329</v>
          </cell>
          <cell r="W46">
            <v>0.86333333333333329</v>
          </cell>
        </row>
        <row r="48">
          <cell r="A48" t="str">
            <v>95/94</v>
          </cell>
        </row>
        <row r="49">
          <cell r="A49" t="str">
            <v xml:space="preserve"> 1Q</v>
          </cell>
          <cell r="B49">
            <v>8.9419137141479865E-2</v>
          </cell>
          <cell r="C49">
            <v>0.11127348643006263</v>
          </cell>
          <cell r="D49">
            <v>7.888660270954162E-2</v>
          </cell>
          <cell r="E49">
            <v>2.5310254735466886E-2</v>
          </cell>
          <cell r="F49">
            <v>0.16751787538304375</v>
          </cell>
          <cell r="G49">
            <v>0.16398385020892503</v>
          </cell>
          <cell r="H49">
            <v>0.30208333333333348</v>
          </cell>
          <cell r="I49">
            <v>0.5869565217391306</v>
          </cell>
          <cell r="J49">
            <v>0.12903225806451601</v>
          </cell>
          <cell r="L49" t="str">
            <v xml:space="preserve">    NM</v>
          </cell>
          <cell r="M49">
            <v>1.1200000000000001</v>
          </cell>
          <cell r="N49">
            <v>0.52906742026645137</v>
          </cell>
          <cell r="O49">
            <v>9.7805570988931612E-2</v>
          </cell>
          <cell r="P49">
            <v>0.21766561514195581</v>
          </cell>
          <cell r="Q49">
            <v>0.10918148652229132</v>
          </cell>
          <cell r="S49">
            <v>5.788978826446245E-2</v>
          </cell>
          <cell r="T49">
            <v>5.7900635039223047E-3</v>
          </cell>
          <cell r="U49">
            <v>5.6338028169014009E-2</v>
          </cell>
          <cell r="W49">
            <v>5.6338028169014009E-2</v>
          </cell>
        </row>
        <row r="50">
          <cell r="A50" t="str">
            <v xml:space="preserve"> 2Q</v>
          </cell>
          <cell r="B50">
            <v>0.15938443618521547</v>
          </cell>
          <cell r="C50">
            <v>0.20086393088552912</v>
          </cell>
          <cell r="D50">
            <v>0.13912799176912904</v>
          </cell>
          <cell r="E50">
            <v>0.1388127853881278</v>
          </cell>
          <cell r="F50">
            <v>0.18905472636815923</v>
          </cell>
          <cell r="G50">
            <v>0.12227271612421742</v>
          </cell>
          <cell r="H50">
            <v>-0.13103448275862073</v>
          </cell>
          <cell r="I50">
            <v>0.38655462184873945</v>
          </cell>
          <cell r="J50">
            <v>0.12903225806451601</v>
          </cell>
          <cell r="L50" t="str">
            <v xml:space="preserve">    NM</v>
          </cell>
          <cell r="M50">
            <v>0.21238938053097312</v>
          </cell>
          <cell r="N50">
            <v>0.5376344086021505</v>
          </cell>
          <cell r="O50">
            <v>8.804984677283656E-2</v>
          </cell>
          <cell r="P50">
            <v>0.30952380952380953</v>
          </cell>
          <cell r="Q50">
            <v>0.20355130181569003</v>
          </cell>
          <cell r="S50">
            <v>2.1845116749617643E-2</v>
          </cell>
          <cell r="T50">
            <v>8.2287610520257459E-3</v>
          </cell>
          <cell r="U50">
            <v>1.3513513513513598E-2</v>
          </cell>
          <cell r="W50">
            <v>1.3513513513513598E-2</v>
          </cell>
        </row>
        <row r="51">
          <cell r="A51" t="str">
            <v xml:space="preserve"> 3Q</v>
          </cell>
          <cell r="B51">
            <v>6.2657091561938882E-2</v>
          </cell>
          <cell r="C51">
            <v>9.2553565156304973E-2</v>
          </cell>
          <cell r="D51">
            <v>4.7204066811910028E-2</v>
          </cell>
          <cell r="E51">
            <v>0.12081015546997564</v>
          </cell>
          <cell r="F51">
            <v>4.8309178743961345E-2</v>
          </cell>
          <cell r="G51">
            <v>-0.1400651465798044</v>
          </cell>
          <cell r="H51">
            <v>-0.1095890410958904</v>
          </cell>
          <cell r="I51">
            <v>0.20384615384615379</v>
          </cell>
          <cell r="J51">
            <v>0.12903225806451601</v>
          </cell>
          <cell r="L51" t="str">
            <v xml:space="preserve">    NM</v>
          </cell>
          <cell r="M51">
            <v>0.23809523809523858</v>
          </cell>
          <cell r="N51">
            <v>1.4409221902017322E-2</v>
          </cell>
          <cell r="O51">
            <v>-0.19622810956443648</v>
          </cell>
          <cell r="P51">
            <v>-0.11401869158878508</v>
          </cell>
          <cell r="Q51">
            <v>0.10227953845350579</v>
          </cell>
          <cell r="S51">
            <v>-0.22222222222222232</v>
          </cell>
          <cell r="T51">
            <v>7.1572280178839875E-3</v>
          </cell>
          <cell r="U51">
            <v>-0.22222222222222221</v>
          </cell>
          <cell r="W51">
            <v>0.25396825396825418</v>
          </cell>
        </row>
        <row r="52">
          <cell r="A52" t="str">
            <v xml:space="preserve"> 4Q</v>
          </cell>
          <cell r="B52">
            <v>8.0897309234613912E-2</v>
          </cell>
          <cell r="C52">
            <v>0.10729829260127222</v>
          </cell>
          <cell r="D52">
            <v>6.6856583281402981E-2</v>
          </cell>
          <cell r="E52">
            <v>6.9290103281474558E-2</v>
          </cell>
          <cell r="F52">
            <v>2.8485757121439192E-2</v>
          </cell>
          <cell r="G52">
            <v>8.133333333333348E-2</v>
          </cell>
          <cell r="H52">
            <v>5.4545454545454453E-2</v>
          </cell>
          <cell r="I52">
            <v>0.1450980392156862</v>
          </cell>
          <cell r="J52">
            <v>0.40625</v>
          </cell>
          <cell r="L52" t="str">
            <v xml:space="preserve">    NM</v>
          </cell>
          <cell r="M52">
            <v>0.66935483870967727</v>
          </cell>
          <cell r="N52">
            <v>0.87958115183246055</v>
          </cell>
          <cell r="O52">
            <v>-8.3379348426283584E-2</v>
          </cell>
          <cell r="P52">
            <v>-1.1520737327188946E-2</v>
          </cell>
          <cell r="Q52">
            <v>7.8395147409915822E-2</v>
          </cell>
          <cell r="S52">
            <v>-0.1060275962236743</v>
          </cell>
          <cell r="T52">
            <v>4.8981351409607132E-3</v>
          </cell>
          <cell r="U52">
            <v>-0.11764705882352955</v>
          </cell>
          <cell r="W52">
            <v>-0.11764705882352955</v>
          </cell>
        </row>
        <row r="54">
          <cell r="A54" t="str">
            <v>95/94</v>
          </cell>
          <cell r="B54">
            <v>9.7089233602179803E-2</v>
          </cell>
          <cell r="C54">
            <v>0.1263978469676581</v>
          </cell>
          <cell r="D54">
            <v>8.2268147578734796E-2</v>
          </cell>
          <cell r="E54">
            <v>8.9347079037800592E-2</v>
          </cell>
          <cell r="F54">
            <v>9.9122807017543835E-2</v>
          </cell>
          <cell r="G54">
            <v>5.699534148433405E-2</v>
          </cell>
          <cell r="H54">
            <v>0</v>
          </cell>
          <cell r="I54">
            <v>0.30949839914621124</v>
          </cell>
          <cell r="J54">
            <v>0.19999999999999996</v>
          </cell>
          <cell r="L54">
            <v>0.37647058823529411</v>
          </cell>
          <cell r="M54" t="str">
            <v xml:space="preserve">    NM</v>
          </cell>
          <cell r="N54" t="str">
            <v xml:space="preserve">NM </v>
          </cell>
          <cell r="O54">
            <v>-1.2574993264569678E-2</v>
          </cell>
          <cell r="P54">
            <v>0.11592879963486991</v>
          </cell>
          <cell r="Q54">
            <v>0.13014030637556151</v>
          </cell>
          <cell r="S54">
            <v>-5.314547063180286E-2</v>
          </cell>
          <cell r="T54">
            <v>6.7114093959732557E-3</v>
          </cell>
          <cell r="U54">
            <v>-6.1776061776061653E-2</v>
          </cell>
          <cell r="W54">
            <v>5.7915057915058021E-2</v>
          </cell>
        </row>
        <row r="56">
          <cell r="A56" t="str">
            <v>1995</v>
          </cell>
        </row>
        <row r="57">
          <cell r="A57" t="str">
            <v xml:space="preserve"> 1Q</v>
          </cell>
          <cell r="B57">
            <v>1604.6</v>
          </cell>
          <cell r="C57">
            <v>532.29999999999995</v>
          </cell>
          <cell r="D57">
            <v>1072.3</v>
          </cell>
          <cell r="E57">
            <v>627.9</v>
          </cell>
          <cell r="F57">
            <v>114.3</v>
          </cell>
          <cell r="G57">
            <v>330.09999999999997</v>
          </cell>
          <cell r="H57">
            <v>12.5</v>
          </cell>
          <cell r="I57">
            <v>-29.2</v>
          </cell>
          <cell r="J57">
            <v>-3.5</v>
          </cell>
          <cell r="L57">
            <v>-0.99999999999999967</v>
          </cell>
          <cell r="M57">
            <v>-21.2</v>
          </cell>
          <cell r="N57">
            <v>-30.3</v>
          </cell>
          <cell r="O57">
            <v>278.59999999999997</v>
          </cell>
          <cell r="P57">
            <v>77.2</v>
          </cell>
          <cell r="Q57">
            <v>0.27709978463747315</v>
          </cell>
          <cell r="S57">
            <v>201.39999999999998</v>
          </cell>
          <cell r="T57">
            <v>807.75</v>
          </cell>
          <cell r="U57">
            <v>0.25</v>
          </cell>
          <cell r="W57">
            <v>0.25</v>
          </cell>
        </row>
        <row r="58">
          <cell r="A58" t="str">
            <v xml:space="preserve"> 2Q</v>
          </cell>
          <cell r="B58">
            <v>1799.6</v>
          </cell>
          <cell r="C58">
            <v>611.6</v>
          </cell>
          <cell r="D58">
            <v>1188</v>
          </cell>
          <cell r="E58">
            <v>748.19999999999993</v>
          </cell>
          <cell r="F58">
            <v>119.5</v>
          </cell>
          <cell r="G58">
            <v>320.30000000000007</v>
          </cell>
          <cell r="H58">
            <v>12.6</v>
          </cell>
          <cell r="I58">
            <v>-33</v>
          </cell>
          <cell r="J58">
            <v>-3.5</v>
          </cell>
          <cell r="L58">
            <v>10.200000000000001</v>
          </cell>
          <cell r="M58">
            <v>-13.699999999999998</v>
          </cell>
          <cell r="N58">
            <v>-28.6</v>
          </cell>
          <cell r="O58">
            <v>278.00000000000006</v>
          </cell>
          <cell r="P58">
            <v>77</v>
          </cell>
          <cell r="Q58">
            <v>0.27697841726618699</v>
          </cell>
          <cell r="S58">
            <v>201.00000000000006</v>
          </cell>
          <cell r="T58">
            <v>809.40000000000009</v>
          </cell>
          <cell r="U58">
            <v>0.25</v>
          </cell>
          <cell r="W58">
            <v>0.25</v>
          </cell>
        </row>
        <row r="59">
          <cell r="A59" t="str">
            <v xml:space="preserve"> 3Q</v>
          </cell>
          <cell r="B59">
            <v>1775.7</v>
          </cell>
          <cell r="C59">
            <v>622.1</v>
          </cell>
          <cell r="D59">
            <v>1153.5999999999999</v>
          </cell>
          <cell r="E59">
            <v>785.8</v>
          </cell>
          <cell r="F59">
            <v>130.19999999999999</v>
          </cell>
          <cell r="G59">
            <v>237.59999999999997</v>
          </cell>
          <cell r="H59">
            <v>13</v>
          </cell>
          <cell r="I59">
            <v>-31.3</v>
          </cell>
          <cell r="J59">
            <v>-3.5</v>
          </cell>
          <cell r="L59">
            <v>-1.6000000000000085</v>
          </cell>
          <cell r="M59">
            <v>-23.400000000000009</v>
          </cell>
          <cell r="N59">
            <v>-35.200000000000003</v>
          </cell>
          <cell r="O59">
            <v>178.99999999999994</v>
          </cell>
          <cell r="P59">
            <v>47.4</v>
          </cell>
          <cell r="Q59">
            <v>0.26480446927374307</v>
          </cell>
          <cell r="S59">
            <v>131.59999999999994</v>
          </cell>
          <cell r="T59">
            <v>810.96300000000008</v>
          </cell>
          <cell r="U59">
            <v>0.16333333333333333</v>
          </cell>
          <cell r="W59">
            <v>0.26333333333333336</v>
          </cell>
        </row>
        <row r="60">
          <cell r="A60" t="str">
            <v xml:space="preserve"> 4Q</v>
          </cell>
          <cell r="B60">
            <v>1859.9</v>
          </cell>
          <cell r="C60">
            <v>661.5</v>
          </cell>
          <cell r="D60">
            <v>1198.4000000000001</v>
          </cell>
          <cell r="E60">
            <v>817.9</v>
          </cell>
          <cell r="F60">
            <v>137.19999999999999</v>
          </cell>
          <cell r="G60">
            <v>243.30000000000013</v>
          </cell>
          <cell r="H60">
            <v>11.6</v>
          </cell>
          <cell r="I60">
            <v>-29.2</v>
          </cell>
          <cell r="J60">
            <v>-4.5</v>
          </cell>
          <cell r="L60">
            <v>-19.299999999999997</v>
          </cell>
          <cell r="M60">
            <v>-41.4</v>
          </cell>
          <cell r="N60">
            <v>-35.9</v>
          </cell>
          <cell r="O60">
            <v>166.00000000000011</v>
          </cell>
          <cell r="P60">
            <v>42.9</v>
          </cell>
          <cell r="Q60">
            <v>0.25843373493975885</v>
          </cell>
          <cell r="S60">
            <v>123.10000000000011</v>
          </cell>
          <cell r="T60">
            <v>811.19999999999993</v>
          </cell>
          <cell r="U60">
            <v>0.15</v>
          </cell>
          <cell r="W60">
            <v>0.15</v>
          </cell>
        </row>
        <row r="62">
          <cell r="A62" t="str">
            <v>1995</v>
          </cell>
          <cell r="B62">
            <v>7039.7999999999993</v>
          </cell>
          <cell r="C62">
            <v>2427.5</v>
          </cell>
          <cell r="D62">
            <v>4612.2999999999993</v>
          </cell>
          <cell r="E62">
            <v>2979.7999999999997</v>
          </cell>
          <cell r="F62">
            <v>501.2</v>
          </cell>
          <cell r="G62">
            <v>1131.2999999999995</v>
          </cell>
          <cell r="H62">
            <v>49.7</v>
          </cell>
          <cell r="I62">
            <v>-122.7</v>
          </cell>
          <cell r="J62">
            <v>-15</v>
          </cell>
          <cell r="L62">
            <v>-11.700000000000005</v>
          </cell>
          <cell r="M62">
            <v>-99.700000000000017</v>
          </cell>
          <cell r="N62">
            <v>-130</v>
          </cell>
          <cell r="O62">
            <v>901.6</v>
          </cell>
          <cell r="P62">
            <v>244.5</v>
          </cell>
          <cell r="Q62">
            <v>0.27118456078083408</v>
          </cell>
          <cell r="S62">
            <v>657.10000000000014</v>
          </cell>
          <cell r="T62">
            <v>810</v>
          </cell>
          <cell r="U62">
            <v>0.81</v>
          </cell>
          <cell r="W62">
            <v>0.91333333333333344</v>
          </cell>
        </row>
        <row r="64">
          <cell r="A64" t="str">
            <v>96/95</v>
          </cell>
        </row>
        <row r="65">
          <cell r="A65" t="str">
            <v xml:space="preserve"> 1Q</v>
          </cell>
          <cell r="B65">
            <v>0.13997257883584702</v>
          </cell>
          <cell r="C65">
            <v>0.10764606424948342</v>
          </cell>
          <cell r="D65">
            <v>0.15601977058658956</v>
          </cell>
          <cell r="E65">
            <v>0.20385411689759514</v>
          </cell>
          <cell r="F65">
            <v>0.13473315835520561</v>
          </cell>
          <cell r="G65">
            <v>7.2402302332626345E-2</v>
          </cell>
          <cell r="H65">
            <v>-3.2000000000000028E-2</v>
          </cell>
          <cell r="I65">
            <v>0</v>
          </cell>
          <cell r="J65" t="str">
            <v xml:space="preserve">NM </v>
          </cell>
          <cell r="L65" t="str">
            <v xml:space="preserve">NM </v>
          </cell>
          <cell r="M65" t="str">
            <v xml:space="preserve">NM </v>
          </cell>
          <cell r="N65">
            <v>7.2607260726072598E-2</v>
          </cell>
          <cell r="O65">
            <v>8.2555635319454534E-2</v>
          </cell>
          <cell r="P65">
            <v>5.569948186528495E-2</v>
          </cell>
          <cell r="Q65">
            <v>-2.4808104616484195E-2</v>
          </cell>
          <cell r="S65">
            <v>9.2850049652432931E-2</v>
          </cell>
          <cell r="T65">
            <v>2.3955431754874468E-2</v>
          </cell>
          <cell r="U65">
            <v>4.0000000000000036E-2</v>
          </cell>
          <cell r="W65">
            <v>0.21333333333333337</v>
          </cell>
        </row>
        <row r="66">
          <cell r="A66" t="str">
            <v xml:space="preserve"> 2Q</v>
          </cell>
          <cell r="B66">
            <v>-4.6677039342075677E-3</v>
          </cell>
          <cell r="C66">
            <v>-6.4748201438848962E-2</v>
          </cell>
          <cell r="D66">
            <v>2.626262626262621E-2</v>
          </cell>
          <cell r="E66">
            <v>2.0181769580326137E-2</v>
          </cell>
          <cell r="F66">
            <v>9.3723849372384871E-2</v>
          </cell>
          <cell r="G66">
            <v>1.5298157976896709E-2</v>
          </cell>
          <cell r="H66">
            <v>0.26984126984126977</v>
          </cell>
          <cell r="I66">
            <v>-4.8484848484848575E-2</v>
          </cell>
          <cell r="J66" t="str">
            <v xml:space="preserve">NM </v>
          </cell>
          <cell r="L66" t="str">
            <v xml:space="preserve">NM </v>
          </cell>
          <cell r="M66" t="str">
            <v xml:space="preserve">NM </v>
          </cell>
          <cell r="N66">
            <v>0.27622377622377625</v>
          </cell>
          <cell r="O66">
            <v>6.2589928057554145E-2</v>
          </cell>
          <cell r="P66">
            <v>6.7532467532467555E-2</v>
          </cell>
          <cell r="Q66">
            <v>4.6514081720578915E-3</v>
          </cell>
          <cell r="S66">
            <v>6.0696517412935469E-2</v>
          </cell>
          <cell r="T66">
            <v>2.1868050407709116E-2</v>
          </cell>
          <cell r="U66">
            <v>2.6666666666666616E-2</v>
          </cell>
          <cell r="W66">
            <v>2.6666666666666616E-2</v>
          </cell>
        </row>
        <row r="67">
          <cell r="A67" t="str">
            <v xml:space="preserve"> 3Q</v>
          </cell>
          <cell r="B67">
            <v>-4.3363180717463923E-3</v>
          </cell>
          <cell r="C67">
            <v>-6.735251567272138E-2</v>
          </cell>
          <cell r="D67">
            <v>2.9646324549237102E-2</v>
          </cell>
          <cell r="E67">
            <v>-9.1626368032577954E-3</v>
          </cell>
          <cell r="F67">
            <v>0.11367127496159757</v>
          </cell>
          <cell r="G67">
            <v>0.1119528619528618</v>
          </cell>
          <cell r="H67">
            <v>0.15384615384615374</v>
          </cell>
          <cell r="I67">
            <v>0.50479233226837072</v>
          </cell>
          <cell r="J67" t="str">
            <v xml:space="preserve">NM </v>
          </cell>
          <cell r="L67" t="str">
            <v xml:space="preserve">NM </v>
          </cell>
          <cell r="M67" t="str">
            <v xml:space="preserve">NM </v>
          </cell>
          <cell r="N67" t="str">
            <v xml:space="preserve">NM </v>
          </cell>
          <cell r="O67">
            <v>0.17318435754189943</v>
          </cell>
          <cell r="P67">
            <v>0.31434599156118148</v>
          </cell>
          <cell r="Q67">
            <v>0.12032348804500703</v>
          </cell>
          <cell r="S67">
            <v>0.12234042553191493</v>
          </cell>
          <cell r="T67">
            <v>1.9898565039341953E-2</v>
          </cell>
          <cell r="U67">
            <v>0.12244897959183687</v>
          </cell>
          <cell r="W67">
            <v>-0.30379746835443044</v>
          </cell>
        </row>
        <row r="68">
          <cell r="A68" t="str">
            <v xml:space="preserve"> 4Q</v>
          </cell>
          <cell r="B68">
            <v>-9.086510027420891E-3</v>
          </cell>
          <cell r="C68">
            <v>-8.5260770975056688E-2</v>
          </cell>
          <cell r="D68">
            <v>3.2960614152202972E-2</v>
          </cell>
          <cell r="E68">
            <v>1.2226433549344939E-4</v>
          </cell>
          <cell r="F68">
            <v>8.8921282798833934E-2</v>
          </cell>
          <cell r="G68">
            <v>0.11179613645704878</v>
          </cell>
          <cell r="H68">
            <v>8.6206896551723755E-3</v>
          </cell>
          <cell r="I68">
            <v>0.31506849315068486</v>
          </cell>
          <cell r="J68" t="str">
            <v xml:space="preserve">NM </v>
          </cell>
          <cell r="L68" t="str">
            <v xml:space="preserve">NM </v>
          </cell>
          <cell r="M68" t="str">
            <v xml:space="preserve">NM </v>
          </cell>
          <cell r="N68" t="str">
            <v xml:space="preserve">NM </v>
          </cell>
          <cell r="O68">
            <v>0.44879518072289115</v>
          </cell>
          <cell r="P68">
            <v>0.62703962703962701</v>
          </cell>
          <cell r="Q68">
            <v>0.12302943072173855</v>
          </cell>
          <cell r="S68">
            <v>0.38667749796913031</v>
          </cell>
          <cell r="T68">
            <v>1.9600591715976279E-2</v>
          </cell>
          <cell r="U68">
            <v>0.37777777777777777</v>
          </cell>
          <cell r="W68">
            <v>0.37777777777777777</v>
          </cell>
        </row>
        <row r="70">
          <cell r="A70" t="str">
            <v>96/95</v>
          </cell>
          <cell r="B70">
            <v>2.7216682292110717E-2</v>
          </cell>
          <cell r="C70">
            <v>-3.3202883625128687E-2</v>
          </cell>
          <cell r="D70">
            <v>5.9016109099581771E-2</v>
          </cell>
          <cell r="E70">
            <v>4.5640647023290182E-2</v>
          </cell>
          <cell r="F70">
            <v>0.10694333599361516</v>
          </cell>
          <cell r="G70">
            <v>7.3013347476355239E-2</v>
          </cell>
          <cell r="H70">
            <v>0.10261569416498983</v>
          </cell>
          <cell r="I70">
            <v>0.19070904645476761</v>
          </cell>
          <cell r="J70">
            <v>1.1000000000000001</v>
          </cell>
          <cell r="L70" t="str">
            <v xml:space="preserve">NM </v>
          </cell>
          <cell r="M70">
            <v>-2.3069207622868682E-2</v>
          </cell>
          <cell r="N70" t="str">
            <v xml:space="preserve">NM </v>
          </cell>
          <cell r="O70">
            <v>0.16182342502218283</v>
          </cell>
          <cell r="P70">
            <v>0.20981595092024552</v>
          </cell>
          <cell r="Q70">
            <v>4.1307934462714302E-2</v>
          </cell>
          <cell r="S70">
            <v>0.14396591082027066</v>
          </cell>
          <cell r="T70">
            <v>2.1111111111111081E-2</v>
          </cell>
          <cell r="U70">
            <v>0.11934156378600824</v>
          </cell>
          <cell r="W70">
            <v>4.014598540145986E-2</v>
          </cell>
        </row>
        <row r="72">
          <cell r="A72" t="str">
            <v>1996 (c)</v>
          </cell>
        </row>
        <row r="73">
          <cell r="A73" t="str">
            <v xml:space="preserve"> 1Q</v>
          </cell>
          <cell r="B73">
            <v>1829.2</v>
          </cell>
          <cell r="C73">
            <v>589.6</v>
          </cell>
          <cell r="D73">
            <v>1239.5999999999999</v>
          </cell>
          <cell r="E73">
            <v>755.9</v>
          </cell>
          <cell r="F73">
            <v>129.69999999999999</v>
          </cell>
          <cell r="G73">
            <v>353.99999999999994</v>
          </cell>
          <cell r="H73">
            <v>12.1</v>
          </cell>
          <cell r="I73">
            <v>-29.2</v>
          </cell>
          <cell r="J73">
            <v>-3.5</v>
          </cell>
          <cell r="L73">
            <v>0.69999999999999785</v>
          </cell>
          <cell r="M73">
            <v>-19.900000000000002</v>
          </cell>
          <cell r="N73">
            <v>-32.5</v>
          </cell>
          <cell r="O73">
            <v>301.59999999999997</v>
          </cell>
          <cell r="P73">
            <v>81.5</v>
          </cell>
          <cell r="Q73">
            <v>0.27022546419098148</v>
          </cell>
          <cell r="S73">
            <v>220.09999999999997</v>
          </cell>
          <cell r="T73">
            <v>827.09999999999991</v>
          </cell>
          <cell r="U73">
            <v>0.26</v>
          </cell>
          <cell r="W73">
            <v>0.30333333333333334</v>
          </cell>
        </row>
        <row r="74">
          <cell r="A74" t="str">
            <v xml:space="preserve"> 2Q</v>
          </cell>
          <cell r="B74">
            <v>1791.2</v>
          </cell>
          <cell r="C74">
            <v>572</v>
          </cell>
          <cell r="D74">
            <v>1219.2</v>
          </cell>
          <cell r="E74">
            <v>763.3</v>
          </cell>
          <cell r="F74">
            <v>130.69999999999999</v>
          </cell>
          <cell r="G74">
            <v>325.2000000000001</v>
          </cell>
          <cell r="H74">
            <v>16</v>
          </cell>
          <cell r="I74">
            <v>-31.4</v>
          </cell>
          <cell r="J74">
            <v>-4</v>
          </cell>
          <cell r="L74">
            <v>26.1</v>
          </cell>
          <cell r="M74">
            <v>6.7000000000000028</v>
          </cell>
          <cell r="N74">
            <v>-36.5</v>
          </cell>
          <cell r="O74">
            <v>295.40000000000009</v>
          </cell>
          <cell r="P74">
            <v>82.2</v>
          </cell>
          <cell r="Q74">
            <v>0.27826675693974262</v>
          </cell>
          <cell r="S74">
            <v>213.2000000000001</v>
          </cell>
          <cell r="T74">
            <v>827.09999999999991</v>
          </cell>
          <cell r="U74">
            <v>0.25666666666666665</v>
          </cell>
          <cell r="W74">
            <v>0.25666666666666665</v>
          </cell>
        </row>
        <row r="75">
          <cell r="A75" t="str">
            <v xml:space="preserve"> 3Q</v>
          </cell>
          <cell r="B75">
            <v>1768</v>
          </cell>
          <cell r="C75">
            <v>580.20000000000005</v>
          </cell>
          <cell r="D75">
            <v>1187.8</v>
          </cell>
          <cell r="E75">
            <v>778.6</v>
          </cell>
          <cell r="F75">
            <v>145</v>
          </cell>
          <cell r="G75">
            <v>264.19999999999993</v>
          </cell>
          <cell r="H75">
            <v>15</v>
          </cell>
          <cell r="I75">
            <v>-47.1</v>
          </cell>
          <cell r="J75">
            <v>-13</v>
          </cell>
          <cell r="L75">
            <v>-9.1</v>
          </cell>
          <cell r="M75">
            <v>-54.2</v>
          </cell>
          <cell r="N75">
            <v>0</v>
          </cell>
          <cell r="O75">
            <v>209.99999999999994</v>
          </cell>
          <cell r="P75">
            <v>62.3</v>
          </cell>
          <cell r="Q75">
            <v>0.29666666666666675</v>
          </cell>
          <cell r="S75">
            <v>147.69999999999993</v>
          </cell>
          <cell r="T75">
            <v>827.09999999999991</v>
          </cell>
          <cell r="U75">
            <v>0.18333333333333335</v>
          </cell>
          <cell r="W75">
            <v>0.18333333333333335</v>
          </cell>
        </row>
        <row r="76">
          <cell r="A76" t="str">
            <v xml:space="preserve"> 4Q</v>
          </cell>
          <cell r="B76">
            <v>1843</v>
          </cell>
          <cell r="C76">
            <v>605.1</v>
          </cell>
          <cell r="D76">
            <v>1237.9000000000001</v>
          </cell>
          <cell r="E76">
            <v>818</v>
          </cell>
          <cell r="F76">
            <v>149.4</v>
          </cell>
          <cell r="G76">
            <v>270.50000000000011</v>
          </cell>
          <cell r="H76">
            <v>11.7</v>
          </cell>
          <cell r="I76">
            <v>-38.4</v>
          </cell>
          <cell r="J76">
            <v>-11</v>
          </cell>
          <cell r="L76">
            <v>7.7</v>
          </cell>
          <cell r="M76">
            <v>-30.000000000000004</v>
          </cell>
          <cell r="N76">
            <v>0</v>
          </cell>
          <cell r="O76">
            <v>240.50000000000011</v>
          </cell>
          <cell r="P76">
            <v>69.8</v>
          </cell>
          <cell r="Q76">
            <v>0.29022869022869008</v>
          </cell>
          <cell r="S76">
            <v>170.7000000000001</v>
          </cell>
          <cell r="T76">
            <v>827.09999999999991</v>
          </cell>
          <cell r="U76">
            <v>0.20666666666666667</v>
          </cell>
          <cell r="W76">
            <v>0.20666666666666667</v>
          </cell>
        </row>
        <row r="78">
          <cell r="A78" t="str">
            <v>1996 (c)</v>
          </cell>
          <cell r="B78">
            <v>7231.4</v>
          </cell>
          <cell r="C78">
            <v>2346.9</v>
          </cell>
          <cell r="D78">
            <v>4884.5</v>
          </cell>
          <cell r="E78">
            <v>3115.7999999999997</v>
          </cell>
          <cell r="F78">
            <v>554.79999999999995</v>
          </cell>
          <cell r="G78">
            <v>1213.9000000000001</v>
          </cell>
          <cell r="H78">
            <v>54.8</v>
          </cell>
          <cell r="I78">
            <v>-146.1</v>
          </cell>
          <cell r="J78">
            <v>-31.5</v>
          </cell>
          <cell r="L78">
            <v>72</v>
          </cell>
          <cell r="M78">
            <v>-97.4</v>
          </cell>
          <cell r="N78">
            <v>-69</v>
          </cell>
          <cell r="O78">
            <v>1047.5</v>
          </cell>
          <cell r="P78">
            <v>295.8</v>
          </cell>
          <cell r="Q78">
            <v>0.28238663484486876</v>
          </cell>
          <cell r="S78">
            <v>751.7</v>
          </cell>
          <cell r="T78">
            <v>827.09999999999991</v>
          </cell>
          <cell r="U78">
            <v>0.90666666666666673</v>
          </cell>
          <cell r="W78">
            <v>0.95000000000000007</v>
          </cell>
        </row>
        <row r="80">
          <cell r="A80" t="str">
            <v>97/96</v>
          </cell>
        </row>
        <row r="81">
          <cell r="A81" t="str">
            <v xml:space="preserve"> 1Q</v>
          </cell>
          <cell r="B81">
            <v>-2.8318390553247252E-2</v>
          </cell>
          <cell r="C81">
            <v>-6.8521031207598337E-2</v>
          </cell>
          <cell r="D81">
            <v>-9.1965150048402E-3</v>
          </cell>
          <cell r="E81">
            <v>8.3344357719274953E-3</v>
          </cell>
          <cell r="F81">
            <v>3.2382420971472703E-2</v>
          </cell>
          <cell r="G81">
            <v>-6.1864406779660763E-2</v>
          </cell>
          <cell r="H81">
            <v>-0.3223140495867769</v>
          </cell>
          <cell r="I81">
            <v>0.34246575342465757</v>
          </cell>
          <cell r="J81" t="str">
            <v xml:space="preserve">NM </v>
          </cell>
          <cell r="L81" t="str">
            <v xml:space="preserve">NM </v>
          </cell>
          <cell r="M81" t="str">
            <v xml:space="preserve">NM </v>
          </cell>
          <cell r="N81" t="str">
            <v xml:space="preserve">NM </v>
          </cell>
          <cell r="O81">
            <v>-3.315649867373982E-2</v>
          </cell>
          <cell r="P81">
            <v>7.361963190184051E-2</v>
          </cell>
          <cell r="Q81">
            <v>0.11043786344854256</v>
          </cell>
          <cell r="S81">
            <v>-7.2694229895501783E-2</v>
          </cell>
          <cell r="T81">
            <v>7.5021158263812726E-3</v>
          </cell>
          <cell r="U81">
            <v>-5.7967970911010913E-2</v>
          </cell>
          <cell r="W81">
            <v>-0.19254397506658072</v>
          </cell>
        </row>
        <row r="82">
          <cell r="A82" t="str">
            <v xml:space="preserve"> 2Q</v>
          </cell>
          <cell r="B82">
            <v>9.7979008485931107E-2</v>
          </cell>
          <cell r="C82">
            <v>3.7762237762237749E-2</v>
          </cell>
          <cell r="D82">
            <v>0.12623031496062986</v>
          </cell>
          <cell r="E82">
            <v>0.12354251277348371</v>
          </cell>
          <cell r="F82">
            <v>0.21040550879877573</v>
          </cell>
          <cell r="G82">
            <v>9.8708487084870233E-2</v>
          </cell>
          <cell r="H82">
            <v>-0.4375</v>
          </cell>
          <cell r="I82">
            <v>0.52866242038216571</v>
          </cell>
          <cell r="J82" t="str">
            <v xml:space="preserve">NM </v>
          </cell>
          <cell r="L82" t="str">
            <v xml:space="preserve">NM </v>
          </cell>
          <cell r="M82" t="str">
            <v xml:space="preserve">NM </v>
          </cell>
          <cell r="N82" t="str">
            <v xml:space="preserve">NM </v>
          </cell>
          <cell r="O82">
            <v>0.11882193635748073</v>
          </cell>
          <cell r="P82">
            <v>0.20559610705596087</v>
          </cell>
          <cell r="Q82">
            <v>7.755851747150122E-2</v>
          </cell>
          <cell r="S82">
            <v>8.5365853658535551E-2</v>
          </cell>
          <cell r="T82">
            <v>1.2173860476363263E-2</v>
          </cell>
          <cell r="U82">
            <v>7.6913313271802064E-2</v>
          </cell>
          <cell r="W82">
            <v>7.6913313271802064E-2</v>
          </cell>
        </row>
        <row r="83">
          <cell r="A83" t="str">
            <v xml:space="preserve"> 3Q</v>
          </cell>
          <cell r="B83">
            <v>0.19247737556561106</v>
          </cell>
          <cell r="C83">
            <v>5.8255773871078942E-2</v>
          </cell>
          <cell r="D83">
            <v>0.25804007408654672</v>
          </cell>
          <cell r="E83">
            <v>0.24389930644746971</v>
          </cell>
          <cell r="F83">
            <v>0.25517241379310351</v>
          </cell>
          <cell r="G83">
            <v>0.30128690386071266</v>
          </cell>
          <cell r="H83">
            <v>-0.28666666666666674</v>
          </cell>
          <cell r="I83">
            <v>-8.7048832271762189E-2</v>
          </cell>
          <cell r="J83" t="str">
            <v xml:space="preserve">NM </v>
          </cell>
          <cell r="L83" t="str">
            <v xml:space="preserve">NM </v>
          </cell>
          <cell r="M83" t="str">
            <v xml:space="preserve">NM </v>
          </cell>
          <cell r="N83" t="str">
            <v xml:space="preserve">NM </v>
          </cell>
          <cell r="O83">
            <v>0.34904761904762038</v>
          </cell>
          <cell r="P83">
            <v>0.36436597110754421</v>
          </cell>
          <cell r="Q83">
            <v>1.1354937990059932E-2</v>
          </cell>
          <cell r="S83">
            <v>0.34258632362897945</v>
          </cell>
          <cell r="T83">
            <v>1.4508523757707614E-2</v>
          </cell>
          <cell r="U83">
            <v>0.30909090909090886</v>
          </cell>
          <cell r="W83">
            <v>0.30909090909090886</v>
          </cell>
        </row>
        <row r="84">
          <cell r="A84" t="str">
            <v xml:space="preserve"> 4Q</v>
          </cell>
          <cell r="B84">
            <v>0.26283233857840482</v>
          </cell>
          <cell r="C84">
            <v>7.5524706660056173E-2</v>
          </cell>
          <cell r="D84">
            <v>0.35439050004039108</v>
          </cell>
          <cell r="E84">
            <v>0.33007334963325174</v>
          </cell>
          <cell r="F84">
            <v>0.32597054886211496</v>
          </cell>
          <cell r="G84">
            <v>0.44362292051755992</v>
          </cell>
          <cell r="H84">
            <v>0.15384615384615397</v>
          </cell>
          <cell r="I84">
            <v>-4.1666666666666741E-2</v>
          </cell>
          <cell r="J84" t="str">
            <v xml:space="preserve">NM </v>
          </cell>
          <cell r="L84" t="str">
            <v xml:space="preserve">NM </v>
          </cell>
          <cell r="M84" t="str">
            <v xml:space="preserve">NM </v>
          </cell>
          <cell r="N84" t="str">
            <v xml:space="preserve">NM </v>
          </cell>
          <cell r="O84">
            <v>0.36382536382536368</v>
          </cell>
          <cell r="P84">
            <v>0.32234957020057298</v>
          </cell>
          <cell r="Q84">
            <v>-3.0411366971835663E-2</v>
          </cell>
          <cell r="S84">
            <v>0.3807850029291151</v>
          </cell>
          <cell r="T84">
            <v>1.4508523757707614E-2</v>
          </cell>
          <cell r="U84">
            <v>0.35483870967741948</v>
          </cell>
          <cell r="W84">
            <v>0.35483870967741948</v>
          </cell>
        </row>
        <row r="86">
          <cell r="A86" t="str">
            <v>Year</v>
          </cell>
          <cell r="B86">
            <v>0.13115026136017938</v>
          </cell>
          <cell r="C86">
            <v>2.5863905577570456E-2</v>
          </cell>
          <cell r="D86">
            <v>0.18173815129491255</v>
          </cell>
          <cell r="E86">
            <v>0.17988959496758472</v>
          </cell>
          <cell r="F86">
            <v>0.21160778658976231</v>
          </cell>
          <cell r="G86">
            <v>0.17283136996457715</v>
          </cell>
          <cell r="H86">
            <v>-0.24452554744525545</v>
          </cell>
          <cell r="I86">
            <v>0.14305270362765232</v>
          </cell>
          <cell r="J86">
            <v>0.79047619047619055</v>
          </cell>
          <cell r="L86" t="str">
            <v xml:space="preserve">NM </v>
          </cell>
          <cell r="M86">
            <v>0.9537987679671458</v>
          </cell>
          <cell r="N86" t="str">
            <v xml:space="preserve">NM </v>
          </cell>
          <cell r="O86">
            <v>0.17747016706443919</v>
          </cell>
          <cell r="P86">
            <v>0.23022312373225162</v>
          </cell>
          <cell r="Q86">
            <v>4.4801947551105448E-2</v>
          </cell>
          <cell r="S86">
            <v>0.15671145403751519</v>
          </cell>
          <cell r="T86">
            <v>1.2173255954539997E-2</v>
          </cell>
          <cell r="U86">
            <v>0.14853243893702173</v>
          </cell>
          <cell r="W86">
            <v>9.6143239967964478E-2</v>
          </cell>
        </row>
        <row r="88">
          <cell r="A88">
            <v>1997</v>
          </cell>
        </row>
        <row r="89">
          <cell r="A89" t="str">
            <v xml:space="preserve"> 1Q</v>
          </cell>
          <cell r="B89">
            <v>1777.4</v>
          </cell>
          <cell r="C89">
            <v>549.20000000000005</v>
          </cell>
          <cell r="D89">
            <v>1228.2</v>
          </cell>
          <cell r="E89">
            <v>762.2</v>
          </cell>
          <cell r="F89">
            <v>133.9</v>
          </cell>
          <cell r="G89">
            <v>332.1</v>
          </cell>
          <cell r="H89">
            <v>8.1999999999999993</v>
          </cell>
          <cell r="I89">
            <v>-39.200000000000003</v>
          </cell>
          <cell r="J89">
            <v>-12.4</v>
          </cell>
          <cell r="L89">
            <v>2.9</v>
          </cell>
          <cell r="M89">
            <v>-40.500000000000007</v>
          </cell>
          <cell r="N89">
            <v>0</v>
          </cell>
          <cell r="O89">
            <v>291.60000000000002</v>
          </cell>
          <cell r="P89">
            <v>87.5</v>
          </cell>
          <cell r="Q89">
            <v>0.30006858710562412</v>
          </cell>
          <cell r="S89">
            <v>204.10000000000002</v>
          </cell>
          <cell r="T89">
            <v>833.30499999999995</v>
          </cell>
          <cell r="U89">
            <v>0.24492832756313718</v>
          </cell>
          <cell r="V89">
            <v>0.13</v>
          </cell>
          <cell r="W89">
            <v>0.24492832756313718</v>
          </cell>
        </row>
        <row r="90">
          <cell r="A90" t="str">
            <v xml:space="preserve"> 2Q</v>
          </cell>
          <cell r="B90">
            <v>1966.7</v>
          </cell>
          <cell r="C90">
            <v>593.6</v>
          </cell>
          <cell r="D90">
            <v>1373.1</v>
          </cell>
          <cell r="E90">
            <v>857.6</v>
          </cell>
          <cell r="F90">
            <v>158.19999999999999</v>
          </cell>
          <cell r="G90">
            <v>357.2999999999999</v>
          </cell>
          <cell r="H90">
            <v>9</v>
          </cell>
          <cell r="I90">
            <v>-48</v>
          </cell>
          <cell r="J90">
            <v>-12.8</v>
          </cell>
          <cell r="L90">
            <v>25</v>
          </cell>
          <cell r="M90">
            <v>-26.799999999999997</v>
          </cell>
          <cell r="N90">
            <v>0</v>
          </cell>
          <cell r="O90">
            <v>330.49999999999989</v>
          </cell>
          <cell r="P90">
            <v>99.1</v>
          </cell>
          <cell r="Q90">
            <v>0.29984871406959163</v>
          </cell>
          <cell r="S90">
            <v>231.39999999999989</v>
          </cell>
          <cell r="T90">
            <v>837.16899999999998</v>
          </cell>
          <cell r="U90">
            <v>0.27640775040642918</v>
          </cell>
          <cell r="V90">
            <v>0.13</v>
          </cell>
          <cell r="W90">
            <v>0.27640775040642918</v>
          </cell>
        </row>
        <row r="91">
          <cell r="A91" t="str">
            <v xml:space="preserve"> 3Q</v>
          </cell>
          <cell r="B91">
            <v>2108.3000000000002</v>
          </cell>
          <cell r="C91">
            <v>614</v>
          </cell>
          <cell r="D91">
            <v>1494.3000000000002</v>
          </cell>
          <cell r="E91">
            <v>968.5</v>
          </cell>
          <cell r="F91">
            <v>182</v>
          </cell>
          <cell r="G91">
            <v>343.80000000000018</v>
          </cell>
          <cell r="H91">
            <v>10.7</v>
          </cell>
          <cell r="I91">
            <v>-43</v>
          </cell>
          <cell r="J91">
            <v>-13.2</v>
          </cell>
          <cell r="L91">
            <v>-15</v>
          </cell>
          <cell r="M91">
            <v>-60.5</v>
          </cell>
          <cell r="N91">
            <v>0</v>
          </cell>
          <cell r="O91">
            <v>283.30000000000018</v>
          </cell>
          <cell r="P91">
            <v>85</v>
          </cell>
          <cell r="Q91">
            <v>0.30003529827038455</v>
          </cell>
          <cell r="S91">
            <v>198.30000000000018</v>
          </cell>
          <cell r="T91">
            <v>839.09999999999991</v>
          </cell>
          <cell r="U91">
            <v>0.24</v>
          </cell>
          <cell r="V91">
            <v>0.13</v>
          </cell>
          <cell r="W91">
            <v>0.24</v>
          </cell>
        </row>
        <row r="92">
          <cell r="A92" t="str">
            <v xml:space="preserve"> 4Q</v>
          </cell>
          <cell r="B92">
            <v>2327.4</v>
          </cell>
          <cell r="C92">
            <v>650.79999999999995</v>
          </cell>
          <cell r="D92">
            <v>1676.6000000000001</v>
          </cell>
          <cell r="E92">
            <v>1088</v>
          </cell>
          <cell r="F92">
            <v>198.1</v>
          </cell>
          <cell r="G92">
            <v>390.50000000000011</v>
          </cell>
          <cell r="H92">
            <v>13.5</v>
          </cell>
          <cell r="I92">
            <v>-36.799999999999997</v>
          </cell>
          <cell r="J92">
            <v>-18</v>
          </cell>
          <cell r="L92">
            <v>-21.2</v>
          </cell>
          <cell r="M92">
            <v>-62.5</v>
          </cell>
          <cell r="N92">
            <v>0</v>
          </cell>
          <cell r="O92">
            <v>328.00000000000011</v>
          </cell>
          <cell r="P92">
            <v>92.3</v>
          </cell>
          <cell r="Q92">
            <v>0.28140243902439016</v>
          </cell>
          <cell r="S92">
            <v>235.7000000000001</v>
          </cell>
          <cell r="T92">
            <v>839.09999999999991</v>
          </cell>
          <cell r="U92">
            <v>0.28000000000000003</v>
          </cell>
          <cell r="V92">
            <v>0.13</v>
          </cell>
          <cell r="W92">
            <v>0.28000000000000003</v>
          </cell>
        </row>
        <row r="94">
          <cell r="A94" t="str">
            <v>Year</v>
          </cell>
          <cell r="B94">
            <v>8179.8000000000011</v>
          </cell>
          <cell r="C94">
            <v>2407.6000000000004</v>
          </cell>
          <cell r="D94">
            <v>5772.2000000000007</v>
          </cell>
          <cell r="E94">
            <v>3676.3</v>
          </cell>
          <cell r="F94">
            <v>672.2</v>
          </cell>
          <cell r="G94">
            <v>1423.7000000000003</v>
          </cell>
          <cell r="H94">
            <v>41.4</v>
          </cell>
          <cell r="I94">
            <v>-167</v>
          </cell>
          <cell r="J94">
            <v>-56.400000000000006</v>
          </cell>
          <cell r="L94">
            <v>-8.3000000000000007</v>
          </cell>
          <cell r="M94">
            <v>-190.3</v>
          </cell>
          <cell r="N94">
            <v>0</v>
          </cell>
          <cell r="O94">
            <v>1233.4000000000001</v>
          </cell>
          <cell r="P94">
            <v>363.90000000000003</v>
          </cell>
          <cell r="Q94">
            <v>0.2950381060483217</v>
          </cell>
          <cell r="S94">
            <v>869.50000000000023</v>
          </cell>
          <cell r="T94">
            <v>837.16849999999988</v>
          </cell>
          <cell r="U94">
            <v>1.0413360779695664</v>
          </cell>
          <cell r="V94">
            <v>0.52</v>
          </cell>
          <cell r="W94">
            <v>1.0413360779695664</v>
          </cell>
        </row>
        <row r="96">
          <cell r="A96" t="str">
            <v>1998/97</v>
          </cell>
        </row>
        <row r="97">
          <cell r="A97" t="str">
            <v xml:space="preserve"> 1Q</v>
          </cell>
          <cell r="B97">
            <v>0.31140992460897943</v>
          </cell>
          <cell r="C97">
            <v>0.19009468317552791</v>
          </cell>
          <cell r="D97">
            <v>0.36565705911089408</v>
          </cell>
          <cell r="E97">
            <v>0.3438729992128049</v>
          </cell>
          <cell r="F97">
            <v>0.55190440627333825</v>
          </cell>
          <cell r="G97">
            <v>0.34056007226738982</v>
          </cell>
          <cell r="H97">
            <v>0.79268292682926833</v>
          </cell>
          <cell r="I97">
            <v>-8.163265306122458E-2</v>
          </cell>
          <cell r="J97" t="str">
            <v xml:space="preserve">NM </v>
          </cell>
          <cell r="L97" t="str">
            <v xml:space="preserve">NM </v>
          </cell>
          <cell r="M97" t="str">
            <v xml:space="preserve">NM </v>
          </cell>
          <cell r="N97" t="str">
            <v xml:space="preserve">NM </v>
          </cell>
          <cell r="O97">
            <v>0.42661179698216811</v>
          </cell>
          <cell r="P97">
            <v>0.40685714285714281</v>
          </cell>
          <cell r="Q97">
            <v>-1.384725274725318E-2</v>
          </cell>
          <cell r="S97">
            <v>0.4350808427241557</v>
          </cell>
          <cell r="T97">
            <v>4.8798036733249006E-2</v>
          </cell>
          <cell r="U97">
            <v>0.34733292503674651</v>
          </cell>
          <cell r="V97">
            <v>0.23076923076923084</v>
          </cell>
          <cell r="W97">
            <v>0.36831000103135558</v>
          </cell>
        </row>
        <row r="98">
          <cell r="A98" t="str">
            <v xml:space="preserve"> 2Q</v>
          </cell>
          <cell r="B98">
            <v>0.36406162607413428</v>
          </cell>
          <cell r="C98">
            <v>0.19086927223719674</v>
          </cell>
          <cell r="D98">
            <v>0.43893379943194222</v>
          </cell>
          <cell r="E98">
            <v>0.38362873134328379</v>
          </cell>
          <cell r="F98">
            <v>0.64854614412136558</v>
          </cell>
          <cell r="G98">
            <v>0.47886929750909535</v>
          </cell>
          <cell r="H98">
            <v>0.57777777777777772</v>
          </cell>
          <cell r="I98">
            <v>-0.45000000000000007</v>
          </cell>
          <cell r="J98" t="str">
            <v xml:space="preserve">NM </v>
          </cell>
          <cell r="L98" t="str">
            <v xml:space="preserve">NM </v>
          </cell>
          <cell r="M98" t="str">
            <v xml:space="preserve">NM </v>
          </cell>
          <cell r="N98" t="str">
            <v xml:space="preserve">NM </v>
          </cell>
          <cell r="O98">
            <v>0.39546142208774526</v>
          </cell>
          <cell r="P98">
            <v>0.33299697275479323</v>
          </cell>
          <cell r="Q98">
            <v>-4.4762576982959046E-2</v>
          </cell>
          <cell r="S98">
            <v>0.42221261884183159</v>
          </cell>
          <cell r="T98">
            <v>4.961059117095834E-2</v>
          </cell>
          <cell r="U98">
            <v>0.44713742437338011</v>
          </cell>
          <cell r="V98">
            <v>0.23076923076923084</v>
          </cell>
          <cell r="W98">
            <v>0.35499072780429342</v>
          </cell>
        </row>
        <row r="99">
          <cell r="A99" t="str">
            <v xml:space="preserve"> 3Q</v>
          </cell>
          <cell r="B99">
            <v>0.27785419532324607</v>
          </cell>
          <cell r="C99">
            <v>0.1454397394136806</v>
          </cell>
          <cell r="D99">
            <v>0.33226259787191315</v>
          </cell>
          <cell r="E99">
            <v>0.25885389778007228</v>
          </cell>
          <cell r="F99">
            <v>0.41043956043956031</v>
          </cell>
          <cell r="G99">
            <v>0.49767306573589187</v>
          </cell>
          <cell r="H99">
            <v>0.14018691588785037</v>
          </cell>
          <cell r="I99">
            <v>-0.39534883720930236</v>
          </cell>
          <cell r="J99" t="str">
            <v xml:space="preserve">NM </v>
          </cell>
          <cell r="L99" t="str">
            <v xml:space="preserve">NM </v>
          </cell>
          <cell r="M99" t="str">
            <v xml:space="preserve">NM </v>
          </cell>
          <cell r="N99" t="str">
            <v xml:space="preserve">NM </v>
          </cell>
          <cell r="O99">
            <v>0.49805859512883721</v>
          </cell>
          <cell r="P99">
            <v>0.43529411764705883</v>
          </cell>
          <cell r="Q99">
            <v>-4.1897211287907243E-2</v>
          </cell>
          <cell r="S99">
            <v>0.52496217851739635</v>
          </cell>
          <cell r="T99">
            <v>4.9970574424979208E-2</v>
          </cell>
          <cell r="U99">
            <v>0.43014376137654531</v>
          </cell>
          <cell r="V99">
            <v>0.23076923076923084</v>
          </cell>
          <cell r="W99">
            <v>0.43014376137654531</v>
          </cell>
        </row>
        <row r="100">
          <cell r="A100" t="str">
            <v xml:space="preserve"> 4Q</v>
          </cell>
          <cell r="B100">
            <v>0.30450287874881843</v>
          </cell>
          <cell r="C100">
            <v>0.11017209588199139</v>
          </cell>
          <cell r="D100">
            <v>0.37993558391983751</v>
          </cell>
          <cell r="E100">
            <v>0.29034926470588251</v>
          </cell>
          <cell r="F100">
            <v>0.33064109035840494</v>
          </cell>
          <cell r="G100">
            <v>0.65454545454545343</v>
          </cell>
          <cell r="H100">
            <v>8.1481481481481488E-2</v>
          </cell>
          <cell r="I100">
            <v>-0.30163043478260865</v>
          </cell>
          <cell r="J100" t="str">
            <v xml:space="preserve">NM </v>
          </cell>
          <cell r="L100" t="str">
            <v xml:space="preserve">NM </v>
          </cell>
          <cell r="M100" t="str">
            <v xml:space="preserve">NM </v>
          </cell>
          <cell r="N100" t="str">
            <v xml:space="preserve">NM </v>
          </cell>
          <cell r="O100">
            <v>0.94695121951219385</v>
          </cell>
          <cell r="P100">
            <v>0.50920910075839676</v>
          </cell>
          <cell r="Q100">
            <v>-0.22483466168375443</v>
          </cell>
          <cell r="S100">
            <v>0.47942299533304977</v>
          </cell>
          <cell r="T100">
            <v>5.1514447622452719E-2</v>
          </cell>
          <cell r="U100">
            <v>0.41144822124236269</v>
          </cell>
          <cell r="V100">
            <v>0.23076923076923084</v>
          </cell>
          <cell r="W100">
            <v>0.41144822124236269</v>
          </cell>
        </row>
        <row r="102">
          <cell r="A102" t="str">
            <v>Year</v>
          </cell>
          <cell r="B102">
            <v>0.31345509670163074</v>
          </cell>
          <cell r="C102">
            <v>0.15729357036052494</v>
          </cell>
          <cell r="D102">
            <v>0.37859048543016516</v>
          </cell>
          <cell r="E102">
            <v>0.31490901177814634</v>
          </cell>
          <cell r="F102">
            <v>0.47113954180303463</v>
          </cell>
          <cell r="G102">
            <v>0.49933272459085409</v>
          </cell>
          <cell r="H102">
            <v>0.34541062801932365</v>
          </cell>
          <cell r="I102">
            <v>-0.3167664670658682</v>
          </cell>
          <cell r="J102">
            <v>6.0283687943262221E-2</v>
          </cell>
          <cell r="L102" t="str">
            <v xml:space="preserve">NM </v>
          </cell>
          <cell r="M102">
            <v>2.1544929059379658E-2</v>
          </cell>
          <cell r="N102" t="str">
            <v xml:space="preserve">NM </v>
          </cell>
          <cell r="O102">
            <v>0.57305010539970747</v>
          </cell>
          <cell r="P102">
            <v>0.41934597416872754</v>
          </cell>
          <cell r="Q102">
            <v>-9.7710893444124647E-2</v>
          </cell>
          <cell r="S102">
            <v>0.46417481311098285</v>
          </cell>
          <cell r="T102">
            <v>4.9975655737166447E-2</v>
          </cell>
          <cell r="U102">
            <v>0.41014993693625623</v>
          </cell>
          <cell r="V102">
            <v>0.23076923076923084</v>
          </cell>
          <cell r="W102">
            <v>0.39062484662615682</v>
          </cell>
        </row>
        <row r="104">
          <cell r="A104" t="str">
            <v>1998 (a)</v>
          </cell>
        </row>
        <row r="105">
          <cell r="A105" t="str">
            <v xml:space="preserve"> 1QR</v>
          </cell>
          <cell r="B105">
            <v>2330.9</v>
          </cell>
          <cell r="C105">
            <v>653.6</v>
          </cell>
          <cell r="D105">
            <v>1677.3000000000002</v>
          </cell>
          <cell r="E105">
            <v>1024.3</v>
          </cell>
          <cell r="F105">
            <v>207.8</v>
          </cell>
          <cell r="G105">
            <v>445.20000000000022</v>
          </cell>
          <cell r="H105">
            <v>14.7</v>
          </cell>
          <cell r="I105">
            <v>-36</v>
          </cell>
          <cell r="J105">
            <v>-14.8</v>
          </cell>
          <cell r="L105">
            <v>6.9</v>
          </cell>
          <cell r="M105">
            <v>-29.200000000000003</v>
          </cell>
          <cell r="N105">
            <v>0</v>
          </cell>
          <cell r="O105">
            <v>416.00000000000023</v>
          </cell>
          <cell r="P105">
            <v>123.1</v>
          </cell>
          <cell r="Q105">
            <v>0.29591346153846138</v>
          </cell>
          <cell r="S105">
            <v>292.9000000000002</v>
          </cell>
          <cell r="T105">
            <v>873.96864800000003</v>
          </cell>
          <cell r="U105">
            <v>0.33</v>
          </cell>
          <cell r="V105">
            <v>0.16</v>
          </cell>
          <cell r="W105">
            <v>0.33513788014052442</v>
          </cell>
        </row>
        <row r="106">
          <cell r="A106" t="str">
            <v xml:space="preserve"> 2QR</v>
          </cell>
          <cell r="B106">
            <v>2682.7</v>
          </cell>
          <cell r="C106">
            <v>706.9</v>
          </cell>
          <cell r="D106">
            <v>1975.7999999999997</v>
          </cell>
          <cell r="E106">
            <v>1186.6000000000001</v>
          </cell>
          <cell r="F106">
            <v>260.8</v>
          </cell>
          <cell r="G106">
            <v>528.39999999999964</v>
          </cell>
          <cell r="H106">
            <v>14.2</v>
          </cell>
          <cell r="I106">
            <v>-26.4</v>
          </cell>
          <cell r="J106">
            <v>-14.7</v>
          </cell>
          <cell r="L106">
            <v>-40.299999999999997</v>
          </cell>
          <cell r="M106">
            <v>-67.199999999999989</v>
          </cell>
          <cell r="N106">
            <v>0</v>
          </cell>
          <cell r="O106">
            <v>461.19999999999965</v>
          </cell>
          <cell r="P106">
            <v>132.1</v>
          </cell>
          <cell r="Q106">
            <v>0.28642671292281024</v>
          </cell>
          <cell r="S106">
            <v>329.09999999999968</v>
          </cell>
          <cell r="T106">
            <v>878.70144900000003</v>
          </cell>
          <cell r="U106">
            <v>0.4</v>
          </cell>
          <cell r="V106">
            <v>0.16</v>
          </cell>
          <cell r="W106">
            <v>0.37452993889395497</v>
          </cell>
        </row>
        <row r="107">
          <cell r="A107" t="str">
            <v xml:space="preserve"> 3QR</v>
          </cell>
          <cell r="B107">
            <v>2694.1</v>
          </cell>
          <cell r="C107">
            <v>703.3</v>
          </cell>
          <cell r="D107">
            <v>1990.8</v>
          </cell>
          <cell r="E107">
            <v>1219.2</v>
          </cell>
          <cell r="F107">
            <v>256.7</v>
          </cell>
          <cell r="G107">
            <v>514.89999999999986</v>
          </cell>
          <cell r="H107">
            <v>12.2</v>
          </cell>
          <cell r="I107">
            <v>-26</v>
          </cell>
          <cell r="J107">
            <v>-14.9</v>
          </cell>
          <cell r="L107">
            <v>-61.8</v>
          </cell>
          <cell r="M107">
            <v>-90.5</v>
          </cell>
          <cell r="N107">
            <v>0</v>
          </cell>
          <cell r="O107">
            <v>424.39999999999986</v>
          </cell>
          <cell r="P107">
            <v>122</v>
          </cell>
          <cell r="Q107">
            <v>0.28746465598491999</v>
          </cell>
          <cell r="S107">
            <v>302.39999999999998</v>
          </cell>
          <cell r="T107">
            <v>881.03030899999999</v>
          </cell>
          <cell r="U107">
            <v>0.34323450273037087</v>
          </cell>
          <cell r="V107">
            <v>0.16</v>
          </cell>
          <cell r="W107">
            <v>0.34323450273037087</v>
          </cell>
        </row>
        <row r="108">
          <cell r="A108" t="str">
            <v xml:space="preserve"> 4Q</v>
          </cell>
          <cell r="B108">
            <v>3036.1</v>
          </cell>
          <cell r="C108">
            <v>722.5</v>
          </cell>
          <cell r="D108">
            <v>2313.6</v>
          </cell>
          <cell r="E108">
            <v>1403.9</v>
          </cell>
          <cell r="F108">
            <v>263.60000000000002</v>
          </cell>
          <cell r="G108">
            <v>646.0999999999998</v>
          </cell>
          <cell r="H108">
            <v>14.6</v>
          </cell>
          <cell r="I108">
            <v>-25.7</v>
          </cell>
          <cell r="J108">
            <v>-15.4</v>
          </cell>
          <cell r="L108">
            <v>19</v>
          </cell>
          <cell r="M108">
            <v>-7.5</v>
          </cell>
          <cell r="N108">
            <v>0</v>
          </cell>
          <cell r="O108">
            <v>638.5999999999998</v>
          </cell>
          <cell r="P108">
            <v>139.30000000000001</v>
          </cell>
          <cell r="Q108">
            <v>0.21813341684935805</v>
          </cell>
          <cell r="S108">
            <v>348.7</v>
          </cell>
          <cell r="T108">
            <v>882.32577300000003</v>
          </cell>
          <cell r="U108">
            <v>0.39520550194786158</v>
          </cell>
          <cell r="V108">
            <v>0.16</v>
          </cell>
          <cell r="W108">
            <v>0.39520550194786158</v>
          </cell>
        </row>
        <row r="110">
          <cell r="A110" t="str">
            <v>Year</v>
          </cell>
          <cell r="B110">
            <v>10743.800000000001</v>
          </cell>
          <cell r="C110">
            <v>2786.3</v>
          </cell>
          <cell r="D110">
            <v>7957.5</v>
          </cell>
          <cell r="E110">
            <v>4834</v>
          </cell>
          <cell r="F110">
            <v>988.9</v>
          </cell>
          <cell r="G110">
            <v>2134.5999999999995</v>
          </cell>
          <cell r="H110">
            <v>55.699999999999996</v>
          </cell>
          <cell r="I110">
            <v>-114.10000000000001</v>
          </cell>
          <cell r="J110">
            <v>-59.8</v>
          </cell>
          <cell r="L110">
            <v>-76.199999999999989</v>
          </cell>
          <cell r="M110">
            <v>-194.39999999999998</v>
          </cell>
          <cell r="N110">
            <v>0</v>
          </cell>
          <cell r="O110">
            <v>1940.1999999999994</v>
          </cell>
          <cell r="P110">
            <v>516.5</v>
          </cell>
          <cell r="Q110">
            <v>0.2662096691062778</v>
          </cell>
          <cell r="S110">
            <v>1273.0999999999999</v>
          </cell>
          <cell r="T110">
            <v>879.00654474999999</v>
          </cell>
          <cell r="U110">
            <v>1.4684400046782324</v>
          </cell>
          <cell r="V110">
            <v>0.64</v>
          </cell>
          <cell r="W110">
            <v>1.4481078237127119</v>
          </cell>
        </row>
        <row r="112">
          <cell r="A112" t="str">
            <v>1999/98</v>
          </cell>
        </row>
        <row r="113">
          <cell r="A113" t="str">
            <v xml:space="preserve"> 1QA</v>
          </cell>
          <cell r="B113">
            <v>0.28963061478398888</v>
          </cell>
          <cell r="C113">
            <v>0.15116279069767424</v>
          </cell>
          <cell r="D113">
            <v>0.34358790913968851</v>
          </cell>
          <cell r="E113">
            <v>0.33115298252465108</v>
          </cell>
          <cell r="F113">
            <v>0.3185755534167467</v>
          </cell>
          <cell r="G113">
            <v>0.38387241689128393</v>
          </cell>
          <cell r="H113">
            <v>0.52380952380952372</v>
          </cell>
          <cell r="I113">
            <v>-9.722222222222221E-2</v>
          </cell>
          <cell r="J113" t="str">
            <v xml:space="preserve">NM </v>
          </cell>
          <cell r="L113" t="str">
            <v xml:space="preserve">NM </v>
          </cell>
          <cell r="M113" t="str">
            <v xml:space="preserve">NM </v>
          </cell>
          <cell r="N113" t="str">
            <v xml:space="preserve">NM </v>
          </cell>
          <cell r="O113">
            <v>0.29278846153846083</v>
          </cell>
          <cell r="P113">
            <v>0.26563769293257522</v>
          </cell>
          <cell r="Q113">
            <v>-3.6880584890332635E-2</v>
          </cell>
          <cell r="S113">
            <v>0.30419938545578584</v>
          </cell>
          <cell r="T113">
            <v>9.9226671572776315E-3</v>
          </cell>
          <cell r="U113">
            <v>0.31149140825272359</v>
          </cell>
          <cell r="V113">
            <v>0.25</v>
          </cell>
          <cell r="W113">
            <v>0.29138539797986329</v>
          </cell>
        </row>
        <row r="114">
          <cell r="A114" t="str">
            <v xml:space="preserve"> 2QA</v>
          </cell>
          <cell r="B114">
            <v>0.17445111268498148</v>
          </cell>
          <cell r="C114">
            <v>2.3058424105248276E-2</v>
          </cell>
          <cell r="D114">
            <v>0.22861625670614449</v>
          </cell>
          <cell r="E114">
            <v>0.22130456767234108</v>
          </cell>
          <cell r="F114">
            <v>8.0521472392637961E-2</v>
          </cell>
          <cell r="G114">
            <v>0.31813020439061401</v>
          </cell>
          <cell r="H114">
            <v>1.2605633802816905</v>
          </cell>
          <cell r="I114">
            <v>0.39393939393939381</v>
          </cell>
          <cell r="J114" t="str">
            <v xml:space="preserve">NM </v>
          </cell>
          <cell r="L114" t="str">
            <v xml:space="preserve">NM </v>
          </cell>
          <cell r="M114" t="str">
            <v xml:space="preserve">NM </v>
          </cell>
          <cell r="N114" t="str">
            <v xml:space="preserve">NM </v>
          </cell>
          <cell r="O114">
            <v>0.36513443191674</v>
          </cell>
          <cell r="P114">
            <v>0.38304314912944726</v>
          </cell>
          <cell r="Q114">
            <v>1.3118647361023861E-2</v>
          </cell>
          <cell r="S114">
            <v>0.35794591309632473</v>
          </cell>
          <cell r="T114">
            <v>4.1727221505925005E-3</v>
          </cell>
          <cell r="U114">
            <v>0.26619501962778513</v>
          </cell>
          <cell r="V114">
            <v>0.25</v>
          </cell>
          <cell r="W114">
            <v>0.35230312788030305</v>
          </cell>
        </row>
        <row r="115">
          <cell r="A115" t="str">
            <v xml:space="preserve"> 3QA</v>
          </cell>
          <cell r="B115">
            <v>0.20173712928250631</v>
          </cell>
          <cell r="C115">
            <v>9.0857386606000512E-2</v>
          </cell>
          <cell r="D115">
            <v>0.24090817761703875</v>
          </cell>
          <cell r="E115">
            <v>0.26667913385826791</v>
          </cell>
          <cell r="F115">
            <v>0.35021425788858607</v>
          </cell>
          <cell r="G115">
            <v>0.22450961351718912</v>
          </cell>
          <cell r="H115">
            <v>1.7049180327868854</v>
          </cell>
          <cell r="I115">
            <v>0.42692307692307696</v>
          </cell>
          <cell r="J115" t="str">
            <v xml:space="preserve">NM </v>
          </cell>
          <cell r="L115" t="str">
            <v xml:space="preserve">NM </v>
          </cell>
          <cell r="M115" t="str">
            <v xml:space="preserve">NM </v>
          </cell>
          <cell r="N115" t="str">
            <v xml:space="preserve">NM </v>
          </cell>
          <cell r="O115">
            <v>0.3840716305372307</v>
          </cell>
          <cell r="P115">
            <v>0.39672131147540979</v>
          </cell>
          <cell r="Q115">
            <v>9.1394698504652094E-3</v>
          </cell>
          <cell r="S115">
            <v>0.37896825396825595</v>
          </cell>
          <cell r="T115">
            <v>2.7707798188814081E-3</v>
          </cell>
          <cell r="U115">
            <v>0.37515799395084359</v>
          </cell>
          <cell r="V115">
            <v>0.25</v>
          </cell>
          <cell r="W115">
            <v>0.37515799395084359</v>
          </cell>
        </row>
        <row r="116">
          <cell r="A116" t="str">
            <v xml:space="preserve"> 4Q</v>
          </cell>
          <cell r="B116">
            <v>0.16422383979447308</v>
          </cell>
          <cell r="C116">
            <v>0.10602076124567472</v>
          </cell>
          <cell r="D116">
            <v>0.18239972337482713</v>
          </cell>
          <cell r="E116">
            <v>0.20097720635372873</v>
          </cell>
          <cell r="F116">
            <v>0.35280728376327763</v>
          </cell>
          <cell r="G116">
            <v>0.12443894134034994</v>
          </cell>
          <cell r="H116">
            <v>1.6712328767123288</v>
          </cell>
          <cell r="I116">
            <v>0.31906614785992216</v>
          </cell>
          <cell r="J116" t="str">
            <v xml:space="preserve">NM </v>
          </cell>
          <cell r="L116" t="str">
            <v xml:space="preserve">NM </v>
          </cell>
          <cell r="M116" t="str">
            <v xml:space="preserve">NM </v>
          </cell>
          <cell r="N116" t="str">
            <v xml:space="preserve">NM </v>
          </cell>
          <cell r="O116">
            <v>7.5007829627310008E-2</v>
          </cell>
          <cell r="P116">
            <v>0.42928930366116269</v>
          </cell>
          <cell r="Q116">
            <v>0.32956176157031081</v>
          </cell>
          <cell r="S116">
            <v>0.39776312016059623</v>
          </cell>
          <cell r="T116">
            <v>7.1588014237911057E-3</v>
          </cell>
          <cell r="U116">
            <v>0.38782793555953576</v>
          </cell>
          <cell r="V116">
            <v>0.25</v>
          </cell>
          <cell r="W116">
            <v>0.41060722050922016</v>
          </cell>
        </row>
        <row r="118">
          <cell r="A118" t="str">
            <v>Year</v>
          </cell>
          <cell r="B118">
            <v>0.20339172359872659</v>
          </cell>
          <cell r="C118">
            <v>9.173455837490585E-2</v>
          </cell>
          <cell r="D118">
            <v>0.24248821866163994</v>
          </cell>
          <cell r="E118">
            <v>0.23262308647083163</v>
          </cell>
          <cell r="F118">
            <v>0.27313176256446559</v>
          </cell>
          <cell r="G118">
            <v>0.25063243699053728</v>
          </cell>
          <cell r="H118">
            <v>1.2710951526032317</v>
          </cell>
          <cell r="I118">
            <v>0.22962313759859776</v>
          </cell>
          <cell r="J118">
            <v>1.5050167224080369E-2</v>
          </cell>
          <cell r="L118" t="str">
            <v xml:space="preserve">NM </v>
          </cell>
          <cell r="M118">
            <v>0.17438271604938294</v>
          </cell>
          <cell r="N118" t="str">
            <v xml:space="preserve">NM </v>
          </cell>
          <cell r="O118">
            <v>0.25827234305741742</v>
          </cell>
          <cell r="P118">
            <v>0.37076476282671833</v>
          </cell>
          <cell r="Q118">
            <v>8.9402282733132887E-2</v>
          </cell>
          <cell r="S118">
            <v>0.36147985232896129</v>
          </cell>
          <cell r="T118">
            <v>6.0000159060249469E-3</v>
          </cell>
          <cell r="U118">
            <v>0.3345789221558424</v>
          </cell>
          <cell r="V118">
            <v>0.25</v>
          </cell>
          <cell r="W118">
            <v>0.35953383111279114</v>
          </cell>
        </row>
        <row r="120">
          <cell r="A120" t="str">
            <v>1999 (a)</v>
          </cell>
        </row>
        <row r="121">
          <cell r="A121" t="str">
            <v xml:space="preserve"> 1QA R</v>
          </cell>
          <cell r="B121">
            <v>3006</v>
          </cell>
          <cell r="C121">
            <v>752.4</v>
          </cell>
          <cell r="D121">
            <v>2253.6</v>
          </cell>
          <cell r="E121">
            <v>1363.5</v>
          </cell>
          <cell r="F121">
            <v>274</v>
          </cell>
          <cell r="G121">
            <v>616.09999999999991</v>
          </cell>
          <cell r="H121">
            <v>22.4</v>
          </cell>
          <cell r="I121">
            <v>-32.5</v>
          </cell>
          <cell r="J121">
            <v>-15.7</v>
          </cell>
          <cell r="K121" t="str">
            <v xml:space="preserve"> </v>
          </cell>
          <cell r="L121">
            <v>-52.5</v>
          </cell>
          <cell r="M121">
            <v>-78.3</v>
          </cell>
          <cell r="N121">
            <v>0</v>
          </cell>
          <cell r="O121">
            <v>537.79999999999995</v>
          </cell>
          <cell r="P121">
            <v>155.80000000000001</v>
          </cell>
          <cell r="Q121">
            <v>0.28499999999999998</v>
          </cell>
          <cell r="S121">
            <v>381.99999999999994</v>
          </cell>
          <cell r="T121">
            <v>882.64074800000003</v>
          </cell>
          <cell r="U121">
            <v>0.43279216472339882</v>
          </cell>
          <cell r="V121">
            <v>0.2</v>
          </cell>
          <cell r="W121">
            <v>0.43279216472339882</v>
          </cell>
        </row>
        <row r="122">
          <cell r="A122" t="str">
            <v xml:space="preserve"> 2QA R</v>
          </cell>
          <cell r="B122">
            <v>3150.7</v>
          </cell>
          <cell r="C122">
            <v>723.2</v>
          </cell>
          <cell r="D122">
            <v>2427.5</v>
          </cell>
          <cell r="E122">
            <v>1449.2</v>
          </cell>
          <cell r="F122">
            <v>281.8</v>
          </cell>
          <cell r="G122">
            <v>696.5</v>
          </cell>
          <cell r="H122">
            <v>32.1</v>
          </cell>
          <cell r="I122">
            <v>-36.799999999999997</v>
          </cell>
          <cell r="J122">
            <v>-15.3</v>
          </cell>
          <cell r="K122" t="str">
            <v xml:space="preserve"> </v>
          </cell>
          <cell r="L122">
            <v>-46.9</v>
          </cell>
          <cell r="M122">
            <v>-66.899999999999991</v>
          </cell>
          <cell r="N122">
            <v>0</v>
          </cell>
          <cell r="O122">
            <v>629.6</v>
          </cell>
          <cell r="P122">
            <v>182.7</v>
          </cell>
          <cell r="Q122">
            <v>0.29018424396442183</v>
          </cell>
          <cell r="S122">
            <v>446.90000000000003</v>
          </cell>
          <cell r="T122">
            <v>882.36802599999999</v>
          </cell>
          <cell r="U122">
            <v>0.50647800785111408</v>
          </cell>
          <cell r="V122">
            <v>0.2</v>
          </cell>
          <cell r="W122">
            <v>0.50647800785111408</v>
          </cell>
        </row>
        <row r="123">
          <cell r="A123" t="str">
            <v xml:space="preserve"> 3QA</v>
          </cell>
          <cell r="B123">
            <v>3237.6000000000004</v>
          </cell>
          <cell r="C123">
            <v>767.2</v>
          </cell>
          <cell r="D123">
            <v>2470.4000000000005</v>
          </cell>
          <cell r="E123">
            <v>1493.3</v>
          </cell>
          <cell r="F123">
            <v>346.6</v>
          </cell>
          <cell r="G123">
            <v>630.50000000000057</v>
          </cell>
          <cell r="H123">
            <v>33</v>
          </cell>
          <cell r="I123">
            <v>-37.1</v>
          </cell>
          <cell r="J123">
            <v>-14.4</v>
          </cell>
          <cell r="L123">
            <v>-24.599999999999998</v>
          </cell>
          <cell r="M123">
            <v>-43.099999999999994</v>
          </cell>
          <cell r="N123">
            <v>0</v>
          </cell>
          <cell r="O123">
            <v>587.40000000000055</v>
          </cell>
          <cell r="P123">
            <v>170.4</v>
          </cell>
          <cell r="Q123">
            <v>0.2900919305413685</v>
          </cell>
          <cell r="S123">
            <v>417.00000000000057</v>
          </cell>
          <cell r="T123">
            <v>883.47145</v>
          </cell>
          <cell r="U123">
            <v>0.47200167022941214</v>
          </cell>
          <cell r="V123">
            <v>0.2</v>
          </cell>
          <cell r="W123">
            <v>0.47200167022941214</v>
          </cell>
        </row>
        <row r="124">
          <cell r="A124" t="str">
            <v xml:space="preserve"> 4Q</v>
          </cell>
          <cell r="B124">
            <v>3534.7</v>
          </cell>
          <cell r="C124">
            <v>799.1</v>
          </cell>
          <cell r="D124">
            <v>2735.6</v>
          </cell>
          <cell r="E124">
            <v>1652.5</v>
          </cell>
          <cell r="F124">
            <v>356.6</v>
          </cell>
          <cell r="G124">
            <v>726.49999999999989</v>
          </cell>
          <cell r="H124">
            <v>39</v>
          </cell>
          <cell r="I124">
            <v>-33.9</v>
          </cell>
          <cell r="J124">
            <v>-15.3</v>
          </cell>
          <cell r="L124">
            <v>-29.8</v>
          </cell>
          <cell r="M124">
            <v>-40</v>
          </cell>
          <cell r="N124">
            <v>0</v>
          </cell>
          <cell r="O124">
            <v>686.49999999999989</v>
          </cell>
          <cell r="P124">
            <v>199.1</v>
          </cell>
          <cell r="Q124">
            <v>0.29002184996358343</v>
          </cell>
          <cell r="S124">
            <v>487.39999999999986</v>
          </cell>
          <cell r="T124">
            <v>888.64216799999997</v>
          </cell>
          <cell r="U124">
            <v>0.5484772358900708</v>
          </cell>
          <cell r="V124">
            <v>0.2</v>
          </cell>
          <cell r="W124">
            <v>0.55747973463262424</v>
          </cell>
        </row>
        <row r="126">
          <cell r="A126" t="str">
            <v>Year</v>
          </cell>
          <cell r="B126">
            <v>12929</v>
          </cell>
          <cell r="C126">
            <v>3041.9</v>
          </cell>
          <cell r="D126">
            <v>9887.1</v>
          </cell>
          <cell r="E126">
            <v>5958.5</v>
          </cell>
          <cell r="F126">
            <v>1259</v>
          </cell>
          <cell r="G126">
            <v>2669.6000000000004</v>
          </cell>
          <cell r="H126">
            <v>126.5</v>
          </cell>
          <cell r="I126">
            <v>-140.30000000000001</v>
          </cell>
          <cell r="J126">
            <v>-60.7</v>
          </cell>
          <cell r="L126">
            <v>-153.80000000000001</v>
          </cell>
          <cell r="M126">
            <v>-228.3</v>
          </cell>
          <cell r="N126">
            <v>0</v>
          </cell>
          <cell r="O126">
            <v>2441.3000000000006</v>
          </cell>
          <cell r="P126">
            <v>708</v>
          </cell>
          <cell r="Q126">
            <v>0.290009421210011</v>
          </cell>
          <cell r="S126">
            <v>1733.3000000000004</v>
          </cell>
          <cell r="T126">
            <v>884.28059799999994</v>
          </cell>
          <cell r="U126">
            <v>1.9597490786939957</v>
          </cell>
          <cell r="V126">
            <v>0.8</v>
          </cell>
          <cell r="W126">
            <v>1.9687515774365494</v>
          </cell>
        </row>
        <row r="128">
          <cell r="A128" t="str">
            <v>2000E</v>
          </cell>
        </row>
        <row r="129">
          <cell r="A129" t="str">
            <v xml:space="preserve"> 1QA</v>
          </cell>
          <cell r="B129">
            <v>0.13339986693280115</v>
          </cell>
          <cell r="C129">
            <v>-2.6581605528963603E-4</v>
          </cell>
          <cell r="D129">
            <v>0.17802626908058228</v>
          </cell>
          <cell r="E129">
            <v>0.14712137880454712</v>
          </cell>
          <cell r="F129">
            <v>0.2729927007299271</v>
          </cell>
          <cell r="G129">
            <v>0.20418763187794253</v>
          </cell>
          <cell r="H129">
            <v>1.4553571428571428</v>
          </cell>
          <cell r="I129">
            <v>0.78153846153846152</v>
          </cell>
          <cell r="J129" t="str">
            <v xml:space="preserve">NM </v>
          </cell>
          <cell r="L129" t="str">
            <v xml:space="preserve">NM </v>
          </cell>
          <cell r="M129" t="str">
            <v xml:space="preserve">NM </v>
          </cell>
          <cell r="N129" t="str">
            <v xml:space="preserve">NM </v>
          </cell>
          <cell r="O129">
            <v>0.34101896615842375</v>
          </cell>
          <cell r="P129">
            <v>0.31926829268292711</v>
          </cell>
          <cell r="Q129">
            <v>0</v>
          </cell>
          <cell r="R129" t="e">
            <v>#DIV/0!</v>
          </cell>
          <cell r="S129">
            <v>0.34989005235602177</v>
          </cell>
          <cell r="T129">
            <v>1.468236315779059E-2</v>
          </cell>
          <cell r="U129">
            <v>0.33035726387815778</v>
          </cell>
          <cell r="V129">
            <v>0.25</v>
          </cell>
        </row>
        <row r="130">
          <cell r="A130" t="str">
            <v xml:space="preserve"> 2QE</v>
          </cell>
          <cell r="B130">
            <v>0.12531659631193093</v>
          </cell>
          <cell r="C130">
            <v>2.9538647676991214E-2</v>
          </cell>
          <cell r="D130">
            <v>0.15385073120494352</v>
          </cell>
          <cell r="E130">
            <v>0.13030442313000301</v>
          </cell>
          <cell r="F130">
            <v>0.22042900993612502</v>
          </cell>
          <cell r="G130">
            <v>0.17590608040200983</v>
          </cell>
          <cell r="H130">
            <v>0.55763239875389403</v>
          </cell>
          <cell r="I130">
            <v>0.63043478260869579</v>
          </cell>
          <cell r="J130" t="str">
            <v xml:space="preserve">NM </v>
          </cell>
          <cell r="L130" t="str">
            <v xml:space="preserve">NM </v>
          </cell>
          <cell r="M130" t="str">
            <v xml:space="preserve">NM </v>
          </cell>
          <cell r="N130" t="str">
            <v xml:space="preserve">NM </v>
          </cell>
          <cell r="O130">
            <v>0.25765340692503136</v>
          </cell>
          <cell r="P130">
            <v>0.23518498481116556</v>
          </cell>
          <cell r="Q130">
            <v>-1.7865353037766818E-2</v>
          </cell>
          <cell r="R130" t="e">
            <v>#DIV/0!</v>
          </cell>
          <cell r="S130">
            <v>0.26683886389572575</v>
          </cell>
          <cell r="T130">
            <v>1.4995980826712385E-2</v>
          </cell>
          <cell r="U130">
            <v>0.24812204957096262</v>
          </cell>
          <cell r="V130">
            <v>0.25</v>
          </cell>
        </row>
        <row r="131">
          <cell r="A131" t="str">
            <v xml:space="preserve"> 3QE</v>
          </cell>
          <cell r="B131">
            <v>0.14365826538176441</v>
          </cell>
          <cell r="C131">
            <v>4.2472533889468256E-2</v>
          </cell>
          <cell r="D131">
            <v>0.17508220207253888</v>
          </cell>
          <cell r="E131">
            <v>0.1505099524542961</v>
          </cell>
          <cell r="F131">
            <v>0.15375783035199087</v>
          </cell>
          <cell r="G131">
            <v>0.24500253132434491</v>
          </cell>
          <cell r="H131">
            <v>0.51515151515151514</v>
          </cell>
          <cell r="I131">
            <v>0.61725067385444743</v>
          </cell>
          <cell r="J131" t="str">
            <v xml:space="preserve">NM </v>
          </cell>
          <cell r="L131" t="str">
            <v xml:space="preserve">NM </v>
          </cell>
          <cell r="M131" t="str">
            <v xml:space="preserve">NM </v>
          </cell>
          <cell r="N131" t="str">
            <v xml:space="preserve">NM </v>
          </cell>
          <cell r="O131">
            <v>0.28783468845760884</v>
          </cell>
          <cell r="P131">
            <v>0.26522956197183101</v>
          </cell>
          <cell r="Q131">
            <v>-1.7552816901407753E-2</v>
          </cell>
          <cell r="R131" t="e">
            <v>#DIV/0!</v>
          </cell>
          <cell r="S131">
            <v>0.29707189122302013</v>
          </cell>
          <cell r="T131">
            <v>1.3728287427963837E-2</v>
          </cell>
          <cell r="U131">
            <v>0.27950645879080382</v>
          </cell>
          <cell r="V131">
            <v>0.25</v>
          </cell>
        </row>
        <row r="132">
          <cell r="A132" t="str">
            <v xml:space="preserve"> 4QE</v>
          </cell>
          <cell r="B132">
            <v>0.16783521158485137</v>
          </cell>
          <cell r="C132">
            <v>0.12203953001629131</v>
          </cell>
          <cell r="D132">
            <v>0.18121265314847035</v>
          </cell>
          <cell r="E132">
            <v>0.17349865947865983</v>
          </cell>
          <cell r="F132">
            <v>0.20599894449260914</v>
          </cell>
          <cell r="G132">
            <v>0.18659267110585831</v>
          </cell>
          <cell r="H132">
            <v>0.41025641025641035</v>
          </cell>
          <cell r="I132">
            <v>0.83185840707964598</v>
          </cell>
          <cell r="J132" t="str">
            <v xml:space="preserve">NM </v>
          </cell>
          <cell r="L132" t="str">
            <v xml:space="preserve">NM </v>
          </cell>
          <cell r="M132" t="str">
            <v xml:space="preserve">NM </v>
          </cell>
          <cell r="N132" t="str">
            <v xml:space="preserve">NM </v>
          </cell>
          <cell r="O132">
            <v>0.21742108602826815</v>
          </cell>
          <cell r="P132">
            <v>0.196340929352816</v>
          </cell>
          <cell r="Q132">
            <v>-1.7315419387242792E-2</v>
          </cell>
          <cell r="R132" t="e">
            <v>#DIV/0!</v>
          </cell>
          <cell r="S132">
            <v>0.22603220460455553</v>
          </cell>
          <cell r="T132">
            <v>7.8297342288624616E-3</v>
          </cell>
          <cell r="U132">
            <v>0.21650727594641772</v>
          </cell>
          <cell r="V132">
            <v>0.25</v>
          </cell>
        </row>
        <row r="134">
          <cell r="A134" t="str">
            <v>Year</v>
          </cell>
          <cell r="B134">
            <v>0.14341326648534114</v>
          </cell>
          <cell r="C134">
            <v>4.9728481026996008E-2</v>
          </cell>
          <cell r="D134">
            <v>0.17223665745799632</v>
          </cell>
          <cell r="E134">
            <v>0.14000000000000001</v>
          </cell>
          <cell r="F134">
            <v>0.2094269917442928</v>
          </cell>
          <cell r="G134">
            <v>0.20166026991249852</v>
          </cell>
          <cell r="H134">
            <v>0.66007905138339917</v>
          </cell>
          <cell r="I134" t="str">
            <v xml:space="preserve">NM </v>
          </cell>
          <cell r="J134" t="str">
            <v xml:space="preserve">NM </v>
          </cell>
          <cell r="L134" t="str">
            <v xml:space="preserve">NM </v>
          </cell>
          <cell r="M134" t="str">
            <v xml:space="preserve">NM </v>
          </cell>
          <cell r="N134" t="str">
            <v xml:space="preserve">NM </v>
          </cell>
          <cell r="O134">
            <v>0.2719666802762486</v>
          </cell>
          <cell r="P134">
            <v>0.24999561175020601</v>
          </cell>
          <cell r="Q134">
            <v>-1.7273305084745672E-2</v>
          </cell>
          <cell r="S134">
            <v>0.2809411893147522</v>
          </cell>
          <cell r="T134">
            <v>0</v>
          </cell>
          <cell r="U134">
            <v>0.2649937331431198</v>
          </cell>
          <cell r="V134">
            <v>0.25</v>
          </cell>
          <cell r="W134">
            <v>0.25920930375016038</v>
          </cell>
        </row>
        <row r="136">
          <cell r="A136" t="str">
            <v>2000E</v>
          </cell>
        </row>
        <row r="137">
          <cell r="A137" t="str">
            <v xml:space="preserve"> 1QA</v>
          </cell>
          <cell r="B137">
            <v>3407</v>
          </cell>
          <cell r="C137">
            <v>752.2</v>
          </cell>
          <cell r="D137">
            <v>2654.8</v>
          </cell>
          <cell r="E137">
            <v>1564.1</v>
          </cell>
          <cell r="F137">
            <v>348.8</v>
          </cell>
          <cell r="G137">
            <v>741.90000000000032</v>
          </cell>
          <cell r="H137">
            <v>55</v>
          </cell>
          <cell r="I137">
            <v>-57.9</v>
          </cell>
          <cell r="J137">
            <v>-14.9</v>
          </cell>
          <cell r="L137">
            <v>-2.9000000000000021</v>
          </cell>
          <cell r="M137">
            <v>-20.7</v>
          </cell>
          <cell r="N137">
            <v>0</v>
          </cell>
          <cell r="O137">
            <v>721.20000000000027</v>
          </cell>
          <cell r="P137">
            <v>205.54200000000006</v>
          </cell>
          <cell r="Q137">
            <v>0.28499999999999998</v>
          </cell>
          <cell r="S137">
            <v>515.65800000000024</v>
          </cell>
          <cell r="T137">
            <v>895.6</v>
          </cell>
          <cell r="U137">
            <v>0.57576820008932583</v>
          </cell>
          <cell r="V137">
            <v>0.25</v>
          </cell>
        </row>
        <row r="138">
          <cell r="A138" t="str">
            <v xml:space="preserve"> 2QE</v>
          </cell>
          <cell r="B138">
            <v>3545.5350000000003</v>
          </cell>
          <cell r="C138">
            <v>744.56235000000004</v>
          </cell>
          <cell r="D138">
            <v>2800.9726500000002</v>
          </cell>
          <cell r="E138">
            <v>1638.0371700000003</v>
          </cell>
          <cell r="F138">
            <v>343.91689500000007</v>
          </cell>
          <cell r="G138">
            <v>819.0185849999998</v>
          </cell>
          <cell r="H138">
            <v>50</v>
          </cell>
          <cell r="I138">
            <v>-60</v>
          </cell>
          <cell r="J138">
            <v>-14.2</v>
          </cell>
          <cell r="L138">
            <v>-3</v>
          </cell>
          <cell r="M138">
            <v>-27.2</v>
          </cell>
          <cell r="N138">
            <v>0</v>
          </cell>
          <cell r="O138">
            <v>791.81858499999976</v>
          </cell>
          <cell r="P138">
            <v>225.66829672499992</v>
          </cell>
          <cell r="Q138">
            <v>0.28499999999999998</v>
          </cell>
          <cell r="S138">
            <v>566.15028827499987</v>
          </cell>
          <cell r="T138">
            <v>895.6</v>
          </cell>
          <cell r="U138">
            <v>0.6321463692217506</v>
          </cell>
          <cell r="V138">
            <v>0.25</v>
          </cell>
        </row>
        <row r="139">
          <cell r="A139" t="str">
            <v xml:space="preserve"> 3QE</v>
          </cell>
          <cell r="B139">
            <v>3702.7080000000005</v>
          </cell>
          <cell r="C139">
            <v>799.78492800000015</v>
          </cell>
          <cell r="D139">
            <v>2902.9230720000005</v>
          </cell>
          <cell r="E139">
            <v>1718.0565120000003</v>
          </cell>
          <cell r="F139">
            <v>399.89246400000007</v>
          </cell>
          <cell r="G139">
            <v>784.97409600000015</v>
          </cell>
          <cell r="H139">
            <v>50</v>
          </cell>
          <cell r="I139">
            <v>-60</v>
          </cell>
          <cell r="J139">
            <v>-15.5</v>
          </cell>
          <cell r="L139">
            <v>-3</v>
          </cell>
          <cell r="M139">
            <v>-28.5</v>
          </cell>
          <cell r="N139">
            <v>0</v>
          </cell>
          <cell r="O139">
            <v>756.47409600000015</v>
          </cell>
          <cell r="P139">
            <v>215.59511736000002</v>
          </cell>
          <cell r="Q139">
            <v>0.28499999999999998</v>
          </cell>
          <cell r="S139">
            <v>540.87897864000013</v>
          </cell>
          <cell r="T139">
            <v>895.6</v>
          </cell>
          <cell r="U139">
            <v>0.60392918561857989</v>
          </cell>
          <cell r="V139">
            <v>0.25</v>
          </cell>
        </row>
        <row r="140">
          <cell r="A140" t="str">
            <v xml:space="preserve"> 4QE</v>
          </cell>
          <cell r="B140">
            <v>4127.9471223889741</v>
          </cell>
          <cell r="C140">
            <v>896.62178843601839</v>
          </cell>
          <cell r="D140">
            <v>3231.3253339529556</v>
          </cell>
          <cell r="E140">
            <v>1939.2065347884852</v>
          </cell>
          <cell r="F140">
            <v>430.05922360606445</v>
          </cell>
          <cell r="G140">
            <v>862.05957555840587</v>
          </cell>
          <cell r="H140">
            <v>55</v>
          </cell>
          <cell r="I140">
            <v>-62.099999999999994</v>
          </cell>
          <cell r="J140">
            <v>-16.100000000000005</v>
          </cell>
          <cell r="K140">
            <v>0</v>
          </cell>
          <cell r="L140">
            <v>-3.0999999999999979</v>
          </cell>
          <cell r="M140">
            <v>-26.299999999999997</v>
          </cell>
          <cell r="N140">
            <v>0</v>
          </cell>
          <cell r="O140">
            <v>835.75957555840591</v>
          </cell>
          <cell r="P140">
            <v>238.19147903414566</v>
          </cell>
          <cell r="Q140">
            <v>0.28499999999999998</v>
          </cell>
          <cell r="S140">
            <v>597.56809652426023</v>
          </cell>
          <cell r="T140">
            <v>895.6</v>
          </cell>
          <cell r="U140">
            <v>0.66722654815125082</v>
          </cell>
          <cell r="V140">
            <v>0.25</v>
          </cell>
        </row>
        <row r="142">
          <cell r="A142" t="str">
            <v>Year</v>
          </cell>
          <cell r="B142">
            <v>14783.190122388976</v>
          </cell>
          <cell r="C142">
            <v>3193.169066436019</v>
          </cell>
          <cell r="D142">
            <v>11590.021055952957</v>
          </cell>
          <cell r="E142">
            <v>6859.4002167884855</v>
          </cell>
          <cell r="F142">
            <v>1522.6685826060645</v>
          </cell>
          <cell r="G142">
            <v>3207.9522565584066</v>
          </cell>
          <cell r="H142">
            <v>210</v>
          </cell>
          <cell r="I142">
            <v>-240</v>
          </cell>
          <cell r="J142">
            <v>-60.7</v>
          </cell>
          <cell r="L142">
            <v>-12</v>
          </cell>
          <cell r="M142">
            <v>-102.7</v>
          </cell>
          <cell r="N142">
            <v>0</v>
          </cell>
          <cell r="O142">
            <v>3105.2522565584068</v>
          </cell>
          <cell r="P142">
            <v>884.99689311914585</v>
          </cell>
          <cell r="Q142">
            <v>0.28499999999999998</v>
          </cell>
          <cell r="S142">
            <v>2220.2553634392607</v>
          </cell>
          <cell r="T142">
            <v>895.6</v>
          </cell>
          <cell r="U142">
            <v>2.4790703030809071</v>
          </cell>
          <cell r="V142">
            <v>1</v>
          </cell>
          <cell r="W142">
            <v>2.4790703030809071</v>
          </cell>
        </row>
        <row r="145">
          <cell r="A145" t="str">
            <v>2001E/00E</v>
          </cell>
          <cell r="B145">
            <v>0.12828424913276026</v>
          </cell>
          <cell r="C145">
            <v>4.9931176276318601E-2</v>
          </cell>
          <cell r="D145">
            <v>0.14987132022586147</v>
          </cell>
          <cell r="E145">
            <v>0.10396777824627823</v>
          </cell>
          <cell r="F145">
            <v>8.8849071493168452E-2</v>
          </cell>
          <cell r="G145">
            <v>0.27698899348850703</v>
          </cell>
          <cell r="H145">
            <v>0.33333333333333326</v>
          </cell>
          <cell r="I145">
            <v>-2.083333333333337E-2</v>
          </cell>
          <cell r="J145" t="str">
            <v xml:space="preserve">NM </v>
          </cell>
          <cell r="L145">
            <v>-0.83333333333333337</v>
          </cell>
          <cell r="M145">
            <v>-0.82765335929892891</v>
          </cell>
          <cell r="N145" t="str">
            <v xml:space="preserve">NM </v>
          </cell>
          <cell r="O145">
            <v>0.31352282721865432</v>
          </cell>
          <cell r="P145">
            <v>0.31352282721865454</v>
          </cell>
          <cell r="Q145">
            <v>0</v>
          </cell>
          <cell r="S145">
            <v>0.31352282721865454</v>
          </cell>
          <cell r="T145">
            <v>0</v>
          </cell>
          <cell r="U145">
            <v>0.31352282721865476</v>
          </cell>
          <cell r="V145">
            <v>0.25</v>
          </cell>
          <cell r="W145">
            <v>0.31352282721865476</v>
          </cell>
        </row>
        <row r="146">
          <cell r="A146" t="str">
            <v>2002E/01E</v>
          </cell>
          <cell r="B146">
            <v>0.11639138913769598</v>
          </cell>
          <cell r="C146">
            <v>8.8620459059643775E-2</v>
          </cell>
          <cell r="D146">
            <v>0.1233775680434388</v>
          </cell>
          <cell r="E146">
            <v>0.10655534165630653</v>
          </cell>
          <cell r="F146">
            <v>8.9436265053888464E-2</v>
          </cell>
          <cell r="G146">
            <v>0.16821085915467382</v>
          </cell>
          <cell r="H146">
            <v>0.28571428571428581</v>
          </cell>
          <cell r="I146">
            <v>0</v>
          </cell>
          <cell r="J146" t="str">
            <v xml:space="preserve">NM </v>
          </cell>
          <cell r="L146">
            <v>-5</v>
          </cell>
          <cell r="M146">
            <v>-5.0847457627118633</v>
          </cell>
          <cell r="N146" t="str">
            <v xml:space="preserve">NM </v>
          </cell>
          <cell r="O146">
            <v>0.19100601523298333</v>
          </cell>
          <cell r="P146">
            <v>0.17011117286047495</v>
          </cell>
          <cell r="Q146">
            <v>-1.754385964912264E-2</v>
          </cell>
          <cell r="S146">
            <v>0.19933472862622081</v>
          </cell>
          <cell r="T146">
            <v>0</v>
          </cell>
          <cell r="U146">
            <v>0.19933472862622059</v>
          </cell>
          <cell r="V146">
            <v>0.25</v>
          </cell>
          <cell r="W146">
            <v>0.19933472862622059</v>
          </cell>
        </row>
        <row r="147">
          <cell r="A147" t="str">
            <v>2003E/02E</v>
          </cell>
          <cell r="B147">
            <v>4.1580886092527747E-2</v>
          </cell>
          <cell r="C147">
            <v>6.2837638869926327E-2</v>
          </cell>
          <cell r="D147">
            <v>3.6398891634356056E-2</v>
          </cell>
          <cell r="E147">
            <v>5.7783255431745006E-2</v>
          </cell>
          <cell r="F147">
            <v>2.010499153391887E-2</v>
          </cell>
          <cell r="G147">
            <v>5.105290859715339E-3</v>
          </cell>
          <cell r="H147">
            <v>0.33333333333333326</v>
          </cell>
          <cell r="I147">
            <v>0</v>
          </cell>
          <cell r="J147" t="str">
            <v xml:space="preserve">NM </v>
          </cell>
          <cell r="L147">
            <v>1.25</v>
          </cell>
          <cell r="M147">
            <v>1.7980636237897651</v>
          </cell>
          <cell r="N147" t="str">
            <v xml:space="preserve">NM </v>
          </cell>
          <cell r="O147">
            <v>3.1789849787038138E-2</v>
          </cell>
          <cell r="P147">
            <v>2.0734958539319726E-2</v>
          </cell>
          <cell r="Q147">
            <v>-1.0714285714285676E-2</v>
          </cell>
          <cell r="S147">
            <v>3.6088974161150755E-2</v>
          </cell>
          <cell r="T147">
            <v>0</v>
          </cell>
          <cell r="U147">
            <v>3.6088974161150755E-2</v>
          </cell>
          <cell r="V147">
            <v>0.25</v>
          </cell>
          <cell r="W147">
            <v>3.6088974161150755E-2</v>
          </cell>
        </row>
        <row r="148">
          <cell r="A148" t="str">
            <v>2004E/03E</v>
          </cell>
          <cell r="B148">
            <v>5.1808359840511242E-2</v>
          </cell>
          <cell r="C148">
            <v>5.9171018359394978E-2</v>
          </cell>
          <cell r="D148">
            <v>4.9967695210790364E-2</v>
          </cell>
          <cell r="E148">
            <v>5.5030529870657041E-2</v>
          </cell>
          <cell r="F148">
            <v>4.0736692894821624E-2</v>
          </cell>
          <cell r="G148">
            <v>4.4174266906185533E-2</v>
          </cell>
          <cell r="H148">
            <v>0.29166666666666674</v>
          </cell>
          <cell r="I148">
            <v>0</v>
          </cell>
          <cell r="J148" t="str">
            <v xml:space="preserve">NM </v>
          </cell>
          <cell r="L148">
            <v>0.55555555555555558</v>
          </cell>
          <cell r="M148">
            <v>0.74147305981216016</v>
          </cell>
          <cell r="N148" t="str">
            <v xml:space="preserve">NM </v>
          </cell>
          <cell r="O148">
            <v>7.2317570743227977E-2</v>
          </cell>
          <cell r="P148">
            <v>5.6832840479787761E-2</v>
          </cell>
          <cell r="Q148">
            <v>-1.4440433212996373E-2</v>
          </cell>
          <cell r="S148">
            <v>7.8250171411240244E-2</v>
          </cell>
          <cell r="T148">
            <v>0</v>
          </cell>
          <cell r="U148">
            <v>7.8250171411240244E-2</v>
          </cell>
          <cell r="V148">
            <v>0.25</v>
          </cell>
          <cell r="W148">
            <v>7.8250171411240244E-2</v>
          </cell>
        </row>
        <row r="149">
          <cell r="A149" t="str">
            <v>2005E/04E</v>
          </cell>
          <cell r="B149">
            <v>5.4959935589752984E-2</v>
          </cell>
          <cell r="C149">
            <v>4.7626549741561996E-2</v>
          </cell>
          <cell r="D149">
            <v>5.680935195567538E-2</v>
          </cell>
          <cell r="E149">
            <v>5.4039377181734238E-2</v>
          </cell>
          <cell r="F149">
            <v>2.7219026421072545E-2</v>
          </cell>
          <cell r="G149">
            <v>7.3264457709644626E-2</v>
          </cell>
          <cell r="H149">
            <v>0.2661290322580645</v>
          </cell>
          <cell r="I149">
            <v>0</v>
          </cell>
          <cell r="J149" t="str">
            <v xml:space="preserve">NM </v>
          </cell>
          <cell r="L149">
            <v>0.35714285714285721</v>
          </cell>
          <cell r="M149">
            <v>0.49673573658813486</v>
          </cell>
          <cell r="N149" t="str">
            <v xml:space="preserve">NM </v>
          </cell>
          <cell r="O149">
            <v>0.10102151773506796</v>
          </cell>
          <cell r="P149">
            <v>9.2955426030049138E-2</v>
          </cell>
          <cell r="Q149">
            <v>-7.3260073260073E-3</v>
          </cell>
          <cell r="S149">
            <v>0.10405046276322483</v>
          </cell>
          <cell r="T149">
            <v>0</v>
          </cell>
          <cell r="U149">
            <v>0.10405046276322505</v>
          </cell>
          <cell r="V149">
            <v>0.25</v>
          </cell>
          <cell r="W149">
            <v>0.10405046276322505</v>
          </cell>
        </row>
        <row r="152">
          <cell r="A152" t="str">
            <v>2001E</v>
          </cell>
          <cell r="B152">
            <v>16679.640567026483</v>
          </cell>
          <cell r="C152">
            <v>3352.6077539723233</v>
          </cell>
          <cell r="D152">
            <v>13327.03281305416</v>
          </cell>
          <cell r="E152">
            <v>7572.5568174300233</v>
          </cell>
          <cell r="F152">
            <v>1657.9562723624324</v>
          </cell>
          <cell r="G152">
            <v>4096.5197232617047</v>
          </cell>
          <cell r="H152">
            <v>280</v>
          </cell>
          <cell r="I152">
            <v>-235</v>
          </cell>
          <cell r="J152">
            <v>-60.7</v>
          </cell>
          <cell r="L152">
            <v>-2</v>
          </cell>
          <cell r="M152">
            <v>-17.700000000000003</v>
          </cell>
          <cell r="N152">
            <v>0</v>
          </cell>
          <cell r="O152">
            <v>4078.8197232617049</v>
          </cell>
          <cell r="P152">
            <v>1162.4636211295858</v>
          </cell>
          <cell r="Q152">
            <v>0.28499999999999998</v>
          </cell>
          <cell r="S152">
            <v>2916.3561021321193</v>
          </cell>
          <cell r="T152">
            <v>895.6</v>
          </cell>
          <cell r="U152">
            <v>3.2563154333766406</v>
          </cell>
          <cell r="V152">
            <v>1.25</v>
          </cell>
          <cell r="W152">
            <v>3.2563154333766406</v>
          </cell>
        </row>
        <row r="153">
          <cell r="A153" t="str">
            <v>2002E</v>
          </cell>
          <cell r="B153">
            <v>18621.007102940162</v>
          </cell>
          <cell r="C153">
            <v>3649.7173921762719</v>
          </cell>
          <cell r="D153">
            <v>14971.289710763891</v>
          </cell>
          <cell r="E153">
            <v>8379.4531963230729</v>
          </cell>
          <cell r="F153">
            <v>1806.2376889851957</v>
          </cell>
          <cell r="G153">
            <v>4785.5988254556223</v>
          </cell>
          <cell r="H153">
            <v>360</v>
          </cell>
          <cell r="I153">
            <v>-235</v>
          </cell>
          <cell r="J153">
            <v>-60.7</v>
          </cell>
          <cell r="L153">
            <v>8</v>
          </cell>
          <cell r="M153">
            <v>72.3</v>
          </cell>
          <cell r="N153">
            <v>0</v>
          </cell>
          <cell r="O153">
            <v>4857.8988254556225</v>
          </cell>
          <cell r="P153">
            <v>1360.2116711275744</v>
          </cell>
          <cell r="Q153">
            <v>0.28000000000000003</v>
          </cell>
          <cell r="S153">
            <v>3497.6871543280481</v>
          </cell>
          <cell r="T153">
            <v>895.6</v>
          </cell>
          <cell r="U153">
            <v>3.9054121866101474</v>
          </cell>
          <cell r="V153">
            <v>1.5625</v>
          </cell>
          <cell r="W153">
            <v>3.9054121866101474</v>
          </cell>
        </row>
        <row r="154">
          <cell r="A154" t="str">
            <v>2003E</v>
          </cell>
          <cell r="B154">
            <v>19395.285078215667</v>
          </cell>
          <cell r="C154">
            <v>3879.0570156431336</v>
          </cell>
          <cell r="D154">
            <v>15516.228062572534</v>
          </cell>
          <cell r="E154">
            <v>8863.6452807445603</v>
          </cell>
          <cell r="F154">
            <v>1842.5520824304883</v>
          </cell>
          <cell r="G154">
            <v>4810.0306993974855</v>
          </cell>
          <cell r="H154">
            <v>480</v>
          </cell>
          <cell r="I154">
            <v>-235</v>
          </cell>
          <cell r="J154">
            <v>-60.7</v>
          </cell>
          <cell r="L154">
            <v>18</v>
          </cell>
          <cell r="M154">
            <v>202.3</v>
          </cell>
          <cell r="N154">
            <v>0</v>
          </cell>
          <cell r="O154">
            <v>5012.3306993974857</v>
          </cell>
          <cell r="P154">
            <v>1388.4156037331036</v>
          </cell>
          <cell r="Q154">
            <v>0.27700000000000002</v>
          </cell>
          <cell r="S154">
            <v>3623.9150956643821</v>
          </cell>
          <cell r="T154">
            <v>895.6</v>
          </cell>
          <cell r="U154">
            <v>4.0463545061013644</v>
          </cell>
          <cell r="V154">
            <v>1.953125</v>
          </cell>
          <cell r="W154">
            <v>4.0463545061013644</v>
          </cell>
        </row>
        <row r="155">
          <cell r="A155" t="str">
            <v>2004E</v>
          </cell>
          <cell r="B155">
            <v>20400.122986757164</v>
          </cell>
          <cell r="C155">
            <v>4108.584769532893</v>
          </cell>
          <cell r="D155">
            <v>16291.538217224272</v>
          </cell>
          <cell r="E155">
            <v>9351.4163771294825</v>
          </cell>
          <cell r="F155">
            <v>1917.6115607551733</v>
          </cell>
          <cell r="G155">
            <v>5022.5102793396163</v>
          </cell>
          <cell r="H155">
            <v>620</v>
          </cell>
          <cell r="I155">
            <v>-235</v>
          </cell>
          <cell r="J155">
            <v>-60.7</v>
          </cell>
          <cell r="L155">
            <v>28</v>
          </cell>
          <cell r="M155">
            <v>352.3</v>
          </cell>
          <cell r="N155">
            <v>0</v>
          </cell>
          <cell r="O155">
            <v>5374.8102793396165</v>
          </cell>
          <cell r="P155">
            <v>1467.3232062597153</v>
          </cell>
          <cell r="Q155">
            <v>0.27300000000000002</v>
          </cell>
          <cell r="S155">
            <v>3907.4870730799012</v>
          </cell>
          <cell r="T155">
            <v>895.6</v>
          </cell>
          <cell r="U155">
            <v>4.3629824397944406</v>
          </cell>
          <cell r="V155">
            <v>2.44140625</v>
          </cell>
          <cell r="W155">
            <v>4.3629824397944406</v>
          </cell>
        </row>
        <row r="156">
          <cell r="A156" t="str">
            <v>2005E</v>
          </cell>
          <cell r="B156">
            <v>21521.312432132378</v>
          </cell>
          <cell r="C156">
            <v>4304.2624864264753</v>
          </cell>
          <cell r="D156">
            <v>17217.049945705901</v>
          </cell>
          <cell r="E156">
            <v>9856.7610939166298</v>
          </cell>
          <cell r="F156">
            <v>1969.8070804927227</v>
          </cell>
          <cell r="G156">
            <v>5390.4817712965487</v>
          </cell>
          <cell r="H156">
            <v>785</v>
          </cell>
          <cell r="I156">
            <v>-235</v>
          </cell>
          <cell r="J156">
            <v>-60.7</v>
          </cell>
          <cell r="L156">
            <v>38</v>
          </cell>
          <cell r="M156">
            <v>527.29999999999995</v>
          </cell>
          <cell r="N156">
            <v>0</v>
          </cell>
          <cell r="O156">
            <v>5917.7817712965489</v>
          </cell>
          <cell r="P156">
            <v>1603.7188600213649</v>
          </cell>
          <cell r="Q156">
            <v>0.27100000000000002</v>
          </cell>
          <cell r="S156">
            <v>4314.062911275184</v>
          </cell>
          <cell r="T156">
            <v>895.6</v>
          </cell>
          <cell r="U156">
            <v>4.8169527816828763</v>
          </cell>
          <cell r="V156">
            <v>3.0517578125</v>
          </cell>
          <cell r="W156">
            <v>4.8169527816828763</v>
          </cell>
        </row>
        <row r="158">
          <cell r="A158" t="str">
            <v xml:space="preserve">(a) First half 1998 and 1999 are fully restated for Agouron pooling-of-interest transaction; Costs are not restated for second half 1998. </v>
          </cell>
        </row>
        <row r="160">
          <cell r="A160" t="str">
            <v>E = Morgan Stanley Dean Witter Research Estimates             NM = Not Meaningful             A = Actual     R = Restated</v>
          </cell>
        </row>
      </sheetData>
      <sheetData sheetId="4" refreshError="1"/>
      <sheetData sheetId="5" refreshError="1"/>
      <sheetData sheetId="6" refreshError="1">
        <row r="2">
          <cell r="A2" t="str">
            <v>Table 5</v>
          </cell>
          <cell r="EM2" t="str">
            <v>Table 4 Continued</v>
          </cell>
        </row>
        <row r="3">
          <cell r="EM3" t="str">
            <v>Warner Lambert</v>
          </cell>
        </row>
        <row r="4">
          <cell r="EM4" t="str">
            <v>Quarterly/Annual Sales Analysis 1998-2005E -- Confectionery</v>
          </cell>
        </row>
        <row r="5">
          <cell r="EM5" t="str">
            <v>($ Millions)</v>
          </cell>
        </row>
        <row r="6">
          <cell r="EN6" t="str">
            <v>Bubblicious</v>
          </cell>
          <cell r="ER6" t="str">
            <v>Dentyne</v>
          </cell>
          <cell r="EV6" t="str">
            <v>Bubbaloo</v>
          </cell>
          <cell r="EZ6" t="str">
            <v>Other</v>
          </cell>
          <cell r="FD6" t="str">
            <v>Total</v>
          </cell>
          <cell r="FH6" t="str">
            <v>Total Corporate Sales</v>
          </cell>
        </row>
        <row r="7">
          <cell r="EN7" t="str">
            <v>U.S.</v>
          </cell>
          <cell r="EO7" t="str">
            <v>Intl</v>
          </cell>
          <cell r="EP7" t="str">
            <v>W/W</v>
          </cell>
          <cell r="ER7" t="str">
            <v>U.S.</v>
          </cell>
          <cell r="ES7" t="str">
            <v>Intl</v>
          </cell>
          <cell r="ET7" t="str">
            <v>W/W</v>
          </cell>
          <cell r="EV7" t="str">
            <v>U.S.</v>
          </cell>
          <cell r="EW7" t="str">
            <v>Intl</v>
          </cell>
          <cell r="EX7" t="str">
            <v>W/W</v>
          </cell>
          <cell r="EZ7" t="str">
            <v>U.S.</v>
          </cell>
          <cell r="FA7" t="str">
            <v>Intl</v>
          </cell>
          <cell r="FB7" t="str">
            <v>W/W</v>
          </cell>
          <cell r="FD7" t="str">
            <v>U.S.</v>
          </cell>
          <cell r="FE7" t="str">
            <v>Intl</v>
          </cell>
          <cell r="FF7" t="str">
            <v>W/W</v>
          </cell>
          <cell r="FH7" t="str">
            <v>U.S.</v>
          </cell>
          <cell r="FI7" t="str">
            <v>Intl</v>
          </cell>
          <cell r="FJ7" t="str">
            <v>W/W</v>
          </cell>
        </row>
        <row r="10">
          <cell r="EM10" t="str">
            <v xml:space="preserve">1994 </v>
          </cell>
        </row>
        <row r="11">
          <cell r="EM11" t="str">
            <v xml:space="preserve"> 1Q</v>
          </cell>
          <cell r="EN11">
            <v>15.1</v>
          </cell>
          <cell r="EO11">
            <v>7.8</v>
          </cell>
          <cell r="EP11">
            <v>22.9</v>
          </cell>
          <cell r="ER11">
            <v>12</v>
          </cell>
          <cell r="ES11">
            <v>9</v>
          </cell>
          <cell r="ET11">
            <v>21</v>
          </cell>
          <cell r="EV11">
            <v>0</v>
          </cell>
          <cell r="EW11">
            <v>9</v>
          </cell>
          <cell r="EX11">
            <v>9</v>
          </cell>
          <cell r="EZ11">
            <v>14.799999999999997</v>
          </cell>
          <cell r="FA11">
            <v>53.499999999999986</v>
          </cell>
          <cell r="FB11">
            <v>68.299999999999983</v>
          </cell>
          <cell r="FD11">
            <v>129.6</v>
          </cell>
          <cell r="FE11">
            <v>280.39999999999998</v>
          </cell>
          <cell r="FF11">
            <v>410</v>
          </cell>
          <cell r="FH11">
            <v>658.6</v>
          </cell>
          <cell r="FI11">
            <v>814.4</v>
          </cell>
          <cell r="FJ11">
            <v>1473</v>
          </cell>
        </row>
        <row r="12">
          <cell r="EM12" t="str">
            <v xml:space="preserve"> 2Q</v>
          </cell>
          <cell r="EN12">
            <v>17.2</v>
          </cell>
          <cell r="EO12">
            <v>11.1</v>
          </cell>
          <cell r="EP12">
            <v>28.299999999999997</v>
          </cell>
          <cell r="ER12">
            <v>15</v>
          </cell>
          <cell r="ES12">
            <v>10</v>
          </cell>
          <cell r="ET12">
            <v>25</v>
          </cell>
          <cell r="EV12">
            <v>0</v>
          </cell>
          <cell r="EW12">
            <v>9</v>
          </cell>
          <cell r="EX12">
            <v>9</v>
          </cell>
          <cell r="EZ12">
            <v>17.799999999999983</v>
          </cell>
          <cell r="FA12">
            <v>49.500000000000028</v>
          </cell>
          <cell r="FB12">
            <v>67.300000000000011</v>
          </cell>
          <cell r="FD12">
            <v>151.19999999999999</v>
          </cell>
          <cell r="FE12">
            <v>285.90000000000003</v>
          </cell>
          <cell r="FF12">
            <v>437.1</v>
          </cell>
          <cell r="FH12">
            <v>723.8</v>
          </cell>
          <cell r="FI12">
            <v>828.40000000000009</v>
          </cell>
          <cell r="FJ12">
            <v>1552.2</v>
          </cell>
        </row>
        <row r="13">
          <cell r="EM13" t="str">
            <v xml:space="preserve"> 3Q</v>
          </cell>
          <cell r="EN13">
            <v>9.1</v>
          </cell>
          <cell r="EO13">
            <v>8.1999999999999993</v>
          </cell>
          <cell r="EP13">
            <v>17.299999999999997</v>
          </cell>
          <cell r="ER13">
            <v>13</v>
          </cell>
          <cell r="ES13">
            <v>10</v>
          </cell>
          <cell r="ET13">
            <v>23</v>
          </cell>
          <cell r="EV13">
            <v>0</v>
          </cell>
          <cell r="EW13">
            <v>11</v>
          </cell>
          <cell r="EX13">
            <v>11</v>
          </cell>
          <cell r="EZ13">
            <v>29.699999999999996</v>
          </cell>
          <cell r="FA13">
            <v>51.500000000000014</v>
          </cell>
          <cell r="FB13">
            <v>81.200000000000017</v>
          </cell>
          <cell r="FD13">
            <v>182.1</v>
          </cell>
          <cell r="FE13">
            <v>270.8</v>
          </cell>
          <cell r="FF13">
            <v>452.9</v>
          </cell>
          <cell r="FH13">
            <v>825.00000000000011</v>
          </cell>
          <cell r="FI13">
            <v>845.90000000000009</v>
          </cell>
          <cell r="FJ13">
            <v>1670.9</v>
          </cell>
        </row>
        <row r="14">
          <cell r="EM14" t="str">
            <v xml:space="preserve"> 4Q</v>
          </cell>
          <cell r="EN14">
            <v>9.6</v>
          </cell>
          <cell r="EO14">
            <v>10.6</v>
          </cell>
          <cell r="EP14">
            <v>20.2</v>
          </cell>
          <cell r="ER14">
            <v>12</v>
          </cell>
          <cell r="ES14">
            <v>11</v>
          </cell>
          <cell r="ET14">
            <v>23</v>
          </cell>
          <cell r="EV14">
            <v>0</v>
          </cell>
          <cell r="EW14">
            <v>14</v>
          </cell>
          <cell r="EX14">
            <v>14</v>
          </cell>
          <cell r="EZ14">
            <v>22.599999999999994</v>
          </cell>
          <cell r="FA14">
            <v>61.199999999999974</v>
          </cell>
          <cell r="FB14">
            <v>83.799999999999969</v>
          </cell>
          <cell r="FD14">
            <v>173.7</v>
          </cell>
          <cell r="FE14">
            <v>337.7</v>
          </cell>
          <cell r="FF14">
            <v>511.4</v>
          </cell>
          <cell r="FH14">
            <v>746.8</v>
          </cell>
          <cell r="FI14">
            <v>974</v>
          </cell>
          <cell r="FJ14">
            <v>1720.8</v>
          </cell>
        </row>
        <row r="16">
          <cell r="EM16" t="str">
            <v>1994</v>
          </cell>
          <cell r="EN16">
            <v>51</v>
          </cell>
          <cell r="EO16">
            <v>37.699999999999996</v>
          </cell>
          <cell r="EP16">
            <v>88.7</v>
          </cell>
          <cell r="ER16">
            <v>52</v>
          </cell>
          <cell r="ES16">
            <v>40</v>
          </cell>
          <cell r="ET16">
            <v>92</v>
          </cell>
          <cell r="EV16">
            <v>0</v>
          </cell>
          <cell r="EW16">
            <v>43</v>
          </cell>
          <cell r="EX16">
            <v>43</v>
          </cell>
          <cell r="EZ16">
            <v>84.899999999999977</v>
          </cell>
          <cell r="FA16">
            <v>215.7</v>
          </cell>
          <cell r="FB16">
            <v>300.59999999999997</v>
          </cell>
          <cell r="FD16">
            <v>636.59999999999991</v>
          </cell>
          <cell r="FE16">
            <v>1174.8</v>
          </cell>
          <cell r="FF16">
            <v>1811.4</v>
          </cell>
          <cell r="FH16">
            <v>2954.2</v>
          </cell>
          <cell r="FI16">
            <v>3462.7000000000003</v>
          </cell>
          <cell r="FJ16">
            <v>6416.9000000000005</v>
          </cell>
        </row>
        <row r="18">
          <cell r="EM18" t="str">
            <v>1995/94 % Change</v>
          </cell>
        </row>
        <row r="19">
          <cell r="EM19" t="str">
            <v xml:space="preserve"> 1Q</v>
          </cell>
          <cell r="EN19">
            <v>5.2980132450331174E-2</v>
          </cell>
          <cell r="EO19">
            <v>0.11538461538461542</v>
          </cell>
          <cell r="EP19">
            <v>7.4235807860262071E-2</v>
          </cell>
          <cell r="ER19">
            <v>-0.25</v>
          </cell>
          <cell r="ES19">
            <v>0</v>
          </cell>
          <cell r="ET19">
            <v>-0.1428571428571429</v>
          </cell>
          <cell r="EV19" t="str">
            <v>NM</v>
          </cell>
          <cell r="EW19">
            <v>0.55555555555555558</v>
          </cell>
          <cell r="EX19">
            <v>0.55555555555555558</v>
          </cell>
          <cell r="EZ19">
            <v>4.4408920985006262E-16</v>
          </cell>
          <cell r="FA19">
            <v>0.19252336448598073</v>
          </cell>
          <cell r="FB19">
            <v>0.15080527086383588</v>
          </cell>
          <cell r="FD19">
            <v>-9.6450617283950657E-2</v>
          </cell>
          <cell r="FE19">
            <v>3.3166904422254007E-2</v>
          </cell>
          <cell r="FF19">
            <v>-7.8048780487806058E-3</v>
          </cell>
          <cell r="FH19">
            <v>3.0367446097783191E-2</v>
          </cell>
          <cell r="FI19">
            <v>0.13670186640471527</v>
          </cell>
          <cell r="FJ19">
            <v>8.9158180583842395E-2</v>
          </cell>
        </row>
        <row r="20">
          <cell r="EM20" t="str">
            <v xml:space="preserve"> 2Q</v>
          </cell>
          <cell r="EN20">
            <v>-0.19186046511627897</v>
          </cell>
          <cell r="EO20">
            <v>9.009009009008917E-3</v>
          </cell>
          <cell r="EP20">
            <v>-0.11307420494699638</v>
          </cell>
          <cell r="ER20">
            <v>-0.19999999999999996</v>
          </cell>
          <cell r="ES20">
            <v>0</v>
          </cell>
          <cell r="ET20">
            <v>-0.12</v>
          </cell>
          <cell r="EV20" t="str">
            <v>NM</v>
          </cell>
          <cell r="EW20">
            <v>1</v>
          </cell>
          <cell r="EX20">
            <v>1</v>
          </cell>
          <cell r="EZ20">
            <v>-0.11235955056179547</v>
          </cell>
          <cell r="FA20">
            <v>0.34343434343434232</v>
          </cell>
          <cell r="FB20">
            <v>0.2228826151560177</v>
          </cell>
          <cell r="FD20">
            <v>-0.12830687830687815</v>
          </cell>
          <cell r="FE20">
            <v>0.14585519412381953</v>
          </cell>
          <cell r="FF20">
            <v>5.1018073667353114E-2</v>
          </cell>
          <cell r="FH20">
            <v>5.8856037579442022E-2</v>
          </cell>
          <cell r="FI20">
            <v>0.24725977788507958</v>
          </cell>
          <cell r="FJ20">
            <v>0.15940600438087871</v>
          </cell>
        </row>
        <row r="21">
          <cell r="EM21" t="str">
            <v xml:space="preserve"> 3Q</v>
          </cell>
          <cell r="EN21">
            <v>0.23076923076923084</v>
          </cell>
          <cell r="EO21">
            <v>0.19512195121951237</v>
          </cell>
          <cell r="EP21">
            <v>0.21387283236994237</v>
          </cell>
          <cell r="ER21">
            <v>-0.30000000000000004</v>
          </cell>
          <cell r="ES21">
            <v>0.10000000000000009</v>
          </cell>
          <cell r="ET21">
            <v>-0.12608695652173907</v>
          </cell>
          <cell r="EV21" t="str">
            <v>NM</v>
          </cell>
          <cell r="EW21">
            <v>0.81818181818181812</v>
          </cell>
          <cell r="EX21">
            <v>0.81818181818181812</v>
          </cell>
          <cell r="EZ21">
            <v>-8.0808080808080995E-2</v>
          </cell>
          <cell r="FA21">
            <v>0.13980582524271767</v>
          </cell>
          <cell r="FB21">
            <v>5.9113300492610321E-2</v>
          </cell>
          <cell r="FD21">
            <v>-5.4914881933003867E-2</v>
          </cell>
          <cell r="FE21">
            <v>0.16248153618906946</v>
          </cell>
          <cell r="FF21">
            <v>7.5071759770368729E-2</v>
          </cell>
          <cell r="FH21">
            <v>-2.6666666666666838E-2</v>
          </cell>
          <cell r="FI21">
            <v>0.15013594987587164</v>
          </cell>
          <cell r="FJ21">
            <v>6.2840385421030431E-2</v>
          </cell>
        </row>
        <row r="22">
          <cell r="EM22" t="str">
            <v xml:space="preserve"> 4Q</v>
          </cell>
          <cell r="EN22">
            <v>0.11458333333333326</v>
          </cell>
          <cell r="EO22">
            <v>8.4905660377358583E-2</v>
          </cell>
          <cell r="EP22">
            <v>9.9009900990099098E-2</v>
          </cell>
          <cell r="ER22">
            <v>-0.16666666666666663</v>
          </cell>
          <cell r="ES22">
            <v>9.0909090909090828E-2</v>
          </cell>
          <cell r="ET22">
            <v>-4.3478260869565188E-2</v>
          </cell>
          <cell r="EV22" t="str">
            <v>NM</v>
          </cell>
          <cell r="EW22">
            <v>0.71428571428571419</v>
          </cell>
          <cell r="EX22">
            <v>0.71428571428571419</v>
          </cell>
          <cell r="EZ22">
            <v>-4.4247787610617317E-3</v>
          </cell>
          <cell r="FA22">
            <v>6.6993464052287788E-2</v>
          </cell>
          <cell r="FB22">
            <v>4.7732696897374804E-2</v>
          </cell>
          <cell r="FD22">
            <v>-5.526770293609673E-2</v>
          </cell>
          <cell r="FE22">
            <v>0.12289013917678404</v>
          </cell>
          <cell r="FF22">
            <v>6.2377786468517771E-2</v>
          </cell>
          <cell r="FH22">
            <v>3.6957686127477185E-2</v>
          </cell>
          <cell r="FI22">
            <v>0.11447638603696109</v>
          </cell>
          <cell r="FJ22">
            <v>8.0834495583449684E-2</v>
          </cell>
        </row>
        <row r="24">
          <cell r="EM24" t="str">
            <v>1995/94</v>
          </cell>
          <cell r="EN24">
            <v>1.3725490196078383E-2</v>
          </cell>
          <cell r="EO24">
            <v>9.2838196286472385E-2</v>
          </cell>
          <cell r="EP24">
            <v>4.7350620067643678E-2</v>
          </cell>
          <cell r="ER24">
            <v>-0.22884615384615381</v>
          </cell>
          <cell r="ES24">
            <v>5.0000000000000044E-2</v>
          </cell>
          <cell r="ET24">
            <v>-0.10760869565217401</v>
          </cell>
          <cell r="EV24" t="str">
            <v>NM</v>
          </cell>
          <cell r="EW24">
            <v>0.76744186046511631</v>
          </cell>
          <cell r="EX24">
            <v>0.76744186046511631</v>
          </cell>
          <cell r="EZ24">
            <v>-5.3003533568904082E-2</v>
          </cell>
          <cell r="FA24">
            <v>0.17895224849327751</v>
          </cell>
          <cell r="FB24">
            <v>0.1134397870924817</v>
          </cell>
          <cell r="FD24">
            <v>-8.0898523405592004E-2</v>
          </cell>
          <cell r="FE24">
            <v>0.11618998978549544</v>
          </cell>
          <cell r="FF24">
            <v>4.6925030363254905E-2</v>
          </cell>
          <cell r="FH24">
            <v>2.3085776183061402E-2</v>
          </cell>
          <cell r="FI24">
            <v>0.16018136136540839</v>
          </cell>
          <cell r="FJ24">
            <v>9.7065561252318133E-2</v>
          </cell>
        </row>
        <row r="26">
          <cell r="EM26" t="str">
            <v xml:space="preserve">1995 </v>
          </cell>
        </row>
        <row r="27">
          <cell r="EM27" t="str">
            <v xml:space="preserve"> 1Q</v>
          </cell>
          <cell r="EN27">
            <v>15.9</v>
          </cell>
          <cell r="EO27">
            <v>8.6999999999999993</v>
          </cell>
          <cell r="EP27">
            <v>24.6</v>
          </cell>
          <cell r="ER27">
            <v>9</v>
          </cell>
          <cell r="ES27">
            <v>9</v>
          </cell>
          <cell r="ET27">
            <v>18</v>
          </cell>
          <cell r="EV27">
            <v>0</v>
          </cell>
          <cell r="EW27">
            <v>14</v>
          </cell>
          <cell r="EX27">
            <v>14</v>
          </cell>
          <cell r="EZ27">
            <v>14.800000000000004</v>
          </cell>
          <cell r="FA27">
            <v>63.799999999999955</v>
          </cell>
          <cell r="FB27">
            <v>78.599999999999966</v>
          </cell>
          <cell r="FD27">
            <v>117.1</v>
          </cell>
          <cell r="FE27">
            <v>289.7</v>
          </cell>
          <cell r="FF27">
            <v>406.79999999999995</v>
          </cell>
          <cell r="FH27">
            <v>678.6</v>
          </cell>
          <cell r="FI27">
            <v>925.73</v>
          </cell>
          <cell r="FJ27">
            <v>1604.33</v>
          </cell>
        </row>
        <row r="28">
          <cell r="EM28" t="str">
            <v xml:space="preserve"> 2Q</v>
          </cell>
          <cell r="EN28">
            <v>13.9</v>
          </cell>
          <cell r="EO28">
            <v>11.2</v>
          </cell>
          <cell r="EP28">
            <v>25.1</v>
          </cell>
          <cell r="ER28">
            <v>12</v>
          </cell>
          <cell r="ES28">
            <v>10</v>
          </cell>
          <cell r="ET28">
            <v>22</v>
          </cell>
          <cell r="EV28">
            <v>0</v>
          </cell>
          <cell r="EW28">
            <v>18</v>
          </cell>
          <cell r="EX28">
            <v>18</v>
          </cell>
          <cell r="EZ28">
            <v>15.800000000000026</v>
          </cell>
          <cell r="FA28">
            <v>66.499999999999986</v>
          </cell>
          <cell r="FB28">
            <v>82.300000000000011</v>
          </cell>
          <cell r="FD28">
            <v>131.80000000000001</v>
          </cell>
          <cell r="FE28">
            <v>327.60000000000002</v>
          </cell>
          <cell r="FF28">
            <v>459.40000000000003</v>
          </cell>
          <cell r="FH28">
            <v>766.40000000000009</v>
          </cell>
          <cell r="FI28">
            <v>1033.23</v>
          </cell>
          <cell r="FJ28">
            <v>1799.63</v>
          </cell>
        </row>
        <row r="29">
          <cell r="EM29" t="str">
            <v xml:space="preserve"> 3Q</v>
          </cell>
          <cell r="EN29">
            <v>11.2</v>
          </cell>
          <cell r="EO29">
            <v>9.8000000000000007</v>
          </cell>
          <cell r="EP29">
            <v>21</v>
          </cell>
          <cell r="ER29">
            <v>9.1</v>
          </cell>
          <cell r="ES29">
            <v>11</v>
          </cell>
          <cell r="ET29">
            <v>20.100000000000001</v>
          </cell>
          <cell r="EV29">
            <v>0</v>
          </cell>
          <cell r="EW29">
            <v>20</v>
          </cell>
          <cell r="EX29">
            <v>20</v>
          </cell>
          <cell r="EZ29">
            <v>27.29999999999999</v>
          </cell>
          <cell r="FA29">
            <v>58.699999999999974</v>
          </cell>
          <cell r="FB29">
            <v>85.999999999999972</v>
          </cell>
          <cell r="FD29">
            <v>172.1</v>
          </cell>
          <cell r="FE29">
            <v>314.8</v>
          </cell>
          <cell r="FF29">
            <v>486.9</v>
          </cell>
          <cell r="FH29">
            <v>803</v>
          </cell>
          <cell r="FI29">
            <v>972.89999999999986</v>
          </cell>
          <cell r="FJ29">
            <v>1775.8999999999999</v>
          </cell>
        </row>
        <row r="30">
          <cell r="EM30" t="str">
            <v xml:space="preserve"> 4Q</v>
          </cell>
          <cell r="EN30">
            <v>10.7</v>
          </cell>
          <cell r="EO30">
            <v>11.5</v>
          </cell>
          <cell r="EP30">
            <v>22.2</v>
          </cell>
          <cell r="ER30">
            <v>10</v>
          </cell>
          <cell r="ES30">
            <v>12</v>
          </cell>
          <cell r="ET30">
            <v>22</v>
          </cell>
          <cell r="EV30">
            <v>0</v>
          </cell>
          <cell r="EW30">
            <v>24</v>
          </cell>
          <cell r="EX30">
            <v>24</v>
          </cell>
          <cell r="EZ30">
            <v>22.5</v>
          </cell>
          <cell r="FA30">
            <v>65.299999999999983</v>
          </cell>
          <cell r="FB30">
            <v>87.799999999999983</v>
          </cell>
          <cell r="FD30">
            <v>164.1</v>
          </cell>
          <cell r="FE30">
            <v>379.2</v>
          </cell>
          <cell r="FF30">
            <v>543.29999999999995</v>
          </cell>
          <cell r="FH30">
            <v>774.4</v>
          </cell>
          <cell r="FI30">
            <v>1085.5</v>
          </cell>
          <cell r="FJ30">
            <v>1859.9</v>
          </cell>
        </row>
        <row r="32">
          <cell r="EM32" t="str">
            <v xml:space="preserve">1995 </v>
          </cell>
          <cell r="EN32">
            <v>51.7</v>
          </cell>
          <cell r="EO32">
            <v>41.2</v>
          </cell>
          <cell r="EP32">
            <v>92.9</v>
          </cell>
          <cell r="ER32">
            <v>40.1</v>
          </cell>
          <cell r="ES32">
            <v>42</v>
          </cell>
          <cell r="ET32">
            <v>82.1</v>
          </cell>
          <cell r="EV32">
            <v>0</v>
          </cell>
          <cell r="EW32">
            <v>76</v>
          </cell>
          <cell r="EX32">
            <v>76</v>
          </cell>
          <cell r="EZ32">
            <v>80.40000000000002</v>
          </cell>
          <cell r="FA32">
            <v>254.29999999999993</v>
          </cell>
          <cell r="FB32">
            <v>334.69999999999993</v>
          </cell>
          <cell r="FD32">
            <v>585.1</v>
          </cell>
          <cell r="FE32">
            <v>1311.3</v>
          </cell>
          <cell r="FF32">
            <v>1896.3999999999999</v>
          </cell>
          <cell r="FH32">
            <v>3022.4</v>
          </cell>
          <cell r="FI32">
            <v>4017.3599999999997</v>
          </cell>
          <cell r="FJ32">
            <v>7039.76</v>
          </cell>
        </row>
        <row r="34">
          <cell r="EM34" t="str">
            <v xml:space="preserve">1996/95 </v>
          </cell>
        </row>
        <row r="35">
          <cell r="EM35" t="str">
            <v xml:space="preserve"> 1Q</v>
          </cell>
          <cell r="EN35">
            <v>-2.515723270440251E-2</v>
          </cell>
          <cell r="EO35">
            <v>-9.1954022988505635E-2</v>
          </cell>
          <cell r="EP35">
            <v>-4.8780487804878203E-2</v>
          </cell>
          <cell r="ER35">
            <v>-2.2222222222222143E-2</v>
          </cell>
          <cell r="ES35">
            <v>0.29999999999999982</v>
          </cell>
          <cell r="ET35">
            <v>0.13888888888888884</v>
          </cell>
          <cell r="EV35" t="str">
            <v>NM</v>
          </cell>
          <cell r="EW35">
            <v>0.56428571428571428</v>
          </cell>
          <cell r="EX35">
            <v>0.56428571428571428</v>
          </cell>
          <cell r="EZ35">
            <v>0.12837837837837851</v>
          </cell>
          <cell r="FA35">
            <v>-0.14122257053291454</v>
          </cell>
          <cell r="FB35">
            <v>-9.0458015267174896E-2</v>
          </cell>
          <cell r="FD35">
            <v>0.10589239965841157</v>
          </cell>
          <cell r="FE35">
            <v>0.17224715222644127</v>
          </cell>
          <cell r="FF35">
            <v>0.15314650934119989</v>
          </cell>
          <cell r="FH35">
            <v>0.15384615384615374</v>
          </cell>
          <cell r="FI35">
            <v>0.1301351365949035</v>
          </cell>
          <cell r="FJ35">
            <v>0.14016443001128209</v>
          </cell>
        </row>
        <row r="36">
          <cell r="EM36" t="str">
            <v xml:space="preserve"> 2Q</v>
          </cell>
          <cell r="EN36">
            <v>0.19424460431654689</v>
          </cell>
          <cell r="EO36">
            <v>-0.2767857142857143</v>
          </cell>
          <cell r="EP36">
            <v>-1.5936254980079667E-2</v>
          </cell>
          <cell r="ER36">
            <v>-0.125</v>
          </cell>
          <cell r="ES36">
            <v>0.29000000000000004</v>
          </cell>
          <cell r="ET36">
            <v>6.3636363636363491E-2</v>
          </cell>
          <cell r="EV36" t="str">
            <v>NM</v>
          </cell>
          <cell r="EW36">
            <v>-5.555555555555558E-2</v>
          </cell>
          <cell r="EX36">
            <v>-5.555555555555558E-2</v>
          </cell>
          <cell r="EZ36">
            <v>3.7974683544301557E-2</v>
          </cell>
          <cell r="FA36">
            <v>-0.184962406015037</v>
          </cell>
          <cell r="FB36">
            <v>-0.14216281895504235</v>
          </cell>
          <cell r="FD36">
            <v>4.7799696509863265E-2</v>
          </cell>
          <cell r="FE36">
            <v>-9.157509157509125E-4</v>
          </cell>
          <cell r="FF36">
            <v>1.3060513713539335E-2</v>
          </cell>
          <cell r="FH36">
            <v>1.1090814196242027E-2</v>
          </cell>
          <cell r="FI36">
            <v>-1.6385509518693886E-2</v>
          </cell>
          <cell r="FJ36">
            <v>-4.6842962164446167E-3</v>
          </cell>
        </row>
        <row r="37">
          <cell r="EM37" t="str">
            <v xml:space="preserve"> 3Q</v>
          </cell>
          <cell r="EN37">
            <v>1.7857142857143016E-2</v>
          </cell>
          <cell r="EO37">
            <v>-0.18367346938775519</v>
          </cell>
          <cell r="EP37">
            <v>-7.6190476190476253E-2</v>
          </cell>
          <cell r="ER37">
            <v>1.098901098901095E-2</v>
          </cell>
          <cell r="ES37">
            <v>0.15454545454545454</v>
          </cell>
          <cell r="ET37">
            <v>8.9552238805969964E-2</v>
          </cell>
          <cell r="EV37" t="str">
            <v>NM</v>
          </cell>
          <cell r="EW37">
            <v>-5.0000000000000044E-2</v>
          </cell>
          <cell r="EX37">
            <v>-5.0000000000000044E-2</v>
          </cell>
          <cell r="EZ37">
            <v>-0.24542124542124499</v>
          </cell>
          <cell r="FA37">
            <v>-0.21124361158432681</v>
          </cell>
          <cell r="FB37">
            <v>-0.22209302325581359</v>
          </cell>
          <cell r="FD37">
            <v>-9.0644973852411326E-2</v>
          </cell>
          <cell r="FE37">
            <v>5.0825921219821435E-3</v>
          </cell>
          <cell r="FF37">
            <v>-2.8753337440952986E-2</v>
          </cell>
          <cell r="FH37">
            <v>6.6002490660024282E-3</v>
          </cell>
          <cell r="FI37">
            <v>-1.3464898756295529E-2</v>
          </cell>
          <cell r="FJ37">
            <v>-4.3921391970268564E-3</v>
          </cell>
        </row>
        <row r="38">
          <cell r="EM38" t="str">
            <v xml:space="preserve"> 4Q</v>
          </cell>
          <cell r="EN38">
            <v>0.11214953271028039</v>
          </cell>
          <cell r="EO38">
            <v>-0.13043478260869568</v>
          </cell>
          <cell r="EP38">
            <v>-1.3513513513513598E-2</v>
          </cell>
          <cell r="ER38">
            <v>-0.13000000000000012</v>
          </cell>
          <cell r="ES38">
            <v>0.16666666666666674</v>
          </cell>
          <cell r="ET38">
            <v>3.1818181818181746E-2</v>
          </cell>
          <cell r="EV38" t="str">
            <v>NM</v>
          </cell>
          <cell r="EW38">
            <v>-0.24583333333333324</v>
          </cell>
          <cell r="EX38">
            <v>-0.24583333333333324</v>
          </cell>
          <cell r="EZ38">
            <v>-0.21333333333333271</v>
          </cell>
          <cell r="FA38">
            <v>-0.2404287901990807</v>
          </cell>
          <cell r="FB38">
            <v>-0.23348519362186748</v>
          </cell>
          <cell r="FD38">
            <v>7.3126142595978383E-3</v>
          </cell>
          <cell r="FE38">
            <v>-5.959915611814337E-2</v>
          </cell>
          <cell r="FF38">
            <v>-3.9388919565617297E-2</v>
          </cell>
          <cell r="FH38">
            <v>4.2613636363636243E-2</v>
          </cell>
          <cell r="FI38">
            <v>-4.6061722708429342E-2</v>
          </cell>
          <cell r="FJ38">
            <v>-9.1402763589440994E-3</v>
          </cell>
        </row>
        <row r="40">
          <cell r="EM40" t="str">
            <v>1996/95</v>
          </cell>
          <cell r="EN40">
            <v>7.1566731141199158E-2</v>
          </cell>
          <cell r="EO40">
            <v>-0.17475728155339809</v>
          </cell>
          <cell r="EP40">
            <v>-3.7674919268030127E-2</v>
          </cell>
          <cell r="ER40">
            <v>-7.2319201995012405E-2</v>
          </cell>
          <cell r="ES40">
            <v>0.22142857142857131</v>
          </cell>
          <cell r="ET40">
            <v>7.795371498172976E-2</v>
          </cell>
          <cell r="EV40" t="str">
            <v>NM</v>
          </cell>
          <cell r="EW40">
            <v>0</v>
          </cell>
          <cell r="EX40">
            <v>0</v>
          </cell>
          <cell r="EZ40">
            <v>-0.11194029850746268</v>
          </cell>
          <cell r="FA40">
            <v>-0.19429807314195791</v>
          </cell>
          <cell r="FB40">
            <v>-0.17451449058858637</v>
          </cell>
          <cell r="FD40">
            <v>7.3491710818665013E-3</v>
          </cell>
          <cell r="FE40">
            <v>2.1810417143293126E-2</v>
          </cell>
          <cell r="FF40">
            <v>1.7348660620122525E-2</v>
          </cell>
          <cell r="FH40">
            <v>5.0026469031233312E-2</v>
          </cell>
          <cell r="FI40">
            <v>1.0066312205030403E-2</v>
          </cell>
          <cell r="FJ40">
            <v>2.7222518949509666E-2</v>
          </cell>
        </row>
        <row r="42">
          <cell r="EM42" t="str">
            <v>1996</v>
          </cell>
        </row>
        <row r="43">
          <cell r="EM43" t="str">
            <v xml:space="preserve"> 1Q</v>
          </cell>
          <cell r="EN43">
            <v>15.5</v>
          </cell>
          <cell r="EO43">
            <v>7.9</v>
          </cell>
          <cell r="EP43">
            <v>23.4</v>
          </cell>
          <cell r="ER43">
            <v>8.8000000000000007</v>
          </cell>
          <cell r="ES43">
            <v>11.7</v>
          </cell>
          <cell r="ET43">
            <v>20.5</v>
          </cell>
          <cell r="EV43">
            <v>0</v>
          </cell>
          <cell r="EW43">
            <v>21.9</v>
          </cell>
          <cell r="EX43">
            <v>21.9</v>
          </cell>
          <cell r="EZ43">
            <v>16.700000000000006</v>
          </cell>
          <cell r="FA43">
            <v>54.790000000000013</v>
          </cell>
          <cell r="FB43">
            <v>71.490000000000023</v>
          </cell>
          <cell r="FD43">
            <v>129.5</v>
          </cell>
          <cell r="FE43">
            <v>339.6</v>
          </cell>
          <cell r="FF43">
            <v>469.1</v>
          </cell>
          <cell r="FH43">
            <v>783</v>
          </cell>
          <cell r="FI43">
            <v>1046.2</v>
          </cell>
          <cell r="FJ43">
            <v>1829.2</v>
          </cell>
        </row>
        <row r="44">
          <cell r="EM44" t="str">
            <v xml:space="preserve"> 2Q</v>
          </cell>
          <cell r="EN44">
            <v>16.600000000000001</v>
          </cell>
          <cell r="EO44">
            <v>8.1</v>
          </cell>
          <cell r="EP44">
            <v>24.700000000000003</v>
          </cell>
          <cell r="ER44">
            <v>10.5</v>
          </cell>
          <cell r="ES44">
            <v>12.9</v>
          </cell>
          <cell r="ET44">
            <v>23.4</v>
          </cell>
          <cell r="EV44">
            <v>0</v>
          </cell>
          <cell r="EW44">
            <v>17</v>
          </cell>
          <cell r="EX44">
            <v>17</v>
          </cell>
          <cell r="EZ44">
            <v>16.399999999999991</v>
          </cell>
          <cell r="FA44">
            <v>54.200000000000031</v>
          </cell>
          <cell r="FB44">
            <v>70.600000000000023</v>
          </cell>
          <cell r="FD44">
            <v>138.1</v>
          </cell>
          <cell r="FE44">
            <v>327.3</v>
          </cell>
          <cell r="FF44">
            <v>465.4</v>
          </cell>
          <cell r="FH44">
            <v>774.9</v>
          </cell>
          <cell r="FI44">
            <v>1016.3</v>
          </cell>
          <cell r="FJ44">
            <v>1791.1999999999998</v>
          </cell>
        </row>
        <row r="45">
          <cell r="EM45" t="str">
            <v xml:space="preserve"> 3Q</v>
          </cell>
          <cell r="EN45">
            <v>11.4</v>
          </cell>
          <cell r="EO45">
            <v>8</v>
          </cell>
          <cell r="EP45">
            <v>19.399999999999999</v>
          </cell>
          <cell r="ER45">
            <v>9.1999999999999993</v>
          </cell>
          <cell r="ES45">
            <v>12.7</v>
          </cell>
          <cell r="ET45">
            <v>21.9</v>
          </cell>
          <cell r="EV45">
            <v>0</v>
          </cell>
          <cell r="EW45">
            <v>19</v>
          </cell>
          <cell r="EX45">
            <v>19</v>
          </cell>
          <cell r="EZ45">
            <v>20.600000000000005</v>
          </cell>
          <cell r="FA45">
            <v>46.3</v>
          </cell>
          <cell r="FB45">
            <v>66.900000000000006</v>
          </cell>
          <cell r="FD45">
            <v>156.5</v>
          </cell>
          <cell r="FE45">
            <v>316.39999999999998</v>
          </cell>
          <cell r="FF45">
            <v>472.9</v>
          </cell>
          <cell r="FH45">
            <v>808.3</v>
          </cell>
          <cell r="FI45">
            <v>959.8</v>
          </cell>
          <cell r="FJ45">
            <v>1768.1</v>
          </cell>
        </row>
        <row r="46">
          <cell r="EM46" t="str">
            <v xml:space="preserve"> 4Q</v>
          </cell>
          <cell r="EN46">
            <v>11.9</v>
          </cell>
          <cell r="EO46">
            <v>10</v>
          </cell>
          <cell r="EP46">
            <v>21.9</v>
          </cell>
          <cell r="ER46">
            <v>8.6999999999999993</v>
          </cell>
          <cell r="ES46">
            <v>14</v>
          </cell>
          <cell r="ET46">
            <v>22.7</v>
          </cell>
          <cell r="EV46">
            <v>0</v>
          </cell>
          <cell r="EW46">
            <v>18.100000000000001</v>
          </cell>
          <cell r="EX46">
            <v>18.100000000000001</v>
          </cell>
          <cell r="EZ46">
            <v>17.700000000000014</v>
          </cell>
          <cell r="FA46">
            <v>49.600000000000016</v>
          </cell>
          <cell r="FB46">
            <v>67.300000000000026</v>
          </cell>
          <cell r="FD46">
            <v>165.3</v>
          </cell>
          <cell r="FE46">
            <v>356.6</v>
          </cell>
          <cell r="FF46">
            <v>521.90000000000009</v>
          </cell>
          <cell r="FH46">
            <v>807.39999999999986</v>
          </cell>
          <cell r="FI46">
            <v>1035.5</v>
          </cell>
          <cell r="FJ46">
            <v>1842.8999999999999</v>
          </cell>
        </row>
        <row r="48">
          <cell r="EM48" t="str">
            <v>1996</v>
          </cell>
          <cell r="EN48">
            <v>55.4</v>
          </cell>
          <cell r="EO48">
            <v>34</v>
          </cell>
          <cell r="EP48">
            <v>89.4</v>
          </cell>
          <cell r="ER48">
            <v>37.200000000000003</v>
          </cell>
          <cell r="ES48">
            <v>51.3</v>
          </cell>
          <cell r="ET48">
            <v>88.5</v>
          </cell>
          <cell r="EV48">
            <v>0</v>
          </cell>
          <cell r="EW48">
            <v>76</v>
          </cell>
          <cell r="EX48">
            <v>76</v>
          </cell>
          <cell r="EZ48">
            <v>71.40000000000002</v>
          </cell>
          <cell r="FA48">
            <v>204.89000000000004</v>
          </cell>
          <cell r="FB48">
            <v>276.29000000000008</v>
          </cell>
          <cell r="FD48">
            <v>589.40000000000009</v>
          </cell>
          <cell r="FE48">
            <v>1339.9</v>
          </cell>
          <cell r="FF48">
            <v>1929.3000000000002</v>
          </cell>
          <cell r="FH48">
            <v>3173.5999999999995</v>
          </cell>
          <cell r="FI48">
            <v>4057.8</v>
          </cell>
          <cell r="FJ48">
            <v>7231.4</v>
          </cell>
        </row>
        <row r="50">
          <cell r="EM50" t="str">
            <v xml:space="preserve">1997/96 </v>
          </cell>
        </row>
        <row r="51">
          <cell r="EM51" t="str">
            <v xml:space="preserve"> 1Q</v>
          </cell>
          <cell r="EN51">
            <v>-0.18709677419354842</v>
          </cell>
          <cell r="EO51">
            <v>-3.7974683544303889E-2</v>
          </cell>
          <cell r="EP51">
            <v>-0.13675213675213671</v>
          </cell>
          <cell r="ER51">
            <v>0.72727272727272707</v>
          </cell>
          <cell r="ES51">
            <v>0.11965811965811968</v>
          </cell>
          <cell r="ET51">
            <v>0.38048780487804867</v>
          </cell>
          <cell r="EV51" t="str">
            <v>NM</v>
          </cell>
          <cell r="EW51">
            <v>-5.9360730593607136E-2</v>
          </cell>
          <cell r="EX51">
            <v>-5.9360730593607136E-2</v>
          </cell>
          <cell r="EZ51">
            <v>0.17365269461077748</v>
          </cell>
          <cell r="FA51">
            <v>-0.36302244935207129</v>
          </cell>
          <cell r="FB51">
            <v>-0.23765561617009379</v>
          </cell>
          <cell r="FD51">
            <v>-7.7220077220077066E-3</v>
          </cell>
          <cell r="FE51">
            <v>-0.11484098939929333</v>
          </cell>
          <cell r="FF51">
            <v>-8.5269665316563659E-2</v>
          </cell>
          <cell r="FH51">
            <v>5.6960408684546548E-2</v>
          </cell>
          <cell r="FI51">
            <v>-9.2142993691454733E-2</v>
          </cell>
          <cell r="FJ51">
            <v>-2.8318390553247252E-2</v>
          </cell>
        </row>
        <row r="52">
          <cell r="EM52" t="str">
            <v xml:space="preserve"> 2Q</v>
          </cell>
          <cell r="EN52">
            <v>6.0240963855420215E-3</v>
          </cell>
          <cell r="EO52">
            <v>-8.6419753086419693E-2</v>
          </cell>
          <cell r="EP52">
            <v>-2.4291497975708509E-2</v>
          </cell>
          <cell r="ER52">
            <v>0.31428571428571428</v>
          </cell>
          <cell r="ES52">
            <v>0.17829457364341073</v>
          </cell>
          <cell r="ET52">
            <v>0.23931623931623935</v>
          </cell>
          <cell r="EV52" t="str">
            <v>NM</v>
          </cell>
          <cell r="EW52">
            <v>0.43529411764705883</v>
          </cell>
          <cell r="EX52">
            <v>0.43529411764705883</v>
          </cell>
          <cell r="EZ52">
            <v>-0.12804878048780499</v>
          </cell>
          <cell r="FA52">
            <v>-0.14575645756457711</v>
          </cell>
          <cell r="FB52">
            <v>-0.14164305949008615</v>
          </cell>
          <cell r="FD52">
            <v>4.9963794351918889E-2</v>
          </cell>
          <cell r="FE52">
            <v>-1.5582034830430858E-2</v>
          </cell>
          <cell r="FF52">
            <v>3.8676407391491363E-3</v>
          </cell>
          <cell r="FH52">
            <v>0.2238998580461995</v>
          </cell>
          <cell r="FI52">
            <v>2.0663190002954135E-3</v>
          </cell>
          <cell r="FJ52">
            <v>9.8034836980795292E-2</v>
          </cell>
        </row>
        <row r="53">
          <cell r="EM53" t="str">
            <v xml:space="preserve"> 3Q</v>
          </cell>
          <cell r="EN53">
            <v>0.13157894736842102</v>
          </cell>
          <cell r="EO53">
            <v>-5.0000000000000044E-2</v>
          </cell>
          <cell r="EP53">
            <v>5.6701030927835072E-2</v>
          </cell>
          <cell r="ER53">
            <v>0.92391304347826098</v>
          </cell>
          <cell r="ES53">
            <v>-5.5118110236220375E-2</v>
          </cell>
          <cell r="ET53">
            <v>0.35616438356164393</v>
          </cell>
          <cell r="EV53" t="str">
            <v>NM</v>
          </cell>
          <cell r="EW53">
            <v>0.28947368421052633</v>
          </cell>
          <cell r="EX53">
            <v>0.28947368421052633</v>
          </cell>
          <cell r="EZ53">
            <v>0.2135922330097082</v>
          </cell>
          <cell r="FA53">
            <v>-0.10799136069114446</v>
          </cell>
          <cell r="FB53">
            <v>-8.9686098654707669E-3</v>
          </cell>
          <cell r="FD53">
            <v>0.15974440894568698</v>
          </cell>
          <cell r="FE53">
            <v>-2.970922882427296E-2</v>
          </cell>
          <cell r="FF53">
            <v>3.2987946711778404E-2</v>
          </cell>
          <cell r="FH53">
            <v>0.39762464431522959</v>
          </cell>
          <cell r="FI53">
            <v>1.9483225672014992E-2</v>
          </cell>
          <cell r="FJ53">
            <v>0.19235337367795946</v>
          </cell>
        </row>
        <row r="54">
          <cell r="EM54" t="str">
            <v xml:space="preserve"> 4Q</v>
          </cell>
          <cell r="EN54">
            <v>-0.30252100840336127</v>
          </cell>
          <cell r="EO54">
            <v>-0.38</v>
          </cell>
          <cell r="EP54">
            <v>-0.33789954337899542</v>
          </cell>
          <cell r="ER54">
            <v>0.931034482758621</v>
          </cell>
          <cell r="ES54">
            <v>-2.1428571428571463E-2</v>
          </cell>
          <cell r="ET54">
            <v>0.34361233480176212</v>
          </cell>
          <cell r="EV54" t="str">
            <v>NM</v>
          </cell>
          <cell r="EW54">
            <v>9.3922651933701529E-2</v>
          </cell>
          <cell r="EX54">
            <v>0.11049723756906071</v>
          </cell>
          <cell r="EZ54">
            <v>0.1977401129943499</v>
          </cell>
          <cell r="FA54">
            <v>-0.2883064516129038</v>
          </cell>
          <cell r="FB54">
            <v>-0.16047548291233327</v>
          </cell>
          <cell r="FD54">
            <v>9.1954022988505635E-2</v>
          </cell>
          <cell r="FE54">
            <v>-0.14974761637689293</v>
          </cell>
          <cell r="FF54">
            <v>-7.3194098486300208E-2</v>
          </cell>
          <cell r="FH54">
            <v>0.60589546693088936</v>
          </cell>
          <cell r="FI54">
            <v>-4.6354418155479804E-3</v>
          </cell>
          <cell r="FJ54">
            <v>0.26284660046665609</v>
          </cell>
        </row>
        <row r="56">
          <cell r="EM56" t="str">
            <v>Year</v>
          </cell>
          <cell r="EN56">
            <v>-8.8447653429602813E-2</v>
          </cell>
          <cell r="EO56">
            <v>-0.15294117647058825</v>
          </cell>
          <cell r="EP56">
            <v>-0.11297539149888147</v>
          </cell>
          <cell r="ER56">
            <v>0.70698924731182777</v>
          </cell>
          <cell r="ES56">
            <v>5.2631578947368585E-2</v>
          </cell>
          <cell r="ET56">
            <v>0.32768361581920913</v>
          </cell>
          <cell r="EV56" t="str">
            <v>NM</v>
          </cell>
          <cell r="EW56">
            <v>0.17500000000000004</v>
          </cell>
          <cell r="EX56">
            <v>0.17894736842105252</v>
          </cell>
          <cell r="EZ56">
            <v>0.12184873949579789</v>
          </cell>
          <cell r="FA56">
            <v>-0.22983064083166616</v>
          </cell>
          <cell r="FB56">
            <v>-0.13894820659452056</v>
          </cell>
          <cell r="FD56">
            <v>7.8215134034611333E-2</v>
          </cell>
          <cell r="FE56">
            <v>-7.9782073289051514E-2</v>
          </cell>
          <cell r="FF56">
            <v>-3.1514020629243911E-2</v>
          </cell>
          <cell r="FH56">
            <v>0.32414292916561638</v>
          </cell>
          <cell r="FI56">
            <v>-1.9813692148454742E-2</v>
          </cell>
          <cell r="FJ56">
            <v>0.13113643277926812</v>
          </cell>
        </row>
        <row r="58">
          <cell r="EM58" t="str">
            <v>1997</v>
          </cell>
        </row>
        <row r="59">
          <cell r="EM59" t="str">
            <v xml:space="preserve"> 1Q</v>
          </cell>
          <cell r="EN59">
            <v>12.6</v>
          </cell>
          <cell r="EO59">
            <v>7.6</v>
          </cell>
          <cell r="EP59">
            <v>20.2</v>
          </cell>
          <cell r="ER59">
            <v>15.2</v>
          </cell>
          <cell r="ES59">
            <v>13.1</v>
          </cell>
          <cell r="ET59">
            <v>28.299999999999997</v>
          </cell>
          <cell r="EV59">
            <v>0</v>
          </cell>
          <cell r="EW59">
            <v>20.6</v>
          </cell>
          <cell r="EX59">
            <v>20.6</v>
          </cell>
          <cell r="EZ59">
            <v>19.599999999999991</v>
          </cell>
          <cell r="FA59">
            <v>34.90000000000002</v>
          </cell>
          <cell r="FB59">
            <v>54.500000000000014</v>
          </cell>
          <cell r="FD59">
            <v>128.5</v>
          </cell>
          <cell r="FE59">
            <v>300.60000000000002</v>
          </cell>
          <cell r="FF59">
            <v>429.1</v>
          </cell>
          <cell r="FH59">
            <v>827.6</v>
          </cell>
          <cell r="FI59">
            <v>949.80000000000007</v>
          </cell>
          <cell r="FJ59">
            <v>1777.4</v>
          </cell>
        </row>
        <row r="60">
          <cell r="EM60" t="str">
            <v xml:space="preserve"> 2Q</v>
          </cell>
          <cell r="EN60">
            <v>16.7</v>
          </cell>
          <cell r="EO60">
            <v>7.4</v>
          </cell>
          <cell r="EP60">
            <v>24.1</v>
          </cell>
          <cell r="ER60">
            <v>13.8</v>
          </cell>
          <cell r="ES60">
            <v>15.2</v>
          </cell>
          <cell r="ET60">
            <v>29</v>
          </cell>
          <cell r="EV60">
            <v>0</v>
          </cell>
          <cell r="EW60">
            <v>24.4</v>
          </cell>
          <cell r="EX60">
            <v>24.4</v>
          </cell>
          <cell r="EZ60">
            <v>14.29999999999999</v>
          </cell>
          <cell r="FA60">
            <v>46.299999999999947</v>
          </cell>
          <cell r="FB60">
            <v>60.599999999999937</v>
          </cell>
          <cell r="FD60">
            <v>145</v>
          </cell>
          <cell r="FE60">
            <v>322.2</v>
          </cell>
          <cell r="FF60">
            <v>467.2</v>
          </cell>
          <cell r="FH60">
            <v>948.4</v>
          </cell>
          <cell r="FI60">
            <v>1018.4000000000001</v>
          </cell>
          <cell r="FJ60">
            <v>1966.8000000000002</v>
          </cell>
        </row>
        <row r="61">
          <cell r="EM61" t="str">
            <v xml:space="preserve"> 3Q</v>
          </cell>
          <cell r="EN61">
            <v>12.9</v>
          </cell>
          <cell r="EO61">
            <v>7.6</v>
          </cell>
          <cell r="EP61">
            <v>20.5</v>
          </cell>
          <cell r="ER61">
            <v>17.7</v>
          </cell>
          <cell r="ES61">
            <v>12</v>
          </cell>
          <cell r="ET61">
            <v>29.7</v>
          </cell>
          <cell r="EV61">
            <v>0</v>
          </cell>
          <cell r="EW61">
            <v>24.5</v>
          </cell>
          <cell r="EX61">
            <v>24.5</v>
          </cell>
          <cell r="EZ61">
            <v>24.999999999999996</v>
          </cell>
          <cell r="FA61">
            <v>41.300000000000011</v>
          </cell>
          <cell r="FB61">
            <v>66.300000000000011</v>
          </cell>
          <cell r="FD61">
            <v>181.5</v>
          </cell>
          <cell r="FE61">
            <v>307</v>
          </cell>
          <cell r="FF61">
            <v>488.5</v>
          </cell>
          <cell r="FH61">
            <v>1129.7</v>
          </cell>
          <cell r="FI61">
            <v>978.5</v>
          </cell>
          <cell r="FJ61">
            <v>2108.1999999999998</v>
          </cell>
        </row>
        <row r="62">
          <cell r="EM62" t="str">
            <v xml:space="preserve"> 4Q</v>
          </cell>
          <cell r="EN62">
            <v>8.3000000000000007</v>
          </cell>
          <cell r="EO62">
            <v>6.2</v>
          </cell>
          <cell r="EP62">
            <v>14.5</v>
          </cell>
          <cell r="ER62">
            <v>16.8</v>
          </cell>
          <cell r="ES62">
            <v>13.7</v>
          </cell>
          <cell r="ET62">
            <v>30.5</v>
          </cell>
          <cell r="EV62">
            <v>0.3</v>
          </cell>
          <cell r="EW62">
            <v>19.8</v>
          </cell>
          <cell r="EX62">
            <v>20.100000000000001</v>
          </cell>
          <cell r="EZ62">
            <v>21.20000000000001</v>
          </cell>
          <cell r="FA62">
            <v>35.299999999999983</v>
          </cell>
          <cell r="FB62">
            <v>56.499999999999993</v>
          </cell>
          <cell r="FD62">
            <v>180.5</v>
          </cell>
          <cell r="FE62">
            <v>303.2</v>
          </cell>
          <cell r="FF62">
            <v>483.7</v>
          </cell>
          <cell r="FH62">
            <v>1296.5999999999999</v>
          </cell>
          <cell r="FI62">
            <v>1030.7</v>
          </cell>
          <cell r="FJ62">
            <v>2327.3000000000002</v>
          </cell>
        </row>
        <row r="64">
          <cell r="EM64" t="str">
            <v>Year</v>
          </cell>
          <cell r="EN64">
            <v>50.5</v>
          </cell>
          <cell r="EO64">
            <v>28.8</v>
          </cell>
          <cell r="EP64">
            <v>79.3</v>
          </cell>
          <cell r="ER64">
            <v>63.5</v>
          </cell>
          <cell r="ES64">
            <v>54</v>
          </cell>
          <cell r="ET64">
            <v>117.5</v>
          </cell>
          <cell r="EV64">
            <v>0.3</v>
          </cell>
          <cell r="EW64">
            <v>89.3</v>
          </cell>
          <cell r="EX64">
            <v>89.6</v>
          </cell>
          <cell r="EZ64">
            <v>80.099999999999994</v>
          </cell>
          <cell r="FA64">
            <v>157.79999999999995</v>
          </cell>
          <cell r="FB64">
            <v>237.89999999999998</v>
          </cell>
          <cell r="FD64">
            <v>635.5</v>
          </cell>
          <cell r="FE64">
            <v>1233</v>
          </cell>
          <cell r="FF64">
            <v>1868.5</v>
          </cell>
          <cell r="FH64">
            <v>4202.2999999999993</v>
          </cell>
          <cell r="FI64">
            <v>3977.4000000000005</v>
          </cell>
          <cell r="FJ64">
            <v>8179.7</v>
          </cell>
        </row>
        <row r="66">
          <cell r="EM66" t="str">
            <v>1998/97 % Change</v>
          </cell>
        </row>
        <row r="67">
          <cell r="EM67" t="str">
            <v xml:space="preserve"> 1Q</v>
          </cell>
          <cell r="EN67">
            <v>0.26984126984126977</v>
          </cell>
          <cell r="EO67">
            <v>0.25</v>
          </cell>
          <cell r="EP67">
            <v>0.26237623762376239</v>
          </cell>
          <cell r="ER67">
            <v>0.31578947368421062</v>
          </cell>
          <cell r="ES67">
            <v>-3.0534351145038219E-2</v>
          </cell>
          <cell r="ET67">
            <v>0.15547703180212036</v>
          </cell>
          <cell r="EV67" t="str">
            <v>NM</v>
          </cell>
          <cell r="EW67">
            <v>0.23300970873786397</v>
          </cell>
          <cell r="EX67">
            <v>0.26213592233009697</v>
          </cell>
          <cell r="EZ67">
            <v>-0.28061224489795866</v>
          </cell>
          <cell r="FA67">
            <v>0.17765042979942591</v>
          </cell>
          <cell r="FB67">
            <v>1.2844036697247319E-2</v>
          </cell>
          <cell r="FD67">
            <v>0.17120622568093391</v>
          </cell>
          <cell r="FE67">
            <v>-2.2288755821690098E-2</v>
          </cell>
          <cell r="FF67">
            <v>3.5656024236774497E-2</v>
          </cell>
          <cell r="FH67">
            <v>0.58107781536974379</v>
          </cell>
          <cell r="FI67">
            <v>7.5910718045904213E-2</v>
          </cell>
          <cell r="FJ67">
            <v>0.31112861483065157</v>
          </cell>
        </row>
        <row r="68">
          <cell r="EM68" t="str">
            <v xml:space="preserve"> 2Q</v>
          </cell>
          <cell r="EN68">
            <v>-5.9880239520956335E-3</v>
          </cell>
          <cell r="EO68">
            <v>0.49999999999999978</v>
          </cell>
          <cell r="EP68">
            <v>0.14937759336099599</v>
          </cell>
          <cell r="ER68">
            <v>0.53623188405797095</v>
          </cell>
          <cell r="ES68">
            <v>-6.5789473684210176E-3</v>
          </cell>
          <cell r="ET68">
            <v>0.25172413793103443</v>
          </cell>
          <cell r="EV68" t="str">
            <v>NM</v>
          </cell>
          <cell r="EW68">
            <v>0.20901639344262302</v>
          </cell>
          <cell r="EX68">
            <v>0.22540983606557385</v>
          </cell>
          <cell r="EZ68">
            <v>2.0979020979023488E-2</v>
          </cell>
          <cell r="FA68">
            <v>-0.11879049676025732</v>
          </cell>
          <cell r="FB68">
            <v>-8.5808580858083849E-2</v>
          </cell>
          <cell r="FD68">
            <v>7.1034482758620676E-2</v>
          </cell>
          <cell r="FE68">
            <v>-2.8243327126008633E-2</v>
          </cell>
          <cell r="FF68">
            <v>2.5684931506850806E-3</v>
          </cell>
          <cell r="FH68">
            <v>0.67302825811893729</v>
          </cell>
          <cell r="FI68">
            <v>7.6296150824822995E-2</v>
          </cell>
          <cell r="FJ68">
            <v>0.36404311572096804</v>
          </cell>
        </row>
        <row r="69">
          <cell r="EM69" t="str">
            <v xml:space="preserve"> 3Q</v>
          </cell>
          <cell r="EN69">
            <v>-0.17829457364341095</v>
          </cell>
          <cell r="EO69">
            <v>0.23684210526315796</v>
          </cell>
          <cell r="EP69">
            <v>-2.4390243902439046E-2</v>
          </cell>
          <cell r="ER69">
            <v>0.12429378531073443</v>
          </cell>
          <cell r="ES69">
            <v>-8.3333333333333037E-3</v>
          </cell>
          <cell r="ET69">
            <v>7.0707070707070718E-2</v>
          </cell>
          <cell r="EV69" t="str">
            <v>NM</v>
          </cell>
          <cell r="EW69">
            <v>0.25306122448979584</v>
          </cell>
          <cell r="EX69">
            <v>0.27755102040816326</v>
          </cell>
          <cell r="EZ69">
            <v>-0.21599999999999953</v>
          </cell>
          <cell r="FA69">
            <v>6.2953995157385201E-2</v>
          </cell>
          <cell r="FB69">
            <v>-4.2232277526394912E-2</v>
          </cell>
          <cell r="FD69">
            <v>-0.10523415977961426</v>
          </cell>
          <cell r="FE69">
            <v>2.6058631921823672E-3</v>
          </cell>
          <cell r="FF69">
            <v>-3.7461617195496344E-2</v>
          </cell>
          <cell r="FH69">
            <v>0.41037443569089138</v>
          </cell>
          <cell r="FI69">
            <v>0.12488502810424129</v>
          </cell>
          <cell r="FJ69">
            <v>0.27786737501185854</v>
          </cell>
        </row>
        <row r="70">
          <cell r="EM70" t="str">
            <v xml:space="preserve"> 4Q</v>
          </cell>
          <cell r="EN70">
            <v>0.54216867469879504</v>
          </cell>
          <cell r="EO70">
            <v>0.56451612903225801</v>
          </cell>
          <cell r="EP70">
            <v>0.55172413793103448</v>
          </cell>
          <cell r="ER70">
            <v>0.27976190476190466</v>
          </cell>
          <cell r="ES70">
            <v>0</v>
          </cell>
          <cell r="ET70">
            <v>0.15409836065573779</v>
          </cell>
          <cell r="EV70" t="str">
            <v>NM</v>
          </cell>
          <cell r="EW70">
            <v>0.34343434343434343</v>
          </cell>
          <cell r="EX70">
            <v>0.3383084577114428</v>
          </cell>
          <cell r="EZ70">
            <v>-0.25943396226415061</v>
          </cell>
          <cell r="FA70">
            <v>0.23796033994334365</v>
          </cell>
          <cell r="FB70">
            <v>5.1327433628319152E-2</v>
          </cell>
          <cell r="FD70">
            <v>6.094182825484773E-2</v>
          </cell>
          <cell r="FE70">
            <v>3.2321899736147852E-2</v>
          </cell>
          <cell r="FF70">
            <v>4.3001860657432278E-2</v>
          </cell>
          <cell r="FH70">
            <v>0.4022828937220424</v>
          </cell>
          <cell r="FI70">
            <v>0.18162413893470464</v>
          </cell>
          <cell r="FJ70">
            <v>0.30455893095002806</v>
          </cell>
        </row>
        <row r="72">
          <cell r="EM72" t="str">
            <v>Year</v>
          </cell>
          <cell r="EN72">
            <v>0.10891089108910901</v>
          </cell>
          <cell r="EO72">
            <v>0.37847222222222232</v>
          </cell>
          <cell r="EP72">
            <v>0.20680958385876425</v>
          </cell>
          <cell r="ER72">
            <v>0.3007874015748031</v>
          </cell>
          <cell r="ES72">
            <v>-1.1111111111111294E-2</v>
          </cell>
          <cell r="ET72">
            <v>0.15744680851063819</v>
          </cell>
          <cell r="EV72" t="str">
            <v>NM</v>
          </cell>
          <cell r="EW72">
            <v>0.25643896976483749</v>
          </cell>
          <cell r="EX72">
            <v>0.27343750000000022</v>
          </cell>
          <cell r="EZ72">
            <v>-0.20099875156054858</v>
          </cell>
          <cell r="FA72">
            <v>7.4144486692015787E-2</v>
          </cell>
          <cell r="FB72">
            <v>-1.8495166036149091E-2</v>
          </cell>
          <cell r="FD72">
            <v>3.8080251770259643E-2</v>
          </cell>
          <cell r="FE72">
            <v>-4.2173560421735479E-3</v>
          </cell>
          <cell r="FF72">
            <v>1.0168584426010208E-2</v>
          </cell>
          <cell r="FH72">
            <v>0.50077338600290333</v>
          </cell>
          <cell r="FI72">
            <v>0.1154523055262231</v>
          </cell>
          <cell r="FJ72">
            <v>0.31341002726261369</v>
          </cell>
        </row>
        <row r="74">
          <cell r="EM74" t="str">
            <v>1998</v>
          </cell>
        </row>
        <row r="75">
          <cell r="EM75" t="str">
            <v xml:space="preserve"> 1Q</v>
          </cell>
          <cell r="EN75">
            <v>16</v>
          </cell>
          <cell r="EO75">
            <v>9.5</v>
          </cell>
          <cell r="EP75">
            <v>25.5</v>
          </cell>
          <cell r="ER75">
            <v>20</v>
          </cell>
          <cell r="ES75">
            <v>12.7</v>
          </cell>
          <cell r="ET75">
            <v>32.700000000000003</v>
          </cell>
          <cell r="EV75">
            <v>0.6</v>
          </cell>
          <cell r="EW75">
            <v>25.4</v>
          </cell>
          <cell r="EX75">
            <v>26</v>
          </cell>
          <cell r="EZ75">
            <v>14.100000000000003</v>
          </cell>
          <cell r="FA75">
            <v>41.099999999999987</v>
          </cell>
          <cell r="FB75">
            <v>55.199999999999989</v>
          </cell>
          <cell r="FD75">
            <v>150.5</v>
          </cell>
          <cell r="FE75">
            <v>293.89999999999998</v>
          </cell>
          <cell r="FF75">
            <v>444.4</v>
          </cell>
          <cell r="FH75">
            <v>1308.5</v>
          </cell>
          <cell r="FI75">
            <v>1021.9</v>
          </cell>
          <cell r="FJ75">
            <v>2330.4</v>
          </cell>
        </row>
        <row r="76">
          <cell r="EM76" t="str">
            <v xml:space="preserve"> 2Q</v>
          </cell>
          <cell r="EN76">
            <v>16.600000000000001</v>
          </cell>
          <cell r="EO76">
            <v>11.1</v>
          </cell>
          <cell r="EP76">
            <v>27.700000000000003</v>
          </cell>
          <cell r="ER76">
            <v>21.2</v>
          </cell>
          <cell r="ES76">
            <v>15.1</v>
          </cell>
          <cell r="ET76">
            <v>36.299999999999997</v>
          </cell>
          <cell r="EV76">
            <v>0.4</v>
          </cell>
          <cell r="EW76">
            <v>29.5</v>
          </cell>
          <cell r="EX76">
            <v>29.9</v>
          </cell>
          <cell r="EZ76">
            <v>14.600000000000025</v>
          </cell>
          <cell r="FA76">
            <v>40.80000000000004</v>
          </cell>
          <cell r="FB76">
            <v>55.400000000000063</v>
          </cell>
          <cell r="FD76">
            <v>155.30000000000001</v>
          </cell>
          <cell r="FE76">
            <v>313.10000000000002</v>
          </cell>
          <cell r="FF76">
            <v>468.40000000000003</v>
          </cell>
          <cell r="FH76">
            <v>1586.7</v>
          </cell>
          <cell r="FI76">
            <v>1096.0999999999999</v>
          </cell>
          <cell r="FJ76">
            <v>2682.8</v>
          </cell>
        </row>
        <row r="77">
          <cell r="EM77" t="str">
            <v xml:space="preserve"> 3Q</v>
          </cell>
          <cell r="EN77">
            <v>10.6</v>
          </cell>
          <cell r="EO77">
            <v>9.4</v>
          </cell>
          <cell r="EP77">
            <v>20</v>
          </cell>
          <cell r="ER77">
            <v>19.899999999999999</v>
          </cell>
          <cell r="ES77">
            <v>11.9</v>
          </cell>
          <cell r="ET77">
            <v>31.799999999999997</v>
          </cell>
          <cell r="EV77">
            <v>0.6</v>
          </cell>
          <cell r="EW77">
            <v>30.7</v>
          </cell>
          <cell r="EX77">
            <v>31.3</v>
          </cell>
          <cell r="EZ77">
            <v>19.600000000000009</v>
          </cell>
          <cell r="FA77">
            <v>43.90000000000002</v>
          </cell>
          <cell r="FB77">
            <v>63.500000000000028</v>
          </cell>
          <cell r="FD77">
            <v>162.4</v>
          </cell>
          <cell r="FE77">
            <v>307.8</v>
          </cell>
          <cell r="FF77">
            <v>470.20000000000005</v>
          </cell>
          <cell r="FH77">
            <v>1593.3000000000002</v>
          </cell>
          <cell r="FI77">
            <v>1100.7</v>
          </cell>
          <cell r="FJ77">
            <v>2694</v>
          </cell>
        </row>
        <row r="78">
          <cell r="EM78" t="str">
            <v xml:space="preserve"> 4Q</v>
          </cell>
          <cell r="EN78">
            <v>12.8</v>
          </cell>
          <cell r="EO78">
            <v>9.6999999999999993</v>
          </cell>
          <cell r="EP78">
            <v>22.5</v>
          </cell>
          <cell r="ER78">
            <v>21.5</v>
          </cell>
          <cell r="ES78">
            <v>13.7</v>
          </cell>
          <cell r="ET78">
            <v>35.200000000000003</v>
          </cell>
          <cell r="EV78">
            <v>0.3</v>
          </cell>
          <cell r="EW78">
            <v>26.6</v>
          </cell>
          <cell r="EX78">
            <v>26.900000000000002</v>
          </cell>
          <cell r="EZ78">
            <v>15.700000000000014</v>
          </cell>
          <cell r="FA78">
            <v>43.70000000000001</v>
          </cell>
          <cell r="FB78">
            <v>59.40000000000002</v>
          </cell>
          <cell r="FD78">
            <v>191.5</v>
          </cell>
          <cell r="FE78">
            <v>313</v>
          </cell>
          <cell r="FF78">
            <v>504.5</v>
          </cell>
          <cell r="FH78">
            <v>1818.2</v>
          </cell>
          <cell r="FI78">
            <v>1217.9000000000001</v>
          </cell>
          <cell r="FJ78">
            <v>3036.1000000000004</v>
          </cell>
        </row>
        <row r="80">
          <cell r="EM80" t="str">
            <v>Year</v>
          </cell>
          <cell r="EN80">
            <v>56</v>
          </cell>
          <cell r="EO80">
            <v>39.700000000000003</v>
          </cell>
          <cell r="EP80">
            <v>95.7</v>
          </cell>
          <cell r="ER80">
            <v>82.6</v>
          </cell>
          <cell r="ES80">
            <v>53.399999999999991</v>
          </cell>
          <cell r="ET80">
            <v>136</v>
          </cell>
          <cell r="EV80">
            <v>1.9000000000000001</v>
          </cell>
          <cell r="EW80">
            <v>112.19999999999999</v>
          </cell>
          <cell r="EX80">
            <v>114.10000000000001</v>
          </cell>
          <cell r="EZ80">
            <v>64.000000000000057</v>
          </cell>
          <cell r="FA80">
            <v>169.50000000000006</v>
          </cell>
          <cell r="FB80">
            <v>233.50000000000011</v>
          </cell>
          <cell r="FD80">
            <v>659.7</v>
          </cell>
          <cell r="FE80">
            <v>1227.8</v>
          </cell>
          <cell r="FF80">
            <v>1887.5</v>
          </cell>
          <cell r="FH80">
            <v>6306.7</v>
          </cell>
          <cell r="FI80">
            <v>4436.6000000000004</v>
          </cell>
          <cell r="FJ80">
            <v>10743.300000000001</v>
          </cell>
        </row>
        <row r="82">
          <cell r="EM82" t="str">
            <v xml:space="preserve">1999/98 </v>
          </cell>
        </row>
        <row r="83">
          <cell r="EM83" t="str">
            <v xml:space="preserve"> 1Q</v>
          </cell>
          <cell r="EN83">
            <v>-0.16249999999999998</v>
          </cell>
          <cell r="EO83">
            <v>-5.2631578947368474E-2</v>
          </cell>
          <cell r="EP83">
            <v>-0.1215686274509804</v>
          </cell>
          <cell r="ER83">
            <v>0.125</v>
          </cell>
          <cell r="ES83">
            <v>-6.2992125984251857E-2</v>
          </cell>
          <cell r="ET83">
            <v>5.1987767584097622E-2</v>
          </cell>
          <cell r="EV83">
            <v>0</v>
          </cell>
          <cell r="EW83">
            <v>0.15748031496062986</v>
          </cell>
          <cell r="EX83">
            <v>0.15384615384615374</v>
          </cell>
          <cell r="EZ83">
            <v>-7.092198581560516E-3</v>
          </cell>
          <cell r="FA83">
            <v>2.1897810218978409E-2</v>
          </cell>
          <cell r="FB83">
            <v>1.4492753623188692E-2</v>
          </cell>
          <cell r="FD83">
            <v>2.6578073089700949E-2</v>
          </cell>
          <cell r="FE83">
            <v>4.0830214358625661E-2</v>
          </cell>
          <cell r="FF83">
            <v>3.6003600360036137E-2</v>
          </cell>
          <cell r="FH83">
            <v>0.35552158960641966</v>
          </cell>
          <cell r="FI83">
            <v>0.2062824151091105</v>
          </cell>
          <cell r="FJ83">
            <v>0.29007895640233428</v>
          </cell>
        </row>
        <row r="84">
          <cell r="EM84" t="str">
            <v xml:space="preserve"> 2Q</v>
          </cell>
          <cell r="EN84">
            <v>-2.4096385542168752E-2</v>
          </cell>
          <cell r="EO84">
            <v>-9.9099099099099086E-2</v>
          </cell>
          <cell r="EP84">
            <v>-5.4151624548736566E-2</v>
          </cell>
          <cell r="ER84">
            <v>0.27830188679245293</v>
          </cell>
          <cell r="ES84">
            <v>-8.6092715231787964E-2</v>
          </cell>
          <cell r="ET84">
            <v>0.12672176308539962</v>
          </cell>
          <cell r="EV84">
            <v>0.49999999999999978</v>
          </cell>
          <cell r="EW84">
            <v>3.7288135593220417E-2</v>
          </cell>
          <cell r="EX84">
            <v>4.347826086956541E-2</v>
          </cell>
          <cell r="EZ84">
            <v>-6.8493150684940662E-3</v>
          </cell>
          <cell r="FA84">
            <v>0.28186274509803688</v>
          </cell>
          <cell r="FB84">
            <v>0.2057761732851966</v>
          </cell>
          <cell r="FD84">
            <v>5.9884095299420403E-2</v>
          </cell>
          <cell r="FE84">
            <v>1.5649952091983277E-2</v>
          </cell>
          <cell r="FF84">
            <v>3.0315969257045161E-2</v>
          </cell>
          <cell r="FH84">
            <v>0.19108842251213209</v>
          </cell>
          <cell r="FI84">
            <v>0.15026001277255752</v>
          </cell>
          <cell r="FJ84">
            <v>0.17440733561950195</v>
          </cell>
        </row>
        <row r="85">
          <cell r="EM85" t="str">
            <v xml:space="preserve"> 3Q</v>
          </cell>
          <cell r="EN85">
            <v>5.6603773584905648E-2</v>
          </cell>
          <cell r="EO85">
            <v>-1.0638297872340385E-2</v>
          </cell>
          <cell r="EP85">
            <v>2.4999999999999911E-2</v>
          </cell>
          <cell r="ER85">
            <v>0.31658291457286447</v>
          </cell>
          <cell r="ES85">
            <v>3.3613445378151363E-2</v>
          </cell>
          <cell r="ET85">
            <v>0.21069182389937113</v>
          </cell>
          <cell r="EV85">
            <v>0.16666666666666674</v>
          </cell>
          <cell r="EW85">
            <v>-9.4462540716612309E-2</v>
          </cell>
          <cell r="EX85">
            <v>-8.9456869009584716E-2</v>
          </cell>
          <cell r="EZ85">
            <v>2.0408163265307033E-2</v>
          </cell>
          <cell r="FA85">
            <v>0.2733485193621854</v>
          </cell>
          <cell r="FB85">
            <v>0.19527559055118049</v>
          </cell>
          <cell r="FD85">
            <v>4.0640394088669929E-2</v>
          </cell>
          <cell r="FE85">
            <v>1.5269655620532729E-2</v>
          </cell>
          <cell r="FF85">
            <v>2.4032326669502169E-2</v>
          </cell>
          <cell r="FH85">
            <v>0.25387560409213572</v>
          </cell>
          <cell r="FI85">
            <v>0.12637412555646388</v>
          </cell>
          <cell r="FJ85">
            <v>0.20178173719376402</v>
          </cell>
        </row>
        <row r="86">
          <cell r="EM86" t="str">
            <v xml:space="preserve"> 4Q</v>
          </cell>
          <cell r="EN86">
            <v>-8.5937500000000111E-2</v>
          </cell>
          <cell r="EO86">
            <v>5.1546391752577359E-2</v>
          </cell>
          <cell r="EP86">
            <v>-2.6666666666666727E-2</v>
          </cell>
          <cell r="ER86">
            <v>0.36279069767441863</v>
          </cell>
          <cell r="ES86">
            <v>8.7591240875912524E-2</v>
          </cell>
          <cell r="ET86">
            <v>0.25568181818181812</v>
          </cell>
          <cell r="EV86">
            <v>0.33333333333333348</v>
          </cell>
          <cell r="EW86">
            <v>-2.6315789473684292E-2</v>
          </cell>
          <cell r="EX86">
            <v>-2.230483271375483E-2</v>
          </cell>
          <cell r="EZ86">
            <v>-0.70063694267516108</v>
          </cell>
          <cell r="FA86">
            <v>0.22883295194508091</v>
          </cell>
          <cell r="FB86">
            <v>-1.6835016835016869E-2</v>
          </cell>
          <cell r="FD86">
            <v>7.571801566579639E-2</v>
          </cell>
          <cell r="FE86">
            <v>2.4600638977635647E-2</v>
          </cell>
          <cell r="FF86">
            <v>4.4003964321110089E-2</v>
          </cell>
          <cell r="FH86">
            <v>0.21075789242107579</v>
          </cell>
          <cell r="FI86">
            <v>9.4753263814763011E-2</v>
          </cell>
          <cell r="FJ86">
            <v>0.16422383979447308</v>
          </cell>
        </row>
        <row r="88">
          <cell r="EM88" t="str">
            <v>Year</v>
          </cell>
          <cell r="EN88">
            <v>-6.25E-2</v>
          </cell>
          <cell r="EO88">
            <v>-3.0226700251889227E-2</v>
          </cell>
          <cell r="EP88">
            <v>-4.9111807732497459E-2</v>
          </cell>
          <cell r="ER88">
            <v>0.2723970944309928</v>
          </cell>
          <cell r="ES88">
            <v>-9.3632958801497246E-3</v>
          </cell>
          <cell r="ET88">
            <v>0.16176470588235303</v>
          </cell>
          <cell r="EV88">
            <v>0.21052631578947345</v>
          </cell>
          <cell r="EW88">
            <v>1.3368983957219305E-2</v>
          </cell>
          <cell r="EX88">
            <v>1.6652059596844904E-2</v>
          </cell>
          <cell r="EZ88">
            <v>-0.16875000000000051</v>
          </cell>
          <cell r="FA88">
            <v>0.20294985250737407</v>
          </cell>
          <cell r="FB88">
            <v>0.10107066381156238</v>
          </cell>
          <cell r="FD88">
            <v>5.2144914355009897E-2</v>
          </cell>
          <cell r="FE88">
            <v>2.3863821469294777E-2</v>
          </cell>
          <cell r="FF88">
            <v>3.374834437086105E-2</v>
          </cell>
          <cell r="FH88">
            <v>0.24673759652433147</v>
          </cell>
          <cell r="FI88">
            <v>0.14200063111391614</v>
          </cell>
          <cell r="FJ88">
            <v>0.20348496272095162</v>
          </cell>
        </row>
        <row r="90">
          <cell r="EM90" t="str">
            <v>1999</v>
          </cell>
          <cell r="EQ90">
            <v>0</v>
          </cell>
          <cell r="EU90">
            <v>0</v>
          </cell>
          <cell r="EY90">
            <v>0</v>
          </cell>
          <cell r="FC90">
            <v>0</v>
          </cell>
        </row>
        <row r="91">
          <cell r="EM91" t="str">
            <v xml:space="preserve"> 1Q</v>
          </cell>
          <cell r="EN91">
            <v>13.4</v>
          </cell>
          <cell r="EO91">
            <v>9</v>
          </cell>
          <cell r="EP91">
            <v>22.4</v>
          </cell>
          <cell r="ER91">
            <v>22.5</v>
          </cell>
          <cell r="ES91">
            <v>11.9</v>
          </cell>
          <cell r="ET91">
            <v>34.4</v>
          </cell>
          <cell r="EV91">
            <v>0.6</v>
          </cell>
          <cell r="EW91">
            <v>29.4</v>
          </cell>
          <cell r="EX91">
            <v>30</v>
          </cell>
          <cell r="EZ91">
            <v>14</v>
          </cell>
          <cell r="FA91">
            <v>42</v>
          </cell>
          <cell r="FB91">
            <v>56</v>
          </cell>
          <cell r="FD91">
            <v>154.5</v>
          </cell>
          <cell r="FE91">
            <v>305.90000000000003</v>
          </cell>
          <cell r="FF91">
            <v>460.40000000000003</v>
          </cell>
          <cell r="FH91">
            <v>1773.7</v>
          </cell>
          <cell r="FI91">
            <v>1232.7</v>
          </cell>
          <cell r="FJ91">
            <v>3006.4</v>
          </cell>
        </row>
        <row r="92">
          <cell r="EM92" t="str">
            <v xml:space="preserve"> 2Q</v>
          </cell>
          <cell r="EN92">
            <v>16.2</v>
          </cell>
          <cell r="EO92">
            <v>10</v>
          </cell>
          <cell r="EP92">
            <v>26.2</v>
          </cell>
          <cell r="ER92">
            <v>27.1</v>
          </cell>
          <cell r="ES92">
            <v>13.8</v>
          </cell>
          <cell r="ET92">
            <v>40.900000000000006</v>
          </cell>
          <cell r="EV92">
            <v>0.6</v>
          </cell>
          <cell r="EW92">
            <v>30.6</v>
          </cell>
          <cell r="EX92">
            <v>31.200000000000003</v>
          </cell>
          <cell r="EZ92">
            <v>14.500000000000011</v>
          </cell>
          <cell r="FA92">
            <v>52.299999999999955</v>
          </cell>
          <cell r="FB92">
            <v>66.799999999999969</v>
          </cell>
          <cell r="FD92">
            <v>164.6</v>
          </cell>
          <cell r="FE92">
            <v>318</v>
          </cell>
          <cell r="FF92">
            <v>482.6</v>
          </cell>
          <cell r="FH92">
            <v>1889.9</v>
          </cell>
          <cell r="FI92">
            <v>1260.8000000000002</v>
          </cell>
          <cell r="FJ92">
            <v>3150.7000000000003</v>
          </cell>
        </row>
        <row r="93">
          <cell r="EM93" t="str">
            <v xml:space="preserve"> 3Q</v>
          </cell>
          <cell r="EN93">
            <v>11.2</v>
          </cell>
          <cell r="EO93">
            <v>9.3000000000000007</v>
          </cell>
          <cell r="EP93">
            <v>20.5</v>
          </cell>
          <cell r="ER93">
            <v>26.2</v>
          </cell>
          <cell r="ES93">
            <v>12.3</v>
          </cell>
          <cell r="ET93">
            <v>38.5</v>
          </cell>
          <cell r="EV93">
            <v>0.7</v>
          </cell>
          <cell r="EW93">
            <v>27.8</v>
          </cell>
          <cell r="EX93">
            <v>28.5</v>
          </cell>
          <cell r="EZ93">
            <v>20.000000000000028</v>
          </cell>
          <cell r="FA93">
            <v>55.899999999999963</v>
          </cell>
          <cell r="FB93">
            <v>75.899999999999991</v>
          </cell>
          <cell r="FD93">
            <v>169</v>
          </cell>
          <cell r="FE93">
            <v>312.5</v>
          </cell>
          <cell r="FF93">
            <v>481.5</v>
          </cell>
          <cell r="FH93">
            <v>1997.8000000000002</v>
          </cell>
          <cell r="FI93">
            <v>1239.8</v>
          </cell>
          <cell r="FJ93">
            <v>3237.6000000000004</v>
          </cell>
        </row>
        <row r="94">
          <cell r="EM94" t="str">
            <v xml:space="preserve"> 4Q</v>
          </cell>
          <cell r="EN94">
            <v>11.7</v>
          </cell>
          <cell r="EO94">
            <v>10.199999999999999</v>
          </cell>
          <cell r="EP94">
            <v>21.9</v>
          </cell>
          <cell r="ER94">
            <v>29.3</v>
          </cell>
          <cell r="ES94">
            <v>14.9</v>
          </cell>
          <cell r="ET94">
            <v>44.2</v>
          </cell>
          <cell r="EV94">
            <v>0.4</v>
          </cell>
          <cell r="EW94">
            <v>25.9</v>
          </cell>
          <cell r="EX94">
            <v>26.299999999999997</v>
          </cell>
          <cell r="EZ94">
            <v>4.6999999999999744</v>
          </cell>
          <cell r="FA94">
            <v>53.700000000000045</v>
          </cell>
          <cell r="FB94">
            <v>58.40000000000002</v>
          </cell>
          <cell r="FD94">
            <v>206</v>
          </cell>
          <cell r="FE94">
            <v>320.7</v>
          </cell>
          <cell r="FF94">
            <v>526.70000000000005</v>
          </cell>
          <cell r="FH94">
            <v>2201.4</v>
          </cell>
          <cell r="FI94">
            <v>1333.3</v>
          </cell>
          <cell r="FJ94">
            <v>3534.7</v>
          </cell>
        </row>
        <row r="96">
          <cell r="EM96" t="str">
            <v>Year</v>
          </cell>
          <cell r="EN96">
            <v>52.5</v>
          </cell>
          <cell r="EO96">
            <v>38.5</v>
          </cell>
          <cell r="EP96">
            <v>91</v>
          </cell>
          <cell r="ER96">
            <v>105.1</v>
          </cell>
          <cell r="ES96">
            <v>52.9</v>
          </cell>
          <cell r="ET96">
            <v>158</v>
          </cell>
          <cell r="EV96">
            <v>2.2999999999999998</v>
          </cell>
          <cell r="EW96">
            <v>113.69999999999999</v>
          </cell>
          <cell r="EX96">
            <v>116</v>
          </cell>
          <cell r="EZ96">
            <v>53.200000000000017</v>
          </cell>
          <cell r="FA96">
            <v>203.89999999999998</v>
          </cell>
          <cell r="FB96">
            <v>257.09999999999997</v>
          </cell>
          <cell r="FD96">
            <v>694.1</v>
          </cell>
          <cell r="FE96">
            <v>1257.1000000000001</v>
          </cell>
          <cell r="FF96">
            <v>1951.2</v>
          </cell>
          <cell r="FH96">
            <v>7862.8000000000011</v>
          </cell>
          <cell r="FI96">
            <v>5066.6000000000004</v>
          </cell>
          <cell r="FJ96">
            <v>12929.400000000001</v>
          </cell>
        </row>
        <row r="98">
          <cell r="EM98" t="str">
            <v>2000E/99</v>
          </cell>
        </row>
        <row r="99">
          <cell r="EM99" t="str">
            <v xml:space="preserve"> 1QA</v>
          </cell>
          <cell r="EN99">
            <v>-4.4776119402985093E-2</v>
          </cell>
          <cell r="EO99">
            <v>-1.1111111111111072E-2</v>
          </cell>
          <cell r="EP99">
            <v>-3.1249999999999778E-2</v>
          </cell>
          <cell r="ER99">
            <v>0.27555555555555555</v>
          </cell>
          <cell r="ES99">
            <v>0.2100840336134453</v>
          </cell>
          <cell r="ET99">
            <v>0.25290697674418605</v>
          </cell>
          <cell r="EV99">
            <v>0.33333333333333348</v>
          </cell>
          <cell r="EW99">
            <v>9.5238095238095344E-2</v>
          </cell>
          <cell r="EX99">
            <v>0.10000000000000009</v>
          </cell>
          <cell r="EZ99">
            <v>0.17142857142857193</v>
          </cell>
          <cell r="FA99">
            <v>0.37380952380952492</v>
          </cell>
          <cell r="FB99">
            <v>0.32321428571428656</v>
          </cell>
          <cell r="FD99">
            <v>4.5307443365695699E-2</v>
          </cell>
          <cell r="FE99">
            <v>0.10722458319712302</v>
          </cell>
          <cell r="FF99">
            <v>8.6446568201563823E-2</v>
          </cell>
          <cell r="FH99">
            <v>0.17894796188757955</v>
          </cell>
          <cell r="FI99">
            <v>6.7494118601443942E-2</v>
          </cell>
          <cell r="FJ99">
            <v>0.13324906865353903</v>
          </cell>
        </row>
        <row r="100">
          <cell r="EM100" t="str">
            <v xml:space="preserve"> 2QE</v>
          </cell>
          <cell r="EN100">
            <v>0.03</v>
          </cell>
          <cell r="EO100">
            <v>0.03</v>
          </cell>
          <cell r="EP100">
            <v>3.0000000000000027E-2</v>
          </cell>
          <cell r="ER100">
            <v>0.2</v>
          </cell>
          <cell r="ES100">
            <v>-0.02</v>
          </cell>
          <cell r="ET100">
            <v>0.12577017114914413</v>
          </cell>
          <cell r="EV100">
            <v>0.26</v>
          </cell>
          <cell r="EW100">
            <v>0.08</v>
          </cell>
          <cell r="EX100">
            <v>8.3461538461538476E-2</v>
          </cell>
          <cell r="EZ100">
            <v>0</v>
          </cell>
          <cell r="FA100">
            <v>0.2</v>
          </cell>
          <cell r="FB100">
            <v>0.15658682634730514</v>
          </cell>
          <cell r="FD100">
            <v>4.5595382746051127E-2</v>
          </cell>
          <cell r="FE100">
            <v>7.5830188679245181E-2</v>
          </cell>
          <cell r="FF100">
            <v>6.551802735184431E-2</v>
          </cell>
          <cell r="FH100">
            <v>0.10382665749510567</v>
          </cell>
          <cell r="FI100">
            <v>0.15752934644670025</v>
          </cell>
          <cell r="FJ100">
            <v>0.12531659631193071</v>
          </cell>
        </row>
        <row r="101">
          <cell r="EM101" t="str">
            <v xml:space="preserve"> 3QE</v>
          </cell>
          <cell r="EN101">
            <v>0.03</v>
          </cell>
          <cell r="EO101">
            <v>0.03</v>
          </cell>
          <cell r="EP101">
            <v>3.0000000000000027E-2</v>
          </cell>
          <cell r="ER101">
            <v>0.2</v>
          </cell>
          <cell r="ES101">
            <v>-0.02</v>
          </cell>
          <cell r="ET101">
            <v>0.12971428571428567</v>
          </cell>
          <cell r="EV101">
            <v>0.26</v>
          </cell>
          <cell r="EW101">
            <v>0.08</v>
          </cell>
          <cell r="EX101">
            <v>8.4421052631579174E-2</v>
          </cell>
          <cell r="EZ101">
            <v>0</v>
          </cell>
          <cell r="FA101">
            <v>0.2</v>
          </cell>
          <cell r="FB101">
            <v>0.14729907773386031</v>
          </cell>
          <cell r="FD101">
            <v>8.1295857988165965E-2</v>
          </cell>
          <cell r="FE101">
            <v>7.8534400000000115E-2</v>
          </cell>
          <cell r="FF101">
            <v>7.9503634475597273E-2</v>
          </cell>
          <cell r="FH101">
            <v>0.11604615076584235</v>
          </cell>
          <cell r="FI101">
            <v>0.18815212130988912</v>
          </cell>
          <cell r="FJ101">
            <v>0.14365826538176441</v>
          </cell>
        </row>
        <row r="102">
          <cell r="EM102" t="str">
            <v xml:space="preserve"> 4QE</v>
          </cell>
          <cell r="EN102">
            <v>9.9118140426551538E-2</v>
          </cell>
          <cell r="EO102">
            <v>5.6949250288351072E-2</v>
          </cell>
          <cell r="EP102">
            <v>7.9477835430677546E-2</v>
          </cell>
          <cell r="ER102">
            <v>0.14197952218429966</v>
          </cell>
          <cell r="ES102">
            <v>-0.20375838926174505</v>
          </cell>
          <cell r="ET102">
            <v>2.5429864253392997E-2</v>
          </cell>
          <cell r="EV102">
            <v>0.15499999999999936</v>
          </cell>
          <cell r="EW102">
            <v>5.5903470977028746E-2</v>
          </cell>
          <cell r="EX102">
            <v>5.7410642521104283E-2</v>
          </cell>
          <cell r="EZ102">
            <v>-0.51063829787234361</v>
          </cell>
          <cell r="FA102">
            <v>6.4059590316573489E-2</v>
          </cell>
          <cell r="FB102">
            <v>1.7808219178081952E-2</v>
          </cell>
          <cell r="FD102">
            <v>4.7751565193718815E-3</v>
          </cell>
          <cell r="FE102">
            <v>4.1736950876155587E-2</v>
          </cell>
          <cell r="FF102">
            <v>2.7280657658958818E-2</v>
          </cell>
          <cell r="FH102">
            <v>0.11790550660624621</v>
          </cell>
          <cell r="FI102">
            <v>0.25027371195228665</v>
          </cell>
          <cell r="FJ102">
            <v>0.16783521158485137</v>
          </cell>
        </row>
        <row r="104">
          <cell r="EM104" t="str">
            <v>Year</v>
          </cell>
          <cell r="EN104">
            <v>2.6317757009345799E-2</v>
          </cell>
          <cell r="EO104">
            <v>2.7529411764706024E-2</v>
          </cell>
          <cell r="EP104">
            <v>2.6830380175075108E-2</v>
          </cell>
          <cell r="ER104">
            <v>0.2</v>
          </cell>
          <cell r="ES104">
            <v>-0.02</v>
          </cell>
          <cell r="ET104">
            <v>0.12634177215189868</v>
          </cell>
          <cell r="EV104">
            <v>0.26086956521739135</v>
          </cell>
          <cell r="EW104">
            <v>7.8451186440677834E-2</v>
          </cell>
          <cell r="EX104">
            <v>8.2068102571595247E-2</v>
          </cell>
          <cell r="EZ104">
            <v>0</v>
          </cell>
          <cell r="FA104">
            <v>0.2</v>
          </cell>
          <cell r="FB104">
            <v>0.15861532477635176</v>
          </cell>
          <cell r="FD104">
            <v>4.2108748369097615E-2</v>
          </cell>
          <cell r="FE104">
            <v>7.5444308444819752E-2</v>
          </cell>
          <cell r="FF104">
            <v>6.3585856082909675E-2</v>
          </cell>
          <cell r="FH104">
            <v>0.12781912070038537</v>
          </cell>
          <cell r="FI104">
            <v>0.16752337665218953</v>
          </cell>
          <cell r="FJ104">
            <v>0.1433778924303506</v>
          </cell>
        </row>
        <row r="106">
          <cell r="EM106" t="str">
            <v>2000E</v>
          </cell>
        </row>
        <row r="107">
          <cell r="EM107" t="str">
            <v xml:space="preserve"> 1QA</v>
          </cell>
          <cell r="EN107">
            <v>12.8</v>
          </cell>
          <cell r="EO107">
            <v>8.9</v>
          </cell>
          <cell r="EP107">
            <v>21.700000000000003</v>
          </cell>
          <cell r="ER107">
            <v>28.7</v>
          </cell>
          <cell r="ES107">
            <v>14.4</v>
          </cell>
          <cell r="ET107">
            <v>43.1</v>
          </cell>
          <cell r="EV107">
            <v>0.8</v>
          </cell>
          <cell r="EW107">
            <v>32.200000000000003</v>
          </cell>
          <cell r="EX107">
            <v>33</v>
          </cell>
          <cell r="EZ107">
            <v>16.400000000000006</v>
          </cell>
          <cell r="FA107">
            <v>57.700000000000045</v>
          </cell>
          <cell r="FB107">
            <v>74.100000000000051</v>
          </cell>
          <cell r="FD107">
            <v>161.5</v>
          </cell>
          <cell r="FE107">
            <v>338.7</v>
          </cell>
          <cell r="FF107">
            <v>500.2</v>
          </cell>
          <cell r="FH107">
            <v>2091.1</v>
          </cell>
          <cell r="FI107">
            <v>1315.9</v>
          </cell>
          <cell r="FJ107">
            <v>3407</v>
          </cell>
        </row>
        <row r="108">
          <cell r="EM108" t="str">
            <v xml:space="preserve"> 2QE</v>
          </cell>
          <cell r="EN108">
            <v>16.686</v>
          </cell>
          <cell r="EO108">
            <v>10.3</v>
          </cell>
          <cell r="EP108">
            <v>26.986000000000001</v>
          </cell>
          <cell r="ER108">
            <v>32.520000000000003</v>
          </cell>
          <cell r="ES108">
            <v>13.524000000000001</v>
          </cell>
          <cell r="ET108">
            <v>46.044000000000004</v>
          </cell>
          <cell r="EV108">
            <v>0.75600000000000001</v>
          </cell>
          <cell r="EW108">
            <v>33.048000000000002</v>
          </cell>
          <cell r="EX108">
            <v>33.804000000000002</v>
          </cell>
          <cell r="EZ108">
            <v>14.500000000000011</v>
          </cell>
          <cell r="FA108">
            <v>62.759999999999941</v>
          </cell>
          <cell r="FB108">
            <v>77.259999999999948</v>
          </cell>
          <cell r="FD108">
            <v>172.10500000000002</v>
          </cell>
          <cell r="FE108">
            <v>342.11399999999998</v>
          </cell>
          <cell r="FF108">
            <v>514.21900000000005</v>
          </cell>
          <cell r="FH108">
            <v>2086.1220000000003</v>
          </cell>
          <cell r="FI108">
            <v>1459.413</v>
          </cell>
          <cell r="FJ108">
            <v>3545.5350000000003</v>
          </cell>
        </row>
        <row r="109">
          <cell r="EM109" t="str">
            <v xml:space="preserve"> 3QE</v>
          </cell>
          <cell r="EN109">
            <v>11.536</v>
          </cell>
          <cell r="EO109">
            <v>9.5790000000000006</v>
          </cell>
          <cell r="EP109">
            <v>21.115000000000002</v>
          </cell>
          <cell r="ER109">
            <v>31.439999999999998</v>
          </cell>
          <cell r="ES109">
            <v>12.054</v>
          </cell>
          <cell r="ET109">
            <v>43.494</v>
          </cell>
          <cell r="EV109">
            <v>0.8819999999999999</v>
          </cell>
          <cell r="EW109">
            <v>30.024000000000004</v>
          </cell>
          <cell r="EX109">
            <v>30.906000000000006</v>
          </cell>
          <cell r="EZ109">
            <v>20.000000000000028</v>
          </cell>
          <cell r="FA109">
            <v>67.079999999999956</v>
          </cell>
          <cell r="FB109">
            <v>87.079999999999984</v>
          </cell>
          <cell r="FD109">
            <v>182.73900000000003</v>
          </cell>
          <cell r="FE109">
            <v>337.04200000000003</v>
          </cell>
          <cell r="FF109">
            <v>519.78100000000006</v>
          </cell>
          <cell r="FH109">
            <v>2229.6370000000002</v>
          </cell>
          <cell r="FI109">
            <v>1473.0710000000004</v>
          </cell>
          <cell r="FJ109">
            <v>3702.7080000000005</v>
          </cell>
        </row>
        <row r="110">
          <cell r="EM110" t="str">
            <v xml:space="preserve"> 4QE</v>
          </cell>
          <cell r="EN110">
            <v>12.859682242990653</v>
          </cell>
          <cell r="EO110">
            <v>10.78088235294118</v>
          </cell>
          <cell r="EP110">
            <v>23.640564595931835</v>
          </cell>
          <cell r="ER110">
            <v>33.45999999999998</v>
          </cell>
          <cell r="ES110">
            <v>11.863999999999999</v>
          </cell>
          <cell r="ET110">
            <v>45.323999999999977</v>
          </cell>
          <cell r="EV110">
            <v>0.46199999999999974</v>
          </cell>
          <cell r="EW110">
            <v>27.347899898305041</v>
          </cell>
          <cell r="EX110">
            <v>27.809899898305041</v>
          </cell>
          <cell r="EZ110">
            <v>2.2999999999999723</v>
          </cell>
          <cell r="FA110">
            <v>57.140000000000043</v>
          </cell>
          <cell r="FB110">
            <v>59.440000000000012</v>
          </cell>
          <cell r="FD110">
            <v>206.98368224299062</v>
          </cell>
          <cell r="FE110">
            <v>334.0850401459831</v>
          </cell>
          <cell r="FF110">
            <v>541.0687223889737</v>
          </cell>
          <cell r="FH110">
            <v>2460.9571822429907</v>
          </cell>
          <cell r="FI110">
            <v>1666.9899401459836</v>
          </cell>
          <cell r="FJ110">
            <v>4127.9471223889741</v>
          </cell>
        </row>
        <row r="112">
          <cell r="EM112" t="str">
            <v>Year</v>
          </cell>
          <cell r="EN112">
            <v>53.881682242990657</v>
          </cell>
          <cell r="EO112">
            <v>39.55988235294118</v>
          </cell>
          <cell r="EP112">
            <v>93.441564595931837</v>
          </cell>
          <cell r="ER112">
            <v>126.11999999999999</v>
          </cell>
          <cell r="ES112">
            <v>51.841999999999999</v>
          </cell>
          <cell r="ET112">
            <v>177.96199999999999</v>
          </cell>
          <cell r="EV112">
            <v>2.9</v>
          </cell>
          <cell r="EW112">
            <v>122.61989989830505</v>
          </cell>
          <cell r="EX112">
            <v>125.51989989830506</v>
          </cell>
          <cell r="EZ112">
            <v>53.200000000000017</v>
          </cell>
          <cell r="FA112">
            <v>244.67999999999998</v>
          </cell>
          <cell r="FB112">
            <v>297.88</v>
          </cell>
          <cell r="FD112">
            <v>723.3276822429907</v>
          </cell>
          <cell r="FE112">
            <v>1351.9410401459829</v>
          </cell>
          <cell r="FF112">
            <v>2075.2687223889734</v>
          </cell>
          <cell r="FH112">
            <v>8867.816182242992</v>
          </cell>
          <cell r="FI112">
            <v>5915.3739401459834</v>
          </cell>
          <cell r="FJ112">
            <v>14783.190122388976</v>
          </cell>
        </row>
        <row r="114">
          <cell r="EM114" t="str">
            <v>% Change</v>
          </cell>
        </row>
        <row r="115">
          <cell r="EM115" t="str">
            <v xml:space="preserve">2001E/00E </v>
          </cell>
          <cell r="EN115">
            <v>0</v>
          </cell>
          <cell r="EO115">
            <v>0</v>
          </cell>
          <cell r="EP115">
            <v>0</v>
          </cell>
          <cell r="ER115">
            <v>0.03</v>
          </cell>
          <cell r="ES115">
            <v>0.05</v>
          </cell>
          <cell r="ET115">
            <v>3.5826187613085869E-2</v>
          </cell>
          <cell r="EV115" t="str">
            <v>NM</v>
          </cell>
          <cell r="EW115">
            <v>0.04</v>
          </cell>
          <cell r="EX115">
            <v>4.3059275862322277E-2</v>
          </cell>
          <cell r="EZ115">
            <v>0</v>
          </cell>
          <cell r="FA115">
            <v>0</v>
          </cell>
          <cell r="FB115">
            <v>0</v>
          </cell>
          <cell r="FD115">
            <v>2.272042174445521E-2</v>
          </cell>
          <cell r="FE115">
            <v>2.4501276438986253E-2</v>
          </cell>
          <cell r="FF115">
            <v>2.3880565740314053E-2</v>
          </cell>
          <cell r="FH115">
            <v>0.12732994480208082</v>
          </cell>
          <cell r="FI115">
            <v>0.12971485951716022</v>
          </cell>
          <cell r="FJ115">
            <v>0.12828424913276026</v>
          </cell>
        </row>
        <row r="116">
          <cell r="EM116" t="str">
            <v xml:space="preserve">2002E/01E </v>
          </cell>
          <cell r="EN116">
            <v>0</v>
          </cell>
          <cell r="EO116">
            <v>0</v>
          </cell>
          <cell r="EP116">
            <v>0</v>
          </cell>
          <cell r="ER116">
            <v>0.03</v>
          </cell>
          <cell r="ES116">
            <v>0.05</v>
          </cell>
          <cell r="ET116">
            <v>3.5905910727973556E-2</v>
          </cell>
          <cell r="EV116" t="str">
            <v>NM</v>
          </cell>
          <cell r="EW116">
            <v>0.04</v>
          </cell>
          <cell r="EX116">
            <v>4.2780224139638667E-2</v>
          </cell>
          <cell r="EZ116">
            <v>0</v>
          </cell>
          <cell r="FA116">
            <v>0</v>
          </cell>
          <cell r="FB116">
            <v>0</v>
          </cell>
          <cell r="FD116">
            <v>2.2300195026214942E-2</v>
          </cell>
          <cell r="FE116">
            <v>2.2006113955851836E-2</v>
          </cell>
          <cell r="FF116">
            <v>2.2108498745950333E-2</v>
          </cell>
          <cell r="FH116">
            <v>0.11030698289999319</v>
          </cell>
          <cell r="FI116">
            <v>0.12549334831380476</v>
          </cell>
          <cell r="FJ116">
            <v>0.11639138913769598</v>
          </cell>
        </row>
        <row r="117">
          <cell r="EM117" t="str">
            <v xml:space="preserve">2003E/02E </v>
          </cell>
          <cell r="EN117">
            <v>0</v>
          </cell>
          <cell r="EO117">
            <v>0</v>
          </cell>
          <cell r="EP117">
            <v>0</v>
          </cell>
          <cell r="ER117">
            <v>0.03</v>
          </cell>
          <cell r="ES117">
            <v>0.05</v>
          </cell>
          <cell r="ET117">
            <v>3.5986264003469826E-2</v>
          </cell>
          <cell r="EV117" t="str">
            <v>NM</v>
          </cell>
          <cell r="EW117">
            <v>0.04</v>
          </cell>
          <cell r="EX117">
            <v>4.2519672420614052E-2</v>
          </cell>
          <cell r="EZ117">
            <v>0</v>
          </cell>
          <cell r="FA117">
            <v>0</v>
          </cell>
          <cell r="FB117">
            <v>0</v>
          </cell>
          <cell r="FD117">
            <v>2.2401366120483601E-2</v>
          </cell>
          <cell r="FE117">
            <v>2.2321665336997087E-2</v>
          </cell>
          <cell r="FF117">
            <v>2.2349418495037243E-2</v>
          </cell>
          <cell r="FH117">
            <v>7.308325301845553E-3</v>
          </cell>
          <cell r="FI117">
            <v>9.2159086665294376E-2</v>
          </cell>
          <cell r="FJ117">
            <v>4.1580886092527747E-2</v>
          </cell>
        </row>
        <row r="118">
          <cell r="EM118" t="str">
            <v xml:space="preserve">2004E/03E </v>
          </cell>
          <cell r="EN118">
            <v>0</v>
          </cell>
          <cell r="EO118">
            <v>0</v>
          </cell>
          <cell r="EP118">
            <v>0</v>
          </cell>
          <cell r="ER118">
            <v>0.03</v>
          </cell>
          <cell r="ES118">
            <v>0.05</v>
          </cell>
          <cell r="ET118">
            <v>3.6067239906592219E-2</v>
          </cell>
          <cell r="EV118" t="str">
            <v>NM</v>
          </cell>
          <cell r="EW118">
            <v>3.9999999999999813E-2</v>
          </cell>
          <cell r="EX118">
            <v>4.2276388542874965E-2</v>
          </cell>
          <cell r="EZ118">
            <v>0</v>
          </cell>
          <cell r="FA118">
            <v>0</v>
          </cell>
          <cell r="FB118">
            <v>0</v>
          </cell>
          <cell r="FD118">
            <v>2.2501610682441386E-2</v>
          </cell>
          <cell r="FE118">
            <v>2.2637076921179888E-2</v>
          </cell>
          <cell r="FF118">
            <v>2.2589902893498159E-2</v>
          </cell>
          <cell r="FH118">
            <v>3.7415214464936897E-2</v>
          </cell>
          <cell r="FI118">
            <v>7.1399019090570448E-2</v>
          </cell>
          <cell r="FJ118">
            <v>5.1808359840511242E-2</v>
          </cell>
        </row>
        <row r="119">
          <cell r="EM119" t="str">
            <v xml:space="preserve">2005E/04E </v>
          </cell>
          <cell r="EN119">
            <v>0</v>
          </cell>
          <cell r="EO119">
            <v>0</v>
          </cell>
          <cell r="EP119">
            <v>0</v>
          </cell>
          <cell r="ER119">
            <v>0.03</v>
          </cell>
          <cell r="ES119">
            <v>0.05</v>
          </cell>
          <cell r="ET119">
            <v>3.6148830555144285E-2</v>
          </cell>
          <cell r="EV119" t="str">
            <v>NM</v>
          </cell>
          <cell r="EW119">
            <v>0.04</v>
          </cell>
          <cell r="EX119">
            <v>4.2049236416621394E-2</v>
          </cell>
          <cell r="EZ119">
            <v>0</v>
          </cell>
          <cell r="FA119">
            <v>0</v>
          </cell>
          <cell r="FB119">
            <v>0</v>
          </cell>
          <cell r="FD119">
            <v>2.26009193891612E-2</v>
          </cell>
          <cell r="FE119">
            <v>2.2952221361577818E-2</v>
          </cell>
          <cell r="FF119">
            <v>2.2829896432196017E-2</v>
          </cell>
          <cell r="FH119">
            <v>4.6076622029444181E-2</v>
          </cell>
          <cell r="FI119">
            <v>6.6667584743925756E-2</v>
          </cell>
          <cell r="FJ119">
            <v>5.4959935589752984E-2</v>
          </cell>
        </row>
        <row r="121">
          <cell r="EM121" t="str">
            <v>2001E</v>
          </cell>
          <cell r="EN121">
            <v>53.881682242990657</v>
          </cell>
          <cell r="EO121">
            <v>39.55988235294118</v>
          </cell>
          <cell r="EP121">
            <v>93.441564595931837</v>
          </cell>
          <cell r="ER121">
            <v>129.90359999999998</v>
          </cell>
          <cell r="ES121">
            <v>54.434100000000001</v>
          </cell>
          <cell r="ET121">
            <v>184.33769999999998</v>
          </cell>
          <cell r="EV121">
            <v>3.4</v>
          </cell>
          <cell r="EW121">
            <v>127.52469589423725</v>
          </cell>
          <cell r="EX121">
            <v>130.92469589423726</v>
          </cell>
          <cell r="EZ121">
            <v>53.200000000000017</v>
          </cell>
          <cell r="FA121">
            <v>244.67999999999998</v>
          </cell>
          <cell r="FB121">
            <v>297.88</v>
          </cell>
          <cell r="FD121">
            <v>739.76199224299069</v>
          </cell>
          <cell r="FE121">
            <v>1385.0653212998102</v>
          </cell>
          <cell r="FF121">
            <v>2124.8273135428008</v>
          </cell>
          <cell r="FH121">
            <v>9996.9547272429918</v>
          </cell>
          <cell r="FI121">
            <v>6682.6858397834903</v>
          </cell>
          <cell r="FJ121">
            <v>16679.640567026483</v>
          </cell>
        </row>
        <row r="122">
          <cell r="EM122" t="str">
            <v>2002E</v>
          </cell>
          <cell r="EN122">
            <v>53.881682242990657</v>
          </cell>
          <cell r="EO122">
            <v>39.55988235294118</v>
          </cell>
          <cell r="EP122">
            <v>93.441564595931837</v>
          </cell>
          <cell r="ER122">
            <v>133.80070799999999</v>
          </cell>
          <cell r="ES122">
            <v>57.155805000000001</v>
          </cell>
          <cell r="ET122">
            <v>190.95651299999997</v>
          </cell>
          <cell r="EV122">
            <v>3.9</v>
          </cell>
          <cell r="EW122">
            <v>132.62568373000676</v>
          </cell>
          <cell r="EX122">
            <v>136.52568373000676</v>
          </cell>
          <cell r="EZ122">
            <v>53.200000000000017</v>
          </cell>
          <cell r="FA122">
            <v>244.67999999999998</v>
          </cell>
          <cell r="FB122">
            <v>297.88</v>
          </cell>
          <cell r="FD122">
            <v>756.2588289429907</v>
          </cell>
          <cell r="FE122">
            <v>1415.5452265966323</v>
          </cell>
          <cell r="FF122">
            <v>2171.8040555396228</v>
          </cell>
          <cell r="FH122">
            <v>11099.688641392991</v>
          </cell>
          <cell r="FI122">
            <v>7521.318461547171</v>
          </cell>
          <cell r="FJ122">
            <v>18621.007102940162</v>
          </cell>
        </row>
        <row r="123">
          <cell r="EM123" t="str">
            <v>2003E</v>
          </cell>
          <cell r="EN123">
            <v>53.881682242990657</v>
          </cell>
          <cell r="EO123">
            <v>39.55988235294118</v>
          </cell>
          <cell r="EP123">
            <v>93.441564595931837</v>
          </cell>
          <cell r="ER123">
            <v>137.81472923999999</v>
          </cell>
          <cell r="ES123">
            <v>60.013595250000002</v>
          </cell>
          <cell r="ET123">
            <v>197.82832449</v>
          </cell>
          <cell r="EV123">
            <v>4.4000000000000004</v>
          </cell>
          <cell r="EW123">
            <v>137.93071107920701</v>
          </cell>
          <cell r="EX123">
            <v>142.33071107920702</v>
          </cell>
          <cell r="EZ123">
            <v>53.200000000000017</v>
          </cell>
          <cell r="FA123">
            <v>244.67999999999998</v>
          </cell>
          <cell r="FB123">
            <v>297.88</v>
          </cell>
          <cell r="FD123">
            <v>773.20005985199077</v>
          </cell>
          <cell r="FE123">
            <v>1447.142553414106</v>
          </cell>
          <cell r="FF123">
            <v>2220.342613266097</v>
          </cell>
          <cell r="FH123">
            <v>11180.808776733491</v>
          </cell>
          <cell r="FI123">
            <v>8214.4763014821747</v>
          </cell>
          <cell r="FJ123">
            <v>19395.285078215667</v>
          </cell>
        </row>
        <row r="124">
          <cell r="EM124" t="str">
            <v>2004E</v>
          </cell>
          <cell r="EN124">
            <v>53.881682242990657</v>
          </cell>
          <cell r="EO124">
            <v>39.55988235294118</v>
          </cell>
          <cell r="EP124">
            <v>93.441564595931837</v>
          </cell>
          <cell r="ER124">
            <v>141.9491711172</v>
          </cell>
          <cell r="ES124">
            <v>63.014275012500001</v>
          </cell>
          <cell r="ET124">
            <v>204.9634461297</v>
          </cell>
          <cell r="EV124">
            <v>4.9000000000000004</v>
          </cell>
          <cell r="EW124">
            <v>143.44793952237526</v>
          </cell>
          <cell r="EX124">
            <v>148.34793952237527</v>
          </cell>
          <cell r="EZ124">
            <v>53.200000000000017</v>
          </cell>
          <cell r="FA124">
            <v>244.67999999999998</v>
          </cell>
          <cell r="FB124">
            <v>297.88</v>
          </cell>
          <cell r="FD124">
            <v>790.59830657842065</v>
          </cell>
          <cell r="FE124">
            <v>1479.9016307116538</v>
          </cell>
          <cell r="FF124">
            <v>2270.4999372900743</v>
          </cell>
          <cell r="FH124">
            <v>11599.141135006425</v>
          </cell>
          <cell r="FI124">
            <v>8800.9818517507392</v>
          </cell>
          <cell r="FJ124">
            <v>20400.122986757164</v>
          </cell>
        </row>
        <row r="125">
          <cell r="EM125" t="str">
            <v>2005E</v>
          </cell>
          <cell r="EN125">
            <v>53.881682242990657</v>
          </cell>
          <cell r="EO125">
            <v>39.55988235294118</v>
          </cell>
          <cell r="EP125">
            <v>93.441564595931837</v>
          </cell>
          <cell r="ER125">
            <v>146.20764625071598</v>
          </cell>
          <cell r="ES125">
            <v>66.164988763124995</v>
          </cell>
          <cell r="ET125">
            <v>212.37263501384098</v>
          </cell>
          <cell r="EV125">
            <v>5.4</v>
          </cell>
          <cell r="EW125">
            <v>149.18585710327028</v>
          </cell>
          <cell r="EX125">
            <v>154.58585710327029</v>
          </cell>
          <cell r="EZ125">
            <v>53.200000000000017</v>
          </cell>
          <cell r="FA125">
            <v>244.67999999999998</v>
          </cell>
          <cell r="FB125">
            <v>297.88</v>
          </cell>
          <cell r="FD125">
            <v>808.46655517460692</v>
          </cell>
          <cell r="FE125">
            <v>1513.8686605331075</v>
          </cell>
          <cell r="FF125">
            <v>2322.3352157077143</v>
          </cell>
          <cell r="FH125">
            <v>12133.590376950295</v>
          </cell>
          <cell r="FI125">
            <v>9387.7220551820847</v>
          </cell>
          <cell r="FJ125">
            <v>21521.312432132378</v>
          </cell>
        </row>
        <row r="127">
          <cell r="EM127" t="str">
            <v>E = Morgan Stanley Dean Witter Research Estimates             NM = Not Meaningful             A = Actual</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CF"/>
      <sheetName val="IS"/>
      <sheetName val="BS"/>
      <sheetName val="CF"/>
      <sheetName val="REV"/>
      <sheetName val="Margetuximab BC US"/>
      <sheetName val="Margetuximab BC EU"/>
      <sheetName val="Margetuximab GC"/>
      <sheetName val="Enoblituzumab US"/>
      <sheetName val="Enoblituzumab EU"/>
      <sheetName val="MGD011 US ALL"/>
      <sheetName val="MGD011 EU ALL"/>
      <sheetName val="MGD011 US DLBCL"/>
      <sheetName val="MGD011 EU DLBCL"/>
      <sheetName val="MGD011 US FL"/>
      <sheetName val="MGD011 EU FL"/>
      <sheetName val="MGD011 US CLL"/>
      <sheetName val="MGD011 EU CLL"/>
      <sheetName val="BBB Walk"/>
      <sheetName val="Base-Bull Walk"/>
      <sheetName val="Bear-Base Walk"/>
      <sheetName val="Partnerships"/>
      <sheetName val="Milestones"/>
      <sheetName val="mwareDates"/>
      <sheetName val="MWA RR"/>
      <sheetName val="mwareSettings"/>
      <sheetName val="MW-Cache"/>
    </sheetNames>
    <sheetDataSet>
      <sheetData sheetId="0">
        <row r="4">
          <cell r="B4" t="str">
            <v>($ in millions)</v>
          </cell>
        </row>
      </sheetData>
      <sheetData sheetId="1">
        <row r="4">
          <cell r="B4" t="str">
            <v>MACROGENICS INC. (NSDQ:MGNX)</v>
          </cell>
          <cell r="C4" t="str">
            <v>1Q13</v>
          </cell>
          <cell r="D4" t="str">
            <v>2Q13</v>
          </cell>
          <cell r="E4" t="str">
            <v>3Q13</v>
          </cell>
          <cell r="F4" t="str">
            <v>4Q13</v>
          </cell>
          <cell r="G4">
            <v>2013</v>
          </cell>
          <cell r="H4" t="str">
            <v>1Q14</v>
          </cell>
          <cell r="I4" t="str">
            <v>2Q14</v>
          </cell>
          <cell r="J4" t="str">
            <v>3Q14</v>
          </cell>
          <cell r="K4" t="str">
            <v>4Q14</v>
          </cell>
          <cell r="L4">
            <v>2014</v>
          </cell>
          <cell r="M4" t="str">
            <v>1Q15</v>
          </cell>
          <cell r="N4" t="str">
            <v>2Q15</v>
          </cell>
          <cell r="O4" t="str">
            <v>3Q15</v>
          </cell>
          <cell r="P4" t="str">
            <v>4Q15</v>
          </cell>
          <cell r="Q4">
            <v>2015</v>
          </cell>
          <cell r="R4" t="str">
            <v>1Q16A</v>
          </cell>
          <cell r="S4" t="str">
            <v>2Q16A</v>
          </cell>
          <cell r="T4" t="str">
            <v>3Q16E</v>
          </cell>
          <cell r="U4" t="str">
            <v>4Q16E</v>
          </cell>
          <cell r="V4" t="str">
            <v>2016E</v>
          </cell>
          <cell r="W4" t="str">
            <v>1Q17E</v>
          </cell>
          <cell r="X4" t="str">
            <v>2Q17E</v>
          </cell>
          <cell r="Y4" t="str">
            <v>3Q17E</v>
          </cell>
          <cell r="Z4" t="str">
            <v>4Q17E</v>
          </cell>
          <cell r="AA4" t="str">
            <v>2017E</v>
          </cell>
          <cell r="AB4" t="str">
            <v>1Q18E</v>
          </cell>
          <cell r="AC4" t="str">
            <v>2Q18E</v>
          </cell>
          <cell r="AD4" t="str">
            <v>3Q18E</v>
          </cell>
          <cell r="AE4" t="str">
            <v>4Q18E</v>
          </cell>
          <cell r="AF4" t="str">
            <v>2018E</v>
          </cell>
          <cell r="AG4" t="str">
            <v>1Q19E</v>
          </cell>
          <cell r="AH4" t="str">
            <v>2Q19E</v>
          </cell>
          <cell r="AI4" t="str">
            <v>3Q19E</v>
          </cell>
          <cell r="AJ4" t="str">
            <v>4Q19E</v>
          </cell>
          <cell r="AK4" t="str">
            <v>2019E</v>
          </cell>
          <cell r="AL4" t="str">
            <v>1Q20E</v>
          </cell>
          <cell r="AM4" t="str">
            <v>2Q20E</v>
          </cell>
          <cell r="AN4" t="str">
            <v>3Q20E</v>
          </cell>
          <cell r="AO4" t="str">
            <v>4Q20E</v>
          </cell>
          <cell r="AP4" t="str">
            <v>2020E</v>
          </cell>
          <cell r="AQ4" t="str">
            <v>1Q21E</v>
          </cell>
          <cell r="AR4" t="str">
            <v>2Q21E</v>
          </cell>
          <cell r="AS4" t="str">
            <v>3Q21E</v>
          </cell>
          <cell r="AT4" t="str">
            <v>4Q21E</v>
          </cell>
          <cell r="AU4" t="str">
            <v>2021E</v>
          </cell>
          <cell r="AV4" t="str">
            <v>1Q21E</v>
          </cell>
          <cell r="AW4" t="str">
            <v>2Q21E</v>
          </cell>
          <cell r="AX4" t="str">
            <v>3Q21E</v>
          </cell>
          <cell r="AY4" t="str">
            <v>4Q21E</v>
          </cell>
          <cell r="AZ4" t="str">
            <v>2022E</v>
          </cell>
          <cell r="BA4" t="str">
            <v>1Q22E</v>
          </cell>
          <cell r="BB4" t="str">
            <v>2Q22E</v>
          </cell>
          <cell r="BC4" t="str">
            <v>3Q22E</v>
          </cell>
          <cell r="BD4" t="str">
            <v>4Q22E</v>
          </cell>
          <cell r="BE4" t="str">
            <v>2023E</v>
          </cell>
        </row>
        <row r="5">
          <cell r="B5">
            <v>0</v>
          </cell>
          <cell r="C5">
            <v>0</v>
          </cell>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cell r="AI5">
            <v>0</v>
          </cell>
          <cell r="AJ5">
            <v>0</v>
          </cell>
          <cell r="AK5">
            <v>0</v>
          </cell>
          <cell r="AL5">
            <v>0</v>
          </cell>
          <cell r="AM5">
            <v>0</v>
          </cell>
          <cell r="AN5">
            <v>0</v>
          </cell>
          <cell r="AO5">
            <v>0</v>
          </cell>
          <cell r="AP5">
            <v>0</v>
          </cell>
          <cell r="AQ5">
            <v>0</v>
          </cell>
          <cell r="AR5">
            <v>0</v>
          </cell>
          <cell r="AS5">
            <v>0</v>
          </cell>
          <cell r="AT5">
            <v>0</v>
          </cell>
          <cell r="AU5">
            <v>0</v>
          </cell>
          <cell r="AV5">
            <v>0</v>
          </cell>
          <cell r="AW5">
            <v>0</v>
          </cell>
          <cell r="AX5">
            <v>0</v>
          </cell>
          <cell r="AY5">
            <v>0</v>
          </cell>
          <cell r="AZ5">
            <v>0</v>
          </cell>
          <cell r="BA5">
            <v>0</v>
          </cell>
          <cell r="BB5">
            <v>0</v>
          </cell>
          <cell r="BC5">
            <v>0</v>
          </cell>
          <cell r="BD5">
            <v>0</v>
          </cell>
          <cell r="BE5">
            <v>0</v>
          </cell>
        </row>
        <row r="6">
          <cell r="B6" t="str">
            <v>Revenues:</v>
          </cell>
          <cell r="C6">
            <v>0</v>
          </cell>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cell r="AI6">
            <v>0</v>
          </cell>
          <cell r="AJ6">
            <v>0</v>
          </cell>
          <cell r="AK6">
            <v>0</v>
          </cell>
          <cell r="AL6">
            <v>0</v>
          </cell>
          <cell r="AM6">
            <v>0</v>
          </cell>
          <cell r="AN6">
            <v>0</v>
          </cell>
          <cell r="AO6">
            <v>0</v>
          </cell>
          <cell r="AP6">
            <v>0</v>
          </cell>
          <cell r="AQ6">
            <v>0</v>
          </cell>
          <cell r="AR6">
            <v>0</v>
          </cell>
          <cell r="AS6">
            <v>0</v>
          </cell>
          <cell r="AT6">
            <v>0</v>
          </cell>
          <cell r="AU6">
            <v>0</v>
          </cell>
          <cell r="AV6">
            <v>0</v>
          </cell>
          <cell r="AW6">
            <v>0</v>
          </cell>
          <cell r="AX6">
            <v>0</v>
          </cell>
          <cell r="AY6">
            <v>0</v>
          </cell>
          <cell r="AZ6">
            <v>0</v>
          </cell>
          <cell r="BA6">
            <v>0</v>
          </cell>
          <cell r="BB6">
            <v>0</v>
          </cell>
          <cell r="BC6">
            <v>0</v>
          </cell>
          <cell r="BD6">
            <v>0</v>
          </cell>
          <cell r="BE6">
            <v>0</v>
          </cell>
        </row>
        <row r="7">
          <cell r="B7" t="str">
            <v>Product revenues</v>
          </cell>
          <cell r="C7">
            <v>0</v>
          </cell>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cell r="AI7">
            <v>0</v>
          </cell>
          <cell r="AJ7">
            <v>0</v>
          </cell>
          <cell r="AK7">
            <v>27.427991652773589</v>
          </cell>
          <cell r="AL7">
            <v>0</v>
          </cell>
          <cell r="AM7">
            <v>0</v>
          </cell>
          <cell r="AN7">
            <v>0</v>
          </cell>
          <cell r="AO7">
            <v>0</v>
          </cell>
          <cell r="AP7">
            <v>69.27680058993424</v>
          </cell>
          <cell r="AQ7">
            <v>0</v>
          </cell>
          <cell r="AR7">
            <v>0</v>
          </cell>
          <cell r="AS7">
            <v>0</v>
          </cell>
          <cell r="AT7">
            <v>0</v>
          </cell>
          <cell r="AU7">
            <v>101.83997588450863</v>
          </cell>
          <cell r="AV7">
            <v>0</v>
          </cell>
          <cell r="AW7">
            <v>0</v>
          </cell>
          <cell r="AX7">
            <v>0</v>
          </cell>
          <cell r="AY7">
            <v>0</v>
          </cell>
          <cell r="AZ7">
            <v>123.25969149309763</v>
          </cell>
          <cell r="BA7">
            <v>0</v>
          </cell>
          <cell r="BB7">
            <v>0</v>
          </cell>
          <cell r="BC7">
            <v>0</v>
          </cell>
          <cell r="BD7">
            <v>0</v>
          </cell>
          <cell r="BE7">
            <v>134.03066576778326</v>
          </cell>
        </row>
        <row r="8">
          <cell r="B8" t="str">
            <v>Margetuximab</v>
          </cell>
          <cell r="C8">
            <v>0</v>
          </cell>
          <cell r="D8">
            <v>0</v>
          </cell>
          <cell r="E8">
            <v>0</v>
          </cell>
          <cell r="F8">
            <v>0</v>
          </cell>
          <cell r="G8">
            <v>0</v>
          </cell>
          <cell r="H8">
            <v>0</v>
          </cell>
          <cell r="I8">
            <v>0</v>
          </cell>
          <cell r="J8">
            <v>0</v>
          </cell>
          <cell r="K8">
            <v>0</v>
          </cell>
          <cell r="L8">
            <v>0</v>
          </cell>
          <cell r="M8">
            <v>0</v>
          </cell>
          <cell r="N8">
            <v>0</v>
          </cell>
          <cell r="O8">
            <v>0</v>
          </cell>
          <cell r="P8">
            <v>0</v>
          </cell>
          <cell r="Q8">
            <v>0</v>
          </cell>
          <cell r="R8">
            <v>0</v>
          </cell>
          <cell r="S8">
            <v>0</v>
          </cell>
          <cell r="T8">
            <v>0</v>
          </cell>
          <cell r="U8">
            <v>0</v>
          </cell>
          <cell r="V8">
            <v>0</v>
          </cell>
          <cell r="W8">
            <v>0</v>
          </cell>
          <cell r="X8">
            <v>0</v>
          </cell>
          <cell r="Y8">
            <v>0</v>
          </cell>
          <cell r="Z8">
            <v>0</v>
          </cell>
          <cell r="AA8">
            <v>0</v>
          </cell>
          <cell r="AB8">
            <v>0</v>
          </cell>
          <cell r="AC8">
            <v>0</v>
          </cell>
          <cell r="AD8">
            <v>0</v>
          </cell>
          <cell r="AE8">
            <v>0</v>
          </cell>
          <cell r="AF8">
            <v>0</v>
          </cell>
          <cell r="AG8">
            <v>0</v>
          </cell>
          <cell r="AH8">
            <v>0</v>
          </cell>
          <cell r="AI8">
            <v>0</v>
          </cell>
          <cell r="AJ8">
            <v>0</v>
          </cell>
          <cell r="AK8">
            <v>27.427991652773589</v>
          </cell>
          <cell r="AL8">
            <v>0</v>
          </cell>
          <cell r="AM8">
            <v>0</v>
          </cell>
          <cell r="AN8">
            <v>0</v>
          </cell>
          <cell r="AO8">
            <v>0</v>
          </cell>
          <cell r="AP8">
            <v>69.27680058993424</v>
          </cell>
          <cell r="AQ8">
            <v>0</v>
          </cell>
          <cell r="AR8">
            <v>0</v>
          </cell>
          <cell r="AS8">
            <v>0</v>
          </cell>
          <cell r="AT8">
            <v>0</v>
          </cell>
          <cell r="AU8">
            <v>101.83997588450863</v>
          </cell>
          <cell r="AV8">
            <v>0</v>
          </cell>
          <cell r="AW8">
            <v>0</v>
          </cell>
          <cell r="AX8">
            <v>0</v>
          </cell>
          <cell r="AY8">
            <v>0</v>
          </cell>
          <cell r="AZ8">
            <v>123.25969149309763</v>
          </cell>
          <cell r="BA8">
            <v>0</v>
          </cell>
          <cell r="BB8">
            <v>0</v>
          </cell>
          <cell r="BC8">
            <v>0</v>
          </cell>
          <cell r="BD8">
            <v>0</v>
          </cell>
          <cell r="BE8">
            <v>134.03066576778326</v>
          </cell>
        </row>
        <row r="9">
          <cell r="B9" t="str">
            <v>Enoblituzumab</v>
          </cell>
          <cell r="C9">
            <v>0</v>
          </cell>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cell r="AI9">
            <v>0</v>
          </cell>
          <cell r="AJ9">
            <v>0</v>
          </cell>
          <cell r="AK9">
            <v>0</v>
          </cell>
          <cell r="AL9">
            <v>0</v>
          </cell>
          <cell r="AM9">
            <v>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row>
        <row r="10">
          <cell r="B10">
            <v>0</v>
          </cell>
          <cell r="C10">
            <v>0</v>
          </cell>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cell r="AR10">
            <v>0</v>
          </cell>
          <cell r="AS10">
            <v>0</v>
          </cell>
          <cell r="AT10">
            <v>0</v>
          </cell>
          <cell r="AU10">
            <v>0</v>
          </cell>
          <cell r="AV10">
            <v>0</v>
          </cell>
          <cell r="AW10">
            <v>0</v>
          </cell>
          <cell r="AX10">
            <v>0</v>
          </cell>
          <cell r="AY10">
            <v>0</v>
          </cell>
          <cell r="AZ10">
            <v>0</v>
          </cell>
          <cell r="BA10">
            <v>0</v>
          </cell>
          <cell r="BB10">
            <v>0</v>
          </cell>
          <cell r="BC10">
            <v>0</v>
          </cell>
          <cell r="BD10">
            <v>0</v>
          </cell>
          <cell r="BE10">
            <v>0</v>
          </cell>
        </row>
        <row r="11">
          <cell r="B11" t="str">
            <v>Royalties (MGD011)</v>
          </cell>
          <cell r="C11">
            <v>0</v>
          </cell>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33.84097387825409</v>
          </cell>
          <cell r="AV11">
            <v>0</v>
          </cell>
          <cell r="AW11">
            <v>0</v>
          </cell>
          <cell r="AX11">
            <v>0</v>
          </cell>
          <cell r="AY11">
            <v>0</v>
          </cell>
          <cell r="AZ11">
            <v>77.29652136943659</v>
          </cell>
          <cell r="BA11">
            <v>0</v>
          </cell>
          <cell r="BB11">
            <v>0</v>
          </cell>
          <cell r="BC11">
            <v>0</v>
          </cell>
          <cell r="BD11">
            <v>0</v>
          </cell>
          <cell r="BE11">
            <v>122.72446729255034</v>
          </cell>
        </row>
        <row r="12">
          <cell r="B12" t="str">
            <v>Revenue from collaborative research</v>
          </cell>
          <cell r="C12">
            <v>10.066957</v>
          </cell>
          <cell r="D12">
            <v>11.837999999999999</v>
          </cell>
          <cell r="E12">
            <v>20.111000000000001</v>
          </cell>
          <cell r="F12">
            <v>14.737043</v>
          </cell>
          <cell r="G12">
            <v>56.753</v>
          </cell>
          <cell r="H12">
            <v>14.401</v>
          </cell>
          <cell r="I12">
            <v>9.202</v>
          </cell>
          <cell r="J12">
            <v>18.283000000000001</v>
          </cell>
          <cell r="K12">
            <v>5.3780000000000001</v>
          </cell>
          <cell r="L12">
            <v>47.264000000000003</v>
          </cell>
          <cell r="M12">
            <v>71.165000000000006</v>
          </cell>
          <cell r="N12">
            <v>5.5979999999999999</v>
          </cell>
          <cell r="O12">
            <v>14.680999999999999</v>
          </cell>
          <cell r="P12">
            <v>7.9239999999999924</v>
          </cell>
          <cell r="Q12">
            <v>99.367999999999995</v>
          </cell>
          <cell r="R12">
            <v>1.893</v>
          </cell>
          <cell r="S12">
            <v>78.497</v>
          </cell>
          <cell r="T12">
            <v>10</v>
          </cell>
          <cell r="U12">
            <v>10</v>
          </cell>
          <cell r="V12">
            <v>100.39</v>
          </cell>
          <cell r="W12">
            <v>0</v>
          </cell>
          <cell r="X12">
            <v>0</v>
          </cell>
          <cell r="Y12">
            <v>0</v>
          </cell>
          <cell r="Z12">
            <v>0</v>
          </cell>
          <cell r="AA12">
            <v>40</v>
          </cell>
          <cell r="AB12">
            <v>0</v>
          </cell>
          <cell r="AC12">
            <v>0</v>
          </cell>
          <cell r="AD12">
            <v>0</v>
          </cell>
          <cell r="AE12">
            <v>0</v>
          </cell>
          <cell r="AF12">
            <v>40</v>
          </cell>
          <cell r="AG12">
            <v>0</v>
          </cell>
          <cell r="AH12">
            <v>0</v>
          </cell>
          <cell r="AI12">
            <v>0</v>
          </cell>
          <cell r="AJ12">
            <v>0</v>
          </cell>
          <cell r="AK12">
            <v>40</v>
          </cell>
          <cell r="AL12">
            <v>0</v>
          </cell>
          <cell r="AM12">
            <v>0</v>
          </cell>
          <cell r="AN12">
            <v>0</v>
          </cell>
          <cell r="AO12">
            <v>0</v>
          </cell>
          <cell r="AP12">
            <v>40</v>
          </cell>
          <cell r="AQ12">
            <v>0</v>
          </cell>
          <cell r="AR12">
            <v>0</v>
          </cell>
          <cell r="AS12">
            <v>0</v>
          </cell>
          <cell r="AT12">
            <v>0</v>
          </cell>
          <cell r="AU12">
            <v>40</v>
          </cell>
          <cell r="AV12">
            <v>0</v>
          </cell>
          <cell r="AW12">
            <v>0</v>
          </cell>
          <cell r="AX12">
            <v>0</v>
          </cell>
          <cell r="AY12">
            <v>0</v>
          </cell>
          <cell r="AZ12">
            <v>40</v>
          </cell>
          <cell r="BA12">
            <v>0</v>
          </cell>
          <cell r="BB12">
            <v>0</v>
          </cell>
          <cell r="BC12">
            <v>0</v>
          </cell>
          <cell r="BD12">
            <v>0</v>
          </cell>
          <cell r="BE12">
            <v>40</v>
          </cell>
        </row>
        <row r="13">
          <cell r="B13" t="str">
            <v>Grant revenue</v>
          </cell>
          <cell r="C13">
            <v>0.53107000000000004</v>
          </cell>
          <cell r="D13">
            <v>0.46</v>
          </cell>
          <cell r="E13">
            <v>0.121</v>
          </cell>
          <cell r="F13">
            <v>0.16992999999999991</v>
          </cell>
          <cell r="G13">
            <v>1.282</v>
          </cell>
          <cell r="H13">
            <v>0.318</v>
          </cell>
          <cell r="I13">
            <v>1.7999999999999999E-2</v>
          </cell>
          <cell r="J13">
            <v>9.9000000000000005E-2</v>
          </cell>
          <cell r="K13">
            <v>9.7999999999999976E-2</v>
          </cell>
          <cell r="L13">
            <v>0.53300000000000003</v>
          </cell>
          <cell r="M13">
            <v>0.114</v>
          </cell>
          <cell r="N13">
            <v>1.1180000000000001</v>
          </cell>
          <cell r="O13">
            <v>0</v>
          </cell>
          <cell r="P13">
            <v>0.251</v>
          </cell>
          <cell r="Q13">
            <v>1.4830000000000001</v>
          </cell>
          <cell r="R13">
            <v>0.95299999999999996</v>
          </cell>
          <cell r="S13">
            <v>2.1760000000000002</v>
          </cell>
          <cell r="T13">
            <v>0.3</v>
          </cell>
          <cell r="U13">
            <v>0.3</v>
          </cell>
          <cell r="V13">
            <v>3.7289999999999996</v>
          </cell>
          <cell r="W13">
            <v>0</v>
          </cell>
          <cell r="X13">
            <v>0</v>
          </cell>
          <cell r="Y13">
            <v>0</v>
          </cell>
          <cell r="Z13">
            <v>0</v>
          </cell>
          <cell r="AA13">
            <v>3.7289999999999996</v>
          </cell>
          <cell r="AB13">
            <v>0</v>
          </cell>
          <cell r="AC13">
            <v>0</v>
          </cell>
          <cell r="AD13">
            <v>0</v>
          </cell>
          <cell r="AE13">
            <v>0</v>
          </cell>
          <cell r="AF13">
            <v>3.7289999999999996</v>
          </cell>
          <cell r="AG13">
            <v>0</v>
          </cell>
          <cell r="AH13">
            <v>0</v>
          </cell>
          <cell r="AI13">
            <v>0</v>
          </cell>
          <cell r="AJ13">
            <v>0</v>
          </cell>
          <cell r="AK13">
            <v>3.7289999999999996</v>
          </cell>
          <cell r="AL13">
            <v>0</v>
          </cell>
          <cell r="AM13">
            <v>0</v>
          </cell>
          <cell r="AN13">
            <v>0</v>
          </cell>
          <cell r="AO13">
            <v>0</v>
          </cell>
          <cell r="AP13">
            <v>3.7289999999999996</v>
          </cell>
          <cell r="AQ13">
            <v>0</v>
          </cell>
          <cell r="AR13">
            <v>0</v>
          </cell>
          <cell r="AS13">
            <v>0</v>
          </cell>
          <cell r="AT13">
            <v>0</v>
          </cell>
          <cell r="AU13">
            <v>3.7289999999999996</v>
          </cell>
          <cell r="AV13">
            <v>0</v>
          </cell>
          <cell r="AW13">
            <v>0</v>
          </cell>
          <cell r="AX13">
            <v>0</v>
          </cell>
          <cell r="AY13">
            <v>0</v>
          </cell>
          <cell r="AZ13">
            <v>3.7289999999999996</v>
          </cell>
          <cell r="BA13">
            <v>0</v>
          </cell>
          <cell r="BB13">
            <v>0</v>
          </cell>
          <cell r="BC13">
            <v>0</v>
          </cell>
          <cell r="BD13">
            <v>0</v>
          </cell>
          <cell r="BE13">
            <v>3.7289999999999996</v>
          </cell>
        </row>
        <row r="14">
          <cell r="B14" t="str">
            <v>Total Revenues</v>
          </cell>
          <cell r="C14">
            <v>10.598027</v>
          </cell>
          <cell r="D14">
            <v>12.298</v>
          </cell>
          <cell r="E14">
            <v>20.231999999999999</v>
          </cell>
          <cell r="F14">
            <v>14.906973000000001</v>
          </cell>
          <cell r="G14">
            <v>58.034999999999997</v>
          </cell>
          <cell r="H14">
            <v>14.718999999999999</v>
          </cell>
          <cell r="I14">
            <v>9.2200000000000006</v>
          </cell>
          <cell r="J14">
            <v>18.382000000000001</v>
          </cell>
          <cell r="K14">
            <v>5.476</v>
          </cell>
          <cell r="L14">
            <v>47.797000000000004</v>
          </cell>
          <cell r="M14">
            <v>71.279000000000011</v>
          </cell>
          <cell r="N14">
            <v>6.7160000000000002</v>
          </cell>
          <cell r="O14">
            <v>14.680999999999999</v>
          </cell>
          <cell r="P14">
            <v>8.1749999999999918</v>
          </cell>
          <cell r="Q14">
            <v>100.851</v>
          </cell>
          <cell r="R14">
            <v>2.8460000000000001</v>
          </cell>
          <cell r="S14">
            <v>80.673000000000002</v>
          </cell>
          <cell r="T14">
            <v>10.3</v>
          </cell>
          <cell r="U14">
            <v>10.3</v>
          </cell>
          <cell r="V14">
            <v>104.119</v>
          </cell>
          <cell r="W14">
            <v>0</v>
          </cell>
          <cell r="X14">
            <v>0</v>
          </cell>
          <cell r="Y14">
            <v>0</v>
          </cell>
          <cell r="Z14">
            <v>0</v>
          </cell>
          <cell r="AA14">
            <v>43.728999999999999</v>
          </cell>
          <cell r="AB14">
            <v>0</v>
          </cell>
          <cell r="AC14">
            <v>0</v>
          </cell>
          <cell r="AD14">
            <v>0</v>
          </cell>
          <cell r="AE14">
            <v>0</v>
          </cell>
          <cell r="AF14">
            <v>43.728999999999999</v>
          </cell>
          <cell r="AG14">
            <v>0</v>
          </cell>
          <cell r="AH14">
            <v>0</v>
          </cell>
          <cell r="AI14">
            <v>0</v>
          </cell>
          <cell r="AJ14">
            <v>0</v>
          </cell>
          <cell r="AK14">
            <v>71.156991652773584</v>
          </cell>
          <cell r="AL14">
            <v>0</v>
          </cell>
          <cell r="AM14">
            <v>0</v>
          </cell>
          <cell r="AN14">
            <v>0</v>
          </cell>
          <cell r="AO14">
            <v>0</v>
          </cell>
          <cell r="AP14">
            <v>113.00580058993424</v>
          </cell>
          <cell r="AQ14">
            <v>0</v>
          </cell>
          <cell r="AR14">
            <v>0</v>
          </cell>
          <cell r="AS14">
            <v>0</v>
          </cell>
          <cell r="AT14">
            <v>0</v>
          </cell>
          <cell r="AU14">
            <v>179.40994976276272</v>
          </cell>
          <cell r="AV14">
            <v>0</v>
          </cell>
          <cell r="AW14">
            <v>0</v>
          </cell>
          <cell r="AX14">
            <v>0</v>
          </cell>
          <cell r="AY14">
            <v>0</v>
          </cell>
          <cell r="AZ14">
            <v>244.28521286253422</v>
          </cell>
          <cell r="BA14">
            <v>0</v>
          </cell>
          <cell r="BB14">
            <v>0</v>
          </cell>
          <cell r="BC14">
            <v>0</v>
          </cell>
          <cell r="BD14">
            <v>0</v>
          </cell>
          <cell r="BE14">
            <v>300.48413306033365</v>
          </cell>
        </row>
        <row r="15">
          <cell r="B15">
            <v>0</v>
          </cell>
          <cell r="C15">
            <v>0</v>
          </cell>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row>
        <row r="16">
          <cell r="B16" t="str">
            <v>Costs and expenses</v>
          </cell>
          <cell r="C16">
            <v>0</v>
          </cell>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row>
        <row r="17">
          <cell r="B17" t="str">
            <v>Cost of product revenues/royalties</v>
          </cell>
          <cell r="C17">
            <v>0</v>
          </cell>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7.5426977045127375</v>
          </cell>
          <cell r="AL17">
            <v>0</v>
          </cell>
          <cell r="AM17">
            <v>0</v>
          </cell>
          <cell r="AN17">
            <v>0</v>
          </cell>
          <cell r="AO17">
            <v>0</v>
          </cell>
          <cell r="AP17">
            <v>17.31920014748356</v>
          </cell>
          <cell r="AQ17">
            <v>0</v>
          </cell>
          <cell r="AR17">
            <v>0</v>
          </cell>
          <cell r="AS17">
            <v>0</v>
          </cell>
          <cell r="AT17">
            <v>0</v>
          </cell>
          <cell r="AU17">
            <v>23.423194453436988</v>
          </cell>
          <cell r="AV17">
            <v>0</v>
          </cell>
          <cell r="AW17">
            <v>0</v>
          </cell>
          <cell r="AX17">
            <v>0</v>
          </cell>
          <cell r="AY17">
            <v>0</v>
          </cell>
          <cell r="AZ17">
            <v>24.651938298619527</v>
          </cell>
          <cell r="BA17">
            <v>0</v>
          </cell>
          <cell r="BB17">
            <v>0</v>
          </cell>
          <cell r="BC17">
            <v>0</v>
          </cell>
          <cell r="BD17">
            <v>0</v>
          </cell>
          <cell r="BE17">
            <v>25.465826495878819</v>
          </cell>
        </row>
        <row r="18">
          <cell r="B18" t="str">
            <v>% of revenue</v>
          </cell>
          <cell r="C18">
            <v>0</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0.3</v>
          </cell>
          <cell r="AG18">
            <v>0</v>
          </cell>
          <cell r="AH18">
            <v>0</v>
          </cell>
          <cell r="AI18">
            <v>0</v>
          </cell>
          <cell r="AJ18">
            <v>0</v>
          </cell>
          <cell r="AK18">
            <v>0.27500000000000002</v>
          </cell>
          <cell r="AL18">
            <v>0</v>
          </cell>
          <cell r="AM18">
            <v>0</v>
          </cell>
          <cell r="AN18">
            <v>0</v>
          </cell>
          <cell r="AO18">
            <v>0</v>
          </cell>
          <cell r="AP18">
            <v>0.25</v>
          </cell>
          <cell r="AQ18">
            <v>0</v>
          </cell>
          <cell r="AR18">
            <v>0</v>
          </cell>
          <cell r="AS18">
            <v>0</v>
          </cell>
          <cell r="AT18">
            <v>0</v>
          </cell>
          <cell r="AU18">
            <v>0.23</v>
          </cell>
          <cell r="AV18">
            <v>0</v>
          </cell>
          <cell r="AW18">
            <v>0</v>
          </cell>
          <cell r="AX18">
            <v>0</v>
          </cell>
          <cell r="AY18">
            <v>0</v>
          </cell>
          <cell r="AZ18">
            <v>0.2</v>
          </cell>
          <cell r="BA18">
            <v>0</v>
          </cell>
          <cell r="BB18">
            <v>0</v>
          </cell>
          <cell r="BC18">
            <v>0</v>
          </cell>
          <cell r="BD18">
            <v>0</v>
          </cell>
          <cell r="BE18">
            <v>0.19</v>
          </cell>
        </row>
        <row r="19">
          <cell r="B19">
            <v>0</v>
          </cell>
          <cell r="C19">
            <v>0</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row>
        <row r="20">
          <cell r="B20" t="str">
            <v>Bull</v>
          </cell>
          <cell r="C20">
            <v>10.096787000000001</v>
          </cell>
          <cell r="D20">
            <v>11.048999999999999</v>
          </cell>
          <cell r="E20">
            <v>11.087999999999999</v>
          </cell>
          <cell r="F20">
            <v>14.348213000000001</v>
          </cell>
          <cell r="G20">
            <v>46.582000000000001</v>
          </cell>
          <cell r="H20">
            <v>14.569000000000001</v>
          </cell>
          <cell r="I20">
            <v>17.335000000000001</v>
          </cell>
          <cell r="J20">
            <v>18.632000000000001</v>
          </cell>
          <cell r="K20">
            <v>19.650000000000006</v>
          </cell>
          <cell r="L20">
            <v>70.186000000000007</v>
          </cell>
          <cell r="M20">
            <v>21.463999999999999</v>
          </cell>
          <cell r="N20">
            <v>22.66</v>
          </cell>
          <cell r="O20">
            <v>24.103000000000002</v>
          </cell>
          <cell r="P20">
            <v>30.044000000000011</v>
          </cell>
          <cell r="Q20">
            <v>98.271000000000015</v>
          </cell>
          <cell r="R20">
            <v>27.346</v>
          </cell>
          <cell r="S20">
            <v>33.340000000000003</v>
          </cell>
          <cell r="T20">
            <v>36.154499999999999</v>
          </cell>
          <cell r="U20">
            <v>36.052800000000012</v>
          </cell>
          <cell r="V20">
            <v>132.89330000000001</v>
          </cell>
          <cell r="W20">
            <v>0</v>
          </cell>
          <cell r="X20">
            <v>0</v>
          </cell>
          <cell r="Y20">
            <v>0</v>
          </cell>
          <cell r="Z20">
            <v>0</v>
          </cell>
          <cell r="AA20">
            <v>136.880099</v>
          </cell>
          <cell r="AB20">
            <v>0</v>
          </cell>
          <cell r="AC20">
            <v>0</v>
          </cell>
          <cell r="AD20">
            <v>0</v>
          </cell>
          <cell r="AE20">
            <v>0</v>
          </cell>
          <cell r="AF20">
            <v>140.98650197000001</v>
          </cell>
          <cell r="AG20">
            <v>0</v>
          </cell>
          <cell r="AH20">
            <v>0</v>
          </cell>
          <cell r="AI20">
            <v>0</v>
          </cell>
          <cell r="AJ20">
            <v>0</v>
          </cell>
          <cell r="AK20">
            <v>144.51116451925</v>
          </cell>
          <cell r="AL20">
            <v>0</v>
          </cell>
          <cell r="AM20">
            <v>0</v>
          </cell>
          <cell r="AN20">
            <v>0</v>
          </cell>
          <cell r="AO20">
            <v>0</v>
          </cell>
          <cell r="AP20">
            <v>147.76266572093311</v>
          </cell>
          <cell r="AQ20">
            <v>0</v>
          </cell>
          <cell r="AR20">
            <v>0</v>
          </cell>
          <cell r="AS20">
            <v>0</v>
          </cell>
          <cell r="AT20">
            <v>0</v>
          </cell>
          <cell r="AU20">
            <v>150.71791903535177</v>
          </cell>
          <cell r="AV20">
            <v>0</v>
          </cell>
          <cell r="AW20">
            <v>0</v>
          </cell>
          <cell r="AX20">
            <v>0</v>
          </cell>
          <cell r="AY20">
            <v>0</v>
          </cell>
          <cell r="AZ20">
            <v>153.4308415779881</v>
          </cell>
          <cell r="BA20">
            <v>0</v>
          </cell>
          <cell r="BB20">
            <v>0</v>
          </cell>
          <cell r="BC20">
            <v>0</v>
          </cell>
          <cell r="BD20">
            <v>0</v>
          </cell>
          <cell r="BE20">
            <v>155.88573504323591</v>
          </cell>
        </row>
        <row r="21">
          <cell r="B21" t="str">
            <v>Base</v>
          </cell>
          <cell r="C21">
            <v>10.096787000000001</v>
          </cell>
          <cell r="D21">
            <v>11.048999999999999</v>
          </cell>
          <cell r="E21">
            <v>11.087999999999999</v>
          </cell>
          <cell r="F21">
            <v>14.348213000000001</v>
          </cell>
          <cell r="G21">
            <v>46.582000000000001</v>
          </cell>
          <cell r="H21">
            <v>14.569000000000001</v>
          </cell>
          <cell r="I21">
            <v>17.335000000000001</v>
          </cell>
          <cell r="J21">
            <v>18.632000000000001</v>
          </cell>
          <cell r="K21">
            <v>19.650000000000006</v>
          </cell>
          <cell r="L21">
            <v>70.186000000000007</v>
          </cell>
          <cell r="M21">
            <v>21.463999999999999</v>
          </cell>
          <cell r="N21">
            <v>22.66</v>
          </cell>
          <cell r="O21">
            <v>24.103000000000002</v>
          </cell>
          <cell r="P21">
            <v>30.044000000000011</v>
          </cell>
          <cell r="Q21">
            <v>98.271000000000015</v>
          </cell>
          <cell r="R21">
            <v>27.346</v>
          </cell>
          <cell r="S21">
            <v>33.340000000000003</v>
          </cell>
          <cell r="T21">
            <v>34.949350000000003</v>
          </cell>
          <cell r="U21">
            <v>34.55060000000001</v>
          </cell>
          <cell r="V21">
            <v>130.18595000000002</v>
          </cell>
          <cell r="W21">
            <v>0</v>
          </cell>
          <cell r="X21">
            <v>0</v>
          </cell>
          <cell r="Y21">
            <v>0</v>
          </cell>
          <cell r="Z21">
            <v>0</v>
          </cell>
          <cell r="AA21">
            <v>132.78966900000003</v>
          </cell>
          <cell r="AB21">
            <v>0</v>
          </cell>
          <cell r="AC21">
            <v>0</v>
          </cell>
          <cell r="AD21">
            <v>0</v>
          </cell>
          <cell r="AE21">
            <v>0</v>
          </cell>
          <cell r="AF21">
            <v>135.44546238000004</v>
          </cell>
          <cell r="AG21">
            <v>0</v>
          </cell>
          <cell r="AH21">
            <v>0</v>
          </cell>
          <cell r="AI21">
            <v>0</v>
          </cell>
          <cell r="AJ21">
            <v>0</v>
          </cell>
          <cell r="AK21">
            <v>137.81575797165004</v>
          </cell>
          <cell r="AL21">
            <v>0</v>
          </cell>
          <cell r="AM21">
            <v>0</v>
          </cell>
          <cell r="AN21">
            <v>0</v>
          </cell>
          <cell r="AO21">
            <v>0</v>
          </cell>
          <cell r="AP21">
            <v>139.88299434122479</v>
          </cell>
          <cell r="AQ21">
            <v>0</v>
          </cell>
          <cell r="AR21">
            <v>0</v>
          </cell>
          <cell r="AS21">
            <v>0</v>
          </cell>
          <cell r="AT21">
            <v>0</v>
          </cell>
          <cell r="AU21">
            <v>141.7014732676607</v>
          </cell>
          <cell r="AV21">
            <v>0</v>
          </cell>
          <cell r="AW21">
            <v>0</v>
          </cell>
          <cell r="AX21">
            <v>0</v>
          </cell>
          <cell r="AY21">
            <v>0</v>
          </cell>
          <cell r="AZ21">
            <v>143.3310402102388</v>
          </cell>
          <cell r="BA21">
            <v>0</v>
          </cell>
          <cell r="BB21">
            <v>0</v>
          </cell>
          <cell r="BC21">
            <v>0</v>
          </cell>
          <cell r="BD21">
            <v>0</v>
          </cell>
          <cell r="BE21">
            <v>144.76435061234119</v>
          </cell>
        </row>
        <row r="22">
          <cell r="B22" t="str">
            <v>Bear</v>
          </cell>
          <cell r="C22">
            <v>10.096787000000001</v>
          </cell>
          <cell r="D22">
            <v>11.048999999999999</v>
          </cell>
          <cell r="E22">
            <v>11.087999999999999</v>
          </cell>
          <cell r="F22">
            <v>14.348213000000001</v>
          </cell>
          <cell r="G22">
            <v>46.582000000000001</v>
          </cell>
          <cell r="H22">
            <v>14.569000000000001</v>
          </cell>
          <cell r="I22">
            <v>17.335000000000001</v>
          </cell>
          <cell r="J22">
            <v>18.632000000000001</v>
          </cell>
          <cell r="K22">
            <v>19.650000000000006</v>
          </cell>
          <cell r="L22">
            <v>70.186000000000007</v>
          </cell>
          <cell r="M22">
            <v>21.463999999999999</v>
          </cell>
          <cell r="N22">
            <v>22.66</v>
          </cell>
          <cell r="O22">
            <v>24.103000000000002</v>
          </cell>
          <cell r="P22">
            <v>30.044000000000011</v>
          </cell>
          <cell r="Q22">
            <v>98.271000000000015</v>
          </cell>
          <cell r="R22">
            <v>27.346</v>
          </cell>
          <cell r="S22">
            <v>33.340000000000003</v>
          </cell>
          <cell r="T22">
            <v>33.262140000000002</v>
          </cell>
          <cell r="U22">
            <v>33.048400000000015</v>
          </cell>
          <cell r="V22">
            <v>126.99654000000002</v>
          </cell>
          <cell r="W22">
            <v>0</v>
          </cell>
          <cell r="X22">
            <v>0</v>
          </cell>
          <cell r="Y22">
            <v>0</v>
          </cell>
          <cell r="Z22">
            <v>0</v>
          </cell>
          <cell r="AA22">
            <v>126.99654000000002</v>
          </cell>
          <cell r="AB22">
            <v>0</v>
          </cell>
          <cell r="AC22">
            <v>0</v>
          </cell>
          <cell r="AD22">
            <v>0</v>
          </cell>
          <cell r="AE22">
            <v>0</v>
          </cell>
          <cell r="AF22">
            <v>126.99654000000002</v>
          </cell>
          <cell r="AG22">
            <v>0</v>
          </cell>
          <cell r="AH22">
            <v>0</v>
          </cell>
          <cell r="AI22">
            <v>0</v>
          </cell>
          <cell r="AJ22">
            <v>0</v>
          </cell>
          <cell r="AK22">
            <v>73.023010500000012</v>
          </cell>
          <cell r="AL22">
            <v>0</v>
          </cell>
          <cell r="AM22">
            <v>0</v>
          </cell>
          <cell r="AN22">
            <v>0</v>
          </cell>
          <cell r="AO22">
            <v>0</v>
          </cell>
          <cell r="AP22">
            <v>45.639381562500006</v>
          </cell>
          <cell r="AQ22">
            <v>0</v>
          </cell>
          <cell r="AR22">
            <v>0</v>
          </cell>
          <cell r="AS22">
            <v>0</v>
          </cell>
          <cell r="AT22">
            <v>0</v>
          </cell>
          <cell r="AU22">
            <v>30.806582554687505</v>
          </cell>
          <cell r="AV22">
            <v>0</v>
          </cell>
          <cell r="AW22">
            <v>0</v>
          </cell>
          <cell r="AX22">
            <v>0</v>
          </cell>
          <cell r="AY22">
            <v>0</v>
          </cell>
          <cell r="AZ22">
            <v>22.334772352148441</v>
          </cell>
          <cell r="BA22">
            <v>0</v>
          </cell>
          <cell r="BB22">
            <v>0</v>
          </cell>
          <cell r="BC22">
            <v>0</v>
          </cell>
          <cell r="BD22">
            <v>0</v>
          </cell>
          <cell r="BE22">
            <v>17.309448572915041</v>
          </cell>
        </row>
        <row r="23">
          <cell r="B23" t="str">
            <v>R&amp;D</v>
          </cell>
          <cell r="C23">
            <v>10.096787000000001</v>
          </cell>
          <cell r="D23">
            <v>11.048999999999999</v>
          </cell>
          <cell r="E23">
            <v>11.087999999999999</v>
          </cell>
          <cell r="F23">
            <v>14.348213000000001</v>
          </cell>
          <cell r="G23">
            <v>46.582000000000001</v>
          </cell>
          <cell r="H23">
            <v>14.569000000000001</v>
          </cell>
          <cell r="I23">
            <v>17.335000000000001</v>
          </cell>
          <cell r="J23">
            <v>18.632000000000001</v>
          </cell>
          <cell r="K23">
            <v>19.650000000000006</v>
          </cell>
          <cell r="L23">
            <v>70.186000000000007</v>
          </cell>
          <cell r="M23">
            <v>21.463999999999999</v>
          </cell>
          <cell r="N23">
            <v>22.66</v>
          </cell>
          <cell r="O23">
            <v>24.103000000000002</v>
          </cell>
          <cell r="P23">
            <v>30.044000000000011</v>
          </cell>
          <cell r="Q23">
            <v>98.271000000000015</v>
          </cell>
          <cell r="R23">
            <v>27.346</v>
          </cell>
          <cell r="S23">
            <v>33.340000000000003</v>
          </cell>
          <cell r="T23">
            <v>34.949350000000003</v>
          </cell>
          <cell r="U23">
            <v>34.55060000000001</v>
          </cell>
          <cell r="V23">
            <v>130.18595000000002</v>
          </cell>
          <cell r="W23">
            <v>0</v>
          </cell>
          <cell r="X23">
            <v>0</v>
          </cell>
          <cell r="Y23">
            <v>0</v>
          </cell>
          <cell r="Z23">
            <v>0</v>
          </cell>
          <cell r="AA23">
            <v>132.78966900000003</v>
          </cell>
          <cell r="AB23">
            <v>0</v>
          </cell>
          <cell r="AC23">
            <v>0</v>
          </cell>
          <cell r="AD23">
            <v>0</v>
          </cell>
          <cell r="AE23">
            <v>0</v>
          </cell>
          <cell r="AF23">
            <v>135.44546238000004</v>
          </cell>
          <cell r="AG23">
            <v>0</v>
          </cell>
          <cell r="AH23">
            <v>0</v>
          </cell>
          <cell r="AI23">
            <v>0</v>
          </cell>
          <cell r="AJ23">
            <v>0</v>
          </cell>
          <cell r="AK23">
            <v>137.81575797165004</v>
          </cell>
          <cell r="AL23">
            <v>0</v>
          </cell>
          <cell r="AM23">
            <v>0</v>
          </cell>
          <cell r="AN23">
            <v>0</v>
          </cell>
          <cell r="AO23">
            <v>0</v>
          </cell>
          <cell r="AP23">
            <v>139.88299434122479</v>
          </cell>
          <cell r="AQ23">
            <v>0</v>
          </cell>
          <cell r="AR23">
            <v>0</v>
          </cell>
          <cell r="AS23">
            <v>0</v>
          </cell>
          <cell r="AT23">
            <v>0</v>
          </cell>
          <cell r="AU23">
            <v>141.7014732676607</v>
          </cell>
          <cell r="AV23">
            <v>0</v>
          </cell>
          <cell r="AW23">
            <v>0</v>
          </cell>
          <cell r="AX23">
            <v>0</v>
          </cell>
          <cell r="AY23">
            <v>0</v>
          </cell>
          <cell r="AZ23">
            <v>143.3310402102388</v>
          </cell>
          <cell r="BA23">
            <v>0</v>
          </cell>
          <cell r="BB23">
            <v>0</v>
          </cell>
          <cell r="BC23">
            <v>0</v>
          </cell>
          <cell r="BD23">
            <v>0</v>
          </cell>
          <cell r="BE23">
            <v>144.76435061234119</v>
          </cell>
        </row>
        <row r="24">
          <cell r="B24" t="str">
            <v>Bull</v>
          </cell>
          <cell r="C24">
            <v>3.8329</v>
          </cell>
          <cell r="D24">
            <v>1.5029999999999999</v>
          </cell>
          <cell r="E24">
            <v>1.986</v>
          </cell>
          <cell r="F24">
            <v>3.7651000000000003</v>
          </cell>
          <cell r="G24">
            <v>11.087</v>
          </cell>
          <cell r="H24">
            <v>3.258</v>
          </cell>
          <cell r="I24">
            <v>4.1449999999999996</v>
          </cell>
          <cell r="J24">
            <v>3.6779999999999999</v>
          </cell>
          <cell r="K24">
            <v>4.8450000000000006</v>
          </cell>
          <cell r="L24">
            <v>15.926</v>
          </cell>
          <cell r="M24">
            <v>4.6829999999999998</v>
          </cell>
          <cell r="N24">
            <v>5.3460000000000001</v>
          </cell>
          <cell r="O24">
            <v>6.0209999999999999</v>
          </cell>
          <cell r="P24">
            <v>6.7149999999999999</v>
          </cell>
          <cell r="Q24">
            <v>22.765000000000001</v>
          </cell>
          <cell r="R24">
            <v>6.133</v>
          </cell>
          <cell r="S24">
            <v>7.2389999999999999</v>
          </cell>
          <cell r="T24">
            <v>7.2251999999999992</v>
          </cell>
          <cell r="U24">
            <v>8.3937500000000007</v>
          </cell>
          <cell r="V24">
            <v>28.990950000000002</v>
          </cell>
          <cell r="W24">
            <v>0</v>
          </cell>
          <cell r="X24">
            <v>0</v>
          </cell>
          <cell r="Y24">
            <v>0</v>
          </cell>
          <cell r="Z24">
            <v>0</v>
          </cell>
          <cell r="AA24">
            <v>33.800579999999997</v>
          </cell>
          <cell r="AB24">
            <v>0</v>
          </cell>
          <cell r="AC24">
            <v>0</v>
          </cell>
          <cell r="AD24">
            <v>0</v>
          </cell>
          <cell r="AE24">
            <v>0</v>
          </cell>
          <cell r="AF24">
            <v>39.88468439999999</v>
          </cell>
          <cell r="AG24">
            <v>0</v>
          </cell>
          <cell r="AH24">
            <v>0</v>
          </cell>
          <cell r="AI24">
            <v>0</v>
          </cell>
          <cell r="AJ24">
            <v>0</v>
          </cell>
          <cell r="AK24">
            <v>46.266233903999989</v>
          </cell>
          <cell r="AL24">
            <v>0</v>
          </cell>
          <cell r="AM24">
            <v>0</v>
          </cell>
          <cell r="AN24">
            <v>0</v>
          </cell>
          <cell r="AO24">
            <v>0</v>
          </cell>
          <cell r="AP24">
            <v>53.206168989599981</v>
          </cell>
          <cell r="AQ24">
            <v>0</v>
          </cell>
          <cell r="AR24">
            <v>0</v>
          </cell>
          <cell r="AS24">
            <v>0</v>
          </cell>
          <cell r="AT24">
            <v>0</v>
          </cell>
          <cell r="AU24">
            <v>60.655032648143987</v>
          </cell>
          <cell r="AV24">
            <v>0</v>
          </cell>
          <cell r="AW24">
            <v>0</v>
          </cell>
          <cell r="AX24">
            <v>0</v>
          </cell>
          <cell r="AY24">
            <v>0</v>
          </cell>
          <cell r="AZ24">
            <v>68.540186892402701</v>
          </cell>
          <cell r="BA24">
            <v>0</v>
          </cell>
          <cell r="BB24">
            <v>0</v>
          </cell>
          <cell r="BC24">
            <v>0</v>
          </cell>
          <cell r="BD24">
            <v>0</v>
          </cell>
          <cell r="BE24">
            <v>76.765009319491028</v>
          </cell>
        </row>
        <row r="25">
          <cell r="B25" t="str">
            <v>Base</v>
          </cell>
          <cell r="C25">
            <v>3.8329</v>
          </cell>
          <cell r="D25">
            <v>1.5029999999999999</v>
          </cell>
          <cell r="E25">
            <v>1.986</v>
          </cell>
          <cell r="F25">
            <v>3.7651000000000003</v>
          </cell>
          <cell r="G25">
            <v>11.087</v>
          </cell>
          <cell r="H25">
            <v>3.258</v>
          </cell>
          <cell r="I25">
            <v>4.1449999999999996</v>
          </cell>
          <cell r="J25">
            <v>3.6779999999999999</v>
          </cell>
          <cell r="K25">
            <v>4.8450000000000006</v>
          </cell>
          <cell r="L25">
            <v>15.926</v>
          </cell>
          <cell r="M25">
            <v>4.6829999999999998</v>
          </cell>
          <cell r="N25">
            <v>5.3460000000000001</v>
          </cell>
          <cell r="O25">
            <v>6.0209999999999999</v>
          </cell>
          <cell r="P25">
            <v>6.7149999999999999</v>
          </cell>
          <cell r="Q25">
            <v>22.765000000000001</v>
          </cell>
          <cell r="R25">
            <v>6.133</v>
          </cell>
          <cell r="S25">
            <v>7.2389999999999999</v>
          </cell>
          <cell r="T25">
            <v>7.2251999999999992</v>
          </cell>
          <cell r="U25">
            <v>8.0579999999999998</v>
          </cell>
          <cell r="V25">
            <v>28.655200000000001</v>
          </cell>
          <cell r="W25">
            <v>0</v>
          </cell>
          <cell r="X25">
            <v>0</v>
          </cell>
          <cell r="Y25">
            <v>0</v>
          </cell>
          <cell r="Z25">
            <v>0</v>
          </cell>
          <cell r="AA25">
            <v>32.006109999999993</v>
          </cell>
          <cell r="AB25">
            <v>0</v>
          </cell>
          <cell r="AC25">
            <v>0</v>
          </cell>
          <cell r="AD25">
            <v>0</v>
          </cell>
          <cell r="AE25">
            <v>0</v>
          </cell>
          <cell r="AF25">
            <v>36.64699594999999</v>
          </cell>
          <cell r="AG25">
            <v>0</v>
          </cell>
          <cell r="AH25">
            <v>0</v>
          </cell>
          <cell r="AI25">
            <v>0</v>
          </cell>
          <cell r="AJ25">
            <v>0</v>
          </cell>
          <cell r="AK25">
            <v>41.777575382999984</v>
          </cell>
          <cell r="AL25">
            <v>0</v>
          </cell>
          <cell r="AM25">
            <v>0</v>
          </cell>
          <cell r="AN25">
            <v>0</v>
          </cell>
          <cell r="AO25">
            <v>0</v>
          </cell>
          <cell r="AP25">
            <v>47.417548059704984</v>
          </cell>
          <cell r="AQ25">
            <v>0</v>
          </cell>
          <cell r="AR25">
            <v>0</v>
          </cell>
          <cell r="AS25">
            <v>0</v>
          </cell>
          <cell r="AT25">
            <v>0</v>
          </cell>
          <cell r="AU25">
            <v>53.581829307466627</v>
          </cell>
          <cell r="AV25">
            <v>0</v>
          </cell>
          <cell r="AW25">
            <v>0</v>
          </cell>
          <cell r="AX25">
            <v>0</v>
          </cell>
          <cell r="AY25">
            <v>0</v>
          </cell>
          <cell r="AZ25">
            <v>60.011648824362631</v>
          </cell>
          <cell r="BA25">
            <v>0</v>
          </cell>
          <cell r="BB25">
            <v>0</v>
          </cell>
          <cell r="BC25">
            <v>0</v>
          </cell>
          <cell r="BD25">
            <v>0</v>
          </cell>
          <cell r="BE25">
            <v>66.612930195042523</v>
          </cell>
        </row>
        <row r="26">
          <cell r="B26" t="str">
            <v>Bear</v>
          </cell>
          <cell r="C26">
            <v>3.8329</v>
          </cell>
          <cell r="D26">
            <v>1.5029999999999999</v>
          </cell>
          <cell r="E26">
            <v>1.986</v>
          </cell>
          <cell r="F26">
            <v>3.7651000000000003</v>
          </cell>
          <cell r="G26">
            <v>11.087</v>
          </cell>
          <cell r="H26">
            <v>3.258</v>
          </cell>
          <cell r="I26">
            <v>4.1449999999999996</v>
          </cell>
          <cell r="J26">
            <v>3.6779999999999999</v>
          </cell>
          <cell r="K26">
            <v>4.8450000000000006</v>
          </cell>
          <cell r="L26">
            <v>15.926</v>
          </cell>
          <cell r="M26">
            <v>4.6829999999999998</v>
          </cell>
          <cell r="N26">
            <v>5.3460000000000001</v>
          </cell>
          <cell r="O26">
            <v>6.0209999999999999</v>
          </cell>
          <cell r="P26">
            <v>6.7149999999999999</v>
          </cell>
          <cell r="Q26">
            <v>22.765000000000001</v>
          </cell>
          <cell r="R26">
            <v>6.133</v>
          </cell>
          <cell r="S26">
            <v>7.2389999999999999</v>
          </cell>
          <cell r="T26">
            <v>6.4424700000000001</v>
          </cell>
          <cell r="U26">
            <v>7.2522000000000002</v>
          </cell>
          <cell r="V26">
            <v>27.066670000000002</v>
          </cell>
          <cell r="W26">
            <v>0</v>
          </cell>
          <cell r="X26">
            <v>0</v>
          </cell>
          <cell r="Y26">
            <v>0</v>
          </cell>
          <cell r="Z26">
            <v>0</v>
          </cell>
          <cell r="AA26">
            <v>27.393444500000005</v>
          </cell>
          <cell r="AB26">
            <v>0</v>
          </cell>
          <cell r="AC26">
            <v>0</v>
          </cell>
          <cell r="AD26">
            <v>0</v>
          </cell>
          <cell r="AE26">
            <v>0</v>
          </cell>
          <cell r="AF26">
            <v>27.393444500000005</v>
          </cell>
          <cell r="AG26">
            <v>0</v>
          </cell>
          <cell r="AH26">
            <v>0</v>
          </cell>
          <cell r="AI26">
            <v>0</v>
          </cell>
          <cell r="AJ26">
            <v>0</v>
          </cell>
          <cell r="AK26">
            <v>19.175411150000002</v>
          </cell>
          <cell r="AL26">
            <v>0</v>
          </cell>
          <cell r="AM26">
            <v>0</v>
          </cell>
          <cell r="AN26">
            <v>0</v>
          </cell>
          <cell r="AO26">
            <v>0</v>
          </cell>
          <cell r="AP26">
            <v>14.381558362500002</v>
          </cell>
          <cell r="AQ26">
            <v>0</v>
          </cell>
          <cell r="AR26">
            <v>0</v>
          </cell>
          <cell r="AS26">
            <v>0</v>
          </cell>
          <cell r="AT26">
            <v>0</v>
          </cell>
          <cell r="AU26">
            <v>11.505246690000002</v>
          </cell>
          <cell r="AV26">
            <v>0</v>
          </cell>
          <cell r="AW26">
            <v>0</v>
          </cell>
          <cell r="AX26">
            <v>0</v>
          </cell>
          <cell r="AY26">
            <v>0</v>
          </cell>
          <cell r="AZ26">
            <v>9.779459686500001</v>
          </cell>
          <cell r="BA26">
            <v>0</v>
          </cell>
          <cell r="BB26">
            <v>0</v>
          </cell>
          <cell r="BC26">
            <v>0</v>
          </cell>
          <cell r="BD26">
            <v>0</v>
          </cell>
          <cell r="BE26">
            <v>8.8015137178500016</v>
          </cell>
        </row>
        <row r="27">
          <cell r="B27" t="str">
            <v>SG&amp;A</v>
          </cell>
          <cell r="C27">
            <v>3.8329</v>
          </cell>
          <cell r="D27">
            <v>1.5029999999999999</v>
          </cell>
          <cell r="E27">
            <v>1.986</v>
          </cell>
          <cell r="F27">
            <v>3.7651000000000003</v>
          </cell>
          <cell r="G27">
            <v>11.087</v>
          </cell>
          <cell r="H27">
            <v>3.258</v>
          </cell>
          <cell r="I27">
            <v>4.1449999999999996</v>
          </cell>
          <cell r="J27">
            <v>3.6779999999999999</v>
          </cell>
          <cell r="K27">
            <v>4.8450000000000006</v>
          </cell>
          <cell r="L27">
            <v>15.926</v>
          </cell>
          <cell r="M27">
            <v>4.6829999999999998</v>
          </cell>
          <cell r="N27">
            <v>5.3460000000000001</v>
          </cell>
          <cell r="O27">
            <v>6.0209999999999999</v>
          </cell>
          <cell r="P27">
            <v>6.7149999999999999</v>
          </cell>
          <cell r="Q27">
            <v>22.765000000000001</v>
          </cell>
          <cell r="R27">
            <v>6.133</v>
          </cell>
          <cell r="S27">
            <v>7.2389999999999999</v>
          </cell>
          <cell r="T27">
            <v>7.2251999999999992</v>
          </cell>
          <cell r="U27">
            <v>8.0579999999999998</v>
          </cell>
          <cell r="V27">
            <v>28.655200000000001</v>
          </cell>
          <cell r="W27">
            <v>0</v>
          </cell>
          <cell r="X27">
            <v>0</v>
          </cell>
          <cell r="Y27">
            <v>0</v>
          </cell>
          <cell r="Z27">
            <v>0</v>
          </cell>
          <cell r="AA27">
            <v>32.006109999999993</v>
          </cell>
          <cell r="AB27">
            <v>0</v>
          </cell>
          <cell r="AC27">
            <v>0</v>
          </cell>
          <cell r="AD27">
            <v>0</v>
          </cell>
          <cell r="AE27">
            <v>0</v>
          </cell>
          <cell r="AF27">
            <v>36.64699594999999</v>
          </cell>
          <cell r="AG27">
            <v>0</v>
          </cell>
          <cell r="AH27">
            <v>0</v>
          </cell>
          <cell r="AI27">
            <v>0</v>
          </cell>
          <cell r="AJ27">
            <v>0</v>
          </cell>
          <cell r="AK27">
            <v>41.777575382999984</v>
          </cell>
          <cell r="AL27">
            <v>0</v>
          </cell>
          <cell r="AM27">
            <v>0</v>
          </cell>
          <cell r="AN27">
            <v>0</v>
          </cell>
          <cell r="AO27">
            <v>0</v>
          </cell>
          <cell r="AP27">
            <v>47.417548059704984</v>
          </cell>
          <cell r="AQ27">
            <v>0</v>
          </cell>
          <cell r="AR27">
            <v>0</v>
          </cell>
          <cell r="AS27">
            <v>0</v>
          </cell>
          <cell r="AT27">
            <v>0</v>
          </cell>
          <cell r="AU27">
            <v>53.581829307466627</v>
          </cell>
          <cell r="AV27">
            <v>0</v>
          </cell>
          <cell r="AW27">
            <v>0</v>
          </cell>
          <cell r="AX27">
            <v>0</v>
          </cell>
          <cell r="AY27">
            <v>0</v>
          </cell>
          <cell r="AZ27">
            <v>60.011648824362631</v>
          </cell>
          <cell r="BA27">
            <v>0</v>
          </cell>
          <cell r="BB27">
            <v>0</v>
          </cell>
          <cell r="BC27">
            <v>0</v>
          </cell>
          <cell r="BD27">
            <v>0</v>
          </cell>
          <cell r="BE27">
            <v>66.612930195042523</v>
          </cell>
        </row>
        <row r="28">
          <cell r="B28" t="str">
            <v>Other</v>
          </cell>
          <cell r="C28">
            <v>0</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row>
        <row r="29">
          <cell r="B29">
            <v>0</v>
          </cell>
          <cell r="C29">
            <v>0</v>
          </cell>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B29">
            <v>0</v>
          </cell>
          <cell r="BC29">
            <v>0</v>
          </cell>
          <cell r="BD29">
            <v>0</v>
          </cell>
          <cell r="BE29">
            <v>0</v>
          </cell>
        </row>
        <row r="30">
          <cell r="B30" t="str">
            <v>Operating income (loss)</v>
          </cell>
          <cell r="C30">
            <v>-3.3316600000000007</v>
          </cell>
          <cell r="D30">
            <v>-0.25399999999999934</v>
          </cell>
          <cell r="E30">
            <v>7.1580000000000004</v>
          </cell>
          <cell r="F30">
            <v>-3.2063400000000009</v>
          </cell>
          <cell r="G30">
            <v>0.36599999999999611</v>
          </cell>
          <cell r="H30">
            <v>-3.1080000000000014</v>
          </cell>
          <cell r="I30">
            <v>-12.26</v>
          </cell>
          <cell r="J30">
            <v>-3.9279999999999999</v>
          </cell>
          <cell r="K30">
            <v>-19.019000000000005</v>
          </cell>
          <cell r="L30">
            <v>-38.315000000000005</v>
          </cell>
          <cell r="M30">
            <v>45.132000000000012</v>
          </cell>
          <cell r="N30">
            <v>-21.29</v>
          </cell>
          <cell r="O30">
            <v>-15.443000000000001</v>
          </cell>
          <cell r="P30">
            <v>-28.584000000000021</v>
          </cell>
          <cell r="Q30">
            <v>-20.185000000000009</v>
          </cell>
          <cell r="R30">
            <v>-30.632999999999999</v>
          </cell>
          <cell r="S30">
            <v>40.094000000000001</v>
          </cell>
          <cell r="T30">
            <v>-31.874549999999999</v>
          </cell>
          <cell r="U30">
            <v>-32.308600000000013</v>
          </cell>
          <cell r="V30">
            <v>-54.722150000000013</v>
          </cell>
          <cell r="W30">
            <v>0</v>
          </cell>
          <cell r="X30">
            <v>0</v>
          </cell>
          <cell r="Y30">
            <v>0</v>
          </cell>
          <cell r="Z30">
            <v>0</v>
          </cell>
          <cell r="AA30">
            <v>-121.06677900000003</v>
          </cell>
          <cell r="AB30">
            <v>0</v>
          </cell>
          <cell r="AC30">
            <v>0</v>
          </cell>
          <cell r="AD30">
            <v>0</v>
          </cell>
          <cell r="AE30">
            <v>0</v>
          </cell>
          <cell r="AF30">
            <v>-128.36345833000001</v>
          </cell>
          <cell r="AG30">
            <v>0</v>
          </cell>
          <cell r="AH30">
            <v>0</v>
          </cell>
          <cell r="AI30">
            <v>0</v>
          </cell>
          <cell r="AJ30">
            <v>0</v>
          </cell>
          <cell r="AK30">
            <v>-115.97903940638919</v>
          </cell>
          <cell r="AL30">
            <v>0</v>
          </cell>
          <cell r="AM30">
            <v>0</v>
          </cell>
          <cell r="AN30">
            <v>0</v>
          </cell>
          <cell r="AO30">
            <v>0</v>
          </cell>
          <cell r="AP30">
            <v>-91.613941958479089</v>
          </cell>
          <cell r="AQ30">
            <v>0</v>
          </cell>
          <cell r="AR30">
            <v>0</v>
          </cell>
          <cell r="AS30">
            <v>0</v>
          </cell>
          <cell r="AT30">
            <v>0</v>
          </cell>
          <cell r="AU30">
            <v>-39.2965472658016</v>
          </cell>
          <cell r="AV30">
            <v>0</v>
          </cell>
          <cell r="AW30">
            <v>0</v>
          </cell>
          <cell r="AX30">
            <v>0</v>
          </cell>
          <cell r="AY30">
            <v>0</v>
          </cell>
          <cell r="AZ30">
            <v>16.290585529313283</v>
          </cell>
          <cell r="BA30">
            <v>0</v>
          </cell>
          <cell r="BB30">
            <v>0</v>
          </cell>
          <cell r="BC30">
            <v>0</v>
          </cell>
          <cell r="BD30">
            <v>0</v>
          </cell>
          <cell r="BE30">
            <v>63.641025757071091</v>
          </cell>
        </row>
        <row r="31">
          <cell r="B31">
            <v>0</v>
          </cell>
          <cell r="C31">
            <v>0</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row>
        <row r="32">
          <cell r="B32" t="str">
            <v>Operating Income (Loss)</v>
          </cell>
          <cell r="C32">
            <v>0</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row>
        <row r="33">
          <cell r="B33" t="str">
            <v>Interest income</v>
          </cell>
          <cell r="C33">
            <v>0</v>
          </cell>
          <cell r="D33">
            <v>0</v>
          </cell>
          <cell r="E33">
            <v>0</v>
          </cell>
          <cell r="F33">
            <v>0</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row>
        <row r="34">
          <cell r="B34" t="str">
            <v>Other (Expense) Income</v>
          </cell>
          <cell r="C34">
            <v>-3.4241000000000001E-2</v>
          </cell>
          <cell r="D34">
            <v>-0.04</v>
          </cell>
          <cell r="E34">
            <v>-0.55400000000000005</v>
          </cell>
          <cell r="F34">
            <v>1.2410000000000476E-3</v>
          </cell>
          <cell r="G34">
            <v>-0.627</v>
          </cell>
          <cell r="H34">
            <v>0</v>
          </cell>
          <cell r="I34">
            <v>1E-3</v>
          </cell>
          <cell r="J34">
            <v>0</v>
          </cell>
          <cell r="K34">
            <v>1E-3</v>
          </cell>
          <cell r="L34">
            <v>2E-3</v>
          </cell>
          <cell r="M34">
            <v>-3.0000000000000001E-3</v>
          </cell>
          <cell r="N34">
            <v>-8.5999999999999993E-2</v>
          </cell>
          <cell r="O34">
            <v>1E-3</v>
          </cell>
          <cell r="P34">
            <v>0.13</v>
          </cell>
          <cell r="Q34">
            <v>4.200000000000001E-2</v>
          </cell>
          <cell r="R34">
            <v>0.27</v>
          </cell>
          <cell r="S34">
            <v>0.37</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row>
        <row r="35">
          <cell r="B35" t="str">
            <v>Pre-tax Income (Loss)</v>
          </cell>
          <cell r="C35">
            <v>-3.3659010000000009</v>
          </cell>
          <cell r="D35">
            <v>-0.29399999999999932</v>
          </cell>
          <cell r="E35">
            <v>6.6040000000000001</v>
          </cell>
          <cell r="F35">
            <v>-3.2050990000000006</v>
          </cell>
          <cell r="G35">
            <v>-0.2610000000000039</v>
          </cell>
          <cell r="H35">
            <v>-3.1080000000000014</v>
          </cell>
          <cell r="I35">
            <v>-12.259</v>
          </cell>
          <cell r="J35">
            <v>-3.9279999999999999</v>
          </cell>
          <cell r="K35">
            <v>-19.018000000000004</v>
          </cell>
          <cell r="L35">
            <v>-38.313000000000002</v>
          </cell>
          <cell r="M35">
            <v>45.129000000000012</v>
          </cell>
          <cell r="N35">
            <v>-21.375999999999998</v>
          </cell>
          <cell r="O35">
            <v>-15.442000000000002</v>
          </cell>
          <cell r="P35">
            <v>-28.454000000000022</v>
          </cell>
          <cell r="Q35">
            <v>-20.143000000000008</v>
          </cell>
          <cell r="R35">
            <v>-30.363</v>
          </cell>
          <cell r="S35">
            <v>40.463999999999999</v>
          </cell>
          <cell r="T35">
            <v>-31.874549999999999</v>
          </cell>
          <cell r="U35">
            <v>-32.308600000000013</v>
          </cell>
          <cell r="V35">
            <v>-54.722150000000013</v>
          </cell>
          <cell r="W35">
            <v>0</v>
          </cell>
          <cell r="X35">
            <v>0</v>
          </cell>
          <cell r="Y35">
            <v>0</v>
          </cell>
          <cell r="Z35">
            <v>0</v>
          </cell>
          <cell r="AA35">
            <v>-121.06677900000003</v>
          </cell>
          <cell r="AB35">
            <v>0</v>
          </cell>
          <cell r="AC35">
            <v>0</v>
          </cell>
          <cell r="AD35">
            <v>0</v>
          </cell>
          <cell r="AE35">
            <v>0</v>
          </cell>
          <cell r="AF35">
            <v>-128.36345833000001</v>
          </cell>
          <cell r="AG35">
            <v>0</v>
          </cell>
          <cell r="AH35">
            <v>0</v>
          </cell>
          <cell r="AI35">
            <v>0</v>
          </cell>
          <cell r="AJ35">
            <v>0</v>
          </cell>
          <cell r="AK35">
            <v>-115.97903940638919</v>
          </cell>
          <cell r="AL35">
            <v>0</v>
          </cell>
          <cell r="AM35">
            <v>0</v>
          </cell>
          <cell r="AN35">
            <v>0</v>
          </cell>
          <cell r="AO35">
            <v>0</v>
          </cell>
          <cell r="AP35">
            <v>-91.613941958479089</v>
          </cell>
          <cell r="AQ35">
            <v>0</v>
          </cell>
          <cell r="AR35">
            <v>0</v>
          </cell>
          <cell r="AS35">
            <v>0</v>
          </cell>
          <cell r="AT35">
            <v>0</v>
          </cell>
          <cell r="AU35">
            <v>-39.2965472658016</v>
          </cell>
          <cell r="AV35">
            <v>0</v>
          </cell>
          <cell r="AW35">
            <v>0</v>
          </cell>
          <cell r="AX35">
            <v>0</v>
          </cell>
          <cell r="AY35">
            <v>0</v>
          </cell>
          <cell r="AZ35">
            <v>16.290585529313283</v>
          </cell>
          <cell r="BA35">
            <v>0</v>
          </cell>
          <cell r="BB35">
            <v>0</v>
          </cell>
          <cell r="BC35">
            <v>0</v>
          </cell>
          <cell r="BD35">
            <v>0</v>
          </cell>
          <cell r="BE35">
            <v>63.641025757071091</v>
          </cell>
        </row>
        <row r="36">
          <cell r="B36" t="str">
            <v>Provision (Benefit) For Income Taxes</v>
          </cell>
          <cell r="C36">
            <v>0</v>
          </cell>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row>
        <row r="37">
          <cell r="B37" t="str">
            <v>Effective Tax Rate</v>
          </cell>
          <cell r="C37">
            <v>0</v>
          </cell>
          <cell r="D37">
            <v>0</v>
          </cell>
          <cell r="E37">
            <v>0</v>
          </cell>
          <cell r="F37">
            <v>0</v>
          </cell>
          <cell r="G37" t="str">
            <v>NM</v>
          </cell>
          <cell r="H37">
            <v>0</v>
          </cell>
          <cell r="I37">
            <v>0</v>
          </cell>
          <cell r="J37">
            <v>0</v>
          </cell>
          <cell r="K37">
            <v>0</v>
          </cell>
          <cell r="L37" t="str">
            <v>NM</v>
          </cell>
          <cell r="M37">
            <v>0</v>
          </cell>
          <cell r="N37" t="str">
            <v>NM</v>
          </cell>
          <cell r="O37" t="str">
            <v>NM</v>
          </cell>
          <cell r="P37" t="str">
            <v>NM</v>
          </cell>
          <cell r="Q37" t="str">
            <v>NM</v>
          </cell>
          <cell r="R37" t="str">
            <v>NM</v>
          </cell>
          <cell r="S37">
            <v>0</v>
          </cell>
          <cell r="T37" t="str">
            <v>NM</v>
          </cell>
          <cell r="U37" t="str">
            <v>NM</v>
          </cell>
          <cell r="V37" t="str">
            <v>NM</v>
          </cell>
          <cell r="W37">
            <v>0</v>
          </cell>
          <cell r="X37">
            <v>0</v>
          </cell>
          <cell r="Y37">
            <v>0</v>
          </cell>
          <cell r="Z37">
            <v>0</v>
          </cell>
          <cell r="AA37" t="str">
            <v>NM</v>
          </cell>
          <cell r="AB37">
            <v>0</v>
          </cell>
          <cell r="AC37">
            <v>0</v>
          </cell>
          <cell r="AD37">
            <v>0</v>
          </cell>
          <cell r="AE37">
            <v>0</v>
          </cell>
          <cell r="AF37" t="str">
            <v>NM</v>
          </cell>
          <cell r="AG37">
            <v>0</v>
          </cell>
          <cell r="AH37">
            <v>0</v>
          </cell>
          <cell r="AI37">
            <v>0</v>
          </cell>
          <cell r="AJ37">
            <v>0</v>
          </cell>
          <cell r="AK37" t="str">
            <v>NM</v>
          </cell>
          <cell r="AL37">
            <v>0</v>
          </cell>
          <cell r="AM37">
            <v>0</v>
          </cell>
          <cell r="AN37">
            <v>0</v>
          </cell>
          <cell r="AO37">
            <v>0</v>
          </cell>
          <cell r="AP37" t="str">
            <v>NM</v>
          </cell>
          <cell r="AQ37">
            <v>0</v>
          </cell>
          <cell r="AR37">
            <v>0</v>
          </cell>
          <cell r="AS37">
            <v>0</v>
          </cell>
          <cell r="AT37">
            <v>0</v>
          </cell>
          <cell r="AU37" t="str">
            <v>NM</v>
          </cell>
          <cell r="AV37">
            <v>0</v>
          </cell>
          <cell r="AW37">
            <v>0</v>
          </cell>
          <cell r="AX37">
            <v>0</v>
          </cell>
          <cell r="AY37">
            <v>0</v>
          </cell>
          <cell r="AZ37">
            <v>0</v>
          </cell>
          <cell r="BA37">
            <v>0</v>
          </cell>
          <cell r="BB37">
            <v>0</v>
          </cell>
          <cell r="BC37">
            <v>0</v>
          </cell>
          <cell r="BD37">
            <v>0</v>
          </cell>
          <cell r="BE37">
            <v>0</v>
          </cell>
        </row>
        <row r="38">
          <cell r="B38" t="str">
            <v>Net Income</v>
          </cell>
          <cell r="C38">
            <v>-3.3659010000000009</v>
          </cell>
          <cell r="D38">
            <v>-0.29399999999999932</v>
          </cell>
          <cell r="E38">
            <v>6.6040000000000001</v>
          </cell>
          <cell r="F38">
            <v>-3.2050990000000006</v>
          </cell>
          <cell r="G38">
            <v>-0.2610000000000039</v>
          </cell>
          <cell r="H38">
            <v>-3.1080000000000014</v>
          </cell>
          <cell r="I38">
            <v>-12.259</v>
          </cell>
          <cell r="J38">
            <v>-3.9279999999999999</v>
          </cell>
          <cell r="K38">
            <v>-19.018000000000004</v>
          </cell>
          <cell r="L38">
            <v>-38.313000000000002</v>
          </cell>
          <cell r="M38">
            <v>45.129000000000012</v>
          </cell>
          <cell r="N38">
            <v>-21.375999999999998</v>
          </cell>
          <cell r="O38">
            <v>-15.442000000000002</v>
          </cell>
          <cell r="P38">
            <v>-28.454000000000022</v>
          </cell>
          <cell r="Q38">
            <v>-20.143000000000008</v>
          </cell>
          <cell r="R38">
            <v>-30.363</v>
          </cell>
          <cell r="S38">
            <v>40.463999999999999</v>
          </cell>
          <cell r="T38">
            <v>-31.874549999999999</v>
          </cell>
          <cell r="U38">
            <v>-32.308600000000013</v>
          </cell>
          <cell r="V38">
            <v>-54.722150000000013</v>
          </cell>
          <cell r="W38">
            <v>0</v>
          </cell>
          <cell r="X38">
            <v>0</v>
          </cell>
          <cell r="Y38">
            <v>0</v>
          </cell>
          <cell r="Z38">
            <v>0</v>
          </cell>
          <cell r="AA38">
            <v>-121.06677900000003</v>
          </cell>
          <cell r="AB38">
            <v>0</v>
          </cell>
          <cell r="AC38">
            <v>0</v>
          </cell>
          <cell r="AD38">
            <v>0</v>
          </cell>
          <cell r="AE38">
            <v>0</v>
          </cell>
          <cell r="AF38">
            <v>-128.36345833000001</v>
          </cell>
          <cell r="AG38">
            <v>0</v>
          </cell>
          <cell r="AH38">
            <v>0</v>
          </cell>
          <cell r="AI38">
            <v>0</v>
          </cell>
          <cell r="AJ38">
            <v>0</v>
          </cell>
          <cell r="AK38">
            <v>-115.97903940638919</v>
          </cell>
          <cell r="AL38">
            <v>0</v>
          </cell>
          <cell r="AM38">
            <v>0</v>
          </cell>
          <cell r="AN38">
            <v>0</v>
          </cell>
          <cell r="AO38">
            <v>0</v>
          </cell>
          <cell r="AP38">
            <v>-91.613941958479089</v>
          </cell>
          <cell r="AQ38">
            <v>0</v>
          </cell>
          <cell r="AR38">
            <v>0</v>
          </cell>
          <cell r="AS38">
            <v>0</v>
          </cell>
          <cell r="AT38">
            <v>0</v>
          </cell>
          <cell r="AU38">
            <v>-39.2965472658016</v>
          </cell>
          <cell r="AV38">
            <v>0</v>
          </cell>
          <cell r="AW38">
            <v>0</v>
          </cell>
          <cell r="AX38">
            <v>0</v>
          </cell>
          <cell r="AY38">
            <v>0</v>
          </cell>
          <cell r="AZ38">
            <v>16.290585529313283</v>
          </cell>
          <cell r="BA38">
            <v>0</v>
          </cell>
          <cell r="BB38">
            <v>0</v>
          </cell>
          <cell r="BC38">
            <v>0</v>
          </cell>
          <cell r="BD38">
            <v>0</v>
          </cell>
          <cell r="BE38">
            <v>63.641025757071091</v>
          </cell>
        </row>
        <row r="39">
          <cell r="B39">
            <v>0</v>
          </cell>
          <cell r="C39">
            <v>0</v>
          </cell>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row>
        <row r="40">
          <cell r="B40" t="str">
            <v>EPS (basic)</v>
          </cell>
          <cell r="C40">
            <v>-2.9301981206483192</v>
          </cell>
          <cell r="D40">
            <v>-0.24100652193159294</v>
          </cell>
          <cell r="E40">
            <v>5.5753152999517948</v>
          </cell>
          <cell r="F40">
            <v>-0.4680550263833228</v>
          </cell>
          <cell r="G40">
            <v>-3.8115004212365688E-2</v>
          </cell>
          <cell r="H40">
            <v>-0.11834429477690431</v>
          </cell>
          <cell r="I40">
            <v>-0.44334267575224412</v>
          </cell>
          <cell r="J40">
            <v>-0.14154221995783497</v>
          </cell>
          <cell r="K40">
            <v>-0.69446802792332607</v>
          </cell>
          <cell r="L40">
            <v>-1.3990510860146381</v>
          </cell>
          <cell r="M40">
            <v>1.5341771800756661</v>
          </cell>
          <cell r="N40">
            <v>-0.7111269849037547</v>
          </cell>
          <cell r="O40">
            <v>-0.46317899462563</v>
          </cell>
          <cell r="P40">
            <v>-0.82926402628231355</v>
          </cell>
          <cell r="Q40">
            <v>-0.63379333483855205</v>
          </cell>
          <cell r="R40">
            <v>-0.87998888239846895</v>
          </cell>
          <cell r="S40">
            <v>1.1689325664514794</v>
          </cell>
          <cell r="T40">
            <v>-0.91621763503523312</v>
          </cell>
          <cell r="U40">
            <v>-0.9240738112006387</v>
          </cell>
          <cell r="V40">
            <v>-1.5761834062224154</v>
          </cell>
          <cell r="W40">
            <v>0</v>
          </cell>
          <cell r="X40">
            <v>0</v>
          </cell>
          <cell r="Y40">
            <v>0</v>
          </cell>
          <cell r="Z40">
            <v>0</v>
          </cell>
          <cell r="AA40">
            <v>-3.4440825710661596</v>
          </cell>
          <cell r="AB40">
            <v>0</v>
          </cell>
          <cell r="AC40">
            <v>0</v>
          </cell>
          <cell r="AD40">
            <v>0</v>
          </cell>
          <cell r="AE40">
            <v>0</v>
          </cell>
          <cell r="AF40">
            <v>-3.2776765289555096</v>
          </cell>
          <cell r="AG40">
            <v>0</v>
          </cell>
          <cell r="AH40">
            <v>0</v>
          </cell>
          <cell r="AI40">
            <v>0</v>
          </cell>
          <cell r="AJ40">
            <v>0</v>
          </cell>
          <cell r="AK40">
            <v>-2.9248874396225442</v>
          </cell>
          <cell r="AL40">
            <v>0</v>
          </cell>
          <cell r="AM40">
            <v>0</v>
          </cell>
          <cell r="AN40">
            <v>0</v>
          </cell>
          <cell r="AO40">
            <v>0</v>
          </cell>
          <cell r="AP40">
            <v>-2.281897794254109</v>
          </cell>
          <cell r="AQ40">
            <v>0</v>
          </cell>
          <cell r="AR40">
            <v>0</v>
          </cell>
          <cell r="AS40">
            <v>0</v>
          </cell>
          <cell r="AT40">
            <v>0</v>
          </cell>
          <cell r="AU40">
            <v>-0.96670503309271882</v>
          </cell>
          <cell r="AV40">
            <v>0</v>
          </cell>
          <cell r="AW40">
            <v>0</v>
          </cell>
          <cell r="AX40">
            <v>0</v>
          </cell>
          <cell r="AY40">
            <v>0</v>
          </cell>
          <cell r="AZ40">
            <v>0.39580497509389967</v>
          </cell>
          <cell r="BA40">
            <v>0</v>
          </cell>
          <cell r="BB40">
            <v>0</v>
          </cell>
          <cell r="BC40">
            <v>0</v>
          </cell>
          <cell r="BD40">
            <v>0</v>
          </cell>
          <cell r="BE40">
            <v>1.5271675714605566</v>
          </cell>
        </row>
        <row r="41">
          <cell r="B41" t="str">
            <v>EPS (diluted)</v>
          </cell>
          <cell r="C41">
            <v>-2.9301981206483192</v>
          </cell>
          <cell r="D41">
            <v>-0.24100652193159294</v>
          </cell>
          <cell r="E41">
            <v>0.31087918507098278</v>
          </cell>
          <cell r="F41">
            <v>-0.4680550263833228</v>
          </cell>
          <cell r="G41">
            <v>-3.8115004212365688E-2</v>
          </cell>
          <cell r="H41">
            <v>-0.11834429477690431</v>
          </cell>
          <cell r="I41">
            <v>-0.44334267575224412</v>
          </cell>
          <cell r="J41">
            <v>-0.14154221995783497</v>
          </cell>
          <cell r="K41">
            <v>-0.69446802792332607</v>
          </cell>
          <cell r="L41">
            <v>-1.3990510860146381</v>
          </cell>
          <cell r="M41">
            <v>1.4243388513142243</v>
          </cell>
          <cell r="N41">
            <v>-0.7111269849037547</v>
          </cell>
          <cell r="O41">
            <v>-0.46317899462563</v>
          </cell>
          <cell r="P41">
            <v>-0.82926402628231355</v>
          </cell>
          <cell r="Q41">
            <v>-0.63379333483855205</v>
          </cell>
          <cell r="R41">
            <v>-0.87998888239846895</v>
          </cell>
          <cell r="S41">
            <v>1.1234566526727863</v>
          </cell>
          <cell r="T41">
            <v>-0.88057329132440232</v>
          </cell>
          <cell r="U41">
            <v>-0.88812383241710857</v>
          </cell>
          <cell r="V41">
            <v>-1.5296493532051294</v>
          </cell>
          <cell r="W41">
            <v>0</v>
          </cell>
          <cell r="X41">
            <v>0</v>
          </cell>
          <cell r="Y41">
            <v>0</v>
          </cell>
          <cell r="Z41">
            <v>0</v>
          </cell>
          <cell r="AA41">
            <v>-3.3424020684512956</v>
          </cell>
          <cell r="AB41">
            <v>0</v>
          </cell>
          <cell r="AC41">
            <v>0</v>
          </cell>
          <cell r="AD41">
            <v>0</v>
          </cell>
          <cell r="AE41">
            <v>0</v>
          </cell>
          <cell r="AF41">
            <v>-3.1894960983838012</v>
          </cell>
          <cell r="AG41">
            <v>0</v>
          </cell>
          <cell r="AH41">
            <v>0</v>
          </cell>
          <cell r="AI41">
            <v>0</v>
          </cell>
          <cell r="AJ41">
            <v>0</v>
          </cell>
          <cell r="AK41">
            <v>-2.84619821220147</v>
          </cell>
          <cell r="AL41">
            <v>0</v>
          </cell>
          <cell r="AM41">
            <v>0</v>
          </cell>
          <cell r="AN41">
            <v>0</v>
          </cell>
          <cell r="AO41">
            <v>0</v>
          </cell>
          <cell r="AP41">
            <v>-2.2205071328388168</v>
          </cell>
          <cell r="AQ41">
            <v>0</v>
          </cell>
          <cell r="AR41">
            <v>0</v>
          </cell>
          <cell r="AS41">
            <v>0</v>
          </cell>
          <cell r="AT41">
            <v>0</v>
          </cell>
          <cell r="AU41">
            <v>-0.94069744347827977</v>
          </cell>
          <cell r="AV41">
            <v>0</v>
          </cell>
          <cell r="AW41">
            <v>0</v>
          </cell>
          <cell r="AX41">
            <v>0</v>
          </cell>
          <cell r="AY41">
            <v>0</v>
          </cell>
          <cell r="AZ41">
            <v>0.38515650114661648</v>
          </cell>
          <cell r="BA41">
            <v>0</v>
          </cell>
          <cell r="BB41">
            <v>0</v>
          </cell>
          <cell r="BC41">
            <v>0</v>
          </cell>
          <cell r="BD41">
            <v>0</v>
          </cell>
          <cell r="BE41">
            <v>1.4860816702690025</v>
          </cell>
        </row>
        <row r="42">
          <cell r="B42">
            <v>0</v>
          </cell>
          <cell r="C42">
            <v>0</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row>
        <row r="43">
          <cell r="B43" t="str">
            <v>One-time expense</v>
          </cell>
          <cell r="C43">
            <v>0</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row>
        <row r="44">
          <cell r="B44" t="str">
            <v>Unrealized gain (loss) on investments</v>
          </cell>
          <cell r="C44">
            <v>0</v>
          </cell>
          <cell r="D44">
            <v>0</v>
          </cell>
          <cell r="E44">
            <v>-6.4349999999999996</v>
          </cell>
          <cell r="F44">
            <v>0</v>
          </cell>
          <cell r="G44">
            <v>-6.4349999999999996</v>
          </cell>
          <cell r="H44">
            <v>0</v>
          </cell>
          <cell r="I44">
            <v>0</v>
          </cell>
          <cell r="J44">
            <v>0</v>
          </cell>
          <cell r="K44">
            <v>0</v>
          </cell>
          <cell r="L44">
            <v>0</v>
          </cell>
          <cell r="M44">
            <v>0</v>
          </cell>
          <cell r="N44">
            <v>0</v>
          </cell>
          <cell r="O44">
            <v>0</v>
          </cell>
          <cell r="P44">
            <v>-5.0000000000000001E-3</v>
          </cell>
          <cell r="Q44">
            <v>0</v>
          </cell>
          <cell r="R44">
            <v>-5.7000000000000002E-2</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row>
        <row r="45">
          <cell r="B45" t="str">
            <v>GAAP Net Income</v>
          </cell>
          <cell r="C45">
            <v>-3.3659010000000009</v>
          </cell>
          <cell r="D45">
            <v>-0.29399999999999932</v>
          </cell>
          <cell r="E45">
            <v>0.16900000000000048</v>
          </cell>
          <cell r="F45">
            <v>-3.2050990000000006</v>
          </cell>
          <cell r="G45">
            <v>-0.2610000000000039</v>
          </cell>
          <cell r="H45">
            <v>-3.1080000000000014</v>
          </cell>
          <cell r="I45">
            <v>-12.259</v>
          </cell>
          <cell r="J45">
            <v>-3.9279999999999999</v>
          </cell>
          <cell r="K45">
            <v>-19.018000000000004</v>
          </cell>
          <cell r="L45">
            <v>-38.313000000000002</v>
          </cell>
          <cell r="M45">
            <v>45.129000000000012</v>
          </cell>
          <cell r="N45">
            <v>-21.375999999999998</v>
          </cell>
          <cell r="O45">
            <v>-15.442000000000002</v>
          </cell>
          <cell r="P45">
            <v>-28.454000000000022</v>
          </cell>
          <cell r="Q45">
            <v>-20.143000000000008</v>
          </cell>
          <cell r="R45">
            <v>-30.306000000000001</v>
          </cell>
          <cell r="S45">
            <v>40.463999999999999</v>
          </cell>
          <cell r="T45">
            <v>-31.874549999999999</v>
          </cell>
          <cell r="U45">
            <v>-32.308600000000013</v>
          </cell>
          <cell r="V45">
            <v>-54.722150000000013</v>
          </cell>
          <cell r="W45">
            <v>0</v>
          </cell>
          <cell r="X45">
            <v>0</v>
          </cell>
          <cell r="Y45">
            <v>0</v>
          </cell>
          <cell r="Z45">
            <v>0</v>
          </cell>
          <cell r="AA45">
            <v>-121.06677900000003</v>
          </cell>
          <cell r="AB45">
            <v>0</v>
          </cell>
          <cell r="AC45">
            <v>0</v>
          </cell>
          <cell r="AD45">
            <v>0</v>
          </cell>
          <cell r="AE45">
            <v>0</v>
          </cell>
          <cell r="AF45">
            <v>-128.36345833000001</v>
          </cell>
          <cell r="AG45">
            <v>0</v>
          </cell>
          <cell r="AH45">
            <v>0</v>
          </cell>
          <cell r="AI45">
            <v>0</v>
          </cell>
          <cell r="AJ45">
            <v>0</v>
          </cell>
          <cell r="AK45">
            <v>-115.97903940638919</v>
          </cell>
          <cell r="AL45">
            <v>0</v>
          </cell>
          <cell r="AM45">
            <v>0</v>
          </cell>
          <cell r="AN45">
            <v>0</v>
          </cell>
          <cell r="AO45">
            <v>0</v>
          </cell>
          <cell r="AP45">
            <v>-91.613941958479089</v>
          </cell>
          <cell r="AQ45">
            <v>0</v>
          </cell>
          <cell r="AR45">
            <v>0</v>
          </cell>
          <cell r="AS45">
            <v>0</v>
          </cell>
          <cell r="AT45">
            <v>0</v>
          </cell>
          <cell r="AU45">
            <v>-39.2965472658016</v>
          </cell>
          <cell r="AV45">
            <v>0</v>
          </cell>
          <cell r="AW45">
            <v>0</v>
          </cell>
          <cell r="AX45">
            <v>0</v>
          </cell>
          <cell r="AY45">
            <v>0</v>
          </cell>
          <cell r="AZ45">
            <v>16.290585529313283</v>
          </cell>
          <cell r="BA45">
            <v>0</v>
          </cell>
          <cell r="BB45">
            <v>0</v>
          </cell>
          <cell r="BC45">
            <v>0</v>
          </cell>
          <cell r="BD45">
            <v>0</v>
          </cell>
          <cell r="BE45">
            <v>63.641025757071091</v>
          </cell>
        </row>
        <row r="46">
          <cell r="B46">
            <v>0</v>
          </cell>
          <cell r="C46">
            <v>0</v>
          </cell>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row>
        <row r="47">
          <cell r="B47" t="str">
            <v>GAAP EPS (basic)</v>
          </cell>
          <cell r="C47">
            <v>-2.9301981206483192</v>
          </cell>
          <cell r="D47">
            <v>-0.24100652193159294</v>
          </cell>
          <cell r="E47">
            <v>0.14267539153419986</v>
          </cell>
          <cell r="F47">
            <v>-0.4680550263833228</v>
          </cell>
          <cell r="G47">
            <v>-3.8115004212365688E-2</v>
          </cell>
          <cell r="H47">
            <v>-0.11834429477690431</v>
          </cell>
          <cell r="I47">
            <v>-0.44334267575224412</v>
          </cell>
          <cell r="J47">
            <v>-0.14154221995783497</v>
          </cell>
          <cell r="K47">
            <v>-0.69446802792332607</v>
          </cell>
          <cell r="L47">
            <v>-1.3990510860146381</v>
          </cell>
          <cell r="M47">
            <v>1.5341771800756661</v>
          </cell>
          <cell r="N47">
            <v>-0.7111269849037547</v>
          </cell>
          <cell r="O47">
            <v>-0.46317899462563</v>
          </cell>
          <cell r="P47">
            <v>-0.82926402628231355</v>
          </cell>
          <cell r="Q47">
            <v>-0.63379333483855205</v>
          </cell>
          <cell r="R47">
            <v>-0.87833689259849168</v>
          </cell>
          <cell r="S47">
            <v>1.1689325664514794</v>
          </cell>
          <cell r="T47">
            <v>-0.91621763503523312</v>
          </cell>
          <cell r="U47">
            <v>-0.9240738112006387</v>
          </cell>
          <cell r="V47">
            <v>-1.5761834062224154</v>
          </cell>
          <cell r="W47">
            <v>0</v>
          </cell>
          <cell r="X47">
            <v>0</v>
          </cell>
          <cell r="Y47">
            <v>0</v>
          </cell>
          <cell r="Z47">
            <v>0</v>
          </cell>
          <cell r="AA47">
            <v>-3.4440825710661596</v>
          </cell>
          <cell r="AB47">
            <v>0</v>
          </cell>
          <cell r="AC47">
            <v>0</v>
          </cell>
          <cell r="AD47">
            <v>0</v>
          </cell>
          <cell r="AE47">
            <v>0</v>
          </cell>
          <cell r="AF47">
            <v>-3.2776765289555096</v>
          </cell>
          <cell r="AG47">
            <v>0</v>
          </cell>
          <cell r="AH47">
            <v>0</v>
          </cell>
          <cell r="AI47">
            <v>0</v>
          </cell>
          <cell r="AJ47">
            <v>0</v>
          </cell>
          <cell r="AK47">
            <v>-2.9248874396225442</v>
          </cell>
          <cell r="AL47">
            <v>0</v>
          </cell>
          <cell r="AM47">
            <v>0</v>
          </cell>
          <cell r="AN47">
            <v>0</v>
          </cell>
          <cell r="AO47">
            <v>0</v>
          </cell>
          <cell r="AP47">
            <v>-2.281897794254109</v>
          </cell>
          <cell r="AQ47">
            <v>0</v>
          </cell>
          <cell r="AR47">
            <v>0</v>
          </cell>
          <cell r="AS47">
            <v>0</v>
          </cell>
          <cell r="AT47">
            <v>0</v>
          </cell>
          <cell r="AU47">
            <v>-0.96670503309271882</v>
          </cell>
          <cell r="AV47">
            <v>0</v>
          </cell>
          <cell r="AW47">
            <v>0</v>
          </cell>
          <cell r="AX47">
            <v>0</v>
          </cell>
          <cell r="AY47">
            <v>0</v>
          </cell>
          <cell r="AZ47">
            <v>0.39580497509389967</v>
          </cell>
          <cell r="BA47">
            <v>0</v>
          </cell>
          <cell r="BB47">
            <v>0</v>
          </cell>
          <cell r="BC47">
            <v>0</v>
          </cell>
          <cell r="BD47">
            <v>0</v>
          </cell>
          <cell r="BE47">
            <v>1.5271675714605566</v>
          </cell>
        </row>
        <row r="48">
          <cell r="B48" t="str">
            <v>GAAP EPS (diluted)</v>
          </cell>
          <cell r="C48">
            <v>-2.9301981206483192</v>
          </cell>
          <cell r="D48">
            <v>-0.24100652193159294</v>
          </cell>
          <cell r="E48">
            <v>7.9555696966984012E-3</v>
          </cell>
          <cell r="F48">
            <v>-0.4680550263833228</v>
          </cell>
          <cell r="G48">
            <v>-3.8115004212365688E-2</v>
          </cell>
          <cell r="H48">
            <v>-0.11834429477690431</v>
          </cell>
          <cell r="I48">
            <v>-0.44334267575224412</v>
          </cell>
          <cell r="J48">
            <v>-0.14154221995783497</v>
          </cell>
          <cell r="K48">
            <v>-0.69446802792332607</v>
          </cell>
          <cell r="L48">
            <v>-1.3990510860146381</v>
          </cell>
          <cell r="M48">
            <v>1.4243388513142243</v>
          </cell>
          <cell r="N48">
            <v>-0.7111269849037547</v>
          </cell>
          <cell r="O48">
            <v>-0.46317899462563</v>
          </cell>
          <cell r="P48">
            <v>-0.82926402628231355</v>
          </cell>
          <cell r="Q48">
            <v>-0.63379333483855205</v>
          </cell>
          <cell r="R48">
            <v>-0.87833689259849168</v>
          </cell>
          <cell r="S48">
            <v>1.1234566526727863</v>
          </cell>
          <cell r="T48">
            <v>-0.88057329132440232</v>
          </cell>
          <cell r="U48">
            <v>-0.88812383241710857</v>
          </cell>
          <cell r="V48">
            <v>-1.5296493532051294</v>
          </cell>
          <cell r="W48">
            <v>0</v>
          </cell>
          <cell r="X48">
            <v>0</v>
          </cell>
          <cell r="Y48">
            <v>0</v>
          </cell>
          <cell r="Z48">
            <v>0</v>
          </cell>
          <cell r="AA48">
            <v>-3.3424020684512956</v>
          </cell>
          <cell r="AB48">
            <v>0</v>
          </cell>
          <cell r="AC48">
            <v>0</v>
          </cell>
          <cell r="AD48">
            <v>0</v>
          </cell>
          <cell r="AE48">
            <v>0</v>
          </cell>
          <cell r="AF48">
            <v>-3.1894960983838012</v>
          </cell>
          <cell r="AG48">
            <v>0</v>
          </cell>
          <cell r="AH48">
            <v>0</v>
          </cell>
          <cell r="AI48">
            <v>0</v>
          </cell>
          <cell r="AJ48">
            <v>0</v>
          </cell>
          <cell r="AK48">
            <v>-2.84619821220147</v>
          </cell>
          <cell r="AL48">
            <v>0</v>
          </cell>
          <cell r="AM48">
            <v>0</v>
          </cell>
          <cell r="AN48">
            <v>0</v>
          </cell>
          <cell r="AO48">
            <v>0</v>
          </cell>
          <cell r="AP48">
            <v>-2.2205071328388168</v>
          </cell>
          <cell r="AQ48">
            <v>0</v>
          </cell>
          <cell r="AR48">
            <v>0</v>
          </cell>
          <cell r="AS48">
            <v>0</v>
          </cell>
          <cell r="AT48">
            <v>0</v>
          </cell>
          <cell r="AU48">
            <v>-0.94069744347827977</v>
          </cell>
          <cell r="AV48">
            <v>0</v>
          </cell>
          <cell r="AW48">
            <v>0</v>
          </cell>
          <cell r="AX48">
            <v>0</v>
          </cell>
          <cell r="AY48">
            <v>0</v>
          </cell>
          <cell r="AZ48">
            <v>0.38515650114661648</v>
          </cell>
          <cell r="BA48">
            <v>0</v>
          </cell>
          <cell r="BB48">
            <v>0</v>
          </cell>
          <cell r="BC48">
            <v>0</v>
          </cell>
          <cell r="BD48">
            <v>0</v>
          </cell>
          <cell r="BE48">
            <v>1.4860816702690025</v>
          </cell>
        </row>
        <row r="49">
          <cell r="B49">
            <v>0</v>
          </cell>
          <cell r="C49">
            <v>0</v>
          </cell>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row>
        <row r="50">
          <cell r="B50" t="str">
            <v>Options Expense</v>
          </cell>
          <cell r="C50">
            <v>1.44872</v>
          </cell>
          <cell r="D50">
            <v>0.112</v>
          </cell>
          <cell r="E50">
            <v>0.13700000000000001</v>
          </cell>
          <cell r="F50">
            <v>-0.83572000000000002</v>
          </cell>
          <cell r="G50">
            <v>0.8620000000000001</v>
          </cell>
          <cell r="H50">
            <v>0.61199999999999999</v>
          </cell>
          <cell r="I50">
            <v>0.78099999999999992</v>
          </cell>
          <cell r="J50">
            <v>0.85599999999999998</v>
          </cell>
          <cell r="K50">
            <v>0.995</v>
          </cell>
          <cell r="L50">
            <v>3.2439999999999998</v>
          </cell>
          <cell r="M50">
            <v>1.631</v>
          </cell>
          <cell r="N50">
            <v>1.9019999999999999</v>
          </cell>
          <cell r="O50">
            <v>2.0979999999999999</v>
          </cell>
          <cell r="P50">
            <v>-1.0713476402824225</v>
          </cell>
          <cell r="Q50">
            <v>4.5596523597175773</v>
          </cell>
          <cell r="R50">
            <v>0</v>
          </cell>
          <cell r="S50">
            <v>0</v>
          </cell>
          <cell r="T50">
            <v>0</v>
          </cell>
          <cell r="U50">
            <v>0</v>
          </cell>
          <cell r="V50">
            <v>5.9838430253623196</v>
          </cell>
          <cell r="W50">
            <v>0</v>
          </cell>
          <cell r="X50">
            <v>0</v>
          </cell>
          <cell r="Y50">
            <v>0</v>
          </cell>
          <cell r="Z50">
            <v>0</v>
          </cell>
          <cell r="AA50">
            <v>6.2081650301467866</v>
          </cell>
          <cell r="AB50">
            <v>0</v>
          </cell>
          <cell r="AC50">
            <v>0</v>
          </cell>
          <cell r="AD50">
            <v>0</v>
          </cell>
          <cell r="AE50">
            <v>0</v>
          </cell>
          <cell r="AF50">
            <v>6.4830445794142513</v>
          </cell>
          <cell r="AG50">
            <v>0</v>
          </cell>
          <cell r="AH50">
            <v>0</v>
          </cell>
          <cell r="AI50">
            <v>0</v>
          </cell>
          <cell r="AJ50">
            <v>0</v>
          </cell>
          <cell r="AK50">
            <v>7.0497640834718025</v>
          </cell>
          <cell r="AL50">
            <v>0</v>
          </cell>
          <cell r="AM50">
            <v>0</v>
          </cell>
          <cell r="AN50">
            <v>0</v>
          </cell>
          <cell r="AO50">
            <v>0</v>
          </cell>
          <cell r="AP50">
            <v>7.7084081757136387</v>
          </cell>
          <cell r="AQ50">
            <v>0</v>
          </cell>
          <cell r="AR50">
            <v>0</v>
          </cell>
          <cell r="AS50">
            <v>0</v>
          </cell>
          <cell r="AT50">
            <v>0</v>
          </cell>
          <cell r="AU50">
            <v>8.2390825478523624</v>
          </cell>
          <cell r="AV50">
            <v>0</v>
          </cell>
          <cell r="AW50">
            <v>0</v>
          </cell>
          <cell r="AX50">
            <v>0</v>
          </cell>
          <cell r="AY50">
            <v>0</v>
          </cell>
          <cell r="AZ50">
            <v>8.588983777742575</v>
          </cell>
          <cell r="BA50">
            <v>0</v>
          </cell>
          <cell r="BB50">
            <v>0</v>
          </cell>
          <cell r="BC50">
            <v>0</v>
          </cell>
          <cell r="BD50">
            <v>0</v>
          </cell>
          <cell r="BE50">
            <v>8.9223225577362442</v>
          </cell>
        </row>
        <row r="51">
          <cell r="B51" t="str">
            <v xml:space="preserve">  % of operating expense</v>
          </cell>
          <cell r="C51">
            <v>0.10400233687950058</v>
          </cell>
          <cell r="D51">
            <v>8.9228808158062466E-3</v>
          </cell>
          <cell r="E51">
            <v>1.0478812911121311E-2</v>
          </cell>
          <cell r="F51">
            <v>-4.6138439721104582E-2</v>
          </cell>
          <cell r="G51">
            <v>1.4947372071650283E-2</v>
          </cell>
          <cell r="H51">
            <v>3.4329948953834066E-2</v>
          </cell>
          <cell r="I51">
            <v>3.6359404096834261E-2</v>
          </cell>
          <cell r="J51">
            <v>3.8368444643657545E-2</v>
          </cell>
          <cell r="K51">
            <v>4.0620534803021018E-2</v>
          </cell>
          <cell r="L51">
            <v>3.7671869193608321E-2</v>
          </cell>
          <cell r="M51">
            <v>6.2378093089073321E-2</v>
          </cell>
          <cell r="N51">
            <v>6.7914018424623288E-2</v>
          </cell>
          <cell r="O51">
            <v>6.9645465409640145E-2</v>
          </cell>
          <cell r="P51">
            <v>-2.9145179147485569E-2</v>
          </cell>
          <cell r="Q51">
            <v>3.7671869193608321E-2</v>
          </cell>
          <cell r="R51">
            <v>0</v>
          </cell>
          <cell r="S51">
            <v>0</v>
          </cell>
          <cell r="T51">
            <v>0</v>
          </cell>
          <cell r="U51">
            <v>0</v>
          </cell>
          <cell r="V51">
            <v>3.7671869193608321E-2</v>
          </cell>
          <cell r="W51">
            <v>0</v>
          </cell>
          <cell r="X51">
            <v>0</v>
          </cell>
          <cell r="Y51">
            <v>0</v>
          </cell>
          <cell r="Z51">
            <v>0</v>
          </cell>
          <cell r="AA51">
            <v>3.7671869193608321E-2</v>
          </cell>
          <cell r="AB51">
            <v>0</v>
          </cell>
          <cell r="AC51">
            <v>0</v>
          </cell>
          <cell r="AD51">
            <v>0</v>
          </cell>
          <cell r="AE51">
            <v>0</v>
          </cell>
          <cell r="AF51">
            <v>3.7671869193608321E-2</v>
          </cell>
          <cell r="AG51">
            <v>0</v>
          </cell>
          <cell r="AH51">
            <v>0</v>
          </cell>
          <cell r="AI51">
            <v>0</v>
          </cell>
          <cell r="AJ51">
            <v>0</v>
          </cell>
          <cell r="AK51">
            <v>3.7671869193608314E-2</v>
          </cell>
          <cell r="AL51">
            <v>0</v>
          </cell>
          <cell r="AM51">
            <v>0</v>
          </cell>
          <cell r="AN51">
            <v>0</v>
          </cell>
          <cell r="AO51">
            <v>0</v>
          </cell>
          <cell r="AP51">
            <v>3.7671869193608321E-2</v>
          </cell>
          <cell r="AQ51">
            <v>0</v>
          </cell>
          <cell r="AR51">
            <v>0</v>
          </cell>
          <cell r="AS51">
            <v>0</v>
          </cell>
          <cell r="AT51">
            <v>0</v>
          </cell>
          <cell r="AU51">
            <v>3.7671869193608321E-2</v>
          </cell>
          <cell r="AV51">
            <v>0</v>
          </cell>
          <cell r="AW51">
            <v>0</v>
          </cell>
          <cell r="AX51">
            <v>0</v>
          </cell>
          <cell r="AY51">
            <v>0</v>
          </cell>
          <cell r="AZ51">
            <v>3.7671869193608321E-2</v>
          </cell>
          <cell r="BA51">
            <v>0</v>
          </cell>
          <cell r="BB51">
            <v>0</v>
          </cell>
          <cell r="BC51">
            <v>0</v>
          </cell>
          <cell r="BD51">
            <v>0</v>
          </cell>
          <cell r="BE51">
            <v>3.7671869193608314E-2</v>
          </cell>
        </row>
        <row r="52">
          <cell r="B52" t="str">
            <v>Tax impact</v>
          </cell>
          <cell r="C52">
            <v>0</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2.0943450588768115</v>
          </cell>
          <cell r="W52">
            <v>0</v>
          </cell>
          <cell r="X52">
            <v>0</v>
          </cell>
          <cell r="Y52">
            <v>0</v>
          </cell>
          <cell r="Z52">
            <v>0</v>
          </cell>
          <cell r="AA52">
            <v>2.1728577605513753</v>
          </cell>
          <cell r="AB52">
            <v>0</v>
          </cell>
          <cell r="AC52">
            <v>0</v>
          </cell>
          <cell r="AD52">
            <v>0</v>
          </cell>
          <cell r="AE52">
            <v>0</v>
          </cell>
          <cell r="AF52">
            <v>2.2690656027949876</v>
          </cell>
          <cell r="AG52">
            <v>0</v>
          </cell>
          <cell r="AH52">
            <v>0</v>
          </cell>
          <cell r="AI52">
            <v>0</v>
          </cell>
          <cell r="AJ52">
            <v>0</v>
          </cell>
          <cell r="AK52">
            <v>2.4674174292151307</v>
          </cell>
          <cell r="AL52">
            <v>0</v>
          </cell>
          <cell r="AM52">
            <v>0</v>
          </cell>
          <cell r="AN52">
            <v>0</v>
          </cell>
          <cell r="AO52">
            <v>0</v>
          </cell>
          <cell r="AP52">
            <v>2.6979428614997736</v>
          </cell>
          <cell r="AQ52">
            <v>0</v>
          </cell>
          <cell r="AR52">
            <v>0</v>
          </cell>
          <cell r="AS52">
            <v>0</v>
          </cell>
          <cell r="AT52">
            <v>0</v>
          </cell>
          <cell r="AU52">
            <v>2.8836788917483265</v>
          </cell>
          <cell r="AV52">
            <v>0</v>
          </cell>
          <cell r="AW52">
            <v>0</v>
          </cell>
          <cell r="AX52">
            <v>0</v>
          </cell>
          <cell r="AY52">
            <v>0</v>
          </cell>
          <cell r="AZ52">
            <v>3.0061443222099009</v>
          </cell>
          <cell r="BA52">
            <v>0</v>
          </cell>
          <cell r="BB52">
            <v>0</v>
          </cell>
          <cell r="BC52">
            <v>0</v>
          </cell>
          <cell r="BD52">
            <v>0</v>
          </cell>
          <cell r="BE52">
            <v>3.1228128952076855</v>
          </cell>
        </row>
        <row r="53">
          <cell r="B53" t="str">
            <v>Net Income (non-GAAP, incl option exp)</v>
          </cell>
          <cell r="C53">
            <v>-4.8146210000000007</v>
          </cell>
          <cell r="D53">
            <v>-0.40599999999999931</v>
          </cell>
          <cell r="E53">
            <v>6.4670000000000005</v>
          </cell>
          <cell r="F53">
            <v>-2.3693790000000003</v>
          </cell>
          <cell r="G53">
            <v>-1.123000000000004</v>
          </cell>
          <cell r="H53">
            <v>-3.7200000000000015</v>
          </cell>
          <cell r="I53">
            <v>-13.040000000000001</v>
          </cell>
          <cell r="J53">
            <v>-4.7839999999999998</v>
          </cell>
          <cell r="K53">
            <v>-20.013000000000005</v>
          </cell>
          <cell r="L53">
            <v>-41.557000000000002</v>
          </cell>
          <cell r="M53">
            <v>43.498000000000012</v>
          </cell>
          <cell r="N53">
            <v>-23.277999999999999</v>
          </cell>
          <cell r="O53">
            <v>-17.540000000000003</v>
          </cell>
          <cell r="P53">
            <v>0</v>
          </cell>
          <cell r="Q53">
            <v>-24.702652359717586</v>
          </cell>
          <cell r="R53">
            <v>0</v>
          </cell>
          <cell r="S53">
            <v>0</v>
          </cell>
          <cell r="T53">
            <v>0</v>
          </cell>
          <cell r="U53">
            <v>0</v>
          </cell>
          <cell r="V53">
            <v>-62.800338084239144</v>
          </cell>
          <cell r="W53">
            <v>0</v>
          </cell>
          <cell r="X53">
            <v>0</v>
          </cell>
          <cell r="Y53">
            <v>0</v>
          </cell>
          <cell r="Z53">
            <v>0</v>
          </cell>
          <cell r="AA53">
            <v>-129.44780179069818</v>
          </cell>
          <cell r="AB53">
            <v>0</v>
          </cell>
          <cell r="AC53">
            <v>0</v>
          </cell>
          <cell r="AD53">
            <v>0</v>
          </cell>
          <cell r="AE53">
            <v>0</v>
          </cell>
          <cell r="AF53">
            <v>-137.11556851220925</v>
          </cell>
          <cell r="AG53">
            <v>0</v>
          </cell>
          <cell r="AH53">
            <v>0</v>
          </cell>
          <cell r="AI53">
            <v>0</v>
          </cell>
          <cell r="AJ53">
            <v>0</v>
          </cell>
          <cell r="AK53">
            <v>-125.49622091907612</v>
          </cell>
          <cell r="AL53">
            <v>0</v>
          </cell>
          <cell r="AM53">
            <v>0</v>
          </cell>
          <cell r="AN53">
            <v>0</v>
          </cell>
          <cell r="AO53">
            <v>0</v>
          </cell>
          <cell r="AP53">
            <v>-102.0202929956925</v>
          </cell>
          <cell r="AQ53">
            <v>0</v>
          </cell>
          <cell r="AR53">
            <v>0</v>
          </cell>
          <cell r="AS53">
            <v>0</v>
          </cell>
          <cell r="AT53">
            <v>0</v>
          </cell>
          <cell r="AU53">
            <v>-50.419308705402287</v>
          </cell>
          <cell r="AV53">
            <v>0</v>
          </cell>
          <cell r="AW53">
            <v>0</v>
          </cell>
          <cell r="AX53">
            <v>0</v>
          </cell>
          <cell r="AY53">
            <v>0</v>
          </cell>
          <cell r="AZ53">
            <v>4.6954574293608076</v>
          </cell>
          <cell r="BA53">
            <v>0</v>
          </cell>
          <cell r="BB53">
            <v>0</v>
          </cell>
          <cell r="BC53">
            <v>0</v>
          </cell>
          <cell r="BD53">
            <v>0</v>
          </cell>
          <cell r="BE53">
            <v>51.59589030412716</v>
          </cell>
        </row>
        <row r="54">
          <cell r="B54" t="str">
            <v>EPS, diluted (non-GAAP, incl option exp)</v>
          </cell>
          <cell r="C54">
            <v>-4.1913869141825417</v>
          </cell>
          <cell r="D54">
            <v>-0.33281853028648567</v>
          </cell>
          <cell r="E54">
            <v>0.30442999543519772</v>
          </cell>
          <cell r="F54">
            <v>-0.34601107496432748</v>
          </cell>
          <cell r="G54">
            <v>-0.16399674226239916</v>
          </cell>
          <cell r="H54">
            <v>-0.14164761150903604</v>
          </cell>
          <cell r="I54">
            <v>-0.47158728214448681</v>
          </cell>
          <cell r="J54">
            <v>-0.17238746952094769</v>
          </cell>
          <cell r="K54">
            <v>-0.73080180054840282</v>
          </cell>
          <cell r="L54">
            <v>-1.5175101396787074</v>
          </cell>
          <cell r="M54">
            <v>1.3728620477844875</v>
          </cell>
          <cell r="N54">
            <v>-0.77440185042054654</v>
          </cell>
          <cell r="O54">
            <v>-0.5261079889738085</v>
          </cell>
          <cell r="P54">
            <v>0</v>
          </cell>
          <cell r="Q54">
            <v>-0.77726140189757387</v>
          </cell>
          <cell r="R54">
            <v>0</v>
          </cell>
          <cell r="S54">
            <v>0</v>
          </cell>
          <cell r="T54">
            <v>0</v>
          </cell>
          <cell r="U54">
            <v>0</v>
          </cell>
          <cell r="V54">
            <v>-1.7554591062598937</v>
          </cell>
          <cell r="W54">
            <v>0</v>
          </cell>
          <cell r="X54">
            <v>0</v>
          </cell>
          <cell r="Y54">
            <v>0</v>
          </cell>
          <cell r="Z54">
            <v>0</v>
          </cell>
          <cell r="AA54">
            <v>-3.5737846834242024</v>
          </cell>
          <cell r="AB54">
            <v>0</v>
          </cell>
          <cell r="AC54">
            <v>0</v>
          </cell>
          <cell r="AD54">
            <v>0</v>
          </cell>
          <cell r="AE54">
            <v>0</v>
          </cell>
          <cell r="AF54">
            <v>-3.4069631380066929</v>
          </cell>
          <cell r="AG54">
            <v>0</v>
          </cell>
          <cell r="AH54">
            <v>0</v>
          </cell>
          <cell r="AI54">
            <v>0</v>
          </cell>
          <cell r="AJ54">
            <v>0</v>
          </cell>
          <cell r="AK54">
            <v>-3.0797558028251615</v>
          </cell>
          <cell r="AL54">
            <v>0</v>
          </cell>
          <cell r="AM54">
            <v>0</v>
          </cell>
          <cell r="AN54">
            <v>0</v>
          </cell>
          <cell r="AO54">
            <v>0</v>
          </cell>
          <cell r="AP54">
            <v>-2.4727326807300933</v>
          </cell>
          <cell r="AQ54">
            <v>0</v>
          </cell>
          <cell r="AR54">
            <v>0</v>
          </cell>
          <cell r="AS54">
            <v>0</v>
          </cell>
          <cell r="AT54">
            <v>0</v>
          </cell>
          <cell r="AU54">
            <v>-1.2069588322939042</v>
          </cell>
          <cell r="AV54">
            <v>0</v>
          </cell>
          <cell r="AW54">
            <v>0</v>
          </cell>
          <cell r="AX54">
            <v>0</v>
          </cell>
          <cell r="AY54">
            <v>0</v>
          </cell>
          <cell r="AZ54">
            <v>0.11101417757644774</v>
          </cell>
          <cell r="BA54">
            <v>0</v>
          </cell>
          <cell r="BB54">
            <v>0</v>
          </cell>
          <cell r="BC54">
            <v>0</v>
          </cell>
          <cell r="BD54">
            <v>0</v>
          </cell>
          <cell r="BE54">
            <v>1.2048156975793898</v>
          </cell>
        </row>
        <row r="55">
          <cell r="B55">
            <v>0</v>
          </cell>
          <cell r="C55">
            <v>0</v>
          </cell>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row>
        <row r="56">
          <cell r="B56" t="str">
            <v>Shares Outstanding - Basic</v>
          </cell>
          <cell r="C56">
            <v>1.1486940000000001</v>
          </cell>
          <cell r="D56">
            <v>1.219884</v>
          </cell>
          <cell r="E56">
            <v>1.184507</v>
          </cell>
          <cell r="F56">
            <v>6.8476970000000001</v>
          </cell>
          <cell r="G56">
            <v>6.8476970000000001</v>
          </cell>
          <cell r="H56">
            <v>26.262356</v>
          </cell>
          <cell r="I56">
            <v>27.651297</v>
          </cell>
          <cell r="J56">
            <v>27.751436999999999</v>
          </cell>
          <cell r="K56">
            <v>27.384989999999998</v>
          </cell>
          <cell r="L56">
            <v>27.384989999999998</v>
          </cell>
          <cell r="M56">
            <v>29.415768</v>
          </cell>
          <cell r="N56">
            <v>30.059329000000002</v>
          </cell>
          <cell r="O56">
            <v>33.339162999999999</v>
          </cell>
          <cell r="P56">
            <v>34.312353000000002</v>
          </cell>
          <cell r="Q56">
            <v>31.781653250000002</v>
          </cell>
          <cell r="R56">
            <v>34.503844999999998</v>
          </cell>
          <cell r="S56">
            <v>34.616197</v>
          </cell>
          <cell r="T56">
            <v>34.789277984999998</v>
          </cell>
          <cell r="U56">
            <v>34.963224374924998</v>
          </cell>
          <cell r="V56">
            <v>34.71813608998125</v>
          </cell>
          <cell r="W56">
            <v>0</v>
          </cell>
          <cell r="X56">
            <v>0</v>
          </cell>
          <cell r="Y56">
            <v>0</v>
          </cell>
          <cell r="Z56">
            <v>0</v>
          </cell>
          <cell r="AA56">
            <v>35.152112791106013</v>
          </cell>
          <cell r="AB56">
            <v>0</v>
          </cell>
          <cell r="AC56">
            <v>0</v>
          </cell>
          <cell r="AD56">
            <v>0</v>
          </cell>
          <cell r="AE56">
            <v>0</v>
          </cell>
          <cell r="AF56">
            <v>39.162942772423406</v>
          </cell>
          <cell r="AG56">
            <v>0</v>
          </cell>
          <cell r="AH56">
            <v>0</v>
          </cell>
          <cell r="AI56">
            <v>0</v>
          </cell>
          <cell r="AJ56">
            <v>0</v>
          </cell>
          <cell r="AK56">
            <v>39.652479557078699</v>
          </cell>
          <cell r="AL56">
            <v>0</v>
          </cell>
          <cell r="AM56">
            <v>0</v>
          </cell>
          <cell r="AN56">
            <v>0</v>
          </cell>
          <cell r="AO56">
            <v>0</v>
          </cell>
          <cell r="AP56">
            <v>40.148135551542182</v>
          </cell>
          <cell r="AQ56">
            <v>0</v>
          </cell>
          <cell r="AR56">
            <v>0</v>
          </cell>
          <cell r="AS56">
            <v>0</v>
          </cell>
          <cell r="AT56">
            <v>0</v>
          </cell>
          <cell r="AU56">
            <v>40.649987245936458</v>
          </cell>
          <cell r="AV56">
            <v>0</v>
          </cell>
          <cell r="AW56">
            <v>0</v>
          </cell>
          <cell r="AX56">
            <v>0</v>
          </cell>
          <cell r="AY56">
            <v>0</v>
          </cell>
          <cell r="AZ56">
            <v>41.158112086510663</v>
          </cell>
          <cell r="BA56">
            <v>0</v>
          </cell>
          <cell r="BB56">
            <v>0</v>
          </cell>
          <cell r="BC56">
            <v>0</v>
          </cell>
          <cell r="BD56">
            <v>0</v>
          </cell>
          <cell r="BE56">
            <v>41.672588487592044</v>
          </cell>
        </row>
        <row r="57">
          <cell r="B57" t="str">
            <v>Shares Outstanding - Diluted</v>
          </cell>
          <cell r="C57">
            <v>1.1486940000000001</v>
          </cell>
          <cell r="D57">
            <v>1.219884</v>
          </cell>
          <cell r="E57">
            <v>21.242978999999998</v>
          </cell>
          <cell r="F57">
            <v>6.8476970000000001</v>
          </cell>
          <cell r="G57">
            <v>6.8476970000000001</v>
          </cell>
          <cell r="H57">
            <v>26.262356</v>
          </cell>
          <cell r="I57">
            <v>27.651297</v>
          </cell>
          <cell r="J57">
            <v>27.751436999999999</v>
          </cell>
          <cell r="K57">
            <v>27.384989999999998</v>
          </cell>
          <cell r="L57">
            <v>27.384989999999998</v>
          </cell>
          <cell r="M57">
            <v>31.684173999999999</v>
          </cell>
          <cell r="N57">
            <v>30.059329000000002</v>
          </cell>
          <cell r="O57">
            <v>33.339162999999999</v>
          </cell>
          <cell r="P57">
            <v>34.312353000000002</v>
          </cell>
          <cell r="Q57">
            <v>31.781653250000002</v>
          </cell>
          <cell r="R57">
            <v>34.503844999999998</v>
          </cell>
          <cell r="S57">
            <v>36.017411000000003</v>
          </cell>
          <cell r="T57">
            <v>36.197498054999997</v>
          </cell>
          <cell r="U57">
            <v>36.378485545274991</v>
          </cell>
          <cell r="V57">
            <v>35.774309900068744</v>
          </cell>
          <cell r="W57">
            <v>0</v>
          </cell>
          <cell r="X57">
            <v>0</v>
          </cell>
          <cell r="Y57">
            <v>0</v>
          </cell>
          <cell r="Z57">
            <v>0</v>
          </cell>
          <cell r="AA57">
            <v>36.221488773819601</v>
          </cell>
          <cell r="AB57">
            <v>0</v>
          </cell>
          <cell r="AC57">
            <v>0</v>
          </cell>
          <cell r="AD57">
            <v>0</v>
          </cell>
          <cell r="AE57">
            <v>0</v>
          </cell>
          <cell r="AF57">
            <v>40.245685954920916</v>
          </cell>
          <cell r="AG57">
            <v>0</v>
          </cell>
          <cell r="AH57">
            <v>0</v>
          </cell>
          <cell r="AI57">
            <v>0</v>
          </cell>
          <cell r="AJ57">
            <v>0</v>
          </cell>
          <cell r="AK57">
            <v>40.748757029357428</v>
          </cell>
          <cell r="AL57">
            <v>0</v>
          </cell>
          <cell r="AM57">
            <v>0</v>
          </cell>
          <cell r="AN57">
            <v>0</v>
          </cell>
          <cell r="AO57">
            <v>0</v>
          </cell>
          <cell r="AP57">
            <v>41.258116492224396</v>
          </cell>
          <cell r="AQ57">
            <v>0</v>
          </cell>
          <cell r="AR57">
            <v>0</v>
          </cell>
          <cell r="AS57">
            <v>0</v>
          </cell>
          <cell r="AT57">
            <v>0</v>
          </cell>
          <cell r="AU57">
            <v>41.773842948377201</v>
          </cell>
          <cell r="AV57">
            <v>0</v>
          </cell>
          <cell r="AW57">
            <v>0</v>
          </cell>
          <cell r="AX57">
            <v>0</v>
          </cell>
          <cell r="AY57">
            <v>0</v>
          </cell>
          <cell r="AZ57">
            <v>42.296015985231911</v>
          </cell>
          <cell r="BA57">
            <v>0</v>
          </cell>
          <cell r="BB57">
            <v>0</v>
          </cell>
          <cell r="BC57">
            <v>0</v>
          </cell>
          <cell r="BD57">
            <v>0</v>
          </cell>
          <cell r="BE57">
            <v>42.824716185047308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2">
          <cell r="B2" t="str">
            <v>Drug</v>
          </cell>
          <cell r="C2" t="str">
            <v>Type</v>
          </cell>
          <cell r="D2" t="str">
            <v>Milestone</v>
          </cell>
          <cell r="E2" t="str">
            <v>Timing</v>
          </cell>
        </row>
        <row r="3">
          <cell r="B3" t="str">
            <v>MGD012</v>
          </cell>
          <cell r="C3" t="str">
            <v>Clinical update</v>
          </cell>
          <cell r="D3" t="str">
            <v>Submit IND for cancer</v>
          </cell>
          <cell r="E3" t="str">
            <v>2H16</v>
          </cell>
        </row>
        <row r="4">
          <cell r="B4" t="str">
            <v>Enoblituzumab</v>
          </cell>
          <cell r="C4" t="str">
            <v>Clinical update</v>
          </cell>
          <cell r="D4" t="str">
            <v>Present data from PhI monotherapy trial</v>
          </cell>
          <cell r="E4" t="str">
            <v>2H16</v>
          </cell>
        </row>
        <row r="5">
          <cell r="B5" t="str">
            <v>MGD006</v>
          </cell>
          <cell r="C5" t="str">
            <v>Clinical data</v>
          </cell>
          <cell r="D5" t="str">
            <v>Data from Ph I trial in acute myeloid leukemia (AML)</v>
          </cell>
          <cell r="E5" t="str">
            <v>2H16</v>
          </cell>
        </row>
        <row r="6">
          <cell r="B6" t="str">
            <v>MGD006</v>
          </cell>
          <cell r="C6" t="str">
            <v>PhI start</v>
          </cell>
          <cell r="D6" t="str">
            <v>Initiate trial for myelodysplastic syndromes (MDS)</v>
          </cell>
          <cell r="E6" t="str">
            <v>2H16</v>
          </cell>
        </row>
        <row r="7">
          <cell r="B7" t="str">
            <v>MGD012</v>
          </cell>
          <cell r="C7" t="str">
            <v>PhI start</v>
          </cell>
          <cell r="D7" t="str">
            <v>Initiate Ph I trial for compoung, target not yet disclosed</v>
          </cell>
          <cell r="E7" t="str">
            <v>2H16</v>
          </cell>
        </row>
        <row r="8">
          <cell r="B8" t="str">
            <v>Enoblituzumab</v>
          </cell>
          <cell r="C8" t="str">
            <v>PhI start</v>
          </cell>
          <cell r="D8" t="str">
            <v>Initiating pilot study to examine enoblituzumab as neoadjuvant therapy for prostate cancer</v>
          </cell>
          <cell r="E8" t="str">
            <v>2H16</v>
          </cell>
        </row>
        <row r="9">
          <cell r="B9" t="str">
            <v>Enoblituzumab</v>
          </cell>
          <cell r="C9" t="str">
            <v>Clinical update</v>
          </cell>
          <cell r="D9" t="str">
            <v>Present data from PhI checkpoint inhibitor combinations trials</v>
          </cell>
          <cell r="E9" t="str">
            <v>2H16/1H17</v>
          </cell>
        </row>
        <row r="10">
          <cell r="B10" t="str">
            <v>MGD007</v>
          </cell>
          <cell r="C10" t="str">
            <v>Clinical data</v>
          </cell>
          <cell r="D10" t="str">
            <v>Data from Ph I trial in colorectal cancer</v>
          </cell>
          <cell r="E10" t="str">
            <v>2H16/1H17</v>
          </cell>
        </row>
        <row r="11">
          <cell r="B11" t="str">
            <v>MGD009</v>
          </cell>
          <cell r="C11" t="str">
            <v>Clinical data</v>
          </cell>
          <cell r="D11" t="str">
            <v>Data from Ph I trial in B7-H3 positive cancers</v>
          </cell>
          <cell r="E11">
            <v>2017</v>
          </cell>
        </row>
        <row r="12">
          <cell r="B12" t="str">
            <v>MGD014</v>
          </cell>
          <cell r="C12" t="str">
            <v>Clinical data</v>
          </cell>
          <cell r="D12" t="str">
            <v>Submit IND for latent HIV infection in combination with latency reversing agents and continuous anti-retroviral therapy</v>
          </cell>
          <cell r="E12">
            <v>2017</v>
          </cell>
        </row>
        <row r="13">
          <cell r="B13" t="str">
            <v>MGD013</v>
          </cell>
          <cell r="C13" t="str">
            <v>Clinical update</v>
          </cell>
          <cell r="D13" t="str">
            <v>Submit IND for cancer</v>
          </cell>
          <cell r="E13">
            <v>2017</v>
          </cell>
        </row>
        <row r="14">
          <cell r="B14" t="str">
            <v>Margetuximab</v>
          </cell>
          <cell r="C14" t="str">
            <v>Clinical data</v>
          </cell>
          <cell r="D14" t="str">
            <v>Complete Phase III SOPHIA futility analysis</v>
          </cell>
          <cell r="E14">
            <v>2017</v>
          </cell>
        </row>
        <row r="15">
          <cell r="B15" t="str">
            <v>Margetuximab</v>
          </cell>
          <cell r="C15" t="str">
            <v>Clinical data</v>
          </cell>
          <cell r="D15" t="str">
            <v>Data from Ph Ib/II advanced/metastatic gartric carcinoma in combination with KEYTRUDA</v>
          </cell>
          <cell r="E15">
            <v>2017</v>
          </cell>
        </row>
        <row r="16">
          <cell r="B16" t="str">
            <v>Margetuximab</v>
          </cell>
          <cell r="C16" t="str">
            <v>Clinical data</v>
          </cell>
          <cell r="D16" t="str">
            <v>Report data from Phase III SOPHIA trial</v>
          </cell>
          <cell r="E16">
            <v>2018</v>
          </cell>
        </row>
      </sheetData>
      <sheetData sheetId="23"/>
      <sheetData sheetId="24"/>
      <sheetData sheetId="25"/>
      <sheetData sheetId="26"/>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nthly Sales Master List"/>
      <sheetName val="Monthly Sales"/>
    </sheetNames>
    <sheetDataSet>
      <sheetData sheetId="0" refreshError="1">
        <row r="2">
          <cell r="A2">
            <v>1</v>
          </cell>
          <cell r="B2">
            <v>2</v>
          </cell>
          <cell r="C2">
            <v>3</v>
          </cell>
          <cell r="D2">
            <v>4</v>
          </cell>
          <cell r="E2">
            <v>5</v>
          </cell>
          <cell r="F2">
            <v>6</v>
          </cell>
          <cell r="G2">
            <v>7</v>
          </cell>
          <cell r="H2">
            <v>8</v>
          </cell>
          <cell r="I2">
            <v>9</v>
          </cell>
          <cell r="J2">
            <v>10</v>
          </cell>
          <cell r="K2">
            <v>11</v>
          </cell>
          <cell r="L2">
            <v>12</v>
          </cell>
          <cell r="M2">
            <v>13</v>
          </cell>
          <cell r="N2">
            <v>14</v>
          </cell>
          <cell r="O2">
            <v>15</v>
          </cell>
          <cell r="P2">
            <v>16</v>
          </cell>
          <cell r="Q2">
            <v>17</v>
          </cell>
          <cell r="R2">
            <v>18</v>
          </cell>
          <cell r="S2">
            <v>19</v>
          </cell>
          <cell r="T2">
            <v>20</v>
          </cell>
          <cell r="U2">
            <v>21</v>
          </cell>
          <cell r="V2">
            <v>22</v>
          </cell>
          <cell r="W2">
            <v>23</v>
          </cell>
          <cell r="X2">
            <v>24</v>
          </cell>
          <cell r="Y2">
            <v>25</v>
          </cell>
          <cell r="Z2">
            <v>26</v>
          </cell>
          <cell r="AA2">
            <v>27</v>
          </cell>
          <cell r="AB2">
            <v>28</v>
          </cell>
          <cell r="AC2">
            <v>29</v>
          </cell>
          <cell r="AD2">
            <v>30</v>
          </cell>
          <cell r="AE2">
            <v>31</v>
          </cell>
          <cell r="AF2">
            <v>32</v>
          </cell>
          <cell r="AG2">
            <v>33</v>
          </cell>
          <cell r="AH2">
            <v>34</v>
          </cell>
          <cell r="AI2">
            <v>35</v>
          </cell>
          <cell r="AJ2">
            <v>36</v>
          </cell>
          <cell r="AK2">
            <v>37</v>
          </cell>
          <cell r="AL2">
            <v>38</v>
          </cell>
          <cell r="AM2">
            <v>39</v>
          </cell>
          <cell r="AN2">
            <v>40</v>
          </cell>
          <cell r="AO2">
            <v>41</v>
          </cell>
          <cell r="AP2">
            <v>42</v>
          </cell>
          <cell r="AQ2">
            <v>43</v>
          </cell>
          <cell r="AR2">
            <v>44</v>
          </cell>
          <cell r="AS2">
            <v>45</v>
          </cell>
          <cell r="AT2">
            <v>46</v>
          </cell>
          <cell r="AU2">
            <v>47</v>
          </cell>
          <cell r="AV2">
            <v>48</v>
          </cell>
          <cell r="AW2">
            <v>49</v>
          </cell>
          <cell r="AX2">
            <v>50</v>
          </cell>
          <cell r="AY2">
            <v>51</v>
          </cell>
          <cell r="AZ2">
            <v>52</v>
          </cell>
          <cell r="BA2">
            <v>53</v>
          </cell>
          <cell r="BB2">
            <v>54</v>
          </cell>
          <cell r="BC2">
            <v>55</v>
          </cell>
          <cell r="BD2">
            <v>56</v>
          </cell>
          <cell r="BE2">
            <v>57</v>
          </cell>
          <cell r="BF2">
            <v>58</v>
          </cell>
          <cell r="BG2">
            <v>59</v>
          </cell>
          <cell r="BH2">
            <v>60</v>
          </cell>
          <cell r="BI2">
            <v>61</v>
          </cell>
          <cell r="BJ2">
            <v>62</v>
          </cell>
          <cell r="BK2">
            <v>63</v>
          </cell>
          <cell r="BL2">
            <v>64</v>
          </cell>
          <cell r="BM2">
            <v>65</v>
          </cell>
          <cell r="BN2">
            <v>66</v>
          </cell>
          <cell r="BO2">
            <v>67</v>
          </cell>
          <cell r="BP2">
            <v>68</v>
          </cell>
          <cell r="BQ2">
            <v>69</v>
          </cell>
          <cell r="BR2">
            <v>70</v>
          </cell>
          <cell r="BS2">
            <v>71</v>
          </cell>
          <cell r="BT2">
            <v>72</v>
          </cell>
          <cell r="BU2">
            <v>73</v>
          </cell>
          <cell r="BV2">
            <v>74</v>
          </cell>
          <cell r="BW2">
            <v>75</v>
          </cell>
          <cell r="BX2">
            <v>76</v>
          </cell>
          <cell r="BY2">
            <v>77</v>
          </cell>
          <cell r="BZ2">
            <v>78</v>
          </cell>
          <cell r="CA2">
            <v>79</v>
          </cell>
          <cell r="CB2">
            <v>80</v>
          </cell>
          <cell r="CC2">
            <v>81</v>
          </cell>
          <cell r="CD2">
            <v>82</v>
          </cell>
          <cell r="CE2">
            <v>83</v>
          </cell>
          <cell r="CF2">
            <v>84</v>
          </cell>
          <cell r="CG2">
            <v>85</v>
          </cell>
          <cell r="CH2">
            <v>86</v>
          </cell>
          <cell r="CI2">
            <v>87</v>
          </cell>
          <cell r="CJ2">
            <v>88</v>
          </cell>
          <cell r="CK2">
            <v>89</v>
          </cell>
          <cell r="CL2">
            <v>90</v>
          </cell>
          <cell r="CM2">
            <v>91</v>
          </cell>
          <cell r="CN2">
            <v>92</v>
          </cell>
          <cell r="CO2">
            <v>93</v>
          </cell>
          <cell r="CP2">
            <v>94</v>
          </cell>
          <cell r="CQ2">
            <v>95</v>
          </cell>
          <cell r="CR2">
            <v>96</v>
          </cell>
          <cell r="CS2">
            <v>97</v>
          </cell>
          <cell r="CT2">
            <v>98</v>
          </cell>
          <cell r="CU2">
            <v>99</v>
          </cell>
          <cell r="CV2">
            <v>100</v>
          </cell>
          <cell r="CW2">
            <v>101</v>
          </cell>
          <cell r="CX2">
            <v>102</v>
          </cell>
          <cell r="CY2">
            <v>103</v>
          </cell>
          <cell r="CZ2">
            <v>104</v>
          </cell>
          <cell r="DA2">
            <v>105</v>
          </cell>
          <cell r="DB2">
            <v>106</v>
          </cell>
          <cell r="DC2">
            <v>107</v>
          </cell>
          <cell r="DD2">
            <v>108</v>
          </cell>
          <cell r="DE2">
            <v>109</v>
          </cell>
          <cell r="DF2">
            <v>110</v>
          </cell>
          <cell r="DG2">
            <v>111</v>
          </cell>
          <cell r="DH2">
            <v>112</v>
          </cell>
          <cell r="DI2">
            <v>113</v>
          </cell>
          <cell r="DJ2">
            <v>114</v>
          </cell>
          <cell r="DK2">
            <v>115</v>
          </cell>
          <cell r="DL2">
            <v>116</v>
          </cell>
          <cell r="DM2">
            <v>117</v>
          </cell>
          <cell r="DN2">
            <v>118</v>
          </cell>
          <cell r="DO2">
            <v>119</v>
          </cell>
          <cell r="DP2">
            <v>120</v>
          </cell>
          <cell r="DQ2">
            <v>121</v>
          </cell>
          <cell r="DR2">
            <v>122</v>
          </cell>
          <cell r="DS2">
            <v>123</v>
          </cell>
          <cell r="DT2">
            <v>124</v>
          </cell>
          <cell r="DU2">
            <v>125</v>
          </cell>
          <cell r="DV2">
            <v>126</v>
          </cell>
          <cell r="DW2">
            <v>127</v>
          </cell>
          <cell r="DX2">
            <v>128</v>
          </cell>
          <cell r="DY2">
            <v>129</v>
          </cell>
          <cell r="DZ2">
            <v>130</v>
          </cell>
          <cell r="EA2">
            <v>131</v>
          </cell>
          <cell r="EB2">
            <v>132</v>
          </cell>
          <cell r="EC2">
            <v>133</v>
          </cell>
          <cell r="ED2">
            <v>134</v>
          </cell>
          <cell r="EE2">
            <v>135</v>
          </cell>
          <cell r="EF2">
            <v>136</v>
          </cell>
          <cell r="EG2">
            <v>137</v>
          </cell>
          <cell r="EH2">
            <v>138</v>
          </cell>
          <cell r="EI2">
            <v>139</v>
          </cell>
          <cell r="EJ2">
            <v>140</v>
          </cell>
          <cell r="EK2">
            <v>141</v>
          </cell>
          <cell r="EL2">
            <v>142</v>
          </cell>
          <cell r="EM2">
            <v>143</v>
          </cell>
          <cell r="EN2">
            <v>144</v>
          </cell>
          <cell r="EO2">
            <v>145</v>
          </cell>
          <cell r="EP2">
            <v>146</v>
          </cell>
          <cell r="EQ2">
            <v>147</v>
          </cell>
          <cell r="ER2">
            <v>148</v>
          </cell>
          <cell r="ES2">
            <v>149</v>
          </cell>
          <cell r="ET2">
            <v>150</v>
          </cell>
          <cell r="EU2">
            <v>151</v>
          </cell>
          <cell r="EV2">
            <v>152</v>
          </cell>
          <cell r="EW2">
            <v>153</v>
          </cell>
          <cell r="EX2">
            <v>154</v>
          </cell>
          <cell r="EY2">
            <v>155</v>
          </cell>
          <cell r="EZ2">
            <v>156</v>
          </cell>
          <cell r="FA2">
            <v>156</v>
          </cell>
        </row>
        <row r="3">
          <cell r="A3" t="str">
            <v>Product</v>
          </cell>
          <cell r="B3" t="str">
            <v>Last 36 Months</v>
          </cell>
          <cell r="C3">
            <v>38353</v>
          </cell>
          <cell r="D3">
            <v>38384</v>
          </cell>
          <cell r="E3">
            <v>38412</v>
          </cell>
          <cell r="F3">
            <v>38443</v>
          </cell>
          <cell r="G3">
            <v>38473</v>
          </cell>
          <cell r="H3">
            <v>38504</v>
          </cell>
          <cell r="I3">
            <v>38534</v>
          </cell>
          <cell r="J3">
            <v>38565</v>
          </cell>
          <cell r="K3">
            <v>38596</v>
          </cell>
          <cell r="L3">
            <v>38626</v>
          </cell>
          <cell r="M3">
            <v>38657</v>
          </cell>
          <cell r="N3">
            <v>38687</v>
          </cell>
          <cell r="O3">
            <v>38718</v>
          </cell>
          <cell r="P3">
            <v>38749</v>
          </cell>
          <cell r="Q3">
            <v>38777</v>
          </cell>
          <cell r="R3">
            <v>38808</v>
          </cell>
          <cell r="S3">
            <v>38838</v>
          </cell>
          <cell r="T3">
            <v>38869</v>
          </cell>
          <cell r="U3">
            <v>38899</v>
          </cell>
          <cell r="V3">
            <v>38930</v>
          </cell>
          <cell r="W3">
            <v>38961</v>
          </cell>
          <cell r="X3">
            <v>38991</v>
          </cell>
          <cell r="Y3">
            <v>39022</v>
          </cell>
          <cell r="Z3">
            <v>39052</v>
          </cell>
          <cell r="AA3">
            <v>39083</v>
          </cell>
          <cell r="AB3">
            <v>39114</v>
          </cell>
          <cell r="AC3">
            <v>39142</v>
          </cell>
          <cell r="AD3">
            <v>39173</v>
          </cell>
          <cell r="AE3">
            <v>39203</v>
          </cell>
          <cell r="AF3">
            <v>39234</v>
          </cell>
          <cell r="AG3">
            <v>39264</v>
          </cell>
          <cell r="AH3">
            <v>39295</v>
          </cell>
          <cell r="AI3">
            <v>39326</v>
          </cell>
          <cell r="AJ3">
            <v>39356</v>
          </cell>
          <cell r="AK3">
            <v>39387</v>
          </cell>
          <cell r="AL3">
            <v>39417</v>
          </cell>
          <cell r="AM3">
            <v>39448</v>
          </cell>
          <cell r="AN3">
            <v>39479</v>
          </cell>
          <cell r="AO3">
            <v>39508</v>
          </cell>
          <cell r="AP3">
            <v>39539</v>
          </cell>
          <cell r="AQ3">
            <v>39569</v>
          </cell>
          <cell r="AR3">
            <v>39600</v>
          </cell>
          <cell r="AS3">
            <v>39630</v>
          </cell>
          <cell r="AT3">
            <v>39661</v>
          </cell>
          <cell r="AU3">
            <v>39692</v>
          </cell>
          <cell r="AV3">
            <v>39722</v>
          </cell>
          <cell r="AW3">
            <v>39753</v>
          </cell>
          <cell r="AX3">
            <v>39783</v>
          </cell>
          <cell r="AY3">
            <v>39814</v>
          </cell>
          <cell r="AZ3">
            <v>39845</v>
          </cell>
          <cell r="BA3">
            <v>39873</v>
          </cell>
          <cell r="BB3">
            <v>39904</v>
          </cell>
          <cell r="BC3">
            <v>39934</v>
          </cell>
          <cell r="BD3">
            <v>39965</v>
          </cell>
          <cell r="BE3">
            <v>39995</v>
          </cell>
          <cell r="BF3">
            <v>40026</v>
          </cell>
          <cell r="BG3">
            <v>40057</v>
          </cell>
          <cell r="BH3">
            <v>40087</v>
          </cell>
          <cell r="BI3">
            <v>40118</v>
          </cell>
          <cell r="BJ3">
            <v>40148</v>
          </cell>
          <cell r="BK3">
            <v>40179</v>
          </cell>
          <cell r="BL3">
            <v>40210</v>
          </cell>
        </row>
        <row r="4">
          <cell r="A4" t="str">
            <v xml:space="preserve"> </v>
          </cell>
          <cell r="B4" t="str">
            <v>Metrics</v>
          </cell>
          <cell r="C4" t="str">
            <v>Sales</v>
          </cell>
          <cell r="D4" t="str">
            <v>Sales</v>
          </cell>
          <cell r="E4" t="str">
            <v>Sales</v>
          </cell>
          <cell r="F4" t="str">
            <v>Sales</v>
          </cell>
          <cell r="G4" t="str">
            <v>Sales</v>
          </cell>
          <cell r="H4" t="str">
            <v>Sales</v>
          </cell>
          <cell r="I4" t="str">
            <v>Sales</v>
          </cell>
          <cell r="J4" t="str">
            <v>Sales</v>
          </cell>
          <cell r="K4" t="str">
            <v>Sales</v>
          </cell>
          <cell r="L4" t="str">
            <v>Sales</v>
          </cell>
          <cell r="M4" t="str">
            <v>Sales</v>
          </cell>
          <cell r="N4" t="str">
            <v>Sales</v>
          </cell>
          <cell r="O4" t="str">
            <v>Sales</v>
          </cell>
          <cell r="P4" t="str">
            <v>Sales</v>
          </cell>
          <cell r="Q4" t="str">
            <v>Sales</v>
          </cell>
          <cell r="R4" t="str">
            <v>Sales</v>
          </cell>
          <cell r="S4" t="str">
            <v>Sales</v>
          </cell>
          <cell r="T4" t="str">
            <v>Sales</v>
          </cell>
          <cell r="U4" t="str">
            <v>Sales</v>
          </cell>
          <cell r="V4" t="str">
            <v>Sales</v>
          </cell>
          <cell r="W4" t="str">
            <v>Sales</v>
          </cell>
          <cell r="X4" t="str">
            <v>Sales</v>
          </cell>
          <cell r="Y4" t="str">
            <v>Sales</v>
          </cell>
          <cell r="Z4" t="str">
            <v>Sales</v>
          </cell>
          <cell r="AA4" t="str">
            <v>Sales</v>
          </cell>
          <cell r="AB4" t="str">
            <v>Sales</v>
          </cell>
          <cell r="AC4" t="str">
            <v>Sales</v>
          </cell>
          <cell r="AD4" t="str">
            <v>Sales</v>
          </cell>
          <cell r="AE4" t="str">
            <v>Sales</v>
          </cell>
          <cell r="AF4" t="str">
            <v>Sales</v>
          </cell>
          <cell r="AG4" t="str">
            <v>Sales</v>
          </cell>
          <cell r="AH4" t="str">
            <v>Sales</v>
          </cell>
          <cell r="AI4" t="str">
            <v>Sales</v>
          </cell>
          <cell r="AJ4" t="str">
            <v>Sales</v>
          </cell>
          <cell r="AK4" t="str">
            <v>Sales</v>
          </cell>
          <cell r="AL4" t="str">
            <v>Sales</v>
          </cell>
          <cell r="AM4" t="str">
            <v>Sales</v>
          </cell>
          <cell r="AN4" t="str">
            <v>Sales</v>
          </cell>
          <cell r="AO4" t="str">
            <v>Sales</v>
          </cell>
          <cell r="AP4" t="str">
            <v>Sales</v>
          </cell>
          <cell r="AQ4" t="str">
            <v>Sales</v>
          </cell>
          <cell r="AR4" t="str">
            <v>Sales</v>
          </cell>
          <cell r="AS4" t="str">
            <v>Sales</v>
          </cell>
          <cell r="AT4" t="str">
            <v>Sales</v>
          </cell>
          <cell r="AU4" t="str">
            <v>Sales</v>
          </cell>
          <cell r="AV4" t="str">
            <v>Sales</v>
          </cell>
          <cell r="AW4" t="str">
            <v>Sales</v>
          </cell>
          <cell r="AX4" t="str">
            <v>Sales</v>
          </cell>
          <cell r="AY4" t="str">
            <v>Sales</v>
          </cell>
          <cell r="AZ4" t="str">
            <v>Sales</v>
          </cell>
          <cell r="BA4" t="str">
            <v>Sales</v>
          </cell>
          <cell r="BB4" t="str">
            <v>Sales</v>
          </cell>
          <cell r="BC4" t="str">
            <v>Sales</v>
          </cell>
          <cell r="BD4" t="str">
            <v>Sales</v>
          </cell>
          <cell r="BE4" t="str">
            <v>Sales</v>
          </cell>
          <cell r="BF4" t="str">
            <v>Sales</v>
          </cell>
          <cell r="BG4" t="str">
            <v>Sales</v>
          </cell>
          <cell r="BH4" t="str">
            <v>Sales</v>
          </cell>
          <cell r="BI4" t="str">
            <v>Sales</v>
          </cell>
          <cell r="BJ4" t="str">
            <v>Sales</v>
          </cell>
          <cell r="BK4" t="str">
            <v>Sales</v>
          </cell>
          <cell r="BL4" t="str">
            <v>Sales</v>
          </cell>
        </row>
        <row r="5">
          <cell r="A5" t="str">
            <v>ACTONEL PGC 091998</v>
          </cell>
          <cell r="G5">
            <v>84642463</v>
          </cell>
          <cell r="H5">
            <v>104871400</v>
          </cell>
          <cell r="I5">
            <v>81445382</v>
          </cell>
          <cell r="J5">
            <v>82483255</v>
          </cell>
          <cell r="K5">
            <v>101158647</v>
          </cell>
          <cell r="L5">
            <v>81816076</v>
          </cell>
          <cell r="M5">
            <v>80276074</v>
          </cell>
          <cell r="N5">
            <v>102521662</v>
          </cell>
          <cell r="O5">
            <v>81472739</v>
          </cell>
          <cell r="P5">
            <v>81844287</v>
          </cell>
          <cell r="Q5">
            <v>105579277</v>
          </cell>
          <cell r="R5">
            <v>83506645</v>
          </cell>
          <cell r="S5">
            <v>82971871</v>
          </cell>
          <cell r="T5">
            <v>100227592</v>
          </cell>
          <cell r="U5">
            <v>79243109</v>
          </cell>
          <cell r="V5">
            <v>79117123</v>
          </cell>
          <cell r="W5">
            <v>98723147</v>
          </cell>
          <cell r="X5">
            <v>79965207</v>
          </cell>
          <cell r="Y5">
            <v>78861727</v>
          </cell>
          <cell r="Z5">
            <v>98078223</v>
          </cell>
          <cell r="AA5">
            <v>80221133</v>
          </cell>
          <cell r="AB5">
            <v>82110427</v>
          </cell>
          <cell r="AC5">
            <v>101678864</v>
          </cell>
          <cell r="AD5">
            <v>81292298</v>
          </cell>
          <cell r="AE5">
            <v>82093544</v>
          </cell>
          <cell r="AF5">
            <v>103902860</v>
          </cell>
          <cell r="AG5">
            <v>80507024</v>
          </cell>
          <cell r="AH5">
            <v>80970571</v>
          </cell>
          <cell r="AI5">
            <v>100593174</v>
          </cell>
          <cell r="AJ5">
            <v>85693291</v>
          </cell>
          <cell r="AK5">
            <v>85075952</v>
          </cell>
          <cell r="AL5">
            <v>104338605</v>
          </cell>
          <cell r="AM5">
            <v>85207523</v>
          </cell>
          <cell r="AN5">
            <v>83887872</v>
          </cell>
          <cell r="AO5">
            <v>103420376</v>
          </cell>
          <cell r="AP5">
            <v>83509821</v>
          </cell>
          <cell r="AQ5">
            <v>85296595</v>
          </cell>
          <cell r="AR5">
            <v>100966351</v>
          </cell>
          <cell r="AS5">
            <v>76117817</v>
          </cell>
          <cell r="AT5">
            <v>76499711</v>
          </cell>
          <cell r="AU5">
            <v>97194911</v>
          </cell>
          <cell r="AV5">
            <v>83220410</v>
          </cell>
          <cell r="AW5">
            <v>81783414</v>
          </cell>
          <cell r="AX5">
            <v>96311454</v>
          </cell>
          <cell r="AY5">
            <v>78835330</v>
          </cell>
          <cell r="AZ5">
            <v>72892425</v>
          </cell>
          <cell r="BA5">
            <v>90463091</v>
          </cell>
          <cell r="BB5">
            <v>69368443</v>
          </cell>
          <cell r="BC5">
            <v>69225296</v>
          </cell>
          <cell r="BD5">
            <v>87748907</v>
          </cell>
          <cell r="BE5">
            <v>67364427</v>
          </cell>
          <cell r="BF5">
            <v>67937986</v>
          </cell>
          <cell r="BG5">
            <v>84641003</v>
          </cell>
          <cell r="BH5">
            <v>70852863</v>
          </cell>
          <cell r="BI5">
            <v>70588719</v>
          </cell>
          <cell r="BJ5">
            <v>87854783</v>
          </cell>
          <cell r="BK5">
            <v>69459693</v>
          </cell>
          <cell r="BL5">
            <v>65443240</v>
          </cell>
        </row>
        <row r="6">
          <cell r="A6" t="str">
            <v>ACTONEL W/ CALC PGC 082005</v>
          </cell>
          <cell r="J6">
            <v>182081</v>
          </cell>
          <cell r="K6">
            <v>3239087</v>
          </cell>
          <cell r="L6">
            <v>445188</v>
          </cell>
          <cell r="M6">
            <v>603286</v>
          </cell>
          <cell r="N6">
            <v>1020865</v>
          </cell>
          <cell r="O6">
            <v>1017056</v>
          </cell>
          <cell r="P6">
            <v>1216814</v>
          </cell>
          <cell r="Q6">
            <v>1769601</v>
          </cell>
          <cell r="R6">
            <v>1509505</v>
          </cell>
          <cell r="S6">
            <v>1558625</v>
          </cell>
          <cell r="T6">
            <v>1964169</v>
          </cell>
          <cell r="U6">
            <v>1617697</v>
          </cell>
          <cell r="V6">
            <v>1687361</v>
          </cell>
          <cell r="W6">
            <v>2090811</v>
          </cell>
          <cell r="X6">
            <v>1692416</v>
          </cell>
          <cell r="Y6">
            <v>1612706</v>
          </cell>
          <cell r="Z6">
            <v>2002811</v>
          </cell>
          <cell r="AA6">
            <v>1728623</v>
          </cell>
          <cell r="AB6">
            <v>1637027</v>
          </cell>
          <cell r="AC6">
            <v>2074310</v>
          </cell>
          <cell r="AD6">
            <v>1668272</v>
          </cell>
          <cell r="AE6">
            <v>1660538</v>
          </cell>
          <cell r="AF6">
            <v>1974125</v>
          </cell>
          <cell r="AG6">
            <v>1535799</v>
          </cell>
          <cell r="AH6">
            <v>1552119</v>
          </cell>
          <cell r="AI6">
            <v>1885357</v>
          </cell>
          <cell r="AJ6">
            <v>1586280</v>
          </cell>
          <cell r="AK6">
            <v>1527044</v>
          </cell>
          <cell r="AL6">
            <v>1899933</v>
          </cell>
          <cell r="AM6">
            <v>1499712</v>
          </cell>
          <cell r="AN6">
            <v>1431081</v>
          </cell>
          <cell r="AO6">
            <v>1713597</v>
          </cell>
          <cell r="AP6">
            <v>1338547</v>
          </cell>
          <cell r="AQ6">
            <v>1297621</v>
          </cell>
          <cell r="AR6">
            <v>1391957</v>
          </cell>
          <cell r="AS6">
            <v>1100996</v>
          </cell>
          <cell r="AT6">
            <v>1096581</v>
          </cell>
          <cell r="AU6">
            <v>1290692</v>
          </cell>
          <cell r="AV6">
            <v>1027131</v>
          </cell>
          <cell r="AW6">
            <v>947710</v>
          </cell>
          <cell r="AX6">
            <v>1090264</v>
          </cell>
          <cell r="AY6">
            <v>845466</v>
          </cell>
          <cell r="AZ6">
            <v>737378</v>
          </cell>
          <cell r="BA6">
            <v>892636</v>
          </cell>
          <cell r="BB6">
            <v>625576</v>
          </cell>
          <cell r="BC6">
            <v>641590</v>
          </cell>
          <cell r="BD6">
            <v>787646</v>
          </cell>
          <cell r="BE6">
            <v>607835</v>
          </cell>
          <cell r="BF6">
            <v>575409</v>
          </cell>
          <cell r="BG6">
            <v>719086</v>
          </cell>
          <cell r="BH6">
            <v>587079</v>
          </cell>
          <cell r="BI6">
            <v>584513</v>
          </cell>
          <cell r="BJ6">
            <v>698075</v>
          </cell>
          <cell r="BK6">
            <v>427551</v>
          </cell>
          <cell r="BL6">
            <v>195143</v>
          </cell>
        </row>
        <row r="7">
          <cell r="A7" t="str">
            <v>AGENERASE GSK 041999</v>
          </cell>
          <cell r="B7" t="str">
            <v>AGENERASE GSK 041999</v>
          </cell>
          <cell r="C7">
            <v>620742</v>
          </cell>
          <cell r="D7">
            <v>349832</v>
          </cell>
          <cell r="E7">
            <v>246947</v>
          </cell>
          <cell r="F7">
            <v>135744</v>
          </cell>
          <cell r="G7">
            <v>83651</v>
          </cell>
          <cell r="H7">
            <v>89211</v>
          </cell>
          <cell r="I7">
            <v>53187</v>
          </cell>
          <cell r="J7">
            <v>50406</v>
          </cell>
          <cell r="K7">
            <v>64228</v>
          </cell>
          <cell r="L7">
            <v>40794</v>
          </cell>
          <cell r="M7">
            <v>47932</v>
          </cell>
          <cell r="N7">
            <v>55957</v>
          </cell>
          <cell r="O7">
            <v>35738</v>
          </cell>
          <cell r="P7">
            <v>39632</v>
          </cell>
          <cell r="Q7">
            <v>43783</v>
          </cell>
          <cell r="R7">
            <v>39619</v>
          </cell>
          <cell r="S7">
            <v>27377</v>
          </cell>
          <cell r="T7">
            <v>34899</v>
          </cell>
          <cell r="U7">
            <v>32839</v>
          </cell>
          <cell r="V7">
            <v>24507</v>
          </cell>
          <cell r="W7">
            <v>28966</v>
          </cell>
          <cell r="X7">
            <v>20437</v>
          </cell>
          <cell r="Y7">
            <v>18408</v>
          </cell>
          <cell r="Z7">
            <v>24603</v>
          </cell>
          <cell r="AA7">
            <v>22982</v>
          </cell>
          <cell r="AB7">
            <v>21919</v>
          </cell>
          <cell r="AC7">
            <v>24669</v>
          </cell>
          <cell r="AD7">
            <v>17624</v>
          </cell>
          <cell r="AE7">
            <v>23428</v>
          </cell>
          <cell r="AF7">
            <v>17241</v>
          </cell>
          <cell r="AG7">
            <v>14246</v>
          </cell>
          <cell r="AH7">
            <v>19970</v>
          </cell>
          <cell r="AI7">
            <v>19068</v>
          </cell>
          <cell r="AJ7">
            <v>11567</v>
          </cell>
          <cell r="AK7">
            <v>9862</v>
          </cell>
          <cell r="AL7">
            <v>18717</v>
          </cell>
          <cell r="AM7">
            <v>6205</v>
          </cell>
          <cell r="AN7">
            <v>4986</v>
          </cell>
          <cell r="AO7">
            <v>4565</v>
          </cell>
          <cell r="AP7">
            <v>766</v>
          </cell>
          <cell r="AQ7">
            <v>543</v>
          </cell>
          <cell r="AS7">
            <v>38</v>
          </cell>
          <cell r="AU7">
            <v>77</v>
          </cell>
        </row>
        <row r="8">
          <cell r="A8" t="str">
            <v>AGGRASTAT M+D 051998</v>
          </cell>
          <cell r="B8" t="str">
            <v>AGGRASTAT M+D 051998</v>
          </cell>
          <cell r="F8">
            <v>1006403</v>
          </cell>
          <cell r="G8">
            <v>1028244</v>
          </cell>
          <cell r="H8">
            <v>2030891</v>
          </cell>
          <cell r="I8">
            <v>841729</v>
          </cell>
          <cell r="J8">
            <v>707343</v>
          </cell>
          <cell r="K8">
            <v>850986</v>
          </cell>
          <cell r="L8">
            <v>647181</v>
          </cell>
          <cell r="M8">
            <v>656397</v>
          </cell>
          <cell r="N8">
            <v>1007133</v>
          </cell>
          <cell r="O8">
            <v>788886</v>
          </cell>
          <cell r="P8">
            <v>791013</v>
          </cell>
          <cell r="Q8">
            <v>965762</v>
          </cell>
          <cell r="R8">
            <v>771451</v>
          </cell>
          <cell r="S8">
            <v>715772</v>
          </cell>
          <cell r="T8">
            <v>743220</v>
          </cell>
          <cell r="U8">
            <v>675547</v>
          </cell>
          <cell r="V8">
            <v>542508</v>
          </cell>
          <cell r="W8">
            <v>642480</v>
          </cell>
          <cell r="X8">
            <v>545296</v>
          </cell>
          <cell r="Y8">
            <v>622629</v>
          </cell>
          <cell r="Z8">
            <v>800462</v>
          </cell>
          <cell r="AA8">
            <v>440025</v>
          </cell>
          <cell r="AB8">
            <v>451688</v>
          </cell>
          <cell r="AC8">
            <v>865521</v>
          </cell>
          <cell r="AD8">
            <v>537953</v>
          </cell>
          <cell r="AE8">
            <v>289409</v>
          </cell>
          <cell r="AF8">
            <v>389502</v>
          </cell>
          <cell r="AG8">
            <v>388182</v>
          </cell>
          <cell r="AH8">
            <v>293530</v>
          </cell>
          <cell r="AI8">
            <v>391629</v>
          </cell>
          <cell r="AJ8">
            <v>339453</v>
          </cell>
          <cell r="AK8">
            <v>385211</v>
          </cell>
          <cell r="AL8">
            <v>418483</v>
          </cell>
          <cell r="AM8">
            <v>296002</v>
          </cell>
          <cell r="AN8">
            <v>317331</v>
          </cell>
          <cell r="AO8">
            <v>383782</v>
          </cell>
          <cell r="AP8">
            <v>301233</v>
          </cell>
          <cell r="AQ8">
            <v>325706</v>
          </cell>
          <cell r="AR8">
            <v>438818</v>
          </cell>
          <cell r="AS8">
            <v>331767</v>
          </cell>
          <cell r="AT8">
            <v>413238</v>
          </cell>
          <cell r="AU8">
            <v>546443</v>
          </cell>
          <cell r="AV8">
            <v>373577</v>
          </cell>
          <cell r="AW8">
            <v>402432</v>
          </cell>
          <cell r="AX8">
            <v>398453</v>
          </cell>
          <cell r="AY8">
            <v>344032</v>
          </cell>
          <cell r="AZ8">
            <v>334516</v>
          </cell>
          <cell r="BA8">
            <v>398144</v>
          </cell>
          <cell r="BB8">
            <v>298430</v>
          </cell>
          <cell r="BC8">
            <v>308877</v>
          </cell>
          <cell r="BD8">
            <v>351379</v>
          </cell>
          <cell r="BE8">
            <v>280289</v>
          </cell>
          <cell r="BF8">
            <v>363491</v>
          </cell>
          <cell r="BG8">
            <v>333464</v>
          </cell>
          <cell r="BH8">
            <v>291116</v>
          </cell>
          <cell r="BI8">
            <v>299126</v>
          </cell>
          <cell r="BJ8">
            <v>304743</v>
          </cell>
          <cell r="BK8">
            <v>303818</v>
          </cell>
          <cell r="BL8">
            <v>309018</v>
          </cell>
        </row>
        <row r="9">
          <cell r="A9" t="str">
            <v>ALENDRONATE SOD BRR 022008</v>
          </cell>
          <cell r="B9" t="str">
            <v xml:space="preserve"> </v>
          </cell>
          <cell r="AN9">
            <v>2386265</v>
          </cell>
          <cell r="AO9">
            <v>2517470</v>
          </cell>
          <cell r="AP9">
            <v>2461076</v>
          </cell>
          <cell r="AQ9">
            <v>2443192</v>
          </cell>
          <cell r="AR9">
            <v>3128680</v>
          </cell>
          <cell r="AS9">
            <v>2788671</v>
          </cell>
          <cell r="AT9">
            <v>1925749</v>
          </cell>
          <cell r="AU9">
            <v>2183112</v>
          </cell>
          <cell r="AV9">
            <v>1565420</v>
          </cell>
          <cell r="AW9">
            <v>735941</v>
          </cell>
        </row>
        <row r="10">
          <cell r="A10" t="str">
            <v>ALENDRONATE SOD WTS 022008</v>
          </cell>
          <cell r="B10" t="str">
            <v xml:space="preserve"> </v>
          </cell>
          <cell r="AN10">
            <v>13544333</v>
          </cell>
          <cell r="AO10">
            <v>14417429</v>
          </cell>
          <cell r="AP10">
            <v>11860864</v>
          </cell>
          <cell r="AQ10">
            <v>13063071</v>
          </cell>
          <cell r="AR10">
            <v>12832572</v>
          </cell>
          <cell r="AS10">
            <v>11945021</v>
          </cell>
          <cell r="AT10">
            <v>6067233</v>
          </cell>
          <cell r="AU10">
            <v>1913082</v>
          </cell>
          <cell r="AV10">
            <v>8360369</v>
          </cell>
          <cell r="AW10">
            <v>5847192</v>
          </cell>
          <cell r="AX10">
            <v>2242453</v>
          </cell>
          <cell r="AY10">
            <v>714440</v>
          </cell>
          <cell r="AZ10">
            <v>828717</v>
          </cell>
          <cell r="BA10">
            <v>1038032</v>
          </cell>
          <cell r="BB10">
            <v>914655</v>
          </cell>
          <cell r="BC10">
            <v>574287</v>
          </cell>
          <cell r="BD10">
            <v>777790</v>
          </cell>
          <cell r="BE10">
            <v>729322</v>
          </cell>
          <cell r="BF10">
            <v>709477</v>
          </cell>
          <cell r="BG10">
            <v>872269</v>
          </cell>
          <cell r="BH10">
            <v>729643</v>
          </cell>
          <cell r="BI10">
            <v>1177372</v>
          </cell>
          <cell r="BJ10">
            <v>3485000</v>
          </cell>
          <cell r="BK10">
            <v>2033202</v>
          </cell>
          <cell r="BL10">
            <v>2927612</v>
          </cell>
        </row>
        <row r="11">
          <cell r="A11" t="str">
            <v>ALENDRONATE SOD TEV 022008</v>
          </cell>
          <cell r="B11" t="str">
            <v xml:space="preserve"> </v>
          </cell>
          <cell r="AN11">
            <v>14112629</v>
          </cell>
          <cell r="AO11">
            <v>13659901</v>
          </cell>
          <cell r="AP11">
            <v>11589504</v>
          </cell>
          <cell r="AQ11">
            <v>11946398</v>
          </cell>
          <cell r="AR11">
            <v>22375678</v>
          </cell>
          <cell r="AS11">
            <v>16546505</v>
          </cell>
          <cell r="AT11">
            <v>12180775</v>
          </cell>
          <cell r="AU11">
            <v>8592798</v>
          </cell>
          <cell r="AV11">
            <v>5670366</v>
          </cell>
          <cell r="AW11">
            <v>4810505</v>
          </cell>
          <cell r="AX11">
            <v>6049388</v>
          </cell>
          <cell r="AY11">
            <v>5041321</v>
          </cell>
          <cell r="AZ11">
            <v>4915792</v>
          </cell>
          <cell r="BA11">
            <v>6608275</v>
          </cell>
          <cell r="BB11">
            <v>4976477</v>
          </cell>
          <cell r="BC11">
            <v>4533403</v>
          </cell>
          <cell r="BD11">
            <v>5435708</v>
          </cell>
          <cell r="BE11">
            <v>4424049</v>
          </cell>
          <cell r="BF11">
            <v>4184465</v>
          </cell>
          <cell r="BG11">
            <v>5301681</v>
          </cell>
          <cell r="BH11">
            <v>4183050</v>
          </cell>
          <cell r="BI11">
            <v>4304786</v>
          </cell>
          <cell r="BJ11">
            <v>5306978</v>
          </cell>
          <cell r="BK11">
            <v>4370377</v>
          </cell>
          <cell r="BL11">
            <v>4125186</v>
          </cell>
        </row>
        <row r="12">
          <cell r="A12" t="str">
            <v>ALOXI M-G 092003</v>
          </cell>
          <cell r="B12" t="str">
            <v>ALOXI M-G 092003</v>
          </cell>
          <cell r="C12">
            <v>17413377</v>
          </cell>
          <cell r="D12">
            <v>21003440</v>
          </cell>
          <cell r="E12">
            <v>24833697</v>
          </cell>
          <cell r="F12">
            <v>16343231</v>
          </cell>
          <cell r="G12">
            <v>17473040</v>
          </cell>
          <cell r="H12">
            <v>29541558</v>
          </cell>
          <cell r="I12">
            <v>14261805</v>
          </cell>
          <cell r="J12">
            <v>17385149</v>
          </cell>
          <cell r="K12">
            <v>32922964</v>
          </cell>
          <cell r="L12">
            <v>14013423</v>
          </cell>
          <cell r="M12">
            <v>16618183</v>
          </cell>
          <cell r="N12">
            <v>36602051</v>
          </cell>
          <cell r="O12">
            <v>14583789</v>
          </cell>
          <cell r="P12">
            <v>15297509</v>
          </cell>
          <cell r="Q12">
            <v>35918333</v>
          </cell>
          <cell r="R12">
            <v>21209661</v>
          </cell>
          <cell r="S12">
            <v>23896725</v>
          </cell>
          <cell r="T12">
            <v>46607921</v>
          </cell>
          <cell r="U12">
            <v>21279445</v>
          </cell>
          <cell r="V12">
            <v>17267853</v>
          </cell>
          <cell r="W12">
            <v>42848937</v>
          </cell>
          <cell r="X12">
            <v>18963091</v>
          </cell>
          <cell r="Y12">
            <v>17910548</v>
          </cell>
          <cell r="Z12">
            <v>56709422</v>
          </cell>
          <cell r="AA12">
            <v>15772959</v>
          </cell>
          <cell r="AB12">
            <v>17637711</v>
          </cell>
          <cell r="AC12">
            <v>37078603</v>
          </cell>
          <cell r="AD12">
            <v>17425236</v>
          </cell>
          <cell r="AE12">
            <v>18959277</v>
          </cell>
          <cell r="AF12">
            <v>25734998</v>
          </cell>
          <cell r="AG12">
            <v>24537532</v>
          </cell>
          <cell r="AH12">
            <v>31740234</v>
          </cell>
          <cell r="AI12">
            <v>30512861</v>
          </cell>
          <cell r="AJ12">
            <v>26815723</v>
          </cell>
          <cell r="AK12">
            <v>26109634</v>
          </cell>
          <cell r="AL12">
            <v>38259049</v>
          </cell>
          <cell r="AM12">
            <v>25960103</v>
          </cell>
          <cell r="AN12">
            <v>27623611</v>
          </cell>
          <cell r="AO12">
            <v>36395503</v>
          </cell>
          <cell r="AP12">
            <v>31499412</v>
          </cell>
          <cell r="AQ12">
            <v>32122210</v>
          </cell>
          <cell r="AR12">
            <v>39735912</v>
          </cell>
          <cell r="AS12">
            <v>36992558</v>
          </cell>
          <cell r="AT12">
            <v>29238373</v>
          </cell>
          <cell r="AU12">
            <v>38466446</v>
          </cell>
          <cell r="AV12">
            <v>32186495</v>
          </cell>
          <cell r="AW12">
            <v>36284437</v>
          </cell>
          <cell r="AX12">
            <v>35779354</v>
          </cell>
          <cell r="AY12">
            <v>31517053</v>
          </cell>
          <cell r="AZ12">
            <v>32514237</v>
          </cell>
          <cell r="BA12">
            <v>43485487</v>
          </cell>
          <cell r="BB12">
            <v>31795981</v>
          </cell>
          <cell r="BC12">
            <v>34775107</v>
          </cell>
          <cell r="BD12">
            <v>44565925</v>
          </cell>
          <cell r="BE12">
            <v>31844978</v>
          </cell>
          <cell r="BF12">
            <v>32831532</v>
          </cell>
          <cell r="BG12">
            <v>43366662</v>
          </cell>
          <cell r="BH12">
            <v>32895616</v>
          </cell>
          <cell r="BI12">
            <v>33150235</v>
          </cell>
          <cell r="BJ12">
            <v>43834792</v>
          </cell>
          <cell r="BK12">
            <v>33705886</v>
          </cell>
          <cell r="BL12">
            <v>34762724</v>
          </cell>
        </row>
        <row r="13">
          <cell r="A13" t="str">
            <v>ANGIOMAX TM&amp; 012001</v>
          </cell>
          <cell r="B13" t="str">
            <v>ANGIOMAX TM&amp; 012001</v>
          </cell>
          <cell r="C13">
            <v>14348814</v>
          </cell>
          <cell r="D13">
            <v>14919360</v>
          </cell>
          <cell r="E13">
            <v>16212489</v>
          </cell>
          <cell r="F13">
            <v>13324202</v>
          </cell>
          <cell r="G13">
            <v>14092644</v>
          </cell>
          <cell r="H13">
            <v>16932552</v>
          </cell>
          <cell r="I13">
            <v>13301387</v>
          </cell>
          <cell r="J13">
            <v>16099511</v>
          </cell>
          <cell r="K13">
            <v>17819057</v>
          </cell>
          <cell r="L13">
            <v>14513814</v>
          </cell>
          <cell r="M13">
            <v>15292198</v>
          </cell>
          <cell r="N13">
            <v>19009859</v>
          </cell>
          <cell r="O13">
            <v>15615754</v>
          </cell>
          <cell r="P13">
            <v>16511865</v>
          </cell>
          <cell r="Q13">
            <v>23059551</v>
          </cell>
          <cell r="R13">
            <v>18325895</v>
          </cell>
          <cell r="S13">
            <v>18748490</v>
          </cell>
          <cell r="T13">
            <v>22205767</v>
          </cell>
          <cell r="U13">
            <v>17088059</v>
          </cell>
          <cell r="V13">
            <v>17834707</v>
          </cell>
          <cell r="W13">
            <v>22851431</v>
          </cell>
          <cell r="X13">
            <v>19381223</v>
          </cell>
          <cell r="Y13">
            <v>19733649</v>
          </cell>
          <cell r="Z13">
            <v>23265918</v>
          </cell>
          <cell r="AA13">
            <v>18096381</v>
          </cell>
          <cell r="AB13">
            <v>20119389</v>
          </cell>
          <cell r="AC13">
            <v>28247607</v>
          </cell>
          <cell r="AD13">
            <v>13328967</v>
          </cell>
          <cell r="AE13">
            <v>21471120</v>
          </cell>
          <cell r="AF13">
            <v>21740521</v>
          </cell>
          <cell r="AG13">
            <v>18879194</v>
          </cell>
          <cell r="AH13">
            <v>18060247</v>
          </cell>
          <cell r="AI13">
            <v>22480764</v>
          </cell>
          <cell r="AJ13">
            <v>26160027</v>
          </cell>
          <cell r="AK13">
            <v>23033284</v>
          </cell>
          <cell r="AL13">
            <v>36241466</v>
          </cell>
          <cell r="AM13">
            <v>21220721</v>
          </cell>
          <cell r="AN13">
            <v>20880044</v>
          </cell>
          <cell r="AO13">
            <v>30858162</v>
          </cell>
          <cell r="AP13">
            <v>23812790</v>
          </cell>
          <cell r="AQ13">
            <v>24805064</v>
          </cell>
          <cell r="AR13">
            <v>30550952</v>
          </cell>
          <cell r="AS13">
            <v>24819672</v>
          </cell>
          <cell r="AT13">
            <v>25043005</v>
          </cell>
          <cell r="AU13">
            <v>30649583</v>
          </cell>
          <cell r="AV13">
            <v>25072494</v>
          </cell>
          <cell r="AW13">
            <v>26088763</v>
          </cell>
          <cell r="AX13">
            <v>29046452</v>
          </cell>
          <cell r="AY13">
            <v>25296853</v>
          </cell>
          <cell r="AZ13">
            <v>26468388</v>
          </cell>
          <cell r="BA13">
            <v>35293290</v>
          </cell>
          <cell r="BB13">
            <v>32166586</v>
          </cell>
          <cell r="BC13">
            <v>24962177</v>
          </cell>
          <cell r="BD13">
            <v>33569852</v>
          </cell>
          <cell r="BE13">
            <v>25054152</v>
          </cell>
          <cell r="BF13">
            <v>24369239</v>
          </cell>
          <cell r="BG13">
            <v>33052487</v>
          </cell>
          <cell r="BH13">
            <v>26442858</v>
          </cell>
          <cell r="BI13">
            <v>27333725</v>
          </cell>
          <cell r="BJ13">
            <v>33286798</v>
          </cell>
          <cell r="BK13">
            <v>29790854</v>
          </cell>
          <cell r="BL13">
            <v>29226715</v>
          </cell>
        </row>
        <row r="14">
          <cell r="A14" t="str">
            <v>APTIVUS B.I 062005</v>
          </cell>
          <cell r="B14" t="str">
            <v>APTIVUS B.I 062005</v>
          </cell>
          <cell r="H14">
            <v>82035</v>
          </cell>
          <cell r="I14">
            <v>1401738</v>
          </cell>
          <cell r="J14">
            <v>1526275</v>
          </cell>
          <cell r="K14">
            <v>2305318</v>
          </cell>
          <cell r="L14">
            <v>2287982</v>
          </cell>
          <cell r="M14">
            <v>2599676</v>
          </cell>
          <cell r="N14">
            <v>3316976</v>
          </cell>
          <cell r="O14">
            <v>2740258</v>
          </cell>
          <cell r="P14">
            <v>2671605</v>
          </cell>
          <cell r="Q14">
            <v>3605453</v>
          </cell>
          <cell r="R14">
            <v>2968274</v>
          </cell>
          <cell r="S14">
            <v>3080318</v>
          </cell>
          <cell r="T14">
            <v>3784961</v>
          </cell>
          <cell r="U14">
            <v>2930547</v>
          </cell>
          <cell r="V14">
            <v>2817259</v>
          </cell>
          <cell r="W14">
            <v>3240913</v>
          </cell>
          <cell r="X14">
            <v>2412817</v>
          </cell>
          <cell r="Y14">
            <v>2510310</v>
          </cell>
          <cell r="Z14">
            <v>2909989</v>
          </cell>
          <cell r="AA14">
            <v>2189433</v>
          </cell>
          <cell r="AB14">
            <v>2121183</v>
          </cell>
          <cell r="AC14">
            <v>2606361</v>
          </cell>
          <cell r="AD14">
            <v>1898442</v>
          </cell>
          <cell r="AE14">
            <v>1970029</v>
          </cell>
          <cell r="AF14">
            <v>2205964</v>
          </cell>
          <cell r="AG14">
            <v>1862610</v>
          </cell>
          <cell r="AH14">
            <v>1759314</v>
          </cell>
          <cell r="AI14">
            <v>2154504</v>
          </cell>
          <cell r="AJ14">
            <v>1746689</v>
          </cell>
          <cell r="AK14">
            <v>1613727</v>
          </cell>
          <cell r="AL14">
            <v>2083933</v>
          </cell>
          <cell r="AM14">
            <v>1577198</v>
          </cell>
          <cell r="AN14">
            <v>1545614</v>
          </cell>
          <cell r="AO14">
            <v>1923312</v>
          </cell>
          <cell r="AP14">
            <v>1462344</v>
          </cell>
          <cell r="AQ14">
            <v>1448945</v>
          </cell>
          <cell r="AR14">
            <v>1871210</v>
          </cell>
          <cell r="AS14">
            <v>1332653</v>
          </cell>
          <cell r="AT14">
            <v>1395014</v>
          </cell>
          <cell r="AU14">
            <v>1714136</v>
          </cell>
          <cell r="AV14">
            <v>1319170</v>
          </cell>
          <cell r="AW14">
            <v>1247086</v>
          </cell>
          <cell r="AX14">
            <v>1567159</v>
          </cell>
          <cell r="AY14">
            <v>1234370</v>
          </cell>
          <cell r="AZ14">
            <v>1286656</v>
          </cell>
          <cell r="BA14">
            <v>1488906</v>
          </cell>
          <cell r="BB14">
            <v>1171962</v>
          </cell>
          <cell r="BC14">
            <v>1144033</v>
          </cell>
          <cell r="BD14">
            <v>1478994</v>
          </cell>
          <cell r="BE14">
            <v>1066557</v>
          </cell>
          <cell r="BF14">
            <v>1095269</v>
          </cell>
          <cell r="BG14">
            <v>1417056</v>
          </cell>
          <cell r="BH14">
            <v>1121148</v>
          </cell>
          <cell r="BI14">
            <v>1004897</v>
          </cell>
          <cell r="BJ14">
            <v>1386722</v>
          </cell>
          <cell r="BK14">
            <v>1033572</v>
          </cell>
          <cell r="BL14">
            <v>990374</v>
          </cell>
        </row>
        <row r="15">
          <cell r="A15" t="str">
            <v>ARAVA S.A 091998</v>
          </cell>
          <cell r="B15" t="str">
            <v>ARAVA S.A 091998</v>
          </cell>
          <cell r="C15">
            <v>18351556</v>
          </cell>
          <cell r="D15">
            <v>18369128</v>
          </cell>
          <cell r="E15">
            <v>22800015</v>
          </cell>
          <cell r="F15">
            <v>19198144</v>
          </cell>
          <cell r="G15">
            <v>20038878</v>
          </cell>
          <cell r="H15">
            <v>24214622</v>
          </cell>
          <cell r="I15">
            <v>19142493</v>
          </cell>
          <cell r="J15">
            <v>20599498</v>
          </cell>
          <cell r="K15">
            <v>21723895</v>
          </cell>
          <cell r="L15">
            <v>7217636</v>
          </cell>
          <cell r="M15">
            <v>5346807</v>
          </cell>
          <cell r="N15">
            <v>5338662</v>
          </cell>
          <cell r="O15">
            <v>3484731</v>
          </cell>
          <cell r="P15">
            <v>2944764</v>
          </cell>
          <cell r="Q15">
            <v>3138675</v>
          </cell>
          <cell r="R15">
            <v>2222776</v>
          </cell>
          <cell r="S15">
            <v>2346132</v>
          </cell>
          <cell r="T15">
            <v>2420476</v>
          </cell>
          <cell r="U15">
            <v>1904497</v>
          </cell>
          <cell r="V15">
            <v>1862472</v>
          </cell>
          <cell r="W15">
            <v>2131884</v>
          </cell>
          <cell r="X15">
            <v>1563384</v>
          </cell>
          <cell r="Y15">
            <v>1512895</v>
          </cell>
          <cell r="Z15">
            <v>1921175</v>
          </cell>
          <cell r="AA15">
            <v>1449794</v>
          </cell>
          <cell r="AB15">
            <v>1328889</v>
          </cell>
          <cell r="AC15">
            <v>1627303</v>
          </cell>
          <cell r="AD15">
            <v>1187163</v>
          </cell>
          <cell r="AE15">
            <v>1182044</v>
          </cell>
          <cell r="AF15">
            <v>1315025</v>
          </cell>
          <cell r="AG15">
            <v>1065618</v>
          </cell>
          <cell r="AH15">
            <v>1090347</v>
          </cell>
          <cell r="AI15">
            <v>1509656</v>
          </cell>
          <cell r="AJ15">
            <v>1184377</v>
          </cell>
          <cell r="AK15">
            <v>1084032</v>
          </cell>
          <cell r="AL15">
            <v>1244073</v>
          </cell>
          <cell r="AM15">
            <v>1012143</v>
          </cell>
          <cell r="AN15">
            <v>937855</v>
          </cell>
          <cell r="AO15">
            <v>1117507</v>
          </cell>
          <cell r="AP15">
            <v>753844</v>
          </cell>
          <cell r="AQ15">
            <v>782403</v>
          </cell>
          <cell r="AR15">
            <v>947682</v>
          </cell>
          <cell r="AS15">
            <v>683316</v>
          </cell>
          <cell r="AT15">
            <v>660515</v>
          </cell>
          <cell r="AU15">
            <v>809714</v>
          </cell>
          <cell r="AV15">
            <v>625478</v>
          </cell>
          <cell r="AW15">
            <v>645601</v>
          </cell>
          <cell r="AX15">
            <v>727551</v>
          </cell>
          <cell r="AY15">
            <v>577662</v>
          </cell>
          <cell r="AZ15">
            <v>597724</v>
          </cell>
          <cell r="BA15">
            <v>721093</v>
          </cell>
          <cell r="BB15">
            <v>553235</v>
          </cell>
          <cell r="BC15">
            <v>609645</v>
          </cell>
          <cell r="BD15">
            <v>699865</v>
          </cell>
          <cell r="BE15">
            <v>617592</v>
          </cell>
          <cell r="BF15">
            <v>605206</v>
          </cell>
          <cell r="BG15">
            <v>646076</v>
          </cell>
          <cell r="BH15">
            <v>569470</v>
          </cell>
          <cell r="BI15">
            <v>640036</v>
          </cell>
          <cell r="BJ15">
            <v>845507</v>
          </cell>
          <cell r="BK15">
            <v>530599</v>
          </cell>
          <cell r="BL15">
            <v>750369</v>
          </cell>
        </row>
        <row r="16">
          <cell r="A16" t="str">
            <v>ARANESP AAI 102001</v>
          </cell>
          <cell r="B16" t="str">
            <v>ARANESP AAI 102001</v>
          </cell>
          <cell r="C16">
            <v>171325794</v>
          </cell>
          <cell r="D16">
            <v>181256252</v>
          </cell>
          <cell r="E16">
            <v>245904849</v>
          </cell>
          <cell r="F16">
            <v>193301016</v>
          </cell>
          <cell r="G16">
            <v>212844073</v>
          </cell>
          <cell r="H16">
            <v>277960865</v>
          </cell>
          <cell r="I16">
            <v>205355596</v>
          </cell>
          <cell r="J16">
            <v>222412639</v>
          </cell>
          <cell r="K16">
            <v>294135744</v>
          </cell>
          <cell r="L16">
            <v>227998135</v>
          </cell>
          <cell r="M16">
            <v>228235740</v>
          </cell>
          <cell r="N16">
            <v>312786270</v>
          </cell>
          <cell r="O16">
            <v>240042179</v>
          </cell>
          <cell r="P16">
            <v>261365411</v>
          </cell>
          <cell r="Q16">
            <v>366227792</v>
          </cell>
          <cell r="R16">
            <v>281262206</v>
          </cell>
          <cell r="S16">
            <v>307797464</v>
          </cell>
          <cell r="T16">
            <v>406020693</v>
          </cell>
          <cell r="U16">
            <v>316182826</v>
          </cell>
          <cell r="V16">
            <v>302690842</v>
          </cell>
          <cell r="W16">
            <v>398452651</v>
          </cell>
          <cell r="X16">
            <v>321647001</v>
          </cell>
          <cell r="Y16">
            <v>319546903</v>
          </cell>
          <cell r="Z16">
            <v>432653046</v>
          </cell>
          <cell r="AA16">
            <v>301354856</v>
          </cell>
          <cell r="AB16">
            <v>312848801</v>
          </cell>
          <cell r="AC16">
            <v>374974561</v>
          </cell>
          <cell r="AD16">
            <v>252804003</v>
          </cell>
          <cell r="AE16">
            <v>268003907</v>
          </cell>
          <cell r="AF16">
            <v>342087119</v>
          </cell>
          <cell r="AG16">
            <v>231210730</v>
          </cell>
          <cell r="AH16">
            <v>216588792</v>
          </cell>
          <cell r="AI16">
            <v>245180831</v>
          </cell>
          <cell r="AJ16">
            <v>199708477</v>
          </cell>
          <cell r="AK16">
            <v>194512506</v>
          </cell>
          <cell r="AL16">
            <v>249426118</v>
          </cell>
          <cell r="AM16">
            <v>196455174</v>
          </cell>
          <cell r="AN16">
            <v>178928921</v>
          </cell>
          <cell r="AO16">
            <v>227723606</v>
          </cell>
          <cell r="AP16">
            <v>184302205</v>
          </cell>
          <cell r="AQ16">
            <v>192471591</v>
          </cell>
          <cell r="AR16">
            <v>258845368</v>
          </cell>
          <cell r="AS16">
            <v>170079804</v>
          </cell>
          <cell r="AT16">
            <v>165310881</v>
          </cell>
          <cell r="AU16">
            <v>204020151</v>
          </cell>
          <cell r="AV16">
            <v>137590496</v>
          </cell>
          <cell r="AW16">
            <v>130571813</v>
          </cell>
          <cell r="AX16">
            <v>153549739</v>
          </cell>
          <cell r="AY16">
            <v>121336041</v>
          </cell>
          <cell r="AZ16">
            <v>108957004</v>
          </cell>
          <cell r="BA16">
            <v>144627182</v>
          </cell>
          <cell r="BB16">
            <v>114445118</v>
          </cell>
          <cell r="BC16">
            <v>116530660</v>
          </cell>
          <cell r="BD16">
            <v>157196872</v>
          </cell>
          <cell r="BE16">
            <v>115293138</v>
          </cell>
          <cell r="BF16">
            <v>109641439</v>
          </cell>
          <cell r="BG16">
            <v>146404501</v>
          </cell>
          <cell r="BH16">
            <v>124951914</v>
          </cell>
          <cell r="BI16">
            <v>99929966</v>
          </cell>
          <cell r="BJ16">
            <v>131113536</v>
          </cell>
          <cell r="BK16">
            <v>114613609</v>
          </cell>
          <cell r="BL16">
            <v>93609394</v>
          </cell>
        </row>
        <row r="17">
          <cell r="A17" t="str">
            <v>AREDIA NVR 121991</v>
          </cell>
          <cell r="B17" t="str">
            <v>AREDIA NVR 121991</v>
          </cell>
          <cell r="J17">
            <v>270836</v>
          </cell>
          <cell r="K17">
            <v>297097</v>
          </cell>
          <cell r="L17">
            <v>275570</v>
          </cell>
          <cell r="M17">
            <v>234539</v>
          </cell>
          <cell r="N17">
            <v>274355</v>
          </cell>
          <cell r="O17">
            <v>205519</v>
          </cell>
          <cell r="P17">
            <v>214282</v>
          </cell>
          <cell r="Q17">
            <v>273551</v>
          </cell>
          <cell r="R17">
            <v>207613</v>
          </cell>
          <cell r="S17">
            <v>198190</v>
          </cell>
          <cell r="T17">
            <v>219698</v>
          </cell>
          <cell r="U17">
            <v>161513</v>
          </cell>
          <cell r="V17">
            <v>175104</v>
          </cell>
          <cell r="W17">
            <v>204147</v>
          </cell>
          <cell r="X17">
            <v>131671</v>
          </cell>
          <cell r="Y17">
            <v>140987</v>
          </cell>
          <cell r="Z17">
            <v>138971</v>
          </cell>
          <cell r="AA17">
            <v>101995</v>
          </cell>
          <cell r="AB17">
            <v>127555</v>
          </cell>
          <cell r="AC17">
            <v>130087</v>
          </cell>
          <cell r="AD17">
            <v>78254</v>
          </cell>
          <cell r="AE17">
            <v>93565</v>
          </cell>
          <cell r="AF17">
            <v>114321</v>
          </cell>
          <cell r="AG17">
            <v>58625</v>
          </cell>
          <cell r="AH17">
            <v>56288</v>
          </cell>
          <cell r="AI17">
            <v>114022</v>
          </cell>
          <cell r="AJ17">
            <v>53799</v>
          </cell>
          <cell r="AK17">
            <v>64434</v>
          </cell>
          <cell r="AL17">
            <v>85053</v>
          </cell>
          <cell r="AM17">
            <v>61980</v>
          </cell>
          <cell r="AN17">
            <v>51473</v>
          </cell>
          <cell r="AO17">
            <v>59246</v>
          </cell>
          <cell r="AP17">
            <v>57336</v>
          </cell>
          <cell r="AQ17">
            <v>64413</v>
          </cell>
          <cell r="AR17">
            <v>136035</v>
          </cell>
          <cell r="AS17">
            <v>82162</v>
          </cell>
          <cell r="AT17">
            <v>131122</v>
          </cell>
          <cell r="AU17">
            <v>133966</v>
          </cell>
          <cell r="AV17">
            <v>58452</v>
          </cell>
          <cell r="AW17">
            <v>65215</v>
          </cell>
          <cell r="AX17">
            <v>48272</v>
          </cell>
          <cell r="AY17">
            <v>20228</v>
          </cell>
          <cell r="AZ17">
            <v>28486</v>
          </cell>
          <cell r="BA17">
            <v>50459</v>
          </cell>
          <cell r="BB17">
            <v>47087</v>
          </cell>
          <cell r="BC17">
            <v>46007</v>
          </cell>
          <cell r="BD17">
            <v>43514</v>
          </cell>
          <cell r="BE17">
            <v>41318</v>
          </cell>
          <cell r="BF17">
            <v>35600</v>
          </cell>
          <cell r="BG17">
            <v>34057</v>
          </cell>
          <cell r="BH17">
            <v>26166</v>
          </cell>
          <cell r="BI17">
            <v>25396</v>
          </cell>
          <cell r="BJ17">
            <v>27190</v>
          </cell>
          <cell r="BK17">
            <v>23076</v>
          </cell>
          <cell r="BL17">
            <v>27958</v>
          </cell>
        </row>
        <row r="18">
          <cell r="A18" t="str">
            <v>ATRIPLA BMG 072006</v>
          </cell>
          <cell r="B18" t="str">
            <v>ATRIPLA BMG 072006</v>
          </cell>
          <cell r="C18">
            <v>81315161</v>
          </cell>
          <cell r="D18">
            <v>82183899</v>
          </cell>
          <cell r="E18">
            <v>100981725</v>
          </cell>
          <cell r="F18">
            <v>82675837</v>
          </cell>
          <cell r="G18">
            <v>79861543</v>
          </cell>
          <cell r="H18">
            <v>105043941</v>
          </cell>
          <cell r="I18">
            <v>81373101</v>
          </cell>
          <cell r="J18">
            <v>84943749</v>
          </cell>
          <cell r="K18">
            <v>105227741</v>
          </cell>
          <cell r="L18">
            <v>86252812</v>
          </cell>
          <cell r="M18">
            <v>82447056</v>
          </cell>
          <cell r="N18">
            <v>108581759</v>
          </cell>
          <cell r="O18">
            <v>85744843</v>
          </cell>
          <cell r="P18">
            <v>88615247</v>
          </cell>
          <cell r="Q18">
            <v>112029578</v>
          </cell>
          <cell r="R18">
            <v>90017501</v>
          </cell>
          <cell r="S18">
            <v>91671827</v>
          </cell>
          <cell r="T18">
            <v>125263764</v>
          </cell>
          <cell r="U18">
            <v>4209476</v>
          </cell>
          <cell r="V18">
            <v>17689445</v>
          </cell>
          <cell r="W18">
            <v>30885122</v>
          </cell>
          <cell r="X18">
            <v>34305394</v>
          </cell>
          <cell r="Y18">
            <v>38520420</v>
          </cell>
          <cell r="Z18">
            <v>56682304</v>
          </cell>
          <cell r="AA18">
            <v>53696699</v>
          </cell>
          <cell r="AB18">
            <v>60625442</v>
          </cell>
          <cell r="AC18">
            <v>77552352</v>
          </cell>
          <cell r="AD18">
            <v>67486946</v>
          </cell>
          <cell r="AE18">
            <v>71444625</v>
          </cell>
          <cell r="AF18">
            <v>91940442</v>
          </cell>
          <cell r="AG18">
            <v>75114374</v>
          </cell>
          <cell r="AH18">
            <v>78578105</v>
          </cell>
          <cell r="AI18">
            <v>100878688</v>
          </cell>
          <cell r="AJ18">
            <v>84737016</v>
          </cell>
          <cell r="AK18">
            <v>84033303</v>
          </cell>
          <cell r="AL18">
            <v>112254155</v>
          </cell>
          <cell r="AM18">
            <v>92318287</v>
          </cell>
          <cell r="AN18">
            <v>105344169</v>
          </cell>
          <cell r="AO18">
            <v>136464256</v>
          </cell>
          <cell r="AP18">
            <v>99839961</v>
          </cell>
          <cell r="AQ18">
            <v>108941570</v>
          </cell>
          <cell r="AR18">
            <v>141946200</v>
          </cell>
          <cell r="AS18">
            <v>107018138</v>
          </cell>
          <cell r="AT18">
            <v>110037889</v>
          </cell>
          <cell r="AU18">
            <v>143390125</v>
          </cell>
          <cell r="AV18">
            <v>120413174</v>
          </cell>
          <cell r="AW18">
            <v>118428951</v>
          </cell>
          <cell r="AX18">
            <v>154794547</v>
          </cell>
          <cell r="AY18">
            <v>127869679</v>
          </cell>
          <cell r="AZ18">
            <v>136813645</v>
          </cell>
          <cell r="BA18">
            <v>164923159</v>
          </cell>
          <cell r="BB18">
            <v>126623055</v>
          </cell>
          <cell r="BC18">
            <v>131013539</v>
          </cell>
          <cell r="BD18">
            <v>176404362</v>
          </cell>
          <cell r="BE18">
            <v>143630608</v>
          </cell>
          <cell r="BF18">
            <v>147551699</v>
          </cell>
          <cell r="BG18">
            <v>184150376</v>
          </cell>
          <cell r="BH18">
            <v>156379897</v>
          </cell>
          <cell r="BI18">
            <v>154969190</v>
          </cell>
          <cell r="BJ18">
            <v>196319336</v>
          </cell>
          <cell r="BK18">
            <v>155531588</v>
          </cell>
          <cell r="BL18">
            <v>153389126</v>
          </cell>
        </row>
        <row r="19">
          <cell r="A19" t="str">
            <v>AVONEX BGE 051996</v>
          </cell>
          <cell r="B19" t="str">
            <v>AVONEX BGE 051996</v>
          </cell>
          <cell r="C19">
            <v>81315161</v>
          </cell>
          <cell r="D19">
            <v>82183899</v>
          </cell>
          <cell r="E19">
            <v>100981725</v>
          </cell>
          <cell r="F19">
            <v>82675837</v>
          </cell>
          <cell r="G19">
            <v>79861543</v>
          </cell>
          <cell r="H19">
            <v>105043941</v>
          </cell>
          <cell r="I19">
            <v>81373101</v>
          </cell>
          <cell r="J19">
            <v>84943749</v>
          </cell>
          <cell r="K19">
            <v>105227741</v>
          </cell>
          <cell r="L19">
            <v>86252812</v>
          </cell>
          <cell r="M19">
            <v>82447056</v>
          </cell>
          <cell r="N19">
            <v>108581759</v>
          </cell>
          <cell r="O19">
            <v>85744843</v>
          </cell>
          <cell r="P19">
            <v>88615247</v>
          </cell>
          <cell r="Q19">
            <v>112029578</v>
          </cell>
          <cell r="R19">
            <v>90017501</v>
          </cell>
          <cell r="S19">
            <v>91671827</v>
          </cell>
          <cell r="T19">
            <v>125263764</v>
          </cell>
          <cell r="U19">
            <v>92979337</v>
          </cell>
          <cell r="V19">
            <v>96419753</v>
          </cell>
          <cell r="W19">
            <v>119198758</v>
          </cell>
          <cell r="X19">
            <v>95114008</v>
          </cell>
          <cell r="Y19">
            <v>93143120</v>
          </cell>
          <cell r="Z19">
            <v>115357608</v>
          </cell>
          <cell r="AA19">
            <v>88309954</v>
          </cell>
          <cell r="AB19">
            <v>89190132</v>
          </cell>
          <cell r="AC19">
            <v>114652279</v>
          </cell>
          <cell r="AD19">
            <v>93489658</v>
          </cell>
          <cell r="AE19">
            <v>91532337</v>
          </cell>
          <cell r="AF19">
            <v>115864899</v>
          </cell>
          <cell r="AG19">
            <v>84337118</v>
          </cell>
          <cell r="AH19">
            <v>90443811</v>
          </cell>
          <cell r="AI19">
            <v>116172887</v>
          </cell>
          <cell r="AJ19">
            <v>91927081</v>
          </cell>
          <cell r="AK19">
            <v>88673692</v>
          </cell>
          <cell r="AL19">
            <v>121935100</v>
          </cell>
          <cell r="AM19">
            <v>94401320</v>
          </cell>
          <cell r="AN19">
            <v>79777064</v>
          </cell>
          <cell r="AO19">
            <v>102336350</v>
          </cell>
          <cell r="AP19">
            <v>80746792</v>
          </cell>
          <cell r="AQ19">
            <v>95754619</v>
          </cell>
          <cell r="AR19">
            <v>114277730</v>
          </cell>
          <cell r="AS19">
            <v>96145255</v>
          </cell>
          <cell r="AT19">
            <v>95944696</v>
          </cell>
          <cell r="AU19">
            <v>121797237</v>
          </cell>
          <cell r="AV19">
            <v>99049327</v>
          </cell>
          <cell r="AW19">
            <v>94010478</v>
          </cell>
          <cell r="AX19">
            <v>120312124</v>
          </cell>
          <cell r="AY19">
            <v>97498250</v>
          </cell>
          <cell r="AZ19">
            <v>95929834</v>
          </cell>
          <cell r="BA19">
            <v>126727784</v>
          </cell>
          <cell r="BB19">
            <v>105588430</v>
          </cell>
          <cell r="BC19">
            <v>99811827</v>
          </cell>
          <cell r="BD19">
            <v>127105293</v>
          </cell>
          <cell r="BE19">
            <v>103871164</v>
          </cell>
          <cell r="BF19">
            <v>98868717</v>
          </cell>
          <cell r="BG19">
            <v>125069612</v>
          </cell>
          <cell r="BH19">
            <v>99224480</v>
          </cell>
          <cell r="BI19">
            <v>96154168</v>
          </cell>
          <cell r="BJ19">
            <v>128985072</v>
          </cell>
          <cell r="BK19">
            <v>100052155</v>
          </cell>
          <cell r="BL19">
            <v>100853386</v>
          </cell>
        </row>
        <row r="20">
          <cell r="A20" t="str">
            <v>AVASTIN GTC 032004</v>
          </cell>
          <cell r="B20" t="str">
            <v>AVASTIN GTC 032004</v>
          </cell>
          <cell r="C20">
            <v>45748946</v>
          </cell>
          <cell r="D20">
            <v>47725340</v>
          </cell>
          <cell r="E20">
            <v>63294779</v>
          </cell>
          <cell r="F20">
            <v>56321495</v>
          </cell>
          <cell r="G20">
            <v>65972214</v>
          </cell>
          <cell r="H20">
            <v>90600836</v>
          </cell>
          <cell r="I20">
            <v>76548924</v>
          </cell>
          <cell r="J20">
            <v>84817430</v>
          </cell>
          <cell r="K20">
            <v>109409827</v>
          </cell>
          <cell r="L20">
            <v>90619954</v>
          </cell>
          <cell r="M20">
            <v>93707133</v>
          </cell>
          <cell r="N20">
            <v>125416838</v>
          </cell>
          <cell r="O20">
            <v>96082241</v>
          </cell>
          <cell r="P20">
            <v>104469943</v>
          </cell>
          <cell r="Q20">
            <v>143801579</v>
          </cell>
          <cell r="R20">
            <v>124489308</v>
          </cell>
          <cell r="S20">
            <v>131328769</v>
          </cell>
          <cell r="T20">
            <v>159872288</v>
          </cell>
          <cell r="U20">
            <v>125570670</v>
          </cell>
          <cell r="V20">
            <v>139195455</v>
          </cell>
          <cell r="W20">
            <v>174740140</v>
          </cell>
          <cell r="X20">
            <v>147214021</v>
          </cell>
          <cell r="Y20">
            <v>148288606</v>
          </cell>
          <cell r="Z20">
            <v>201693994</v>
          </cell>
          <cell r="AA20">
            <v>157769558</v>
          </cell>
          <cell r="AB20">
            <v>164772829</v>
          </cell>
          <cell r="AC20">
            <v>207707389</v>
          </cell>
          <cell r="AD20">
            <v>169635327</v>
          </cell>
          <cell r="AE20">
            <v>175828277</v>
          </cell>
          <cell r="AF20">
            <v>204654734</v>
          </cell>
          <cell r="AG20">
            <v>172318451</v>
          </cell>
          <cell r="AH20">
            <v>183120181</v>
          </cell>
          <cell r="AI20">
            <v>220995497</v>
          </cell>
          <cell r="AJ20">
            <v>181095887</v>
          </cell>
          <cell r="AK20">
            <v>178919905</v>
          </cell>
          <cell r="AL20">
            <v>228388868</v>
          </cell>
          <cell r="AM20">
            <v>178897761</v>
          </cell>
          <cell r="AN20">
            <v>185678234</v>
          </cell>
          <cell r="AO20">
            <v>230399499</v>
          </cell>
          <cell r="AP20">
            <v>196662679</v>
          </cell>
          <cell r="AQ20">
            <v>206247543</v>
          </cell>
          <cell r="AR20">
            <v>245667886</v>
          </cell>
          <cell r="AS20">
            <v>205027716</v>
          </cell>
          <cell r="AT20">
            <v>208465690</v>
          </cell>
          <cell r="AU20">
            <v>260628641</v>
          </cell>
          <cell r="AV20">
            <v>214140180</v>
          </cell>
          <cell r="AW20">
            <v>211753964</v>
          </cell>
          <cell r="AX20">
            <v>253387037</v>
          </cell>
          <cell r="AY20">
            <v>214280532</v>
          </cell>
          <cell r="AZ20">
            <v>213182416</v>
          </cell>
          <cell r="BA20">
            <v>279949086</v>
          </cell>
          <cell r="BB20">
            <v>227035241</v>
          </cell>
          <cell r="BC20">
            <v>232824107</v>
          </cell>
          <cell r="BD20">
            <v>294766100</v>
          </cell>
          <cell r="BE20">
            <v>233655311</v>
          </cell>
          <cell r="BF20">
            <v>244058510</v>
          </cell>
          <cell r="BG20">
            <v>306962889</v>
          </cell>
          <cell r="BH20">
            <v>239598907</v>
          </cell>
          <cell r="BI20">
            <v>242730752</v>
          </cell>
          <cell r="BJ20">
            <v>298222798</v>
          </cell>
          <cell r="BK20">
            <v>240991910</v>
          </cell>
          <cell r="BL20">
            <v>227812748</v>
          </cell>
        </row>
        <row r="21">
          <cell r="A21" t="str">
            <v>BARACLUDE BMP 042005</v>
          </cell>
          <cell r="B21" t="str">
            <v>BARACLUDE BMP 042005</v>
          </cell>
          <cell r="C21">
            <v>830</v>
          </cell>
          <cell r="D21">
            <v>830</v>
          </cell>
          <cell r="E21">
            <v>1661</v>
          </cell>
          <cell r="F21">
            <v>730260</v>
          </cell>
          <cell r="G21">
            <v>314914</v>
          </cell>
          <cell r="H21">
            <v>702958</v>
          </cell>
          <cell r="I21">
            <v>756382</v>
          </cell>
          <cell r="J21">
            <v>914953</v>
          </cell>
          <cell r="K21">
            <v>1391775</v>
          </cell>
          <cell r="L21">
            <v>1368924</v>
          </cell>
          <cell r="M21">
            <v>1496903</v>
          </cell>
          <cell r="N21">
            <v>2253865</v>
          </cell>
          <cell r="O21">
            <v>2365285</v>
          </cell>
          <cell r="P21">
            <v>2209871</v>
          </cell>
          <cell r="Q21">
            <v>3174757</v>
          </cell>
          <cell r="R21">
            <v>2804584</v>
          </cell>
          <cell r="S21">
            <v>3011749</v>
          </cell>
          <cell r="T21">
            <v>4091225</v>
          </cell>
          <cell r="U21">
            <v>3517353</v>
          </cell>
          <cell r="V21">
            <v>3790139</v>
          </cell>
          <cell r="W21">
            <v>5195150</v>
          </cell>
          <cell r="X21">
            <v>4292320</v>
          </cell>
          <cell r="Y21">
            <v>4554465</v>
          </cell>
          <cell r="Z21">
            <v>6324880</v>
          </cell>
          <cell r="AA21">
            <v>5086917</v>
          </cell>
          <cell r="AB21">
            <v>5418855</v>
          </cell>
          <cell r="AC21">
            <v>7032268</v>
          </cell>
          <cell r="AD21">
            <v>5860910</v>
          </cell>
          <cell r="AE21">
            <v>6214438</v>
          </cell>
          <cell r="AF21">
            <v>7799740</v>
          </cell>
          <cell r="AG21">
            <v>6446216</v>
          </cell>
          <cell r="AH21">
            <v>6601336</v>
          </cell>
          <cell r="AI21">
            <v>9045798</v>
          </cell>
          <cell r="AJ21">
            <v>7512433</v>
          </cell>
          <cell r="AK21">
            <v>7504192</v>
          </cell>
          <cell r="AL21">
            <v>10337843</v>
          </cell>
          <cell r="AM21">
            <v>8459862</v>
          </cell>
          <cell r="AN21">
            <v>8673610</v>
          </cell>
          <cell r="AO21">
            <v>11673023</v>
          </cell>
          <cell r="AP21">
            <v>9295809</v>
          </cell>
          <cell r="AQ21">
            <v>9995306</v>
          </cell>
          <cell r="AR21">
            <v>12569844</v>
          </cell>
          <cell r="AS21">
            <v>10285774</v>
          </cell>
          <cell r="AT21">
            <v>10515685</v>
          </cell>
          <cell r="AU21">
            <v>13493989</v>
          </cell>
          <cell r="AV21">
            <v>11292205</v>
          </cell>
          <cell r="AW21">
            <v>10893599</v>
          </cell>
          <cell r="AX21">
            <v>13578532</v>
          </cell>
          <cell r="AY21">
            <v>11259984</v>
          </cell>
          <cell r="AZ21">
            <v>11215998</v>
          </cell>
          <cell r="BA21">
            <v>13976309</v>
          </cell>
          <cell r="BB21">
            <v>11207660</v>
          </cell>
          <cell r="BC21">
            <v>11134901</v>
          </cell>
          <cell r="BD21">
            <v>14490994</v>
          </cell>
          <cell r="BE21">
            <v>11825110</v>
          </cell>
          <cell r="BF21">
            <v>11737845</v>
          </cell>
          <cell r="BG21">
            <v>15372150</v>
          </cell>
          <cell r="BH21">
            <v>12419942</v>
          </cell>
          <cell r="BI21">
            <v>12082482</v>
          </cell>
          <cell r="BJ21">
            <v>16166010</v>
          </cell>
          <cell r="BK21">
            <v>12783545</v>
          </cell>
          <cell r="BL21">
            <v>12639751</v>
          </cell>
        </row>
        <row r="22">
          <cell r="A22" t="str">
            <v>BETASERON (OLD) BYH 101993</v>
          </cell>
          <cell r="B22" t="str">
            <v>BETASERON (OLD) BYH 101993</v>
          </cell>
          <cell r="C22">
            <v>830</v>
          </cell>
          <cell r="D22">
            <v>830</v>
          </cell>
          <cell r="E22">
            <v>1661</v>
          </cell>
          <cell r="F22">
            <v>831</v>
          </cell>
          <cell r="G22">
            <v>32161409</v>
          </cell>
          <cell r="H22">
            <v>39804804</v>
          </cell>
          <cell r="I22">
            <v>32399945</v>
          </cell>
          <cell r="J22">
            <v>31892153</v>
          </cell>
          <cell r="K22">
            <v>4400</v>
          </cell>
          <cell r="L22">
            <v>33512505</v>
          </cell>
          <cell r="M22">
            <v>32408031</v>
          </cell>
          <cell r="N22">
            <v>43441120</v>
          </cell>
          <cell r="O22">
            <v>33237186</v>
          </cell>
          <cell r="P22">
            <v>33613874</v>
          </cell>
          <cell r="Q22">
            <v>41682248</v>
          </cell>
          <cell r="R22">
            <v>36040740</v>
          </cell>
          <cell r="S22">
            <v>38334229</v>
          </cell>
          <cell r="T22">
            <v>46930696</v>
          </cell>
          <cell r="U22">
            <v>36672235</v>
          </cell>
          <cell r="V22">
            <v>39078759</v>
          </cell>
          <cell r="W22">
            <v>47042205</v>
          </cell>
          <cell r="X22">
            <v>38682052</v>
          </cell>
          <cell r="Y22">
            <v>37917405</v>
          </cell>
          <cell r="Z22">
            <v>52959534</v>
          </cell>
          <cell r="AA22">
            <v>32114776</v>
          </cell>
          <cell r="AB22">
            <v>33637127</v>
          </cell>
          <cell r="AC22">
            <v>48178138</v>
          </cell>
          <cell r="AD22">
            <v>38475178</v>
          </cell>
          <cell r="AE22">
            <v>39369080</v>
          </cell>
          <cell r="AF22">
            <v>50068822</v>
          </cell>
          <cell r="AG22">
            <v>40764540</v>
          </cell>
          <cell r="AH22">
            <v>40504880</v>
          </cell>
          <cell r="AI22">
            <v>51709790</v>
          </cell>
          <cell r="AJ22">
            <v>43095549</v>
          </cell>
          <cell r="AK22">
            <v>39944106</v>
          </cell>
          <cell r="AL22">
            <v>57692630</v>
          </cell>
          <cell r="AM22">
            <v>41333399</v>
          </cell>
          <cell r="AN22">
            <v>48610863</v>
          </cell>
          <cell r="AO22">
            <v>63716451</v>
          </cell>
          <cell r="AP22">
            <v>50675536</v>
          </cell>
          <cell r="AQ22">
            <v>53326533</v>
          </cell>
          <cell r="AR22">
            <v>65156134</v>
          </cell>
          <cell r="AS22">
            <v>51353057</v>
          </cell>
        </row>
        <row r="23">
          <cell r="A23" t="str">
            <v>BETASERON BYH 042002</v>
          </cell>
          <cell r="B23" t="str">
            <v>BETASERON BYH 042002</v>
          </cell>
          <cell r="C23">
            <v>30666777</v>
          </cell>
          <cell r="D23">
            <v>31972633</v>
          </cell>
          <cell r="E23">
            <v>40105875</v>
          </cell>
          <cell r="F23">
            <v>32449640</v>
          </cell>
          <cell r="G23">
            <v>32161409</v>
          </cell>
          <cell r="H23">
            <v>39804804</v>
          </cell>
          <cell r="I23">
            <v>32399945</v>
          </cell>
          <cell r="J23">
            <v>31892153</v>
          </cell>
          <cell r="K23">
            <v>41179799</v>
          </cell>
          <cell r="L23">
            <v>33512505</v>
          </cell>
          <cell r="M23">
            <v>32408031</v>
          </cell>
          <cell r="N23">
            <v>43441120</v>
          </cell>
          <cell r="O23">
            <v>33237186</v>
          </cell>
          <cell r="P23">
            <v>33613874</v>
          </cell>
          <cell r="Q23">
            <v>41682248</v>
          </cell>
          <cell r="R23">
            <v>36040740</v>
          </cell>
          <cell r="S23">
            <v>38334229</v>
          </cell>
          <cell r="T23">
            <v>46930696</v>
          </cell>
          <cell r="U23">
            <v>36672235</v>
          </cell>
          <cell r="V23">
            <v>39078759</v>
          </cell>
          <cell r="W23">
            <v>47042205</v>
          </cell>
          <cell r="X23">
            <v>38682052</v>
          </cell>
          <cell r="Y23">
            <v>37917405</v>
          </cell>
          <cell r="Z23">
            <v>52959534</v>
          </cell>
          <cell r="AA23">
            <v>32114776</v>
          </cell>
          <cell r="AB23">
            <v>33637127</v>
          </cell>
          <cell r="AC23">
            <v>48178138</v>
          </cell>
          <cell r="AD23">
            <v>38475178</v>
          </cell>
          <cell r="AE23">
            <v>39369080</v>
          </cell>
          <cell r="AF23">
            <v>50068822</v>
          </cell>
          <cell r="AG23">
            <v>40764540</v>
          </cell>
          <cell r="AH23">
            <v>40504880</v>
          </cell>
          <cell r="AI23">
            <v>51709790</v>
          </cell>
          <cell r="AJ23">
            <v>43095549</v>
          </cell>
          <cell r="AK23">
            <v>39944106</v>
          </cell>
          <cell r="AL23">
            <v>57692630</v>
          </cell>
          <cell r="AM23">
            <v>41333399</v>
          </cell>
          <cell r="AN23">
            <v>48610863</v>
          </cell>
          <cell r="AO23">
            <v>63716451</v>
          </cell>
          <cell r="AP23">
            <v>50675536</v>
          </cell>
          <cell r="AQ23">
            <v>53372416</v>
          </cell>
          <cell r="AR23">
            <v>65156134</v>
          </cell>
          <cell r="AS23">
            <v>51353057</v>
          </cell>
          <cell r="AT23">
            <v>52612158</v>
          </cell>
          <cell r="AU23">
            <v>65525815</v>
          </cell>
          <cell r="AV23">
            <v>55872440</v>
          </cell>
          <cell r="AW23">
            <v>53394641</v>
          </cell>
          <cell r="AX23">
            <v>65314795</v>
          </cell>
          <cell r="AY23">
            <v>54516894</v>
          </cell>
          <cell r="AZ23">
            <v>53983684</v>
          </cell>
          <cell r="BA23">
            <v>72516096</v>
          </cell>
          <cell r="BB23">
            <v>59405888</v>
          </cell>
          <cell r="BC23">
            <v>58208935</v>
          </cell>
          <cell r="BD23">
            <v>76779475</v>
          </cell>
          <cell r="BE23">
            <v>63418709</v>
          </cell>
          <cell r="BF23">
            <v>64238584</v>
          </cell>
          <cell r="BG23">
            <v>77553248</v>
          </cell>
          <cell r="BH23">
            <v>62471273</v>
          </cell>
          <cell r="BI23">
            <v>60587787</v>
          </cell>
          <cell r="BJ23">
            <v>77933713</v>
          </cell>
          <cell r="BK23">
            <v>58819123</v>
          </cell>
          <cell r="BL23">
            <v>60368117</v>
          </cell>
        </row>
        <row r="24">
          <cell r="A24" t="str">
            <v>BONIVA ROC 042005</v>
          </cell>
          <cell r="B24" t="str">
            <v xml:space="preserve"> </v>
          </cell>
          <cell r="F24">
            <v>3419907</v>
          </cell>
          <cell r="G24">
            <v>1519675</v>
          </cell>
          <cell r="H24">
            <v>3394136</v>
          </cell>
          <cell r="I24">
            <v>3625468</v>
          </cell>
          <cell r="J24">
            <v>5700672</v>
          </cell>
          <cell r="K24">
            <v>9974585</v>
          </cell>
          <cell r="L24">
            <v>10325877</v>
          </cell>
          <cell r="M24">
            <v>12288740</v>
          </cell>
          <cell r="N24">
            <v>17293571</v>
          </cell>
          <cell r="O24">
            <v>14682119</v>
          </cell>
          <cell r="P24">
            <v>16438682</v>
          </cell>
          <cell r="Q24">
            <v>23674848</v>
          </cell>
          <cell r="R24">
            <v>21103912</v>
          </cell>
          <cell r="S24">
            <v>23900205</v>
          </cell>
          <cell r="T24">
            <v>31596570</v>
          </cell>
          <cell r="U24">
            <v>26817002</v>
          </cell>
          <cell r="V24">
            <v>28555452</v>
          </cell>
          <cell r="W24">
            <v>38027894</v>
          </cell>
          <cell r="X24">
            <v>32524408</v>
          </cell>
          <cell r="Y24">
            <v>34466826</v>
          </cell>
          <cell r="Z24">
            <v>43811619</v>
          </cell>
          <cell r="AA24">
            <v>33794194</v>
          </cell>
          <cell r="AB24">
            <v>36040024</v>
          </cell>
          <cell r="AC24">
            <v>47266093</v>
          </cell>
          <cell r="AD24">
            <v>38032802</v>
          </cell>
          <cell r="AE24">
            <v>40876515</v>
          </cell>
          <cell r="AF24">
            <v>50822292</v>
          </cell>
          <cell r="AG24">
            <v>41819682</v>
          </cell>
          <cell r="AH24">
            <v>43470080</v>
          </cell>
          <cell r="AI24">
            <v>56532944</v>
          </cell>
          <cell r="AJ24">
            <v>48319707</v>
          </cell>
          <cell r="AK24">
            <v>48491040</v>
          </cell>
          <cell r="AL24">
            <v>60316468</v>
          </cell>
          <cell r="AM24">
            <v>49431564</v>
          </cell>
          <cell r="AN24">
            <v>52897568</v>
          </cell>
          <cell r="AO24">
            <v>66840273</v>
          </cell>
          <cell r="AP24">
            <v>52936796</v>
          </cell>
          <cell r="AQ24">
            <v>54676661</v>
          </cell>
          <cell r="AR24">
            <v>64913150</v>
          </cell>
          <cell r="AS24">
            <v>52363762</v>
          </cell>
          <cell r="AT24">
            <v>52499169</v>
          </cell>
          <cell r="AU24">
            <v>63907843</v>
          </cell>
          <cell r="AV24">
            <v>52359351</v>
          </cell>
          <cell r="AW24">
            <v>52927258</v>
          </cell>
          <cell r="AX24">
            <v>61969048</v>
          </cell>
          <cell r="AY24">
            <v>55952168</v>
          </cell>
          <cell r="AZ24">
            <v>53326652</v>
          </cell>
          <cell r="BA24">
            <v>68568861</v>
          </cell>
          <cell r="BB24">
            <v>52843801</v>
          </cell>
          <cell r="BC24">
            <v>55234300</v>
          </cell>
          <cell r="BD24">
            <v>70248392</v>
          </cell>
          <cell r="BE24">
            <v>54563105</v>
          </cell>
          <cell r="BF24">
            <v>55949528</v>
          </cell>
          <cell r="BG24">
            <v>73479111</v>
          </cell>
          <cell r="BH24">
            <v>59725884</v>
          </cell>
          <cell r="BI24">
            <v>60303433</v>
          </cell>
          <cell r="BJ24">
            <v>76015992</v>
          </cell>
          <cell r="BK24">
            <v>61480932</v>
          </cell>
          <cell r="BL24">
            <v>60820525</v>
          </cell>
        </row>
        <row r="25">
          <cell r="A25" t="str">
            <v>CALCITRIOL TEV 102001</v>
          </cell>
          <cell r="B25" t="str">
            <v>CALCITRIOL TEV 102001</v>
          </cell>
          <cell r="F25">
            <v>3419907</v>
          </cell>
          <cell r="G25">
            <v>3596475</v>
          </cell>
          <cell r="H25">
            <v>4445577</v>
          </cell>
          <cell r="I25">
            <v>3463511</v>
          </cell>
          <cell r="J25">
            <v>3592823</v>
          </cell>
          <cell r="K25">
            <v>4423303</v>
          </cell>
          <cell r="L25">
            <v>3519631</v>
          </cell>
          <cell r="M25">
            <v>3442378</v>
          </cell>
          <cell r="N25">
            <v>4507102</v>
          </cell>
          <cell r="O25">
            <v>3612634</v>
          </cell>
          <cell r="P25">
            <v>3647637</v>
          </cell>
          <cell r="Q25">
            <v>4745375</v>
          </cell>
          <cell r="R25">
            <v>3826913</v>
          </cell>
          <cell r="S25">
            <v>3794911</v>
          </cell>
          <cell r="T25">
            <v>4694526</v>
          </cell>
          <cell r="U25">
            <v>3776897</v>
          </cell>
          <cell r="V25">
            <v>3870541</v>
          </cell>
          <cell r="W25">
            <v>4945101</v>
          </cell>
          <cell r="X25">
            <v>3959111</v>
          </cell>
          <cell r="Y25">
            <v>3816837</v>
          </cell>
          <cell r="Z25">
            <v>4826642</v>
          </cell>
          <cell r="AA25">
            <v>3848753</v>
          </cell>
          <cell r="AB25">
            <v>3787349</v>
          </cell>
          <cell r="AC25">
            <v>4860383</v>
          </cell>
          <cell r="AD25">
            <v>3789686</v>
          </cell>
          <cell r="AE25">
            <v>3885310</v>
          </cell>
          <cell r="AF25">
            <v>4732809</v>
          </cell>
          <cell r="AG25">
            <v>3767258</v>
          </cell>
          <cell r="AH25">
            <v>3693425</v>
          </cell>
          <cell r="AI25">
            <v>4767291</v>
          </cell>
          <cell r="AJ25">
            <v>4059658</v>
          </cell>
          <cell r="AK25">
            <v>3719680</v>
          </cell>
          <cell r="AL25">
            <v>4714571</v>
          </cell>
          <cell r="AM25">
            <v>3809897</v>
          </cell>
          <cell r="AN25">
            <v>3844307</v>
          </cell>
          <cell r="AO25">
            <v>4842363</v>
          </cell>
          <cell r="AP25">
            <v>3933521</v>
          </cell>
          <cell r="AQ25">
            <v>4043684</v>
          </cell>
          <cell r="AR25">
            <v>5004775</v>
          </cell>
          <cell r="AS25">
            <v>4079541</v>
          </cell>
          <cell r="AT25">
            <v>4147556</v>
          </cell>
          <cell r="AU25">
            <v>5133781</v>
          </cell>
          <cell r="AV25">
            <v>4106350</v>
          </cell>
          <cell r="AW25">
            <v>3948665</v>
          </cell>
          <cell r="AX25">
            <v>4768421</v>
          </cell>
          <cell r="AY25">
            <v>4135936</v>
          </cell>
          <cell r="AZ25">
            <v>4183312</v>
          </cell>
          <cell r="BA25">
            <v>5298870</v>
          </cell>
          <cell r="BB25">
            <v>4188828</v>
          </cell>
          <cell r="BC25">
            <v>4257051</v>
          </cell>
          <cell r="BD25">
            <v>5448680</v>
          </cell>
          <cell r="BE25">
            <v>4209180</v>
          </cell>
          <cell r="BF25">
            <v>4237928</v>
          </cell>
          <cell r="BG25">
            <v>5403836</v>
          </cell>
          <cell r="BH25">
            <v>3795488</v>
          </cell>
          <cell r="BI25">
            <v>3584920</v>
          </cell>
          <cell r="BJ25">
            <v>4453997</v>
          </cell>
          <cell r="BK25">
            <v>3498112</v>
          </cell>
          <cell r="BL25">
            <v>3573112</v>
          </cell>
        </row>
        <row r="26">
          <cell r="A26" t="str">
            <v>CALCITRIOL SI. 042003</v>
          </cell>
          <cell r="B26" t="str">
            <v>CALCITRIOL SI. 042003</v>
          </cell>
          <cell r="F26">
            <v>133579</v>
          </cell>
          <cell r="G26">
            <v>147853</v>
          </cell>
          <cell r="H26">
            <v>201449</v>
          </cell>
          <cell r="I26">
            <v>164388</v>
          </cell>
          <cell r="J26">
            <v>150048</v>
          </cell>
          <cell r="K26">
            <v>196996</v>
          </cell>
          <cell r="L26">
            <v>193068</v>
          </cell>
          <cell r="M26">
            <v>220686</v>
          </cell>
          <cell r="N26">
            <v>258979</v>
          </cell>
          <cell r="O26">
            <v>221377</v>
          </cell>
          <cell r="P26">
            <v>239496</v>
          </cell>
          <cell r="Q26">
            <v>272620</v>
          </cell>
          <cell r="R26">
            <v>150074</v>
          </cell>
          <cell r="S26">
            <v>178257</v>
          </cell>
          <cell r="T26">
            <v>193693</v>
          </cell>
          <cell r="U26">
            <v>163247</v>
          </cell>
          <cell r="V26">
            <v>214410</v>
          </cell>
          <cell r="W26">
            <v>245067</v>
          </cell>
          <cell r="X26">
            <v>196676</v>
          </cell>
          <cell r="Y26">
            <v>188818</v>
          </cell>
          <cell r="Z26">
            <v>261978</v>
          </cell>
          <cell r="AA26">
            <v>238801</v>
          </cell>
          <cell r="AB26">
            <v>291110</v>
          </cell>
          <cell r="AC26">
            <v>275847</v>
          </cell>
          <cell r="AD26">
            <v>168763</v>
          </cell>
          <cell r="AE26">
            <v>168120</v>
          </cell>
          <cell r="AF26">
            <v>214903</v>
          </cell>
          <cell r="AG26">
            <v>139941</v>
          </cell>
          <cell r="AH26">
            <v>136510</v>
          </cell>
          <cell r="AI26">
            <v>183818</v>
          </cell>
          <cell r="AJ26">
            <v>147495</v>
          </cell>
          <cell r="AK26">
            <v>94913</v>
          </cell>
          <cell r="AL26">
            <v>60294</v>
          </cell>
          <cell r="AM26">
            <v>3920</v>
          </cell>
          <cell r="AN26">
            <v>248</v>
          </cell>
          <cell r="AO26">
            <v>56853</v>
          </cell>
          <cell r="AP26">
            <v>280</v>
          </cell>
          <cell r="AQ26">
            <v>1071</v>
          </cell>
          <cell r="AS26">
            <v>86638</v>
          </cell>
        </row>
        <row r="27">
          <cell r="A27" t="str">
            <v>CALCITRIOL A2P 052003</v>
          </cell>
          <cell r="B27" t="str">
            <v>CALCITRIOL A2P 052003</v>
          </cell>
          <cell r="F27">
            <v>396303</v>
          </cell>
          <cell r="G27">
            <v>412338</v>
          </cell>
          <cell r="H27">
            <v>442292</v>
          </cell>
          <cell r="I27">
            <v>348766</v>
          </cell>
          <cell r="J27">
            <v>344919</v>
          </cell>
          <cell r="K27">
            <v>384471</v>
          </cell>
          <cell r="L27">
            <v>319894</v>
          </cell>
          <cell r="M27">
            <v>323911</v>
          </cell>
          <cell r="N27">
            <v>384563</v>
          </cell>
          <cell r="O27">
            <v>289026</v>
          </cell>
          <cell r="P27">
            <v>282524</v>
          </cell>
          <cell r="Q27">
            <v>399655</v>
          </cell>
          <cell r="R27">
            <v>351433</v>
          </cell>
          <cell r="S27">
            <v>330871</v>
          </cell>
          <cell r="T27">
            <v>387692</v>
          </cell>
          <cell r="U27">
            <v>295580</v>
          </cell>
          <cell r="V27">
            <v>181312</v>
          </cell>
          <cell r="W27">
            <v>350056</v>
          </cell>
          <cell r="X27">
            <v>267414</v>
          </cell>
          <cell r="Y27">
            <v>280215</v>
          </cell>
          <cell r="Z27">
            <v>315511</v>
          </cell>
          <cell r="AA27">
            <v>96188</v>
          </cell>
          <cell r="AB27">
            <v>25686</v>
          </cell>
          <cell r="AC27">
            <v>359882</v>
          </cell>
          <cell r="AD27">
            <v>219409</v>
          </cell>
          <cell r="AE27">
            <v>184156</v>
          </cell>
          <cell r="AF27">
            <v>246382</v>
          </cell>
          <cell r="AG27">
            <v>210296</v>
          </cell>
          <cell r="AH27">
            <v>192681</v>
          </cell>
          <cell r="AI27">
            <v>206536</v>
          </cell>
          <cell r="AJ27">
            <v>183560</v>
          </cell>
          <cell r="AK27">
            <v>174148</v>
          </cell>
          <cell r="AL27">
            <v>192513</v>
          </cell>
          <cell r="AM27">
            <v>155061</v>
          </cell>
          <cell r="AN27">
            <v>107066</v>
          </cell>
          <cell r="AO27">
            <v>56853</v>
          </cell>
          <cell r="AP27">
            <v>397</v>
          </cell>
          <cell r="AQ27">
            <v>1288094</v>
          </cell>
          <cell r="AR27">
            <v>1648369</v>
          </cell>
          <cell r="AS27">
            <v>86638</v>
          </cell>
          <cell r="AT27">
            <v>115091</v>
          </cell>
          <cell r="AU27">
            <v>137653</v>
          </cell>
          <cell r="AV27">
            <v>123024</v>
          </cell>
          <cell r="AW27">
            <v>118427</v>
          </cell>
          <cell r="AX27">
            <v>170008</v>
          </cell>
          <cell r="AY27">
            <v>145842</v>
          </cell>
          <cell r="AZ27">
            <v>156878</v>
          </cell>
          <cell r="BA27">
            <v>199173</v>
          </cell>
          <cell r="BB27">
            <v>126502</v>
          </cell>
          <cell r="BC27">
            <v>53969</v>
          </cell>
          <cell r="BD27">
            <v>5687</v>
          </cell>
          <cell r="BE27">
            <v>132708</v>
          </cell>
          <cell r="BF27">
            <v>53472</v>
          </cell>
          <cell r="BG27">
            <v>35914</v>
          </cell>
          <cell r="BH27">
            <v>111975</v>
          </cell>
          <cell r="BI27">
            <v>120505</v>
          </cell>
          <cell r="BJ27">
            <v>112199</v>
          </cell>
          <cell r="BK27">
            <v>156040</v>
          </cell>
          <cell r="BL27">
            <v>87619</v>
          </cell>
        </row>
        <row r="28">
          <cell r="A28" t="str">
            <v>CALCITRIOL ROX 082003</v>
          </cell>
          <cell r="B28" t="str">
            <v>CALCITRIOL ROX 082003</v>
          </cell>
          <cell r="F28">
            <v>187151</v>
          </cell>
          <cell r="G28">
            <v>201795</v>
          </cell>
          <cell r="H28">
            <v>236666</v>
          </cell>
          <cell r="I28">
            <v>190115</v>
          </cell>
          <cell r="J28">
            <v>199255</v>
          </cell>
          <cell r="K28">
            <v>248698</v>
          </cell>
          <cell r="L28">
            <v>209425</v>
          </cell>
          <cell r="M28">
            <v>132899</v>
          </cell>
          <cell r="N28">
            <v>52089</v>
          </cell>
          <cell r="O28">
            <v>185246</v>
          </cell>
          <cell r="P28">
            <v>247825</v>
          </cell>
          <cell r="Q28">
            <v>219342</v>
          </cell>
          <cell r="R28">
            <v>67641</v>
          </cell>
          <cell r="S28">
            <v>326032</v>
          </cell>
          <cell r="T28">
            <v>597568</v>
          </cell>
          <cell r="U28">
            <v>470757</v>
          </cell>
          <cell r="V28">
            <v>521034</v>
          </cell>
          <cell r="W28">
            <v>682274</v>
          </cell>
          <cell r="X28">
            <v>565351</v>
          </cell>
          <cell r="Y28">
            <v>553415</v>
          </cell>
          <cell r="Z28">
            <v>1029725</v>
          </cell>
          <cell r="AA28">
            <v>886269</v>
          </cell>
          <cell r="AB28">
            <v>965774</v>
          </cell>
          <cell r="AC28">
            <v>1216436</v>
          </cell>
          <cell r="AD28">
            <v>979695</v>
          </cell>
          <cell r="AE28">
            <v>1037566</v>
          </cell>
          <cell r="AF28">
            <v>1272280</v>
          </cell>
          <cell r="AG28">
            <v>1045763</v>
          </cell>
          <cell r="AH28">
            <v>1092136</v>
          </cell>
          <cell r="AI28">
            <v>1182178</v>
          </cell>
          <cell r="AJ28">
            <v>884572</v>
          </cell>
          <cell r="AK28">
            <v>1108277</v>
          </cell>
          <cell r="AL28">
            <v>1354253</v>
          </cell>
          <cell r="AM28">
            <v>1190319</v>
          </cell>
          <cell r="AN28">
            <v>1172858</v>
          </cell>
          <cell r="AO28">
            <v>1546182</v>
          </cell>
          <cell r="AP28">
            <v>1238235</v>
          </cell>
          <cell r="AQ28">
            <v>1290457</v>
          </cell>
          <cell r="AR28">
            <v>1648369</v>
          </cell>
          <cell r="AS28">
            <v>1308469</v>
          </cell>
          <cell r="AT28">
            <v>1377953</v>
          </cell>
          <cell r="AU28">
            <v>1656842</v>
          </cell>
          <cell r="AV28">
            <v>1401775</v>
          </cell>
          <cell r="AW28">
            <v>1510887</v>
          </cell>
          <cell r="AX28">
            <v>1464248</v>
          </cell>
          <cell r="AY28">
            <v>1277355</v>
          </cell>
          <cell r="AZ28">
            <v>1326373</v>
          </cell>
          <cell r="BA28">
            <v>1646965</v>
          </cell>
          <cell r="BB28">
            <v>1330546</v>
          </cell>
          <cell r="BC28">
            <v>1288927</v>
          </cell>
          <cell r="BD28">
            <v>1595617</v>
          </cell>
          <cell r="BE28">
            <v>1247098</v>
          </cell>
          <cell r="BF28">
            <v>1163689</v>
          </cell>
          <cell r="BG28">
            <v>1807875</v>
          </cell>
          <cell r="BH28">
            <v>1327650</v>
          </cell>
          <cell r="BI28">
            <v>1197394</v>
          </cell>
          <cell r="BJ28">
            <v>1400612</v>
          </cell>
          <cell r="BK28">
            <v>1209742</v>
          </cell>
          <cell r="BL28">
            <v>1148546</v>
          </cell>
        </row>
        <row r="29">
          <cell r="A29" t="str">
            <v xml:space="preserve">CALCITRIOL A-R        </v>
          </cell>
          <cell r="B29" t="str">
            <v xml:space="preserve">CALCITRIOL A-R        </v>
          </cell>
          <cell r="F29">
            <v>4326957</v>
          </cell>
          <cell r="G29">
            <v>4642108</v>
          </cell>
          <cell r="H29">
            <v>22178</v>
          </cell>
          <cell r="I29">
            <v>22605</v>
          </cell>
          <cell r="J29">
            <v>22912</v>
          </cell>
          <cell r="K29">
            <v>43063</v>
          </cell>
          <cell r="L29">
            <v>19130</v>
          </cell>
          <cell r="M29">
            <v>26477</v>
          </cell>
          <cell r="N29">
            <v>37927</v>
          </cell>
          <cell r="O29">
            <v>26480</v>
          </cell>
          <cell r="P29">
            <v>26769</v>
          </cell>
          <cell r="Q29">
            <v>9773</v>
          </cell>
          <cell r="R29">
            <v>17408</v>
          </cell>
          <cell r="S29">
            <v>27118</v>
          </cell>
          <cell r="T29">
            <v>46892</v>
          </cell>
          <cell r="U29">
            <v>29190</v>
          </cell>
          <cell r="V29">
            <v>41269</v>
          </cell>
          <cell r="W29">
            <v>45692</v>
          </cell>
          <cell r="X29">
            <v>30107</v>
          </cell>
          <cell r="Y29">
            <v>30415</v>
          </cell>
          <cell r="Z29">
            <v>43843</v>
          </cell>
          <cell r="AA29">
            <v>46343</v>
          </cell>
          <cell r="AB29">
            <v>36706</v>
          </cell>
          <cell r="AC29">
            <v>37688</v>
          </cell>
          <cell r="AD29">
            <v>21871</v>
          </cell>
          <cell r="AE29">
            <v>23785</v>
          </cell>
          <cell r="AF29">
            <v>37251</v>
          </cell>
          <cell r="AG29">
            <v>55816</v>
          </cell>
          <cell r="AH29">
            <v>60030</v>
          </cell>
          <cell r="AI29">
            <v>62916</v>
          </cell>
          <cell r="AJ29">
            <v>66327</v>
          </cell>
          <cell r="AK29">
            <v>99983</v>
          </cell>
          <cell r="AL29">
            <v>169356</v>
          </cell>
          <cell r="AM29">
            <v>401423</v>
          </cell>
          <cell r="AN29">
            <v>585030</v>
          </cell>
          <cell r="AO29">
            <v>1027068</v>
          </cell>
          <cell r="AP29">
            <v>1476737</v>
          </cell>
          <cell r="AQ29">
            <v>1494728</v>
          </cell>
          <cell r="AR29">
            <v>1698214</v>
          </cell>
          <cell r="AS29">
            <v>1401999</v>
          </cell>
          <cell r="AT29">
            <v>1099049</v>
          </cell>
          <cell r="AU29">
            <v>1090904</v>
          </cell>
          <cell r="AV29">
            <v>971310</v>
          </cell>
          <cell r="AW29">
            <v>1057672</v>
          </cell>
          <cell r="AX29">
            <v>1046412</v>
          </cell>
          <cell r="AY29">
            <v>1202770</v>
          </cell>
          <cell r="AZ29">
            <v>1129363</v>
          </cell>
          <cell r="BA29">
            <v>175677</v>
          </cell>
          <cell r="BB29">
            <v>184076</v>
          </cell>
          <cell r="BC29">
            <v>331734</v>
          </cell>
          <cell r="BD29">
            <v>448331</v>
          </cell>
          <cell r="BE29">
            <v>272251</v>
          </cell>
          <cell r="BF29">
            <v>314533</v>
          </cell>
          <cell r="BG29">
            <v>420688</v>
          </cell>
          <cell r="BH29">
            <v>247728</v>
          </cell>
          <cell r="BI29">
            <v>232717</v>
          </cell>
          <cell r="BJ29">
            <v>349981</v>
          </cell>
          <cell r="BK29">
            <v>236665</v>
          </cell>
          <cell r="BL29">
            <v>250842</v>
          </cell>
        </row>
        <row r="30">
          <cell r="A30" t="str">
            <v>CAMPATH BYH 062001</v>
          </cell>
          <cell r="B30" t="str">
            <v>CAMPATH BYH 062001</v>
          </cell>
          <cell r="F30">
            <v>4326957</v>
          </cell>
          <cell r="G30">
            <v>4642108</v>
          </cell>
          <cell r="H30">
            <v>6286950</v>
          </cell>
          <cell r="I30">
            <v>4700774</v>
          </cell>
          <cell r="J30">
            <v>5620546</v>
          </cell>
          <cell r="K30">
            <v>6462190</v>
          </cell>
          <cell r="L30">
            <v>5352629</v>
          </cell>
          <cell r="M30">
            <v>5608470</v>
          </cell>
          <cell r="N30">
            <v>6307554</v>
          </cell>
          <cell r="O30">
            <v>5644478</v>
          </cell>
          <cell r="P30">
            <v>5918698</v>
          </cell>
          <cell r="Q30">
            <v>7513373</v>
          </cell>
          <cell r="R30">
            <v>5758864</v>
          </cell>
          <cell r="S30">
            <v>5532983</v>
          </cell>
          <cell r="T30">
            <v>6789853</v>
          </cell>
          <cell r="U30">
            <v>5570484</v>
          </cell>
          <cell r="V30">
            <v>5461182</v>
          </cell>
          <cell r="W30">
            <v>6762228</v>
          </cell>
          <cell r="X30">
            <v>5619793</v>
          </cell>
          <cell r="Y30">
            <v>5704389</v>
          </cell>
          <cell r="Z30">
            <v>6804511</v>
          </cell>
          <cell r="AA30">
            <v>5384622</v>
          </cell>
          <cell r="AB30">
            <v>5985952</v>
          </cell>
          <cell r="AC30">
            <v>7427255</v>
          </cell>
          <cell r="AD30">
            <v>5680168</v>
          </cell>
          <cell r="AE30">
            <v>5683228</v>
          </cell>
          <cell r="AF30">
            <v>6470372</v>
          </cell>
          <cell r="AG30">
            <v>4965024</v>
          </cell>
          <cell r="AH30">
            <v>5440021</v>
          </cell>
          <cell r="AI30">
            <v>6063247</v>
          </cell>
          <cell r="AJ30">
            <v>5429857</v>
          </cell>
          <cell r="AK30">
            <v>5493876</v>
          </cell>
          <cell r="AL30">
            <v>6676930</v>
          </cell>
          <cell r="AM30">
            <v>5011216</v>
          </cell>
          <cell r="AN30">
            <v>5674413</v>
          </cell>
          <cell r="AO30">
            <v>7423025</v>
          </cell>
          <cell r="AP30">
            <v>5815050</v>
          </cell>
          <cell r="AQ30">
            <v>6147703</v>
          </cell>
          <cell r="AR30">
            <v>6621539</v>
          </cell>
          <cell r="AS30">
            <v>4994182</v>
          </cell>
          <cell r="AT30">
            <v>4744721</v>
          </cell>
          <cell r="AU30">
            <v>5588699</v>
          </cell>
          <cell r="AV30">
            <v>4847259</v>
          </cell>
          <cell r="AW30">
            <v>5211152</v>
          </cell>
          <cell r="AX30">
            <v>5100392</v>
          </cell>
          <cell r="AY30">
            <v>4305205</v>
          </cell>
          <cell r="AZ30">
            <v>4052785</v>
          </cell>
          <cell r="BA30">
            <v>5253861</v>
          </cell>
          <cell r="BB30">
            <v>3989729</v>
          </cell>
          <cell r="BC30">
            <v>3824887</v>
          </cell>
          <cell r="BD30">
            <v>4500420</v>
          </cell>
          <cell r="BE30">
            <v>3652449</v>
          </cell>
          <cell r="BF30">
            <v>3819271</v>
          </cell>
          <cell r="BG30">
            <v>4505148</v>
          </cell>
          <cell r="BH30">
            <v>3689463</v>
          </cell>
          <cell r="BI30">
            <v>3736989</v>
          </cell>
          <cell r="BJ30">
            <v>3883049</v>
          </cell>
          <cell r="BK30">
            <v>3251213</v>
          </cell>
          <cell r="BL30">
            <v>3553250</v>
          </cell>
        </row>
        <row r="31">
          <cell r="A31" t="str">
            <v>CEREDASE GZY 071992</v>
          </cell>
          <cell r="B31" t="str">
            <v>CEREDASE GZY 071992</v>
          </cell>
          <cell r="C31">
            <v>2588004</v>
          </cell>
          <cell r="D31">
            <v>1974821</v>
          </cell>
          <cell r="E31">
            <v>2687615</v>
          </cell>
          <cell r="F31">
            <v>2411295</v>
          </cell>
          <cell r="G31">
            <v>2843402</v>
          </cell>
          <cell r="H31">
            <v>3024552</v>
          </cell>
          <cell r="I31">
            <v>2052756</v>
          </cell>
          <cell r="J31">
            <v>1930234</v>
          </cell>
          <cell r="K31">
            <v>2895744</v>
          </cell>
          <cell r="L31">
            <v>2119045</v>
          </cell>
          <cell r="M31">
            <v>1927438</v>
          </cell>
          <cell r="N31">
            <v>2848687</v>
          </cell>
          <cell r="O31">
            <v>1955364</v>
          </cell>
          <cell r="P31">
            <v>2573743</v>
          </cell>
          <cell r="Q31">
            <v>3786956</v>
          </cell>
          <cell r="R31">
            <v>2317370</v>
          </cell>
          <cell r="S31">
            <v>2247932</v>
          </cell>
          <cell r="T31">
            <v>2943103</v>
          </cell>
          <cell r="U31">
            <v>1837510</v>
          </cell>
          <cell r="V31">
            <v>2297747</v>
          </cell>
          <cell r="W31">
            <v>2900891</v>
          </cell>
          <cell r="X31">
            <v>2151080</v>
          </cell>
          <cell r="Y31">
            <v>2245483</v>
          </cell>
          <cell r="Z31">
            <v>4196</v>
          </cell>
          <cell r="AA31">
            <v>4107</v>
          </cell>
          <cell r="AB31">
            <v>11877</v>
          </cell>
          <cell r="AC31">
            <v>3885</v>
          </cell>
          <cell r="AD31">
            <v>3633</v>
          </cell>
          <cell r="AE31">
            <v>10367</v>
          </cell>
          <cell r="AF31">
            <v>13527</v>
          </cell>
          <cell r="AG31">
            <v>2230015</v>
          </cell>
          <cell r="AH31">
            <v>2121367</v>
          </cell>
          <cell r="AI31">
            <v>2691506</v>
          </cell>
          <cell r="AJ31">
            <v>2425316</v>
          </cell>
          <cell r="AK31">
            <v>2196401</v>
          </cell>
          <cell r="AL31">
            <v>3410102</v>
          </cell>
          <cell r="AM31">
            <v>2709382</v>
          </cell>
          <cell r="AN31">
            <v>2542260</v>
          </cell>
          <cell r="AO31">
            <v>3678773</v>
          </cell>
          <cell r="AP31">
            <v>2381101</v>
          </cell>
          <cell r="AQ31">
            <v>2707293</v>
          </cell>
          <cell r="AR31">
            <v>3313735</v>
          </cell>
          <cell r="AS31">
            <v>2549295</v>
          </cell>
        </row>
        <row r="32">
          <cell r="A32" t="str">
            <v>CEREZYME GZY 051997</v>
          </cell>
          <cell r="B32" t="str">
            <v>CEREZYME GZY 051997</v>
          </cell>
          <cell r="C32">
            <v>2588004</v>
          </cell>
          <cell r="D32">
            <v>1974821</v>
          </cell>
          <cell r="E32">
            <v>2687615</v>
          </cell>
          <cell r="F32">
            <v>2411295</v>
          </cell>
          <cell r="G32">
            <v>2843402</v>
          </cell>
          <cell r="H32">
            <v>3024552</v>
          </cell>
          <cell r="I32">
            <v>2052756</v>
          </cell>
          <cell r="J32">
            <v>1930234</v>
          </cell>
          <cell r="K32">
            <v>2895744</v>
          </cell>
          <cell r="L32">
            <v>2119045</v>
          </cell>
          <cell r="M32">
            <v>1927438</v>
          </cell>
          <cell r="N32">
            <v>2848687</v>
          </cell>
          <cell r="O32">
            <v>1955364</v>
          </cell>
          <cell r="P32">
            <v>2573743</v>
          </cell>
          <cell r="Q32">
            <v>3786956</v>
          </cell>
          <cell r="R32">
            <v>2317370</v>
          </cell>
          <cell r="S32">
            <v>2247932</v>
          </cell>
          <cell r="T32">
            <v>2943103</v>
          </cell>
          <cell r="U32">
            <v>1837510</v>
          </cell>
          <cell r="V32">
            <v>2297747</v>
          </cell>
          <cell r="W32">
            <v>2900891</v>
          </cell>
          <cell r="X32">
            <v>2151080</v>
          </cell>
          <cell r="Y32">
            <v>2245483</v>
          </cell>
          <cell r="Z32">
            <v>3177032</v>
          </cell>
          <cell r="AA32">
            <v>2299793</v>
          </cell>
          <cell r="AB32">
            <v>2290117</v>
          </cell>
          <cell r="AC32">
            <v>2829998</v>
          </cell>
          <cell r="AD32">
            <v>2386281</v>
          </cell>
          <cell r="AE32">
            <v>2498591</v>
          </cell>
          <cell r="AF32">
            <v>2925027</v>
          </cell>
          <cell r="AG32">
            <v>2230015</v>
          </cell>
          <cell r="AH32">
            <v>2121367</v>
          </cell>
          <cell r="AI32">
            <v>2691506</v>
          </cell>
          <cell r="AJ32">
            <v>2425316</v>
          </cell>
          <cell r="AK32">
            <v>2196401</v>
          </cell>
          <cell r="AL32">
            <v>3410102</v>
          </cell>
          <cell r="AM32">
            <v>2709382</v>
          </cell>
          <cell r="AN32">
            <v>2542260</v>
          </cell>
          <cell r="AO32">
            <v>3678773</v>
          </cell>
          <cell r="AP32">
            <v>2381101</v>
          </cell>
          <cell r="AQ32">
            <v>2707293</v>
          </cell>
          <cell r="AR32">
            <v>3313735</v>
          </cell>
          <cell r="AS32">
            <v>2549295</v>
          </cell>
          <cell r="AT32">
            <v>2582067</v>
          </cell>
          <cell r="AU32">
            <v>3500184</v>
          </cell>
          <cell r="AV32">
            <v>2983208</v>
          </cell>
          <cell r="AW32">
            <v>2713927</v>
          </cell>
          <cell r="AX32">
            <v>4480920</v>
          </cell>
          <cell r="AY32">
            <v>3611515</v>
          </cell>
          <cell r="AZ32">
            <v>3660331</v>
          </cell>
          <cell r="BA32">
            <v>4596120</v>
          </cell>
          <cell r="BB32">
            <v>3568150</v>
          </cell>
          <cell r="BC32">
            <v>3524387</v>
          </cell>
          <cell r="BD32">
            <v>4193466</v>
          </cell>
          <cell r="BE32">
            <v>2821340</v>
          </cell>
          <cell r="BF32">
            <v>813505</v>
          </cell>
          <cell r="BG32">
            <v>699455</v>
          </cell>
          <cell r="BH32">
            <v>607545</v>
          </cell>
          <cell r="BI32">
            <v>681826</v>
          </cell>
          <cell r="BJ32">
            <v>1695170</v>
          </cell>
          <cell r="BK32">
            <v>2212983</v>
          </cell>
          <cell r="BL32">
            <v>1688313</v>
          </cell>
        </row>
        <row r="33">
          <cell r="A33" t="str">
            <v>COMBIVIR GSK 091997</v>
          </cell>
          <cell r="B33" t="str">
            <v>COMBIVIR GSK 091997</v>
          </cell>
          <cell r="C33">
            <v>48709581</v>
          </cell>
          <cell r="D33">
            <v>51473456</v>
          </cell>
          <cell r="E33">
            <v>64803494</v>
          </cell>
          <cell r="F33">
            <v>46621300</v>
          </cell>
          <cell r="G33">
            <v>49643522</v>
          </cell>
          <cell r="H33">
            <v>58912825</v>
          </cell>
          <cell r="I33">
            <v>47179992</v>
          </cell>
          <cell r="J33">
            <v>46541943</v>
          </cell>
          <cell r="K33">
            <v>59150143</v>
          </cell>
          <cell r="L33">
            <v>45605417</v>
          </cell>
          <cell r="M33">
            <v>42560072</v>
          </cell>
          <cell r="N33">
            <v>56617794</v>
          </cell>
          <cell r="O33">
            <v>44377259</v>
          </cell>
          <cell r="P33">
            <v>44107964</v>
          </cell>
          <cell r="Q33">
            <v>55170914</v>
          </cell>
          <cell r="R33">
            <v>42128600</v>
          </cell>
          <cell r="S33">
            <v>43997683</v>
          </cell>
          <cell r="T33">
            <v>51870529</v>
          </cell>
          <cell r="U33">
            <v>41185626</v>
          </cell>
          <cell r="V33">
            <v>41027906</v>
          </cell>
          <cell r="W33">
            <v>52121308</v>
          </cell>
          <cell r="X33">
            <v>38919171</v>
          </cell>
          <cell r="Y33">
            <v>37900496</v>
          </cell>
          <cell r="Z33">
            <v>48781409</v>
          </cell>
          <cell r="AA33">
            <v>39609043</v>
          </cell>
          <cell r="AB33">
            <v>38849674</v>
          </cell>
          <cell r="AC33">
            <v>47517948</v>
          </cell>
          <cell r="AD33">
            <v>37986460</v>
          </cell>
          <cell r="AE33">
            <v>37071945</v>
          </cell>
          <cell r="AF33">
            <v>45352137</v>
          </cell>
          <cell r="AG33">
            <v>35386429</v>
          </cell>
          <cell r="AH33">
            <v>36707958</v>
          </cell>
          <cell r="AI33">
            <v>45318627</v>
          </cell>
          <cell r="AJ33">
            <v>36631667</v>
          </cell>
          <cell r="AK33">
            <v>33627015</v>
          </cell>
          <cell r="AL33">
            <v>42283536</v>
          </cell>
          <cell r="AM33">
            <v>34193923</v>
          </cell>
          <cell r="AN33">
            <v>34135922</v>
          </cell>
          <cell r="AO33">
            <v>44649918</v>
          </cell>
          <cell r="AP33">
            <v>31025807</v>
          </cell>
          <cell r="AQ33">
            <v>31290961</v>
          </cell>
          <cell r="AR33">
            <v>38477833</v>
          </cell>
          <cell r="AS33">
            <v>29716494</v>
          </cell>
          <cell r="AT33">
            <v>30033216</v>
          </cell>
          <cell r="AU33">
            <v>38789353</v>
          </cell>
          <cell r="AV33">
            <v>31416640</v>
          </cell>
          <cell r="AW33">
            <v>29732289</v>
          </cell>
          <cell r="AX33">
            <v>34611682</v>
          </cell>
          <cell r="AY33">
            <v>28748624</v>
          </cell>
          <cell r="AZ33">
            <v>29128447</v>
          </cell>
          <cell r="BA33">
            <v>36048418</v>
          </cell>
          <cell r="BB33">
            <v>27147401</v>
          </cell>
          <cell r="BC33">
            <v>27614844</v>
          </cell>
          <cell r="BD33">
            <v>35818097</v>
          </cell>
          <cell r="BE33">
            <v>29241903</v>
          </cell>
          <cell r="BF33">
            <v>28050830</v>
          </cell>
          <cell r="BG33">
            <v>34896192</v>
          </cell>
          <cell r="BH33">
            <v>28096772</v>
          </cell>
          <cell r="BI33">
            <v>26926433</v>
          </cell>
          <cell r="BJ33">
            <v>34167078</v>
          </cell>
          <cell r="BK33">
            <v>26406744</v>
          </cell>
          <cell r="BL33">
            <v>26039287</v>
          </cell>
        </row>
        <row r="34">
          <cell r="A34" t="str">
            <v>COPAXONE TVN 031997</v>
          </cell>
          <cell r="B34" t="str">
            <v>COPAXONE TVN 031997</v>
          </cell>
          <cell r="C34">
            <v>57373233</v>
          </cell>
          <cell r="D34">
            <v>57248589</v>
          </cell>
          <cell r="E34">
            <v>74124451</v>
          </cell>
          <cell r="F34">
            <v>59910908</v>
          </cell>
          <cell r="G34">
            <v>68252859</v>
          </cell>
          <cell r="H34">
            <v>83252026</v>
          </cell>
          <cell r="I34">
            <v>66440473</v>
          </cell>
          <cell r="J34">
            <v>69888683</v>
          </cell>
          <cell r="K34">
            <v>85641216</v>
          </cell>
          <cell r="L34">
            <v>69665847</v>
          </cell>
          <cell r="M34">
            <v>65603337</v>
          </cell>
          <cell r="N34">
            <v>92592074</v>
          </cell>
          <cell r="O34">
            <v>74486812</v>
          </cell>
          <cell r="P34">
            <v>70712978</v>
          </cell>
          <cell r="Q34">
            <v>93590500</v>
          </cell>
          <cell r="R34">
            <v>74782934</v>
          </cell>
          <cell r="S34">
            <v>76696785</v>
          </cell>
          <cell r="T34">
            <v>94755311</v>
          </cell>
          <cell r="U34">
            <v>74977340</v>
          </cell>
          <cell r="V34">
            <v>82099896</v>
          </cell>
          <cell r="W34">
            <v>99770822</v>
          </cell>
          <cell r="X34">
            <v>82818082</v>
          </cell>
          <cell r="Y34">
            <v>80153921</v>
          </cell>
          <cell r="Z34">
            <v>103167222</v>
          </cell>
          <cell r="AA34">
            <v>83757509</v>
          </cell>
          <cell r="AB34">
            <v>89712953</v>
          </cell>
          <cell r="AC34">
            <v>114226978</v>
          </cell>
          <cell r="AD34">
            <v>93377876</v>
          </cell>
          <cell r="AE34">
            <v>96624798</v>
          </cell>
          <cell r="AF34">
            <v>119980443</v>
          </cell>
          <cell r="AG34">
            <v>91714708</v>
          </cell>
          <cell r="AH34">
            <v>95110968</v>
          </cell>
          <cell r="AI34">
            <v>113602431</v>
          </cell>
          <cell r="AJ34">
            <v>102779208</v>
          </cell>
          <cell r="AK34">
            <v>90688576</v>
          </cell>
          <cell r="AL34">
            <v>112333641</v>
          </cell>
          <cell r="AM34">
            <v>79759080</v>
          </cell>
          <cell r="AN34">
            <v>93391160</v>
          </cell>
          <cell r="AO34">
            <v>129395938</v>
          </cell>
          <cell r="AP34">
            <v>102588787</v>
          </cell>
          <cell r="AQ34">
            <v>104514746</v>
          </cell>
          <cell r="AR34">
            <v>124467198</v>
          </cell>
          <cell r="AS34">
            <v>112604686</v>
          </cell>
          <cell r="AT34">
            <v>119771408</v>
          </cell>
          <cell r="AU34">
            <v>148540011</v>
          </cell>
          <cell r="AV34">
            <v>130209680</v>
          </cell>
          <cell r="AW34">
            <v>120297801</v>
          </cell>
          <cell r="AX34">
            <v>144811448</v>
          </cell>
          <cell r="AY34">
            <v>118713909</v>
          </cell>
          <cell r="AZ34">
            <v>126144048</v>
          </cell>
          <cell r="BA34">
            <v>162037755</v>
          </cell>
          <cell r="BB34">
            <v>140806758</v>
          </cell>
          <cell r="BC34">
            <v>128221978</v>
          </cell>
          <cell r="BD34">
            <v>160563505</v>
          </cell>
          <cell r="BE34">
            <v>131469833</v>
          </cell>
          <cell r="BF34">
            <v>128640925</v>
          </cell>
          <cell r="BG34">
            <v>161994469</v>
          </cell>
          <cell r="BH34">
            <v>136949313</v>
          </cell>
          <cell r="BI34">
            <v>128964278</v>
          </cell>
          <cell r="BJ34">
            <v>168000115</v>
          </cell>
          <cell r="BK34">
            <v>133796746</v>
          </cell>
          <cell r="BL34">
            <v>138979135</v>
          </cell>
        </row>
        <row r="35">
          <cell r="A35" t="str">
            <v>CRIXIVAN MSD 051996</v>
          </cell>
          <cell r="B35" t="str">
            <v>CRIXIVAN MSD 051996</v>
          </cell>
          <cell r="C35">
            <v>4333483</v>
          </cell>
          <cell r="D35">
            <v>4315759</v>
          </cell>
          <cell r="E35">
            <v>5538254</v>
          </cell>
          <cell r="F35">
            <v>3859203</v>
          </cell>
          <cell r="G35">
            <v>4057996</v>
          </cell>
          <cell r="H35">
            <v>4695239</v>
          </cell>
          <cell r="I35">
            <v>3624368</v>
          </cell>
          <cell r="J35">
            <v>3633163</v>
          </cell>
          <cell r="K35">
            <v>4453586</v>
          </cell>
          <cell r="L35">
            <v>3313833</v>
          </cell>
          <cell r="M35">
            <v>3266588</v>
          </cell>
          <cell r="N35">
            <v>4237147</v>
          </cell>
          <cell r="O35">
            <v>3106039</v>
          </cell>
          <cell r="P35">
            <v>3018515</v>
          </cell>
          <cell r="Q35">
            <v>3708110</v>
          </cell>
          <cell r="R35">
            <v>2791136</v>
          </cell>
          <cell r="S35">
            <v>2656668</v>
          </cell>
          <cell r="T35">
            <v>3196114</v>
          </cell>
          <cell r="U35">
            <v>2680542</v>
          </cell>
          <cell r="V35">
            <v>2572340</v>
          </cell>
          <cell r="W35">
            <v>3090818</v>
          </cell>
          <cell r="X35">
            <v>2399595</v>
          </cell>
          <cell r="Y35">
            <v>2232273</v>
          </cell>
          <cell r="Z35">
            <v>2760150</v>
          </cell>
          <cell r="AA35">
            <v>2163129</v>
          </cell>
          <cell r="AB35">
            <v>2293299</v>
          </cell>
          <cell r="AC35">
            <v>2593305</v>
          </cell>
          <cell r="AD35">
            <v>1891192</v>
          </cell>
          <cell r="AE35">
            <v>1897181</v>
          </cell>
          <cell r="AF35">
            <v>2310568</v>
          </cell>
          <cell r="AG35">
            <v>1832588</v>
          </cell>
          <cell r="AH35">
            <v>1872925</v>
          </cell>
          <cell r="AI35">
            <v>2150499</v>
          </cell>
          <cell r="AJ35">
            <v>1756736</v>
          </cell>
          <cell r="AK35">
            <v>1534003</v>
          </cell>
          <cell r="AL35">
            <v>1929334</v>
          </cell>
          <cell r="AM35">
            <v>1527992</v>
          </cell>
          <cell r="AN35">
            <v>1487929</v>
          </cell>
          <cell r="AO35">
            <v>1879205</v>
          </cell>
          <cell r="AP35">
            <v>1406507</v>
          </cell>
          <cell r="AQ35">
            <v>1327600</v>
          </cell>
          <cell r="AR35">
            <v>1678529</v>
          </cell>
          <cell r="AS35">
            <v>1259157</v>
          </cell>
          <cell r="AT35">
            <v>1239979</v>
          </cell>
          <cell r="AU35">
            <v>1468071</v>
          </cell>
          <cell r="AV35">
            <v>1188343</v>
          </cell>
          <cell r="AW35">
            <v>1102526</v>
          </cell>
          <cell r="AX35">
            <v>1348622</v>
          </cell>
          <cell r="AY35">
            <v>1158643</v>
          </cell>
          <cell r="AZ35">
            <v>1093822</v>
          </cell>
          <cell r="BA35">
            <v>1276279</v>
          </cell>
          <cell r="BB35">
            <v>987558</v>
          </cell>
          <cell r="BC35">
            <v>943598</v>
          </cell>
          <cell r="BD35">
            <v>1136692</v>
          </cell>
          <cell r="BE35">
            <v>939940</v>
          </cell>
          <cell r="BF35">
            <v>882041</v>
          </cell>
          <cell r="BG35">
            <v>1072241</v>
          </cell>
          <cell r="BH35">
            <v>881404</v>
          </cell>
          <cell r="BI35">
            <v>824173</v>
          </cell>
          <cell r="BJ35">
            <v>1038061</v>
          </cell>
          <cell r="BK35">
            <v>800908</v>
          </cell>
          <cell r="BL35">
            <v>805099</v>
          </cell>
        </row>
        <row r="36">
          <cell r="A36" t="str">
            <v>DIDANOSINE BRR 122004</v>
          </cell>
          <cell r="B36" t="str">
            <v>DIDANOSINE BRR 122004</v>
          </cell>
          <cell r="C36">
            <v>3052782</v>
          </cell>
          <cell r="D36">
            <v>3310514</v>
          </cell>
          <cell r="E36">
            <v>4650211</v>
          </cell>
          <cell r="F36">
            <v>4059628</v>
          </cell>
          <cell r="G36">
            <v>4369411</v>
          </cell>
          <cell r="H36">
            <v>5023617</v>
          </cell>
          <cell r="I36">
            <v>4026653</v>
          </cell>
          <cell r="J36">
            <v>4347360</v>
          </cell>
          <cell r="K36">
            <v>5035174</v>
          </cell>
          <cell r="L36">
            <v>3564295</v>
          </cell>
          <cell r="M36">
            <v>3363746</v>
          </cell>
          <cell r="N36">
            <v>4600012</v>
          </cell>
          <cell r="O36">
            <v>3935526</v>
          </cell>
          <cell r="P36">
            <v>3599471</v>
          </cell>
          <cell r="Q36">
            <v>4750119</v>
          </cell>
          <cell r="R36">
            <v>3841680</v>
          </cell>
          <cell r="S36">
            <v>3946219</v>
          </cell>
          <cell r="T36">
            <v>4939073</v>
          </cell>
          <cell r="U36">
            <v>4180755</v>
          </cell>
          <cell r="V36">
            <v>3939053</v>
          </cell>
          <cell r="W36">
            <v>5140439</v>
          </cell>
          <cell r="X36">
            <v>3861762</v>
          </cell>
          <cell r="Y36">
            <v>3793340</v>
          </cell>
          <cell r="Z36">
            <v>4622127</v>
          </cell>
          <cell r="AA36">
            <v>3584831</v>
          </cell>
          <cell r="AB36">
            <v>3601998</v>
          </cell>
          <cell r="AC36">
            <v>4644419</v>
          </cell>
          <cell r="AD36">
            <v>3513602</v>
          </cell>
          <cell r="AE36">
            <v>3594719</v>
          </cell>
          <cell r="AF36">
            <v>4334163</v>
          </cell>
          <cell r="AG36">
            <v>3472985</v>
          </cell>
          <cell r="AH36">
            <v>3344859</v>
          </cell>
          <cell r="AI36">
            <v>4139858</v>
          </cell>
          <cell r="AJ36">
            <v>3303235</v>
          </cell>
          <cell r="AK36">
            <v>3082511</v>
          </cell>
          <cell r="AL36">
            <v>3924983</v>
          </cell>
          <cell r="AM36">
            <v>3030977</v>
          </cell>
          <cell r="AN36">
            <v>3092196</v>
          </cell>
          <cell r="AO36">
            <v>3758864</v>
          </cell>
          <cell r="AP36">
            <v>2759644</v>
          </cell>
          <cell r="AQ36">
            <v>2748770</v>
          </cell>
          <cell r="AR36">
            <v>3467546</v>
          </cell>
          <cell r="AS36">
            <v>2733259</v>
          </cell>
          <cell r="AT36">
            <v>2598208</v>
          </cell>
          <cell r="AU36">
            <v>3253682</v>
          </cell>
          <cell r="AV36">
            <v>2596052</v>
          </cell>
          <cell r="AW36">
            <v>2413236</v>
          </cell>
          <cell r="AX36">
            <v>2859927</v>
          </cell>
          <cell r="AY36">
            <v>2297534</v>
          </cell>
          <cell r="AZ36">
            <v>2147150</v>
          </cell>
          <cell r="BA36">
            <v>2525730</v>
          </cell>
          <cell r="BB36">
            <v>1550857</v>
          </cell>
          <cell r="BC36">
            <v>1623867</v>
          </cell>
          <cell r="BD36">
            <v>2012159</v>
          </cell>
          <cell r="BE36">
            <v>1621870</v>
          </cell>
          <cell r="BF36">
            <v>1498790</v>
          </cell>
          <cell r="BG36">
            <v>1790587</v>
          </cell>
          <cell r="BH36">
            <v>1478426</v>
          </cell>
          <cell r="BI36">
            <v>1368241</v>
          </cell>
          <cell r="BJ36">
            <v>1692915</v>
          </cell>
          <cell r="BK36">
            <v>1309752</v>
          </cell>
          <cell r="BL36">
            <v>1250254</v>
          </cell>
        </row>
        <row r="37">
          <cell r="A37" t="str">
            <v>RETROVIR GSK 041987</v>
          </cell>
          <cell r="B37" t="str">
            <v>RETROVIR GSK 041987</v>
          </cell>
          <cell r="C37">
            <v>2648101</v>
          </cell>
          <cell r="D37">
            <v>2816873</v>
          </cell>
          <cell r="E37">
            <v>3834820</v>
          </cell>
          <cell r="F37">
            <v>2659586</v>
          </cell>
          <cell r="G37">
            <v>2862668</v>
          </cell>
          <cell r="H37">
            <v>3443694</v>
          </cell>
          <cell r="I37">
            <v>2774902</v>
          </cell>
          <cell r="J37">
            <v>2817291</v>
          </cell>
          <cell r="K37">
            <v>3449837</v>
          </cell>
          <cell r="L37">
            <v>1982794</v>
          </cell>
          <cell r="M37">
            <v>1686574</v>
          </cell>
          <cell r="N37">
            <v>2064105</v>
          </cell>
          <cell r="O37">
            <v>1415301</v>
          </cell>
          <cell r="P37">
            <v>1358835</v>
          </cell>
          <cell r="Q37">
            <v>1718808</v>
          </cell>
          <cell r="R37">
            <v>1130282</v>
          </cell>
          <cell r="S37">
            <v>1086564</v>
          </cell>
          <cell r="T37">
            <v>1174620</v>
          </cell>
          <cell r="U37">
            <v>856564</v>
          </cell>
          <cell r="V37">
            <v>723855</v>
          </cell>
          <cell r="W37">
            <v>870949</v>
          </cell>
          <cell r="X37">
            <v>597400</v>
          </cell>
          <cell r="Y37">
            <v>586032</v>
          </cell>
          <cell r="Z37">
            <v>740950</v>
          </cell>
          <cell r="AA37">
            <v>534193</v>
          </cell>
          <cell r="AB37">
            <v>486092</v>
          </cell>
          <cell r="AC37">
            <v>614472</v>
          </cell>
          <cell r="AD37">
            <v>449837</v>
          </cell>
          <cell r="AE37">
            <v>452715</v>
          </cell>
          <cell r="AF37">
            <v>488991</v>
          </cell>
          <cell r="AG37">
            <v>431370</v>
          </cell>
          <cell r="AH37">
            <v>387433</v>
          </cell>
          <cell r="AI37">
            <v>493589</v>
          </cell>
          <cell r="AJ37">
            <v>362596</v>
          </cell>
          <cell r="AK37">
            <v>404398</v>
          </cell>
          <cell r="AL37">
            <v>476871</v>
          </cell>
          <cell r="AM37">
            <v>351738</v>
          </cell>
          <cell r="AN37">
            <v>316982</v>
          </cell>
          <cell r="AO37">
            <v>397073</v>
          </cell>
          <cell r="AP37">
            <v>382495</v>
          </cell>
          <cell r="AQ37">
            <v>298123</v>
          </cell>
          <cell r="AR37">
            <v>367784</v>
          </cell>
          <cell r="AS37">
            <v>278173</v>
          </cell>
          <cell r="AT37">
            <v>278912</v>
          </cell>
          <cell r="AU37">
            <v>341497</v>
          </cell>
          <cell r="AV37">
            <v>256108</v>
          </cell>
          <cell r="AW37">
            <v>243744</v>
          </cell>
          <cell r="AX37">
            <v>257448</v>
          </cell>
          <cell r="AY37">
            <v>211550</v>
          </cell>
          <cell r="AZ37">
            <v>256473</v>
          </cell>
          <cell r="BA37">
            <v>284266</v>
          </cell>
          <cell r="BB37">
            <v>192429</v>
          </cell>
          <cell r="BC37">
            <v>191202</v>
          </cell>
          <cell r="BD37">
            <v>257024</v>
          </cell>
          <cell r="BE37">
            <v>200195</v>
          </cell>
          <cell r="BF37">
            <v>229785</v>
          </cell>
          <cell r="BG37">
            <v>215614</v>
          </cell>
          <cell r="BH37">
            <v>203701</v>
          </cell>
          <cell r="BI37">
            <v>202469</v>
          </cell>
          <cell r="BJ37">
            <v>261952</v>
          </cell>
          <cell r="BK37">
            <v>236190</v>
          </cell>
          <cell r="BL37">
            <v>220075</v>
          </cell>
        </row>
        <row r="38">
          <cell r="A38" t="str">
            <v>EMTRIVA GS- 072003</v>
          </cell>
          <cell r="B38" t="str">
            <v>EMTRIVA GS- 072003</v>
          </cell>
          <cell r="C38">
            <v>2784324</v>
          </cell>
          <cell r="D38">
            <v>2433991</v>
          </cell>
          <cell r="E38">
            <v>3120486</v>
          </cell>
          <cell r="F38">
            <v>2050680</v>
          </cell>
          <cell r="G38">
            <v>1988775</v>
          </cell>
          <cell r="H38">
            <v>2336015</v>
          </cell>
          <cell r="I38">
            <v>1859547</v>
          </cell>
          <cell r="J38">
            <v>1774242</v>
          </cell>
          <cell r="K38">
            <v>2180365</v>
          </cell>
          <cell r="L38">
            <v>1651612</v>
          </cell>
          <cell r="M38">
            <v>1552344</v>
          </cell>
          <cell r="N38">
            <v>2004785</v>
          </cell>
          <cell r="O38">
            <v>1543321</v>
          </cell>
          <cell r="P38">
            <v>1531960</v>
          </cell>
          <cell r="Q38">
            <v>1818398</v>
          </cell>
          <cell r="R38">
            <v>1478728</v>
          </cell>
          <cell r="S38">
            <v>1525099</v>
          </cell>
          <cell r="T38">
            <v>1781107</v>
          </cell>
          <cell r="U38">
            <v>1561999</v>
          </cell>
          <cell r="V38">
            <v>1605848</v>
          </cell>
          <cell r="W38">
            <v>2068283</v>
          </cell>
          <cell r="X38">
            <v>1481822</v>
          </cell>
          <cell r="Y38">
            <v>1433610</v>
          </cell>
          <cell r="Z38">
            <v>1759239</v>
          </cell>
          <cell r="AA38">
            <v>1447247</v>
          </cell>
          <cell r="AB38">
            <v>1499268</v>
          </cell>
          <cell r="AC38">
            <v>1643978</v>
          </cell>
          <cell r="AD38">
            <v>1246258</v>
          </cell>
          <cell r="AE38">
            <v>1358233</v>
          </cell>
          <cell r="AF38">
            <v>1735003</v>
          </cell>
          <cell r="AG38">
            <v>1426028</v>
          </cell>
          <cell r="AH38">
            <v>1273490</v>
          </cell>
          <cell r="AI38">
            <v>1661821</v>
          </cell>
          <cell r="AJ38">
            <v>1274584</v>
          </cell>
          <cell r="AK38">
            <v>1176929</v>
          </cell>
          <cell r="AL38">
            <v>1642616</v>
          </cell>
          <cell r="AM38">
            <v>1323808</v>
          </cell>
          <cell r="AN38">
            <v>1431761</v>
          </cell>
          <cell r="AO38">
            <v>1654435</v>
          </cell>
          <cell r="AP38">
            <v>1298136</v>
          </cell>
          <cell r="AQ38">
            <v>1280522</v>
          </cell>
          <cell r="AR38">
            <v>1497595</v>
          </cell>
          <cell r="AS38">
            <v>1303733</v>
          </cell>
          <cell r="AT38">
            <v>1240644</v>
          </cell>
          <cell r="AU38">
            <v>1732097</v>
          </cell>
          <cell r="AV38">
            <v>1384291</v>
          </cell>
          <cell r="AW38">
            <v>1259677</v>
          </cell>
          <cell r="AX38">
            <v>1758465</v>
          </cell>
          <cell r="AY38">
            <v>1298095</v>
          </cell>
          <cell r="AZ38">
            <v>1303781</v>
          </cell>
          <cell r="BA38">
            <v>1729364</v>
          </cell>
          <cell r="BB38">
            <v>1269345</v>
          </cell>
          <cell r="BC38">
            <v>1315851</v>
          </cell>
          <cell r="BD38">
            <v>1720926</v>
          </cell>
          <cell r="BE38">
            <v>1476076</v>
          </cell>
          <cell r="BF38">
            <v>1477092</v>
          </cell>
          <cell r="BG38">
            <v>1804203</v>
          </cell>
          <cell r="BH38">
            <v>1342261</v>
          </cell>
          <cell r="BI38">
            <v>1369568</v>
          </cell>
          <cell r="BJ38">
            <v>1834642</v>
          </cell>
          <cell r="BK38">
            <v>1454498</v>
          </cell>
          <cell r="BL38">
            <v>1425965</v>
          </cell>
        </row>
        <row r="39">
          <cell r="A39" t="str">
            <v>ENBREL AAI 111998</v>
          </cell>
          <cell r="B39" t="str">
            <v>ENBREL AAI 111998</v>
          </cell>
          <cell r="C39">
            <v>191314620</v>
          </cell>
          <cell r="D39">
            <v>198462062</v>
          </cell>
          <cell r="E39">
            <v>251311639</v>
          </cell>
          <cell r="F39">
            <v>203179240</v>
          </cell>
          <cell r="G39">
            <v>212530880</v>
          </cell>
          <cell r="H39">
            <v>264413370</v>
          </cell>
          <cell r="I39">
            <v>202646297</v>
          </cell>
          <cell r="J39">
            <v>220846295</v>
          </cell>
          <cell r="K39">
            <v>286275100</v>
          </cell>
          <cell r="L39">
            <v>227937896</v>
          </cell>
          <cell r="M39">
            <v>213098922</v>
          </cell>
          <cell r="N39">
            <v>286604638</v>
          </cell>
          <cell r="O39">
            <v>221439560</v>
          </cell>
          <cell r="P39">
            <v>211770391</v>
          </cell>
          <cell r="Q39">
            <v>282238826</v>
          </cell>
          <cell r="R39">
            <v>226825408</v>
          </cell>
          <cell r="S39">
            <v>246034779</v>
          </cell>
          <cell r="T39">
            <v>304875158</v>
          </cell>
          <cell r="U39">
            <v>236174710</v>
          </cell>
          <cell r="V39">
            <v>244563897</v>
          </cell>
          <cell r="W39">
            <v>295256018</v>
          </cell>
          <cell r="X39">
            <v>250284432</v>
          </cell>
          <cell r="Y39">
            <v>238894921</v>
          </cell>
          <cell r="Z39">
            <v>332768906</v>
          </cell>
          <cell r="AA39">
            <v>229636158</v>
          </cell>
          <cell r="AB39">
            <v>242386529</v>
          </cell>
          <cell r="AC39">
            <v>319839711</v>
          </cell>
          <cell r="AD39">
            <v>264845295</v>
          </cell>
          <cell r="AE39">
            <v>268401721</v>
          </cell>
          <cell r="AF39">
            <v>351447614</v>
          </cell>
          <cell r="AG39">
            <v>270323583</v>
          </cell>
          <cell r="AH39">
            <v>271677456</v>
          </cell>
          <cell r="AI39">
            <v>321771399</v>
          </cell>
          <cell r="AJ39">
            <v>272772046</v>
          </cell>
          <cell r="AK39">
            <v>259228215</v>
          </cell>
          <cell r="AL39">
            <v>351240561</v>
          </cell>
          <cell r="AM39">
            <v>263631782</v>
          </cell>
          <cell r="AN39">
            <v>235035659</v>
          </cell>
          <cell r="AO39">
            <v>290379953</v>
          </cell>
          <cell r="AP39">
            <v>232048901</v>
          </cell>
          <cell r="AQ39">
            <v>268443964</v>
          </cell>
          <cell r="AR39">
            <v>326213721</v>
          </cell>
          <cell r="AS39">
            <v>260448035</v>
          </cell>
          <cell r="AT39">
            <v>269062657</v>
          </cell>
          <cell r="AU39">
            <v>317465128</v>
          </cell>
          <cell r="AV39">
            <v>259549238</v>
          </cell>
          <cell r="AW39">
            <v>251485463</v>
          </cell>
          <cell r="AX39">
            <v>300247014</v>
          </cell>
          <cell r="AY39">
            <v>240839922</v>
          </cell>
          <cell r="AZ39">
            <v>236647682</v>
          </cell>
          <cell r="BA39">
            <v>302447497</v>
          </cell>
          <cell r="BB39">
            <v>250118817</v>
          </cell>
          <cell r="BC39">
            <v>253423441</v>
          </cell>
          <cell r="BD39">
            <v>323792184</v>
          </cell>
          <cell r="BE39">
            <v>259519106</v>
          </cell>
          <cell r="BF39">
            <v>251595117</v>
          </cell>
          <cell r="BG39">
            <v>317306756</v>
          </cell>
          <cell r="BH39">
            <v>248783599</v>
          </cell>
          <cell r="BI39">
            <v>241665585</v>
          </cell>
          <cell r="BJ39">
            <v>320879167</v>
          </cell>
          <cell r="BK39">
            <v>235610585</v>
          </cell>
          <cell r="BL39">
            <v>234111948</v>
          </cell>
        </row>
        <row r="40">
          <cell r="A40" t="str">
            <v>EPIVIR GSK 121995</v>
          </cell>
          <cell r="B40" t="str">
            <v>EPIVIR GSK 121995</v>
          </cell>
          <cell r="C40">
            <v>19043653</v>
          </cell>
          <cell r="D40">
            <v>19093210</v>
          </cell>
          <cell r="E40">
            <v>23195562</v>
          </cell>
          <cell r="F40">
            <v>16559598</v>
          </cell>
          <cell r="G40">
            <v>17404327</v>
          </cell>
          <cell r="H40">
            <v>20153106</v>
          </cell>
          <cell r="I40">
            <v>15637545</v>
          </cell>
          <cell r="J40">
            <v>15218395</v>
          </cell>
          <cell r="K40">
            <v>18660548</v>
          </cell>
          <cell r="L40">
            <v>14143195</v>
          </cell>
          <cell r="M40">
            <v>13339989</v>
          </cell>
          <cell r="N40">
            <v>17681835</v>
          </cell>
          <cell r="O40">
            <v>13428845</v>
          </cell>
          <cell r="P40">
            <v>13176194</v>
          </cell>
          <cell r="Q40">
            <v>16591606</v>
          </cell>
          <cell r="R40">
            <v>12431935</v>
          </cell>
          <cell r="S40">
            <v>12974956</v>
          </cell>
          <cell r="T40">
            <v>15184186</v>
          </cell>
          <cell r="U40">
            <v>11937289</v>
          </cell>
          <cell r="V40">
            <v>11608056</v>
          </cell>
          <cell r="W40">
            <v>14425883</v>
          </cell>
          <cell r="X40">
            <v>10947375</v>
          </cell>
          <cell r="Y40">
            <v>10263555</v>
          </cell>
          <cell r="Z40">
            <v>13212565</v>
          </cell>
          <cell r="AA40">
            <v>10494799</v>
          </cell>
          <cell r="AB40">
            <v>10791087</v>
          </cell>
          <cell r="AC40">
            <v>12565876</v>
          </cell>
          <cell r="AD40">
            <v>10002777</v>
          </cell>
          <cell r="AE40">
            <v>9733831</v>
          </cell>
          <cell r="AF40">
            <v>11261955</v>
          </cell>
          <cell r="AG40">
            <v>9020640</v>
          </cell>
          <cell r="AH40">
            <v>9270201</v>
          </cell>
          <cell r="AI40">
            <v>11229434</v>
          </cell>
          <cell r="AJ40">
            <v>9082233</v>
          </cell>
          <cell r="AK40">
            <v>8393599</v>
          </cell>
          <cell r="AL40">
            <v>10526583</v>
          </cell>
          <cell r="AM40">
            <v>8327279</v>
          </cell>
          <cell r="AN40">
            <v>8263907</v>
          </cell>
          <cell r="AO40">
            <v>10484797</v>
          </cell>
          <cell r="AP40">
            <v>7908385</v>
          </cell>
          <cell r="AQ40">
            <v>7613481</v>
          </cell>
          <cell r="AR40">
            <v>9146256</v>
          </cell>
          <cell r="AS40">
            <v>7331717</v>
          </cell>
          <cell r="AT40">
            <v>7296944</v>
          </cell>
          <cell r="AU40">
            <v>9591011</v>
          </cell>
          <cell r="AV40">
            <v>7564430</v>
          </cell>
          <cell r="AW40">
            <v>7116057</v>
          </cell>
          <cell r="AX40">
            <v>8782880</v>
          </cell>
          <cell r="AY40">
            <v>7072298</v>
          </cell>
          <cell r="AZ40">
            <v>6769939</v>
          </cell>
          <cell r="BA40">
            <v>8403508</v>
          </cell>
          <cell r="BB40">
            <v>6510603</v>
          </cell>
          <cell r="BC40">
            <v>6546967</v>
          </cell>
          <cell r="BD40">
            <v>8346759</v>
          </cell>
          <cell r="BE40">
            <v>6984157</v>
          </cell>
          <cell r="BF40">
            <v>6696861</v>
          </cell>
          <cell r="BG40">
            <v>8198665</v>
          </cell>
          <cell r="BH40">
            <v>6505932</v>
          </cell>
          <cell r="BI40">
            <v>6399093</v>
          </cell>
          <cell r="BJ40">
            <v>8122288</v>
          </cell>
          <cell r="BK40">
            <v>6517261</v>
          </cell>
          <cell r="BL40">
            <v>6048524</v>
          </cell>
        </row>
        <row r="41">
          <cell r="A41" t="str">
            <v>EPIVIR HBV GSK 121998</v>
          </cell>
          <cell r="B41" t="str">
            <v>EPIVIR HBV GSK 121998</v>
          </cell>
          <cell r="C41">
            <v>1774606</v>
          </cell>
          <cell r="D41">
            <v>1792893</v>
          </cell>
          <cell r="E41">
            <v>2344314</v>
          </cell>
          <cell r="F41">
            <v>1754129</v>
          </cell>
          <cell r="G41">
            <v>1812826</v>
          </cell>
          <cell r="H41">
            <v>2350332</v>
          </cell>
          <cell r="I41">
            <v>1883914</v>
          </cell>
          <cell r="J41">
            <v>1905621</v>
          </cell>
          <cell r="K41">
            <v>2464891</v>
          </cell>
          <cell r="L41">
            <v>1904074</v>
          </cell>
          <cell r="M41">
            <v>1812763</v>
          </cell>
          <cell r="N41">
            <v>2556709</v>
          </cell>
          <cell r="O41">
            <v>1913197</v>
          </cell>
          <cell r="P41">
            <v>1933802</v>
          </cell>
          <cell r="Q41">
            <v>2476299</v>
          </cell>
          <cell r="R41">
            <v>1870953</v>
          </cell>
          <cell r="S41">
            <v>2051227</v>
          </cell>
          <cell r="T41">
            <v>2583736</v>
          </cell>
          <cell r="U41">
            <v>2019604</v>
          </cell>
          <cell r="V41">
            <v>2041688</v>
          </cell>
          <cell r="W41">
            <v>2590890</v>
          </cell>
          <cell r="X41">
            <v>2079211</v>
          </cell>
          <cell r="Y41">
            <v>1986887</v>
          </cell>
          <cell r="Z41">
            <v>2633925</v>
          </cell>
          <cell r="AA41">
            <v>2180457</v>
          </cell>
          <cell r="AB41">
            <v>2046989</v>
          </cell>
          <cell r="AC41">
            <v>2622220</v>
          </cell>
          <cell r="AD41">
            <v>2134146</v>
          </cell>
          <cell r="AE41">
            <v>2093347</v>
          </cell>
          <cell r="AF41">
            <v>2588244</v>
          </cell>
          <cell r="AG41">
            <v>2082459</v>
          </cell>
          <cell r="AH41">
            <v>2208768</v>
          </cell>
          <cell r="AI41">
            <v>2760416</v>
          </cell>
          <cell r="AJ41">
            <v>2237110</v>
          </cell>
          <cell r="AK41">
            <v>2153363</v>
          </cell>
          <cell r="AL41">
            <v>2731639</v>
          </cell>
          <cell r="AM41">
            <v>2161658</v>
          </cell>
          <cell r="AN41">
            <v>2204641</v>
          </cell>
          <cell r="AO41">
            <v>3036716</v>
          </cell>
          <cell r="AP41">
            <v>2461824</v>
          </cell>
          <cell r="AQ41">
            <v>2391476</v>
          </cell>
          <cell r="AR41">
            <v>3027911</v>
          </cell>
          <cell r="AS41">
            <v>2384529</v>
          </cell>
          <cell r="AT41">
            <v>2354216</v>
          </cell>
          <cell r="AU41">
            <v>3097588</v>
          </cell>
          <cell r="AV41">
            <v>2562783</v>
          </cell>
          <cell r="AW41">
            <v>2401171</v>
          </cell>
          <cell r="AX41">
            <v>2843079</v>
          </cell>
          <cell r="AY41">
            <v>2403334</v>
          </cell>
          <cell r="AZ41">
            <v>2242692</v>
          </cell>
          <cell r="BA41">
            <v>2889933</v>
          </cell>
          <cell r="BB41">
            <v>2310565</v>
          </cell>
          <cell r="BC41">
            <v>2238238</v>
          </cell>
          <cell r="BD41">
            <v>2666755</v>
          </cell>
          <cell r="BE41">
            <v>2254802</v>
          </cell>
          <cell r="BF41">
            <v>2110308</v>
          </cell>
          <cell r="BG41">
            <v>2661333</v>
          </cell>
          <cell r="BH41">
            <v>2111248</v>
          </cell>
          <cell r="BI41">
            <v>2050362</v>
          </cell>
          <cell r="BJ41">
            <v>2583682</v>
          </cell>
          <cell r="BK41">
            <v>2115300</v>
          </cell>
          <cell r="BL41">
            <v>2506204</v>
          </cell>
        </row>
        <row r="42">
          <cell r="A42" t="str">
            <v>EPOGEN AAI 061989</v>
          </cell>
          <cell r="B42" t="str">
            <v>EPOGEN AAI 061989</v>
          </cell>
          <cell r="C42">
            <v>229667026</v>
          </cell>
          <cell r="D42">
            <v>225560726</v>
          </cell>
          <cell r="E42">
            <v>311064547</v>
          </cell>
          <cell r="F42">
            <v>214392725</v>
          </cell>
          <cell r="G42">
            <v>228930142</v>
          </cell>
          <cell r="H42">
            <v>291486245</v>
          </cell>
          <cell r="I42">
            <v>215142653</v>
          </cell>
          <cell r="J42">
            <v>230093070</v>
          </cell>
          <cell r="K42">
            <v>301932138</v>
          </cell>
          <cell r="L42">
            <v>207914270</v>
          </cell>
          <cell r="M42">
            <v>221916561</v>
          </cell>
          <cell r="N42">
            <v>304863071</v>
          </cell>
          <cell r="O42">
            <v>208869029</v>
          </cell>
          <cell r="P42">
            <v>241129931</v>
          </cell>
          <cell r="Q42">
            <v>317574822</v>
          </cell>
          <cell r="R42">
            <v>232895079</v>
          </cell>
          <cell r="S42">
            <v>245426647</v>
          </cell>
          <cell r="T42">
            <v>350601772</v>
          </cell>
          <cell r="U42">
            <v>202800801</v>
          </cell>
          <cell r="V42">
            <v>241615367</v>
          </cell>
          <cell r="W42">
            <v>366991237</v>
          </cell>
          <cell r="X42">
            <v>189513942</v>
          </cell>
          <cell r="Y42">
            <v>254780123</v>
          </cell>
          <cell r="Z42">
            <v>392561970</v>
          </cell>
          <cell r="AA42">
            <v>182639659</v>
          </cell>
          <cell r="AB42">
            <v>241978460</v>
          </cell>
          <cell r="AC42">
            <v>314627016</v>
          </cell>
          <cell r="AD42">
            <v>240553777</v>
          </cell>
          <cell r="AE42">
            <v>240200364</v>
          </cell>
          <cell r="AF42">
            <v>291562419</v>
          </cell>
          <cell r="AG42">
            <v>236542758</v>
          </cell>
          <cell r="AH42">
            <v>241843364</v>
          </cell>
          <cell r="AI42">
            <v>296564540</v>
          </cell>
          <cell r="AJ42">
            <v>241611331</v>
          </cell>
          <cell r="AK42">
            <v>243528839</v>
          </cell>
          <cell r="AL42">
            <v>301765645</v>
          </cell>
          <cell r="AM42">
            <v>224784944</v>
          </cell>
          <cell r="AN42">
            <v>227972231</v>
          </cell>
          <cell r="AO42">
            <v>283940139</v>
          </cell>
          <cell r="AP42">
            <v>245622021</v>
          </cell>
          <cell r="AQ42">
            <v>250074948</v>
          </cell>
          <cell r="AR42">
            <v>304565975</v>
          </cell>
          <cell r="AS42">
            <v>245136493</v>
          </cell>
          <cell r="AT42">
            <v>251455657</v>
          </cell>
          <cell r="AU42">
            <v>303444218</v>
          </cell>
          <cell r="AV42">
            <v>238504371</v>
          </cell>
          <cell r="AW42">
            <v>238023351</v>
          </cell>
          <cell r="AX42">
            <v>292831443</v>
          </cell>
          <cell r="AY42">
            <v>224538222</v>
          </cell>
          <cell r="AZ42">
            <v>223997507</v>
          </cell>
          <cell r="BA42">
            <v>303394513</v>
          </cell>
          <cell r="BB42">
            <v>224870123</v>
          </cell>
          <cell r="BC42">
            <v>245707241</v>
          </cell>
          <cell r="BD42">
            <v>319976169</v>
          </cell>
          <cell r="BE42">
            <v>247536702</v>
          </cell>
          <cell r="BF42">
            <v>257857025</v>
          </cell>
          <cell r="BG42">
            <v>330655426</v>
          </cell>
          <cell r="BH42">
            <v>249420045</v>
          </cell>
          <cell r="BI42">
            <v>260757911</v>
          </cell>
          <cell r="BJ42">
            <v>317773091</v>
          </cell>
          <cell r="BK42">
            <v>251486946</v>
          </cell>
          <cell r="BL42">
            <v>252858906</v>
          </cell>
        </row>
        <row r="43">
          <cell r="A43" t="str">
            <v>EPZICOM GSK 082004</v>
          </cell>
          <cell r="B43" t="str">
            <v>EPZICOM GSK 082004</v>
          </cell>
          <cell r="C43">
            <v>8523445</v>
          </cell>
          <cell r="D43">
            <v>10026687</v>
          </cell>
          <cell r="E43">
            <v>14463069</v>
          </cell>
          <cell r="F43">
            <v>11309498</v>
          </cell>
          <cell r="G43">
            <v>13146620</v>
          </cell>
          <cell r="H43">
            <v>16461869</v>
          </cell>
          <cell r="I43">
            <v>13587667</v>
          </cell>
          <cell r="J43">
            <v>14403216</v>
          </cell>
          <cell r="K43">
            <v>19676457</v>
          </cell>
          <cell r="L43">
            <v>15725200</v>
          </cell>
          <cell r="M43">
            <v>16481821</v>
          </cell>
          <cell r="N43">
            <v>21438285</v>
          </cell>
          <cell r="O43">
            <v>17437652</v>
          </cell>
          <cell r="P43">
            <v>18691802</v>
          </cell>
          <cell r="Q43">
            <v>24787069</v>
          </cell>
          <cell r="R43">
            <v>19416801</v>
          </cell>
          <cell r="S43">
            <v>20640004</v>
          </cell>
          <cell r="T43">
            <v>25344759</v>
          </cell>
          <cell r="U43">
            <v>20419265</v>
          </cell>
          <cell r="V43">
            <v>20694215</v>
          </cell>
          <cell r="W43">
            <v>27129808</v>
          </cell>
          <cell r="X43">
            <v>21348810</v>
          </cell>
          <cell r="Y43">
            <v>21723128</v>
          </cell>
          <cell r="Z43">
            <v>28682329</v>
          </cell>
          <cell r="AA43">
            <v>24384078</v>
          </cell>
          <cell r="AB43">
            <v>24003542</v>
          </cell>
          <cell r="AC43">
            <v>31837607</v>
          </cell>
          <cell r="AD43">
            <v>24825969</v>
          </cell>
          <cell r="AE43">
            <v>24715383</v>
          </cell>
          <cell r="AF43">
            <v>31257626</v>
          </cell>
          <cell r="AG43">
            <v>24899445</v>
          </cell>
          <cell r="AH43">
            <v>25953037</v>
          </cell>
          <cell r="AI43">
            <v>33078596</v>
          </cell>
          <cell r="AJ43">
            <v>26659825</v>
          </cell>
          <cell r="AK43">
            <v>26038907</v>
          </cell>
          <cell r="AL43">
            <v>33830487</v>
          </cell>
          <cell r="AM43">
            <v>27565794</v>
          </cell>
          <cell r="AN43">
            <v>27936304</v>
          </cell>
          <cell r="AO43">
            <v>40482279</v>
          </cell>
          <cell r="AP43">
            <v>27759059</v>
          </cell>
          <cell r="AQ43">
            <v>27780630</v>
          </cell>
          <cell r="AR43">
            <v>35174135</v>
          </cell>
          <cell r="AS43">
            <v>27757440</v>
          </cell>
          <cell r="AT43">
            <v>29224307</v>
          </cell>
          <cell r="AU43">
            <v>38246990</v>
          </cell>
          <cell r="AV43">
            <v>30821297</v>
          </cell>
          <cell r="AW43">
            <v>30227555</v>
          </cell>
          <cell r="AX43">
            <v>37024808</v>
          </cell>
          <cell r="AY43">
            <v>30866031</v>
          </cell>
          <cell r="AZ43">
            <v>31873655</v>
          </cell>
          <cell r="BA43">
            <v>38930388</v>
          </cell>
          <cell r="BB43">
            <v>29033646</v>
          </cell>
          <cell r="BC43">
            <v>29254512</v>
          </cell>
          <cell r="BD43">
            <v>39974075</v>
          </cell>
          <cell r="BE43">
            <v>32276557</v>
          </cell>
          <cell r="BF43">
            <v>32002416</v>
          </cell>
          <cell r="BG43">
            <v>40276073</v>
          </cell>
          <cell r="BH43">
            <v>34177026</v>
          </cell>
          <cell r="BI43">
            <v>33086032</v>
          </cell>
          <cell r="BJ43">
            <v>41605842</v>
          </cell>
          <cell r="BK43">
            <v>33213514</v>
          </cell>
          <cell r="BL43">
            <v>33130059</v>
          </cell>
        </row>
        <row r="44">
          <cell r="A44" t="str">
            <v>ERBITUX ISY 022004</v>
          </cell>
          <cell r="B44" t="str">
            <v>ERBITUX ISY 022004</v>
          </cell>
          <cell r="C44">
            <v>25830708</v>
          </cell>
          <cell r="D44">
            <v>29992313</v>
          </cell>
          <cell r="E44">
            <v>34413598</v>
          </cell>
          <cell r="F44">
            <v>32787833</v>
          </cell>
          <cell r="G44">
            <v>32087781</v>
          </cell>
          <cell r="H44">
            <v>39397587</v>
          </cell>
          <cell r="I44">
            <v>31057414</v>
          </cell>
          <cell r="J44">
            <v>34495459</v>
          </cell>
          <cell r="K44">
            <v>44400831</v>
          </cell>
          <cell r="L44">
            <v>37985487</v>
          </cell>
          <cell r="M44">
            <v>37816297</v>
          </cell>
          <cell r="N44">
            <v>48705106</v>
          </cell>
          <cell r="O44">
            <v>39540466</v>
          </cell>
          <cell r="P44">
            <v>43883564</v>
          </cell>
          <cell r="Q44">
            <v>58806717</v>
          </cell>
          <cell r="R44">
            <v>51616070</v>
          </cell>
          <cell r="S44">
            <v>56514972</v>
          </cell>
          <cell r="T44">
            <v>67432775</v>
          </cell>
          <cell r="U44">
            <v>53371189</v>
          </cell>
          <cell r="V44">
            <v>55201900</v>
          </cell>
          <cell r="W44">
            <v>70771770</v>
          </cell>
          <cell r="X44">
            <v>58026248</v>
          </cell>
          <cell r="Y44">
            <v>54917959</v>
          </cell>
          <cell r="Z44">
            <v>67202590</v>
          </cell>
          <cell r="AA44">
            <v>47751578</v>
          </cell>
          <cell r="AB44">
            <v>52884067</v>
          </cell>
          <cell r="AC44">
            <v>63199011</v>
          </cell>
          <cell r="AD44">
            <v>51395186</v>
          </cell>
          <cell r="AE44">
            <v>54936039</v>
          </cell>
          <cell r="AF44">
            <v>64654095</v>
          </cell>
          <cell r="AG44">
            <v>55661363</v>
          </cell>
          <cell r="AH44">
            <v>56235272</v>
          </cell>
          <cell r="AI44">
            <v>71984492</v>
          </cell>
          <cell r="AJ44">
            <v>59465301</v>
          </cell>
          <cell r="AK44">
            <v>56335451</v>
          </cell>
          <cell r="AL44">
            <v>73595631</v>
          </cell>
          <cell r="AM44">
            <v>59362671</v>
          </cell>
          <cell r="AN44">
            <v>63729196</v>
          </cell>
          <cell r="AO44">
            <v>80576577</v>
          </cell>
          <cell r="AP44">
            <v>63738813</v>
          </cell>
          <cell r="AQ44">
            <v>61563421</v>
          </cell>
          <cell r="AR44">
            <v>75910527</v>
          </cell>
          <cell r="AS44">
            <v>60974489</v>
          </cell>
          <cell r="AT44">
            <v>59197691</v>
          </cell>
          <cell r="AU44">
            <v>71161131</v>
          </cell>
          <cell r="AV44">
            <v>56835002</v>
          </cell>
          <cell r="AW44">
            <v>56828256</v>
          </cell>
          <cell r="AX44">
            <v>66876556</v>
          </cell>
          <cell r="AY44">
            <v>56771554</v>
          </cell>
          <cell r="AZ44">
            <v>57441054</v>
          </cell>
          <cell r="BA44">
            <v>75622050</v>
          </cell>
          <cell r="BB44">
            <v>56893342</v>
          </cell>
          <cell r="BC44">
            <v>55566173</v>
          </cell>
          <cell r="BD44">
            <v>70755279</v>
          </cell>
          <cell r="BE44">
            <v>55004678</v>
          </cell>
          <cell r="BF44">
            <v>55179899</v>
          </cell>
          <cell r="BG44">
            <v>69079043</v>
          </cell>
          <cell r="BH44">
            <v>55981867</v>
          </cell>
          <cell r="BI44">
            <v>53362019</v>
          </cell>
          <cell r="BJ44">
            <v>66609849</v>
          </cell>
          <cell r="BK44">
            <v>53369474</v>
          </cell>
          <cell r="BL44">
            <v>54461905</v>
          </cell>
        </row>
        <row r="45">
          <cell r="A45" t="str">
            <v>EVISTA LLY 011998</v>
          </cell>
          <cell r="B45" t="str">
            <v xml:space="preserve"> </v>
          </cell>
          <cell r="C45">
            <v>974086</v>
          </cell>
          <cell r="D45">
            <v>765606</v>
          </cell>
          <cell r="E45">
            <v>1229982</v>
          </cell>
          <cell r="F45">
            <v>1135424</v>
          </cell>
          <cell r="G45">
            <v>58080280</v>
          </cell>
          <cell r="H45">
            <v>69773837</v>
          </cell>
          <cell r="I45">
            <v>54731933</v>
          </cell>
          <cell r="J45">
            <v>54340932</v>
          </cell>
          <cell r="K45">
            <v>66287067</v>
          </cell>
          <cell r="L45">
            <v>52955919</v>
          </cell>
          <cell r="M45">
            <v>51999089</v>
          </cell>
          <cell r="N45">
            <v>67516967</v>
          </cell>
          <cell r="O45">
            <v>54922093</v>
          </cell>
          <cell r="P45">
            <v>54357394</v>
          </cell>
          <cell r="Q45">
            <v>65377813</v>
          </cell>
          <cell r="R45">
            <v>52970251</v>
          </cell>
          <cell r="S45">
            <v>53395302</v>
          </cell>
          <cell r="T45">
            <v>64944069</v>
          </cell>
          <cell r="U45">
            <v>52922611</v>
          </cell>
          <cell r="V45">
            <v>52994066</v>
          </cell>
          <cell r="W45">
            <v>65205764</v>
          </cell>
          <cell r="X45">
            <v>52509694</v>
          </cell>
          <cell r="Y45">
            <v>52569979</v>
          </cell>
          <cell r="Z45">
            <v>64857701</v>
          </cell>
          <cell r="AA45">
            <v>53941283</v>
          </cell>
          <cell r="AB45">
            <v>54141211</v>
          </cell>
          <cell r="AC45">
            <v>67015982</v>
          </cell>
          <cell r="AD45">
            <v>54695630</v>
          </cell>
          <cell r="AE45">
            <v>54781050</v>
          </cell>
          <cell r="AF45">
            <v>66018628</v>
          </cell>
          <cell r="AG45">
            <v>53372377</v>
          </cell>
          <cell r="AH45">
            <v>53240745</v>
          </cell>
          <cell r="AI45">
            <v>64407610</v>
          </cell>
          <cell r="AJ45">
            <v>51639921</v>
          </cell>
          <cell r="AK45">
            <v>52180971</v>
          </cell>
          <cell r="AL45">
            <v>65503914</v>
          </cell>
          <cell r="AM45">
            <v>56703448</v>
          </cell>
          <cell r="AN45">
            <v>55755194</v>
          </cell>
          <cell r="AO45">
            <v>70252494</v>
          </cell>
          <cell r="AP45">
            <v>55659541</v>
          </cell>
          <cell r="AQ45">
            <v>54777529</v>
          </cell>
          <cell r="AR45">
            <v>64829182</v>
          </cell>
          <cell r="AS45">
            <v>49167222</v>
          </cell>
          <cell r="AT45">
            <v>53219248</v>
          </cell>
          <cell r="AU45">
            <v>68808446</v>
          </cell>
          <cell r="AV45">
            <v>52254311</v>
          </cell>
          <cell r="AW45">
            <v>51051473</v>
          </cell>
          <cell r="AX45">
            <v>60850935</v>
          </cell>
          <cell r="AY45">
            <v>54318135</v>
          </cell>
          <cell r="AZ45">
            <v>50870356</v>
          </cell>
          <cell r="BA45">
            <v>63145442</v>
          </cell>
          <cell r="BB45">
            <v>51104545</v>
          </cell>
          <cell r="BC45">
            <v>51260583</v>
          </cell>
          <cell r="BD45">
            <v>65473348</v>
          </cell>
          <cell r="BE45">
            <v>55066212</v>
          </cell>
          <cell r="BF45">
            <v>54334799</v>
          </cell>
          <cell r="BG45">
            <v>67588138</v>
          </cell>
          <cell r="BH45">
            <v>54060611</v>
          </cell>
          <cell r="BI45">
            <v>51386837</v>
          </cell>
          <cell r="BJ45">
            <v>66986893</v>
          </cell>
          <cell r="BK45">
            <v>54262029</v>
          </cell>
          <cell r="BL45">
            <v>50767520</v>
          </cell>
        </row>
        <row r="46">
          <cell r="A46" t="str">
            <v>FABRAZYME GZY 072003</v>
          </cell>
          <cell r="B46" t="str">
            <v>FABRAZYME GZY 072003</v>
          </cell>
          <cell r="C46">
            <v>974086</v>
          </cell>
          <cell r="D46">
            <v>765606</v>
          </cell>
          <cell r="E46">
            <v>1229982</v>
          </cell>
          <cell r="F46">
            <v>1135424</v>
          </cell>
          <cell r="G46">
            <v>1132351</v>
          </cell>
          <cell r="H46">
            <v>685888</v>
          </cell>
          <cell r="I46">
            <v>639858</v>
          </cell>
          <cell r="J46">
            <v>587228</v>
          </cell>
          <cell r="K46">
            <v>596928</v>
          </cell>
          <cell r="L46">
            <v>1255208</v>
          </cell>
          <cell r="M46">
            <v>614777</v>
          </cell>
          <cell r="N46">
            <v>787002</v>
          </cell>
          <cell r="O46">
            <v>588172</v>
          </cell>
          <cell r="P46">
            <v>795350</v>
          </cell>
          <cell r="Q46">
            <v>752179</v>
          </cell>
          <cell r="R46">
            <v>686043</v>
          </cell>
          <cell r="S46">
            <v>636533</v>
          </cell>
          <cell r="T46">
            <v>857405</v>
          </cell>
          <cell r="U46">
            <v>554378</v>
          </cell>
          <cell r="V46">
            <v>741673</v>
          </cell>
          <cell r="W46">
            <v>946234</v>
          </cell>
          <cell r="X46">
            <v>719730</v>
          </cell>
          <cell r="Y46">
            <v>503622</v>
          </cell>
          <cell r="Z46">
            <v>837907</v>
          </cell>
          <cell r="AA46">
            <v>563615</v>
          </cell>
          <cell r="AB46">
            <v>567978</v>
          </cell>
          <cell r="AC46">
            <v>647856</v>
          </cell>
          <cell r="AD46">
            <v>537625</v>
          </cell>
          <cell r="AE46">
            <v>640255</v>
          </cell>
          <cell r="AF46">
            <v>779908</v>
          </cell>
          <cell r="AG46">
            <v>689692</v>
          </cell>
          <cell r="AH46">
            <v>705884</v>
          </cell>
          <cell r="AI46">
            <v>779748</v>
          </cell>
          <cell r="AJ46">
            <v>658888</v>
          </cell>
          <cell r="AK46">
            <v>599877</v>
          </cell>
          <cell r="AL46">
            <v>991315</v>
          </cell>
          <cell r="AM46">
            <v>591104</v>
          </cell>
          <cell r="AN46">
            <v>722554</v>
          </cell>
          <cell r="AO46">
            <v>977299</v>
          </cell>
          <cell r="AP46">
            <v>670960</v>
          </cell>
          <cell r="AQ46">
            <v>765254</v>
          </cell>
          <cell r="AR46">
            <v>825254</v>
          </cell>
          <cell r="AS46">
            <v>561738</v>
          </cell>
          <cell r="AT46">
            <v>725021</v>
          </cell>
          <cell r="AU46">
            <v>775265</v>
          </cell>
          <cell r="AV46">
            <v>654618</v>
          </cell>
          <cell r="AW46">
            <v>787005</v>
          </cell>
          <cell r="AX46">
            <v>1273509</v>
          </cell>
          <cell r="AY46">
            <v>1211506</v>
          </cell>
          <cell r="AZ46">
            <v>1002589</v>
          </cell>
          <cell r="BA46">
            <v>1563202</v>
          </cell>
          <cell r="BB46">
            <v>1290617</v>
          </cell>
          <cell r="BC46">
            <v>1122907</v>
          </cell>
          <cell r="BD46">
            <v>1469217</v>
          </cell>
          <cell r="BE46">
            <v>866764</v>
          </cell>
          <cell r="BF46">
            <v>831398</v>
          </cell>
          <cell r="BG46">
            <v>1035062</v>
          </cell>
          <cell r="BH46">
            <v>733624</v>
          </cell>
          <cell r="BI46">
            <v>298436</v>
          </cell>
          <cell r="BJ46">
            <v>277133</v>
          </cell>
          <cell r="BK46">
            <v>603443</v>
          </cell>
          <cell r="BL46">
            <v>514207</v>
          </cell>
        </row>
        <row r="47">
          <cell r="A47" t="str">
            <v>FORTEO LLY 122002</v>
          </cell>
          <cell r="B47" t="str">
            <v xml:space="preserve"> </v>
          </cell>
          <cell r="C47">
            <v>1293390</v>
          </cell>
          <cell r="D47">
            <v>1196177</v>
          </cell>
          <cell r="E47">
            <v>1550392</v>
          </cell>
          <cell r="F47">
            <v>1074556</v>
          </cell>
          <cell r="G47">
            <v>30602036</v>
          </cell>
          <cell r="H47">
            <v>39856359</v>
          </cell>
          <cell r="I47">
            <v>31547469</v>
          </cell>
          <cell r="J47">
            <v>32967964</v>
          </cell>
          <cell r="K47">
            <v>41524211</v>
          </cell>
          <cell r="L47">
            <v>33862532</v>
          </cell>
          <cell r="M47">
            <v>34030118</v>
          </cell>
          <cell r="N47">
            <v>47029405</v>
          </cell>
          <cell r="O47">
            <v>35452952</v>
          </cell>
          <cell r="P47">
            <v>38946283</v>
          </cell>
          <cell r="Q47">
            <v>50231236</v>
          </cell>
          <cell r="R47">
            <v>39894498</v>
          </cell>
          <cell r="S47">
            <v>37792918</v>
          </cell>
          <cell r="T47">
            <v>49137289</v>
          </cell>
          <cell r="U47">
            <v>38621704</v>
          </cell>
          <cell r="V47">
            <v>39185316</v>
          </cell>
          <cell r="W47">
            <v>49071420</v>
          </cell>
          <cell r="X47">
            <v>40886656</v>
          </cell>
          <cell r="Y47">
            <v>39843638</v>
          </cell>
          <cell r="Z47">
            <v>52818257</v>
          </cell>
          <cell r="AA47">
            <v>39273994</v>
          </cell>
          <cell r="AB47">
            <v>41046624</v>
          </cell>
          <cell r="AC47">
            <v>51952526</v>
          </cell>
          <cell r="AD47">
            <v>42430724</v>
          </cell>
          <cell r="AE47">
            <v>42055372</v>
          </cell>
          <cell r="AF47">
            <v>53026857</v>
          </cell>
          <cell r="AG47">
            <v>41073849</v>
          </cell>
          <cell r="AH47">
            <v>42471492</v>
          </cell>
          <cell r="AI47">
            <v>55143071</v>
          </cell>
          <cell r="AJ47">
            <v>46830930</v>
          </cell>
          <cell r="AK47">
            <v>43007860</v>
          </cell>
          <cell r="AL47">
            <v>55356227</v>
          </cell>
          <cell r="AM47">
            <v>37759998</v>
          </cell>
          <cell r="AN47">
            <v>43279261</v>
          </cell>
          <cell r="AO47">
            <v>52596951</v>
          </cell>
          <cell r="AP47">
            <v>42824271</v>
          </cell>
          <cell r="AQ47">
            <v>45823298</v>
          </cell>
          <cell r="AR47">
            <v>56434854</v>
          </cell>
          <cell r="AS47">
            <v>44309765</v>
          </cell>
          <cell r="AT47">
            <v>44298427</v>
          </cell>
          <cell r="AU47">
            <v>54252734</v>
          </cell>
          <cell r="AV47">
            <v>43847856</v>
          </cell>
          <cell r="AW47">
            <v>42673332</v>
          </cell>
          <cell r="AX47">
            <v>51807432</v>
          </cell>
          <cell r="AY47">
            <v>39857164</v>
          </cell>
          <cell r="AZ47">
            <v>39810162</v>
          </cell>
          <cell r="BA47">
            <v>50830039</v>
          </cell>
          <cell r="BB47">
            <v>41211827</v>
          </cell>
          <cell r="BC47">
            <v>39763178</v>
          </cell>
          <cell r="BD47">
            <v>50688073</v>
          </cell>
          <cell r="BE47">
            <v>40995574</v>
          </cell>
          <cell r="BF47">
            <v>41703507</v>
          </cell>
          <cell r="BG47">
            <v>52161833</v>
          </cell>
          <cell r="BH47">
            <v>41491662</v>
          </cell>
          <cell r="BI47">
            <v>39285035</v>
          </cell>
          <cell r="BJ47">
            <v>52870041</v>
          </cell>
          <cell r="BK47">
            <v>42305520</v>
          </cell>
          <cell r="BL47">
            <v>40207884</v>
          </cell>
        </row>
        <row r="48">
          <cell r="A48" t="str">
            <v>FORTOVASE ROC 111997</v>
          </cell>
          <cell r="B48" t="str">
            <v>FORTOVASE ROC 111997</v>
          </cell>
          <cell r="C48">
            <v>1293390</v>
          </cell>
          <cell r="D48">
            <v>1196177</v>
          </cell>
          <cell r="E48">
            <v>1550392</v>
          </cell>
          <cell r="F48">
            <v>1074556</v>
          </cell>
          <cell r="G48">
            <v>1065597</v>
          </cell>
          <cell r="H48">
            <v>1195804</v>
          </cell>
          <cell r="I48">
            <v>877407</v>
          </cell>
          <cell r="J48">
            <v>819879</v>
          </cell>
          <cell r="K48">
            <v>935784</v>
          </cell>
          <cell r="L48">
            <v>743731</v>
          </cell>
          <cell r="M48">
            <v>660824</v>
          </cell>
          <cell r="N48">
            <v>787226</v>
          </cell>
          <cell r="O48">
            <v>528619</v>
          </cell>
          <cell r="P48">
            <v>504246</v>
          </cell>
          <cell r="Q48">
            <v>381169</v>
          </cell>
          <cell r="R48">
            <v>86850</v>
          </cell>
          <cell r="S48">
            <v>48836</v>
          </cell>
          <cell r="T48">
            <v>16289</v>
          </cell>
          <cell r="U48">
            <v>5239</v>
          </cell>
          <cell r="V48">
            <v>5415</v>
          </cell>
          <cell r="W48">
            <v>2289</v>
          </cell>
          <cell r="X48">
            <v>180</v>
          </cell>
          <cell r="Y48">
            <v>1343</v>
          </cell>
          <cell r="Z48">
            <v>572</v>
          </cell>
          <cell r="AA48">
            <v>758</v>
          </cell>
          <cell r="AB48">
            <v>148945820</v>
          </cell>
          <cell r="AC48">
            <v>185148255</v>
          </cell>
          <cell r="AD48">
            <v>768</v>
          </cell>
          <cell r="AE48">
            <v>149269551</v>
          </cell>
          <cell r="AF48">
            <v>180594969</v>
          </cell>
          <cell r="AG48">
            <v>142588410</v>
          </cell>
          <cell r="AH48">
            <v>144908083</v>
          </cell>
          <cell r="AI48">
            <v>182197704</v>
          </cell>
          <cell r="AJ48">
            <v>147215169</v>
          </cell>
          <cell r="AK48">
            <v>142465714</v>
          </cell>
          <cell r="AL48">
            <v>173011871</v>
          </cell>
          <cell r="AM48">
            <v>141394821</v>
          </cell>
          <cell r="AN48">
            <v>82514097</v>
          </cell>
          <cell r="AO48">
            <v>36389975</v>
          </cell>
          <cell r="AP48">
            <v>21872040</v>
          </cell>
          <cell r="AQ48">
            <v>18185297</v>
          </cell>
          <cell r="AR48">
            <v>16646412</v>
          </cell>
          <cell r="AS48">
            <v>13098882</v>
          </cell>
        </row>
        <row r="49">
          <cell r="A49" t="str">
            <v>FOSAMAX MSD 101995</v>
          </cell>
          <cell r="B49" t="str">
            <v xml:space="preserve"> </v>
          </cell>
          <cell r="G49">
            <v>163704537</v>
          </cell>
          <cell r="H49">
            <v>198668564</v>
          </cell>
          <cell r="I49">
            <v>158346355</v>
          </cell>
          <cell r="J49">
            <v>157328464</v>
          </cell>
          <cell r="K49">
            <v>195615102</v>
          </cell>
          <cell r="L49">
            <v>155769737</v>
          </cell>
          <cell r="M49">
            <v>153254813</v>
          </cell>
          <cell r="N49">
            <v>192990670</v>
          </cell>
          <cell r="O49">
            <v>153378115</v>
          </cell>
          <cell r="P49">
            <v>157711395</v>
          </cell>
          <cell r="Q49">
            <v>198984622</v>
          </cell>
          <cell r="R49">
            <v>157658586</v>
          </cell>
          <cell r="S49">
            <v>159035957</v>
          </cell>
          <cell r="T49">
            <v>188832847</v>
          </cell>
          <cell r="U49">
            <v>148772473</v>
          </cell>
          <cell r="V49">
            <v>148183240</v>
          </cell>
          <cell r="W49">
            <v>185832334</v>
          </cell>
          <cell r="X49">
            <v>147688446</v>
          </cell>
          <cell r="Y49">
            <v>146432041</v>
          </cell>
          <cell r="Z49">
            <v>182529453</v>
          </cell>
          <cell r="AA49">
            <v>146283603</v>
          </cell>
          <cell r="AB49">
            <v>148945820</v>
          </cell>
          <cell r="AC49">
            <v>185148255</v>
          </cell>
          <cell r="AD49">
            <v>147158423</v>
          </cell>
          <cell r="AE49">
            <v>149269551</v>
          </cell>
          <cell r="AF49">
            <v>180594969</v>
          </cell>
          <cell r="AG49">
            <v>142588410</v>
          </cell>
          <cell r="AH49">
            <v>144908083</v>
          </cell>
          <cell r="AI49">
            <v>182197704</v>
          </cell>
          <cell r="AJ49">
            <v>147215169</v>
          </cell>
          <cell r="AK49">
            <v>142465714</v>
          </cell>
          <cell r="AL49">
            <v>173011871</v>
          </cell>
          <cell r="AM49">
            <v>141394821</v>
          </cell>
          <cell r="AN49">
            <v>82514097</v>
          </cell>
          <cell r="AO49">
            <v>36389975</v>
          </cell>
          <cell r="AP49">
            <v>21872040</v>
          </cell>
          <cell r="AQ49">
            <v>18199850</v>
          </cell>
          <cell r="AR49">
            <v>16646412</v>
          </cell>
          <cell r="AS49">
            <v>13098882</v>
          </cell>
          <cell r="AT49">
            <v>15684861</v>
          </cell>
          <cell r="AU49">
            <v>15688170</v>
          </cell>
          <cell r="AV49">
            <v>9703321</v>
          </cell>
          <cell r="AW49">
            <v>8130667</v>
          </cell>
          <cell r="AX49">
            <v>8056379</v>
          </cell>
          <cell r="AY49">
            <v>5911315</v>
          </cell>
          <cell r="AZ49">
            <v>4957124</v>
          </cell>
          <cell r="BA49">
            <v>6496669</v>
          </cell>
          <cell r="BB49">
            <v>4884458</v>
          </cell>
          <cell r="BC49">
            <v>4496827</v>
          </cell>
          <cell r="BD49">
            <v>5550689</v>
          </cell>
          <cell r="BE49">
            <v>4338207</v>
          </cell>
          <cell r="BF49">
            <v>3970673</v>
          </cell>
          <cell r="BG49">
            <v>4952809</v>
          </cell>
          <cell r="BH49">
            <v>3875677</v>
          </cell>
          <cell r="BI49">
            <v>3734835</v>
          </cell>
          <cell r="BJ49">
            <v>6058448</v>
          </cell>
          <cell r="BK49">
            <v>3570051</v>
          </cell>
          <cell r="BL49">
            <v>3294491</v>
          </cell>
        </row>
        <row r="50">
          <cell r="A50" t="str">
            <v>FOSAMAX PLUS D MSD 042005</v>
          </cell>
          <cell r="B50" t="str">
            <v xml:space="preserve"> </v>
          </cell>
          <cell r="C50">
            <v>645087</v>
          </cell>
          <cell r="D50">
            <v>1692328</v>
          </cell>
          <cell r="E50">
            <v>3009799</v>
          </cell>
          <cell r="F50">
            <v>2782174</v>
          </cell>
          <cell r="G50">
            <v>3339396</v>
          </cell>
          <cell r="H50">
            <v>1521768</v>
          </cell>
          <cell r="I50">
            <v>1966576</v>
          </cell>
          <cell r="J50">
            <v>3047414</v>
          </cell>
          <cell r="K50">
            <v>5106489</v>
          </cell>
          <cell r="L50">
            <v>5152538</v>
          </cell>
          <cell r="M50">
            <v>6163228</v>
          </cell>
          <cell r="N50">
            <v>8999590</v>
          </cell>
          <cell r="O50">
            <v>8580991</v>
          </cell>
          <cell r="P50">
            <v>10086291</v>
          </cell>
          <cell r="Q50">
            <v>14340954</v>
          </cell>
          <cell r="R50">
            <v>12333675</v>
          </cell>
          <cell r="S50">
            <v>13339160</v>
          </cell>
          <cell r="T50">
            <v>17561149</v>
          </cell>
          <cell r="U50">
            <v>14310486</v>
          </cell>
          <cell r="V50">
            <v>15194598</v>
          </cell>
          <cell r="W50">
            <v>19837306</v>
          </cell>
          <cell r="X50">
            <v>16526012</v>
          </cell>
          <cell r="Y50">
            <v>16627119</v>
          </cell>
          <cell r="Z50">
            <v>22339644</v>
          </cell>
          <cell r="AA50">
            <v>26777652</v>
          </cell>
          <cell r="AB50">
            <v>23536563</v>
          </cell>
          <cell r="AC50">
            <v>29631227</v>
          </cell>
          <cell r="AD50">
            <v>24360548</v>
          </cell>
          <cell r="AE50">
            <v>25629834</v>
          </cell>
          <cell r="AF50">
            <v>42923959</v>
          </cell>
          <cell r="AG50">
            <v>24410225</v>
          </cell>
          <cell r="AH50">
            <v>28749124</v>
          </cell>
          <cell r="AI50">
            <v>33206210</v>
          </cell>
          <cell r="AJ50">
            <v>31598973</v>
          </cell>
          <cell r="AK50">
            <v>44341838</v>
          </cell>
          <cell r="AL50">
            <v>44123235</v>
          </cell>
          <cell r="AM50">
            <v>27172965</v>
          </cell>
          <cell r="AN50">
            <v>26575625</v>
          </cell>
          <cell r="AO50">
            <v>32009080</v>
          </cell>
          <cell r="AP50">
            <v>27163250</v>
          </cell>
          <cell r="AQ50">
            <v>25398462</v>
          </cell>
          <cell r="AR50">
            <v>29337753</v>
          </cell>
          <cell r="AS50">
            <v>22373349</v>
          </cell>
          <cell r="AT50">
            <v>20954778</v>
          </cell>
          <cell r="AU50">
            <v>25715606</v>
          </cell>
          <cell r="AV50">
            <v>26364867</v>
          </cell>
          <cell r="AW50">
            <v>18400779</v>
          </cell>
          <cell r="AX50">
            <v>20730023</v>
          </cell>
          <cell r="AY50">
            <v>15966210</v>
          </cell>
          <cell r="AZ50">
            <v>13757896</v>
          </cell>
          <cell r="BA50">
            <v>17041724</v>
          </cell>
          <cell r="BB50">
            <v>12587171</v>
          </cell>
          <cell r="BC50">
            <v>12385832</v>
          </cell>
          <cell r="BD50">
            <v>14715362</v>
          </cell>
          <cell r="BE50">
            <v>11642242</v>
          </cell>
          <cell r="BF50">
            <v>11239123</v>
          </cell>
          <cell r="BG50">
            <v>14425244</v>
          </cell>
          <cell r="BH50">
            <v>11134429</v>
          </cell>
          <cell r="BI50">
            <v>10380110</v>
          </cell>
          <cell r="BJ50">
            <v>12668718</v>
          </cell>
          <cell r="BK50">
            <v>9341281</v>
          </cell>
          <cell r="BL50">
            <v>8245135</v>
          </cell>
        </row>
        <row r="51">
          <cell r="A51" t="str">
            <v>FOSRENOL SHI 122004</v>
          </cell>
          <cell r="B51" t="str">
            <v>FOSRENOL SHI 122004</v>
          </cell>
          <cell r="C51">
            <v>645087</v>
          </cell>
          <cell r="D51">
            <v>1692328</v>
          </cell>
          <cell r="E51">
            <v>3009799</v>
          </cell>
          <cell r="F51">
            <v>2782174</v>
          </cell>
          <cell r="G51">
            <v>3122986</v>
          </cell>
          <cell r="H51">
            <v>3855850</v>
          </cell>
          <cell r="I51">
            <v>3317676</v>
          </cell>
          <cell r="J51">
            <v>3728447</v>
          </cell>
          <cell r="K51">
            <v>4488930</v>
          </cell>
          <cell r="L51">
            <v>3501771</v>
          </cell>
          <cell r="M51">
            <v>3444044</v>
          </cell>
          <cell r="N51">
            <v>4570534</v>
          </cell>
          <cell r="O51">
            <v>4457051</v>
          </cell>
          <cell r="P51">
            <v>4555337</v>
          </cell>
          <cell r="Q51">
            <v>6066431</v>
          </cell>
          <cell r="R51">
            <v>4740322</v>
          </cell>
          <cell r="S51">
            <v>5184176</v>
          </cell>
          <cell r="T51">
            <v>6162745</v>
          </cell>
          <cell r="U51">
            <v>5696267</v>
          </cell>
          <cell r="V51">
            <v>5687627</v>
          </cell>
          <cell r="W51">
            <v>7282112</v>
          </cell>
          <cell r="X51">
            <v>6296423</v>
          </cell>
          <cell r="Y51">
            <v>6108056</v>
          </cell>
          <cell r="Z51">
            <v>7801187</v>
          </cell>
          <cell r="AA51">
            <v>6189158</v>
          </cell>
          <cell r="AB51">
            <v>6139313</v>
          </cell>
          <cell r="AC51">
            <v>7702435</v>
          </cell>
          <cell r="AD51">
            <v>6120981</v>
          </cell>
          <cell r="AE51">
            <v>6087190</v>
          </cell>
          <cell r="AF51">
            <v>7691147</v>
          </cell>
          <cell r="AG51">
            <v>6238240</v>
          </cell>
          <cell r="AH51">
            <v>6104344</v>
          </cell>
          <cell r="AI51">
            <v>7887968</v>
          </cell>
          <cell r="AJ51">
            <v>6936257</v>
          </cell>
          <cell r="AK51">
            <v>6542652</v>
          </cell>
          <cell r="AL51">
            <v>8493469</v>
          </cell>
          <cell r="AM51">
            <v>6793546</v>
          </cell>
          <cell r="AN51">
            <v>7005746</v>
          </cell>
          <cell r="AO51">
            <v>10570258</v>
          </cell>
          <cell r="AP51">
            <v>8528083</v>
          </cell>
          <cell r="AQ51">
            <v>8703747</v>
          </cell>
          <cell r="AR51">
            <v>10657055</v>
          </cell>
          <cell r="AS51">
            <v>8529748</v>
          </cell>
          <cell r="AT51">
            <v>8430066</v>
          </cell>
          <cell r="AU51">
            <v>10647804</v>
          </cell>
          <cell r="AV51">
            <v>8990748</v>
          </cell>
          <cell r="AW51">
            <v>8436411</v>
          </cell>
          <cell r="AX51">
            <v>10170929</v>
          </cell>
          <cell r="AY51">
            <v>9040835</v>
          </cell>
          <cell r="AZ51">
            <v>8904699</v>
          </cell>
          <cell r="BA51">
            <v>11620049</v>
          </cell>
          <cell r="BB51">
            <v>9099317</v>
          </cell>
          <cell r="BC51">
            <v>9383681</v>
          </cell>
          <cell r="BD51">
            <v>11867918</v>
          </cell>
          <cell r="BE51">
            <v>9982739</v>
          </cell>
          <cell r="BF51">
            <v>10336803</v>
          </cell>
          <cell r="BG51">
            <v>13220699</v>
          </cell>
          <cell r="BH51">
            <v>10368929</v>
          </cell>
          <cell r="BI51">
            <v>10214188</v>
          </cell>
          <cell r="BJ51">
            <v>12920525</v>
          </cell>
          <cell r="BK51">
            <v>10635645</v>
          </cell>
          <cell r="BL51">
            <v>10613738</v>
          </cell>
        </row>
        <row r="52">
          <cell r="A52" t="str">
            <v>FUZEON ROC 032003</v>
          </cell>
          <cell r="B52" t="str">
            <v>FUZEON ROC 032003</v>
          </cell>
          <cell r="C52">
            <v>7975322</v>
          </cell>
          <cell r="D52">
            <v>7810543</v>
          </cell>
          <cell r="E52">
            <v>10593836</v>
          </cell>
          <cell r="F52">
            <v>8195084</v>
          </cell>
          <cell r="G52">
            <v>8826346</v>
          </cell>
          <cell r="H52">
            <v>10772507</v>
          </cell>
          <cell r="I52">
            <v>9297573</v>
          </cell>
          <cell r="J52">
            <v>9346284</v>
          </cell>
          <cell r="K52">
            <v>11799434</v>
          </cell>
          <cell r="L52">
            <v>10390496</v>
          </cell>
          <cell r="M52">
            <v>10038210</v>
          </cell>
          <cell r="N52">
            <v>12645093</v>
          </cell>
          <cell r="O52">
            <v>9855635</v>
          </cell>
          <cell r="P52">
            <v>10339187</v>
          </cell>
          <cell r="Q52">
            <v>12945173</v>
          </cell>
          <cell r="R52">
            <v>10367467</v>
          </cell>
          <cell r="S52">
            <v>10372546</v>
          </cell>
          <cell r="T52">
            <v>12933238</v>
          </cell>
          <cell r="U52">
            <v>10963206</v>
          </cell>
          <cell r="V52">
            <v>10716086</v>
          </cell>
          <cell r="W52">
            <v>13090226</v>
          </cell>
          <cell r="X52">
            <v>11182962</v>
          </cell>
          <cell r="Y52">
            <v>10890323</v>
          </cell>
          <cell r="Z52">
            <v>14069641</v>
          </cell>
          <cell r="AA52">
            <v>10236766</v>
          </cell>
          <cell r="AB52">
            <v>10738433</v>
          </cell>
          <cell r="AC52">
            <v>13372310</v>
          </cell>
          <cell r="AD52">
            <v>11023963</v>
          </cell>
          <cell r="AE52">
            <v>11471603</v>
          </cell>
          <cell r="AF52">
            <v>12137607</v>
          </cell>
          <cell r="AG52">
            <v>10062777</v>
          </cell>
          <cell r="AH52">
            <v>10260908</v>
          </cell>
          <cell r="AI52">
            <v>12382545</v>
          </cell>
          <cell r="AJ52">
            <v>9317469</v>
          </cell>
          <cell r="AK52">
            <v>8811305</v>
          </cell>
          <cell r="AL52">
            <v>10535996</v>
          </cell>
          <cell r="AM52">
            <v>7381601</v>
          </cell>
          <cell r="AN52">
            <v>7002961</v>
          </cell>
          <cell r="AO52">
            <v>8930015</v>
          </cell>
          <cell r="AP52">
            <v>5882146</v>
          </cell>
          <cell r="AQ52">
            <v>5512388</v>
          </cell>
          <cell r="AR52">
            <v>6468574</v>
          </cell>
          <cell r="AS52">
            <v>5189718</v>
          </cell>
          <cell r="AT52">
            <v>5348364</v>
          </cell>
          <cell r="AU52">
            <v>6306877</v>
          </cell>
          <cell r="AV52">
            <v>4960790</v>
          </cell>
          <cell r="AW52">
            <v>4187992</v>
          </cell>
          <cell r="AX52">
            <v>4877147</v>
          </cell>
          <cell r="AY52">
            <v>3731900</v>
          </cell>
          <cell r="AZ52">
            <v>4051274</v>
          </cell>
          <cell r="BA52">
            <v>5324890</v>
          </cell>
          <cell r="BB52">
            <v>3414608</v>
          </cell>
          <cell r="BC52">
            <v>3375687</v>
          </cell>
          <cell r="BD52">
            <v>4503276</v>
          </cell>
          <cell r="BE52">
            <v>3498389</v>
          </cell>
          <cell r="BF52">
            <v>3289731</v>
          </cell>
          <cell r="BG52">
            <v>4114478</v>
          </cell>
          <cell r="BH52">
            <v>3107124</v>
          </cell>
          <cell r="BI52">
            <v>2950202</v>
          </cell>
          <cell r="BJ52">
            <v>3523908</v>
          </cell>
          <cell r="BK52">
            <v>2990313</v>
          </cell>
          <cell r="BL52">
            <v>2641051</v>
          </cell>
        </row>
        <row r="53">
          <cell r="A53" t="str">
            <v>HECTOROL GZY 101999</v>
          </cell>
          <cell r="B53" t="str">
            <v>HECTOROL GZY 101999</v>
          </cell>
          <cell r="C53">
            <v>6739173</v>
          </cell>
          <cell r="D53">
            <v>6270219</v>
          </cell>
          <cell r="E53">
            <v>10310357</v>
          </cell>
          <cell r="F53">
            <v>7299234</v>
          </cell>
          <cell r="G53">
            <v>9496514</v>
          </cell>
          <cell r="H53">
            <v>10630432</v>
          </cell>
          <cell r="I53">
            <v>6970091</v>
          </cell>
          <cell r="J53">
            <v>8203177</v>
          </cell>
          <cell r="K53">
            <v>10598027</v>
          </cell>
          <cell r="L53">
            <v>8256649</v>
          </cell>
          <cell r="M53">
            <v>8576072</v>
          </cell>
          <cell r="N53">
            <v>12478334</v>
          </cell>
          <cell r="O53">
            <v>10217332</v>
          </cell>
          <cell r="P53">
            <v>10385345</v>
          </cell>
          <cell r="Q53">
            <v>13766044</v>
          </cell>
          <cell r="R53">
            <v>10561533</v>
          </cell>
          <cell r="S53">
            <v>11453394</v>
          </cell>
          <cell r="T53">
            <v>14493633</v>
          </cell>
          <cell r="U53">
            <v>11860402</v>
          </cell>
          <cell r="V53">
            <v>12410279</v>
          </cell>
          <cell r="W53">
            <v>15674472</v>
          </cell>
          <cell r="X53">
            <v>12619583</v>
          </cell>
          <cell r="Y53">
            <v>12678778</v>
          </cell>
          <cell r="Z53">
            <v>16659532</v>
          </cell>
          <cell r="AA53">
            <v>12501472</v>
          </cell>
          <cell r="AB53">
            <v>13233415</v>
          </cell>
          <cell r="AC53">
            <v>17733601</v>
          </cell>
          <cell r="AD53">
            <v>11943658</v>
          </cell>
          <cell r="AE53">
            <v>13162371</v>
          </cell>
          <cell r="AF53">
            <v>18755068</v>
          </cell>
          <cell r="AG53">
            <v>11590839</v>
          </cell>
          <cell r="AH53">
            <v>14245654</v>
          </cell>
          <cell r="AI53">
            <v>18087423</v>
          </cell>
          <cell r="AJ53">
            <v>13972032</v>
          </cell>
          <cell r="AK53">
            <v>13998068</v>
          </cell>
          <cell r="AL53">
            <v>17554617</v>
          </cell>
          <cell r="AM53">
            <v>13382835</v>
          </cell>
          <cell r="AN53">
            <v>13681934</v>
          </cell>
          <cell r="AO53">
            <v>17121790</v>
          </cell>
          <cell r="AP53">
            <v>14654691</v>
          </cell>
          <cell r="AQ53">
            <v>14641070</v>
          </cell>
          <cell r="AR53">
            <v>17864950</v>
          </cell>
          <cell r="AS53">
            <v>16227741</v>
          </cell>
          <cell r="AT53">
            <v>15991594</v>
          </cell>
          <cell r="AU53">
            <v>19399762</v>
          </cell>
          <cell r="AV53">
            <v>16039438</v>
          </cell>
          <cell r="AW53">
            <v>15612736</v>
          </cell>
          <cell r="AX53">
            <v>20352874</v>
          </cell>
          <cell r="AY53">
            <v>17007842</v>
          </cell>
          <cell r="AZ53">
            <v>17024204</v>
          </cell>
          <cell r="BA53">
            <v>21087675</v>
          </cell>
          <cell r="BB53">
            <v>16300589</v>
          </cell>
          <cell r="BC53">
            <v>17436725</v>
          </cell>
          <cell r="BD53">
            <v>22758707</v>
          </cell>
          <cell r="BE53">
            <v>18224479</v>
          </cell>
          <cell r="BF53">
            <v>17939663</v>
          </cell>
          <cell r="BG53">
            <v>23670063</v>
          </cell>
          <cell r="BH53">
            <v>17954552</v>
          </cell>
          <cell r="BI53">
            <v>19049981</v>
          </cell>
          <cell r="BJ53">
            <v>24760357</v>
          </cell>
          <cell r="BK53">
            <v>19983843</v>
          </cell>
          <cell r="BL53">
            <v>20001962</v>
          </cell>
        </row>
        <row r="54">
          <cell r="A54" t="str">
            <v>IRESSA AZN 052003</v>
          </cell>
          <cell r="B54" t="str">
            <v>IRESSA AZN 052003</v>
          </cell>
          <cell r="C54">
            <v>12981969</v>
          </cell>
          <cell r="D54">
            <v>9845379</v>
          </cell>
          <cell r="E54">
            <v>10370654</v>
          </cell>
          <cell r="F54">
            <v>6317688</v>
          </cell>
          <cell r="G54">
            <v>5916012</v>
          </cell>
          <cell r="H54">
            <v>6856483</v>
          </cell>
          <cell r="I54">
            <v>4869145</v>
          </cell>
          <cell r="J54">
            <v>4053809</v>
          </cell>
          <cell r="K54">
            <v>2820224</v>
          </cell>
          <cell r="L54">
            <v>2134073</v>
          </cell>
          <cell r="M54">
            <v>1728111</v>
          </cell>
          <cell r="N54">
            <v>2580610</v>
          </cell>
          <cell r="O54">
            <v>1707186</v>
          </cell>
          <cell r="P54">
            <v>1692761</v>
          </cell>
          <cell r="Q54">
            <v>2028204</v>
          </cell>
          <cell r="R54">
            <v>1629280</v>
          </cell>
          <cell r="S54">
            <v>1466807</v>
          </cell>
          <cell r="T54">
            <v>1902661</v>
          </cell>
          <cell r="U54">
            <v>1302006</v>
          </cell>
          <cell r="V54">
            <v>1326371</v>
          </cell>
          <cell r="W54">
            <v>1445374</v>
          </cell>
          <cell r="X54">
            <v>1209195</v>
          </cell>
          <cell r="Y54">
            <v>822214</v>
          </cell>
          <cell r="Z54">
            <v>1519564</v>
          </cell>
          <cell r="AA54">
            <v>909889</v>
          </cell>
          <cell r="AB54">
            <v>1051658</v>
          </cell>
          <cell r="AC54">
            <v>1121549</v>
          </cell>
          <cell r="AD54">
            <v>871257</v>
          </cell>
          <cell r="AE54">
            <v>760406</v>
          </cell>
          <cell r="AF54">
            <v>960890</v>
          </cell>
          <cell r="AG54">
            <v>602415</v>
          </cell>
          <cell r="AH54">
            <v>689608</v>
          </cell>
          <cell r="AI54">
            <v>873980</v>
          </cell>
          <cell r="AJ54">
            <v>647912</v>
          </cell>
          <cell r="AK54">
            <v>586303</v>
          </cell>
          <cell r="AL54">
            <v>775950</v>
          </cell>
          <cell r="AM54">
            <v>530764</v>
          </cell>
          <cell r="AN54">
            <v>536891</v>
          </cell>
          <cell r="AO54">
            <v>677694</v>
          </cell>
          <cell r="AP54">
            <v>562873</v>
          </cell>
          <cell r="AQ54">
            <v>585451</v>
          </cell>
          <cell r="AR54">
            <v>639458</v>
          </cell>
          <cell r="AS54">
            <v>516298</v>
          </cell>
          <cell r="AT54">
            <v>485494</v>
          </cell>
          <cell r="AU54">
            <v>580062</v>
          </cell>
          <cell r="AV54">
            <v>460646</v>
          </cell>
          <cell r="AW54">
            <v>426200</v>
          </cell>
          <cell r="AX54">
            <v>561398</v>
          </cell>
          <cell r="AY54">
            <v>421672</v>
          </cell>
          <cell r="AZ54">
            <v>423204</v>
          </cell>
          <cell r="BA54">
            <v>525374</v>
          </cell>
          <cell r="BB54">
            <v>403462</v>
          </cell>
          <cell r="BC54">
            <v>367439</v>
          </cell>
          <cell r="BD54">
            <v>440280</v>
          </cell>
          <cell r="BE54">
            <v>375154</v>
          </cell>
          <cell r="BF54">
            <v>353370</v>
          </cell>
          <cell r="BG54">
            <v>446123</v>
          </cell>
          <cell r="BH54">
            <v>344577</v>
          </cell>
          <cell r="BI54">
            <v>353370</v>
          </cell>
          <cell r="BJ54">
            <v>408455</v>
          </cell>
          <cell r="BK54">
            <v>321261</v>
          </cell>
          <cell r="BL54">
            <v>319048</v>
          </cell>
        </row>
        <row r="55">
          <cell r="A55" t="str">
            <v>HUMIRA ABT 122002</v>
          </cell>
          <cell r="B55" t="str">
            <v>HUMIRA ABT 122002</v>
          </cell>
          <cell r="C55">
            <v>52410984</v>
          </cell>
          <cell r="D55">
            <v>55708924</v>
          </cell>
          <cell r="E55">
            <v>72317931</v>
          </cell>
          <cell r="F55">
            <v>60395741</v>
          </cell>
          <cell r="G55">
            <v>61977216</v>
          </cell>
          <cell r="H55">
            <v>80512118</v>
          </cell>
          <cell r="I55">
            <v>65596949</v>
          </cell>
          <cell r="J55">
            <v>71190732</v>
          </cell>
          <cell r="K55">
            <v>88722842</v>
          </cell>
          <cell r="L55">
            <v>74781988</v>
          </cell>
          <cell r="M55">
            <v>73766987</v>
          </cell>
          <cell r="N55">
            <v>102465935</v>
          </cell>
          <cell r="O55">
            <v>74156603</v>
          </cell>
          <cell r="P55">
            <v>76197564</v>
          </cell>
          <cell r="Q55">
            <v>102239679</v>
          </cell>
          <cell r="R55">
            <v>86008781</v>
          </cell>
          <cell r="S55">
            <v>89939624</v>
          </cell>
          <cell r="T55">
            <v>118642428</v>
          </cell>
          <cell r="U55">
            <v>94692989</v>
          </cell>
          <cell r="V55">
            <v>99377777</v>
          </cell>
          <cell r="W55">
            <v>125935148</v>
          </cell>
          <cell r="X55">
            <v>106002826</v>
          </cell>
          <cell r="Y55">
            <v>102078760</v>
          </cell>
          <cell r="Z55">
            <v>134129738</v>
          </cell>
          <cell r="AA55">
            <v>102540044</v>
          </cell>
          <cell r="AB55">
            <v>104703811</v>
          </cell>
          <cell r="AC55">
            <v>140918671</v>
          </cell>
          <cell r="AD55">
            <v>122473302</v>
          </cell>
          <cell r="AE55">
            <v>126838128</v>
          </cell>
          <cell r="AF55">
            <v>162929154</v>
          </cell>
          <cell r="AG55">
            <v>129346988</v>
          </cell>
          <cell r="AH55">
            <v>137496157</v>
          </cell>
          <cell r="AI55">
            <v>171033460</v>
          </cell>
          <cell r="AJ55">
            <v>137910091</v>
          </cell>
          <cell r="AK55">
            <v>132046986</v>
          </cell>
          <cell r="AL55">
            <v>167998554</v>
          </cell>
          <cell r="AM55">
            <v>139416568</v>
          </cell>
          <cell r="AN55">
            <v>145995704</v>
          </cell>
          <cell r="AO55">
            <v>192897471</v>
          </cell>
          <cell r="AP55">
            <v>160865536</v>
          </cell>
          <cell r="AQ55">
            <v>169990121</v>
          </cell>
          <cell r="AR55">
            <v>211899876</v>
          </cell>
          <cell r="AS55">
            <v>173635045</v>
          </cell>
          <cell r="AT55">
            <v>181836817</v>
          </cell>
          <cell r="AU55">
            <v>230332522</v>
          </cell>
          <cell r="AV55">
            <v>186014996</v>
          </cell>
          <cell r="AW55">
            <v>177109012</v>
          </cell>
          <cell r="AX55">
            <v>212391203</v>
          </cell>
          <cell r="AY55">
            <v>177625076</v>
          </cell>
          <cell r="AZ55">
            <v>179469694</v>
          </cell>
          <cell r="BA55">
            <v>232107577</v>
          </cell>
          <cell r="BB55">
            <v>193112641</v>
          </cell>
          <cell r="BC55">
            <v>199275641</v>
          </cell>
          <cell r="BD55">
            <v>247812742</v>
          </cell>
          <cell r="BE55">
            <v>200487384</v>
          </cell>
          <cell r="BF55">
            <v>198741883</v>
          </cell>
          <cell r="BG55">
            <v>253851567</v>
          </cell>
          <cell r="BH55">
            <v>203797205</v>
          </cell>
          <cell r="BI55">
            <v>192431438</v>
          </cell>
          <cell r="BJ55">
            <v>258389835</v>
          </cell>
          <cell r="BK55">
            <v>199400351</v>
          </cell>
          <cell r="BL55">
            <v>201833133</v>
          </cell>
        </row>
        <row r="56">
          <cell r="A56" t="str">
            <v>HEPSERA GS- 092002</v>
          </cell>
          <cell r="B56" t="str">
            <v>HEPSERA GS- 092002</v>
          </cell>
          <cell r="C56">
            <v>5454112</v>
          </cell>
          <cell r="D56">
            <v>5569118</v>
          </cell>
          <cell r="E56">
            <v>7242699</v>
          </cell>
          <cell r="F56">
            <v>5937701</v>
          </cell>
          <cell r="G56">
            <v>6191640</v>
          </cell>
          <cell r="H56">
            <v>7901860</v>
          </cell>
          <cell r="I56">
            <v>6251463</v>
          </cell>
          <cell r="J56">
            <v>6921108</v>
          </cell>
          <cell r="K56">
            <v>8815108</v>
          </cell>
          <cell r="L56">
            <v>7091761</v>
          </cell>
          <cell r="M56">
            <v>6817383</v>
          </cell>
          <cell r="N56">
            <v>9109870</v>
          </cell>
          <cell r="O56">
            <v>7263348</v>
          </cell>
          <cell r="P56">
            <v>7101531</v>
          </cell>
          <cell r="Q56">
            <v>9467154</v>
          </cell>
          <cell r="R56">
            <v>7859450</v>
          </cell>
          <cell r="S56">
            <v>8234555</v>
          </cell>
          <cell r="T56">
            <v>10157426</v>
          </cell>
          <cell r="U56">
            <v>8199548</v>
          </cell>
          <cell r="V56">
            <v>8235914</v>
          </cell>
          <cell r="W56">
            <v>10618807</v>
          </cell>
          <cell r="X56">
            <v>9244637</v>
          </cell>
          <cell r="Y56">
            <v>8899134</v>
          </cell>
          <cell r="Z56">
            <v>11954741</v>
          </cell>
          <cell r="AA56">
            <v>9441201</v>
          </cell>
          <cell r="AB56">
            <v>9354929</v>
          </cell>
          <cell r="AC56">
            <v>12144508</v>
          </cell>
          <cell r="AD56">
            <v>9938082</v>
          </cell>
          <cell r="AE56">
            <v>10288980</v>
          </cell>
          <cell r="AF56">
            <v>13616527</v>
          </cell>
          <cell r="AG56">
            <v>10581167</v>
          </cell>
          <cell r="AH56">
            <v>11049129</v>
          </cell>
          <cell r="AI56">
            <v>13737520</v>
          </cell>
          <cell r="AJ56">
            <v>10726787</v>
          </cell>
          <cell r="AK56">
            <v>11381273</v>
          </cell>
          <cell r="AL56">
            <v>13566180</v>
          </cell>
          <cell r="AM56">
            <v>11371342</v>
          </cell>
          <cell r="AN56">
            <v>11368291</v>
          </cell>
          <cell r="AO56">
            <v>14546323</v>
          </cell>
          <cell r="AP56">
            <v>11737151</v>
          </cell>
          <cell r="AQ56">
            <v>11733803</v>
          </cell>
          <cell r="AR56">
            <v>15050597</v>
          </cell>
          <cell r="AS56">
            <v>11528999</v>
          </cell>
          <cell r="AT56">
            <v>12121110</v>
          </cell>
          <cell r="AU56">
            <v>14388345</v>
          </cell>
          <cell r="AV56">
            <v>12117147</v>
          </cell>
          <cell r="AW56">
            <v>11031054</v>
          </cell>
          <cell r="AX56">
            <v>12927368</v>
          </cell>
          <cell r="AY56">
            <v>10243222</v>
          </cell>
          <cell r="AZ56">
            <v>9248583</v>
          </cell>
          <cell r="BA56">
            <v>12258004</v>
          </cell>
          <cell r="BB56">
            <v>9223326</v>
          </cell>
          <cell r="BC56">
            <v>8906225</v>
          </cell>
          <cell r="BD56">
            <v>11397456</v>
          </cell>
          <cell r="BE56">
            <v>8677503</v>
          </cell>
          <cell r="BF56">
            <v>8480848</v>
          </cell>
          <cell r="BG56">
            <v>10762950</v>
          </cell>
          <cell r="BH56">
            <v>8012955</v>
          </cell>
          <cell r="BI56">
            <v>7935259</v>
          </cell>
          <cell r="BJ56">
            <v>9895973</v>
          </cell>
          <cell r="BK56">
            <v>7898816</v>
          </cell>
          <cell r="BL56">
            <v>7356310</v>
          </cell>
        </row>
        <row r="57">
          <cell r="A57" t="str">
            <v>HERCEPTIN GTC 101998</v>
          </cell>
          <cell r="B57" t="str">
            <v>HERCEPTIN GTC 101998</v>
          </cell>
          <cell r="C57">
            <v>39169864</v>
          </cell>
          <cell r="D57">
            <v>42443266</v>
          </cell>
          <cell r="E57">
            <v>53120466</v>
          </cell>
          <cell r="F57">
            <v>43810438</v>
          </cell>
          <cell r="G57">
            <v>48575257</v>
          </cell>
          <cell r="H57">
            <v>66069508</v>
          </cell>
          <cell r="I57">
            <v>56389626</v>
          </cell>
          <cell r="J57">
            <v>65167522</v>
          </cell>
          <cell r="K57">
            <v>83829697</v>
          </cell>
          <cell r="L57">
            <v>73168048</v>
          </cell>
          <cell r="M57">
            <v>75870760</v>
          </cell>
          <cell r="N57">
            <v>103129201</v>
          </cell>
          <cell r="O57">
            <v>69487074</v>
          </cell>
          <cell r="P57">
            <v>78217197</v>
          </cell>
          <cell r="Q57">
            <v>109687356</v>
          </cell>
          <cell r="R57">
            <v>96353680</v>
          </cell>
          <cell r="S57">
            <v>103738532</v>
          </cell>
          <cell r="T57">
            <v>126147474</v>
          </cell>
          <cell r="U57">
            <v>93215754</v>
          </cell>
          <cell r="V57">
            <v>100806270</v>
          </cell>
          <cell r="W57">
            <v>118937451</v>
          </cell>
          <cell r="X57">
            <v>99062552</v>
          </cell>
          <cell r="Y57">
            <v>96892242</v>
          </cell>
          <cell r="Z57">
            <v>129019185</v>
          </cell>
          <cell r="AA57">
            <v>97253293</v>
          </cell>
          <cell r="AB57">
            <v>100815551</v>
          </cell>
          <cell r="AC57">
            <v>122778195</v>
          </cell>
          <cell r="AD57">
            <v>99730931</v>
          </cell>
          <cell r="AE57">
            <v>103775971</v>
          </cell>
          <cell r="AF57">
            <v>119339691</v>
          </cell>
          <cell r="AG57">
            <v>97843855</v>
          </cell>
          <cell r="AH57">
            <v>102729740</v>
          </cell>
          <cell r="AI57">
            <v>120952960</v>
          </cell>
          <cell r="AJ57">
            <v>101563184</v>
          </cell>
          <cell r="AK57">
            <v>100837536</v>
          </cell>
          <cell r="AL57">
            <v>130269911</v>
          </cell>
          <cell r="AM57">
            <v>102154129</v>
          </cell>
          <cell r="AN57">
            <v>103831639</v>
          </cell>
          <cell r="AO57">
            <v>127962096</v>
          </cell>
          <cell r="AP57">
            <v>106957368</v>
          </cell>
          <cell r="AQ57">
            <v>110745368</v>
          </cell>
          <cell r="AR57">
            <v>127875184</v>
          </cell>
          <cell r="AS57">
            <v>78103791</v>
          </cell>
          <cell r="AT57">
            <v>106768743</v>
          </cell>
          <cell r="AU57">
            <v>132742439</v>
          </cell>
          <cell r="AV57">
            <v>108327660</v>
          </cell>
          <cell r="AW57">
            <v>108776116</v>
          </cell>
          <cell r="AX57">
            <v>130280691</v>
          </cell>
          <cell r="AY57">
            <v>104033321</v>
          </cell>
          <cell r="AZ57">
            <v>105063024</v>
          </cell>
          <cell r="BA57">
            <v>134504337</v>
          </cell>
          <cell r="BB57">
            <v>111605636</v>
          </cell>
          <cell r="BC57">
            <v>112125549</v>
          </cell>
          <cell r="BD57">
            <v>142233447</v>
          </cell>
          <cell r="BE57">
            <v>108697309</v>
          </cell>
          <cell r="BF57">
            <v>113281423</v>
          </cell>
          <cell r="BG57">
            <v>142337561</v>
          </cell>
          <cell r="BH57">
            <v>113625088</v>
          </cell>
          <cell r="BI57">
            <v>114384991</v>
          </cell>
          <cell r="BJ57">
            <v>144684454</v>
          </cell>
          <cell r="BK57">
            <v>115081891</v>
          </cell>
          <cell r="BL57">
            <v>105491703</v>
          </cell>
        </row>
        <row r="58">
          <cell r="A58" t="str">
            <v>HIVID ROC 061992</v>
          </cell>
          <cell r="B58" t="str">
            <v>HIVID ROC 061992</v>
          </cell>
          <cell r="C58">
            <v>139989</v>
          </cell>
          <cell r="D58">
            <v>127066</v>
          </cell>
          <cell r="E58">
            <v>164517</v>
          </cell>
          <cell r="F58">
            <v>107100</v>
          </cell>
          <cell r="G58">
            <v>116558</v>
          </cell>
          <cell r="H58">
            <v>125676</v>
          </cell>
          <cell r="I58">
            <v>105041</v>
          </cell>
          <cell r="J58">
            <v>112957</v>
          </cell>
          <cell r="K58">
            <v>140811</v>
          </cell>
          <cell r="L58">
            <v>99820</v>
          </cell>
          <cell r="M58">
            <v>93643</v>
          </cell>
          <cell r="N58">
            <v>130256</v>
          </cell>
          <cell r="O58">
            <v>90659</v>
          </cell>
          <cell r="P58">
            <v>92912</v>
          </cell>
          <cell r="Q58">
            <v>99623</v>
          </cell>
          <cell r="R58">
            <v>77687</v>
          </cell>
          <cell r="S58">
            <v>89280</v>
          </cell>
          <cell r="T58">
            <v>102743</v>
          </cell>
          <cell r="U58">
            <v>79502</v>
          </cell>
          <cell r="V58">
            <v>86243</v>
          </cell>
          <cell r="W58">
            <v>97205</v>
          </cell>
          <cell r="X58">
            <v>70114</v>
          </cell>
          <cell r="Y58">
            <v>66486</v>
          </cell>
          <cell r="Z58">
            <v>81111</v>
          </cell>
          <cell r="AA58">
            <v>44682</v>
          </cell>
          <cell r="AB58">
            <v>44016</v>
          </cell>
          <cell r="AC58">
            <v>34293</v>
          </cell>
          <cell r="AD58">
            <v>9958</v>
          </cell>
          <cell r="AE58">
            <v>9729</v>
          </cell>
          <cell r="AF58">
            <v>8273</v>
          </cell>
          <cell r="AG58">
            <v>3128</v>
          </cell>
          <cell r="AH58">
            <v>1309</v>
          </cell>
          <cell r="AI58">
            <v>815</v>
          </cell>
          <cell r="AJ58">
            <v>375</v>
          </cell>
          <cell r="AK58">
            <v>133</v>
          </cell>
          <cell r="AL58">
            <v>134</v>
          </cell>
          <cell r="AM58">
            <v>21677172</v>
          </cell>
          <cell r="AN58">
            <v>25572691</v>
          </cell>
          <cell r="AO58">
            <v>32775618</v>
          </cell>
          <cell r="AP58">
            <v>26854212</v>
          </cell>
          <cell r="AQ58">
            <v>26540700</v>
          </cell>
          <cell r="AR58">
            <v>31385011</v>
          </cell>
          <cell r="AS58">
            <v>23903120</v>
          </cell>
        </row>
        <row r="59">
          <cell r="A59" t="str">
            <v>INTEGRILIN SHC 061998</v>
          </cell>
          <cell r="B59" t="str">
            <v>INTEGRILIN SHC 061998</v>
          </cell>
          <cell r="C59">
            <v>24067816</v>
          </cell>
          <cell r="D59">
            <v>25743249</v>
          </cell>
          <cell r="E59">
            <v>32841726</v>
          </cell>
          <cell r="F59">
            <v>25105979</v>
          </cell>
          <cell r="G59">
            <v>26377378</v>
          </cell>
          <cell r="H59">
            <v>30108047</v>
          </cell>
          <cell r="I59">
            <v>23113852</v>
          </cell>
          <cell r="J59">
            <v>22908004</v>
          </cell>
          <cell r="K59">
            <v>28777986</v>
          </cell>
          <cell r="L59">
            <v>22978871</v>
          </cell>
          <cell r="M59">
            <v>23339614</v>
          </cell>
          <cell r="N59">
            <v>31102146</v>
          </cell>
          <cell r="O59">
            <v>24143318</v>
          </cell>
          <cell r="P59">
            <v>25467736</v>
          </cell>
          <cell r="Q59">
            <v>33724357</v>
          </cell>
          <cell r="R59">
            <v>24681010</v>
          </cell>
          <cell r="S59">
            <v>26145562</v>
          </cell>
          <cell r="T59">
            <v>30644355</v>
          </cell>
          <cell r="U59">
            <v>24006974</v>
          </cell>
          <cell r="V59">
            <v>24908495</v>
          </cell>
          <cell r="W59">
            <v>32872379</v>
          </cell>
          <cell r="X59">
            <v>25035105</v>
          </cell>
          <cell r="Y59">
            <v>25247843</v>
          </cell>
          <cell r="Z59">
            <v>30599430</v>
          </cell>
          <cell r="AA59">
            <v>24318434</v>
          </cell>
          <cell r="AB59">
            <v>32898174</v>
          </cell>
          <cell r="AC59">
            <v>31126525</v>
          </cell>
          <cell r="AD59">
            <v>24913106</v>
          </cell>
          <cell r="AE59">
            <v>25520152</v>
          </cell>
          <cell r="AF59">
            <v>30381903</v>
          </cell>
          <cell r="AG59">
            <v>24120495</v>
          </cell>
          <cell r="AH59">
            <v>24197859</v>
          </cell>
          <cell r="AI59">
            <v>30986943</v>
          </cell>
          <cell r="AJ59">
            <v>25232724</v>
          </cell>
          <cell r="AK59">
            <v>24787360</v>
          </cell>
          <cell r="AL59">
            <v>33814217</v>
          </cell>
          <cell r="AM59">
            <v>21677172</v>
          </cell>
          <cell r="AN59">
            <v>25572691</v>
          </cell>
          <cell r="AO59">
            <v>32775618</v>
          </cell>
          <cell r="AP59">
            <v>26854212</v>
          </cell>
          <cell r="AQ59">
            <v>26560446</v>
          </cell>
          <cell r="AR59">
            <v>31385011</v>
          </cell>
          <cell r="AS59">
            <v>23903120</v>
          </cell>
          <cell r="AT59">
            <v>23591387</v>
          </cell>
          <cell r="AU59">
            <v>29879324</v>
          </cell>
          <cell r="AV59">
            <v>23183091</v>
          </cell>
          <cell r="AW59">
            <v>23741416</v>
          </cell>
          <cell r="AX59">
            <v>28968669</v>
          </cell>
          <cell r="AY59">
            <v>22667685</v>
          </cell>
          <cell r="AZ59">
            <v>24183142</v>
          </cell>
          <cell r="BA59">
            <v>30383424</v>
          </cell>
          <cell r="BB59">
            <v>22845385</v>
          </cell>
          <cell r="BC59">
            <v>23335681</v>
          </cell>
          <cell r="BD59">
            <v>29000084</v>
          </cell>
          <cell r="BE59">
            <v>20614556</v>
          </cell>
          <cell r="BF59">
            <v>21197472</v>
          </cell>
          <cell r="BG59">
            <v>27053578</v>
          </cell>
          <cell r="BH59">
            <v>20523776</v>
          </cell>
          <cell r="BI59">
            <v>20569742</v>
          </cell>
          <cell r="BJ59">
            <v>25589761</v>
          </cell>
          <cell r="BK59">
            <v>19185552</v>
          </cell>
          <cell r="BL59">
            <v>20872616</v>
          </cell>
        </row>
        <row r="60">
          <cell r="A60" t="str">
            <v>INVIRASE ROC 121995</v>
          </cell>
          <cell r="B60" t="str">
            <v>INVIRASE ROC 121995</v>
          </cell>
          <cell r="C60">
            <v>2558990</v>
          </cell>
          <cell r="D60">
            <v>2970728</v>
          </cell>
          <cell r="E60">
            <v>4286148</v>
          </cell>
          <cell r="F60">
            <v>3105888</v>
          </cell>
          <cell r="G60">
            <v>3503336</v>
          </cell>
          <cell r="H60">
            <v>4293682</v>
          </cell>
          <cell r="I60">
            <v>3494998</v>
          </cell>
          <cell r="J60">
            <v>3811717</v>
          </cell>
          <cell r="K60">
            <v>5152847</v>
          </cell>
          <cell r="L60">
            <v>3658965</v>
          </cell>
          <cell r="M60">
            <v>4373630</v>
          </cell>
          <cell r="N60">
            <v>4939136</v>
          </cell>
          <cell r="O60">
            <v>3850490</v>
          </cell>
          <cell r="P60">
            <v>3964617</v>
          </cell>
          <cell r="Q60">
            <v>5154787</v>
          </cell>
          <cell r="R60">
            <v>4269289</v>
          </cell>
          <cell r="S60">
            <v>5005514</v>
          </cell>
          <cell r="T60">
            <v>6312482</v>
          </cell>
          <cell r="U60">
            <v>4997535</v>
          </cell>
          <cell r="V60">
            <v>5292713</v>
          </cell>
          <cell r="W60">
            <v>6484178</v>
          </cell>
          <cell r="X60">
            <v>5145110</v>
          </cell>
          <cell r="Y60">
            <v>4720298</v>
          </cell>
          <cell r="Z60">
            <v>6846830</v>
          </cell>
          <cell r="AA60">
            <v>4732707</v>
          </cell>
          <cell r="AB60">
            <v>5358734</v>
          </cell>
          <cell r="AC60">
            <v>6045698</v>
          </cell>
          <cell r="AD60">
            <v>4834198</v>
          </cell>
          <cell r="AE60">
            <v>4720167</v>
          </cell>
          <cell r="AF60">
            <v>5864820</v>
          </cell>
          <cell r="AG60">
            <v>4750270</v>
          </cell>
          <cell r="AH60">
            <v>4661076</v>
          </cell>
          <cell r="AI60">
            <v>5911041</v>
          </cell>
          <cell r="AJ60">
            <v>4477666</v>
          </cell>
          <cell r="AK60">
            <v>4356974</v>
          </cell>
          <cell r="AL60">
            <v>5566980</v>
          </cell>
          <cell r="AM60">
            <v>4229944</v>
          </cell>
          <cell r="AN60">
            <v>4101412</v>
          </cell>
          <cell r="AO60">
            <v>5505538</v>
          </cell>
          <cell r="AP60">
            <v>3976740</v>
          </cell>
          <cell r="AQ60">
            <v>4016902</v>
          </cell>
          <cell r="AR60">
            <v>4848014</v>
          </cell>
          <cell r="AS60">
            <v>3746189</v>
          </cell>
          <cell r="AT60">
            <v>3830283</v>
          </cell>
          <cell r="AU60">
            <v>4754996</v>
          </cell>
          <cell r="AV60">
            <v>3758340</v>
          </cell>
          <cell r="AW60">
            <v>3525141</v>
          </cell>
          <cell r="AX60">
            <v>4541753</v>
          </cell>
          <cell r="AY60">
            <v>3475705</v>
          </cell>
          <cell r="AZ60">
            <v>4248872</v>
          </cell>
          <cell r="BA60">
            <v>4512804</v>
          </cell>
          <cell r="BB60">
            <v>3454962</v>
          </cell>
          <cell r="BC60">
            <v>3378107</v>
          </cell>
          <cell r="BD60">
            <v>4356023</v>
          </cell>
          <cell r="BE60">
            <v>3511101</v>
          </cell>
          <cell r="BF60">
            <v>3391641</v>
          </cell>
          <cell r="BG60">
            <v>4159013</v>
          </cell>
          <cell r="BH60">
            <v>3385038</v>
          </cell>
          <cell r="BI60">
            <v>3092853</v>
          </cell>
          <cell r="BJ60">
            <v>4116441</v>
          </cell>
          <cell r="BK60">
            <v>3242136</v>
          </cell>
          <cell r="BL60">
            <v>3008876</v>
          </cell>
        </row>
        <row r="61">
          <cell r="A61" t="str">
            <v>KALETRA ABT 092000</v>
          </cell>
          <cell r="B61" t="str">
            <v>KALETRA ABT 092000</v>
          </cell>
          <cell r="C61">
            <v>34103635</v>
          </cell>
          <cell r="D61">
            <v>34132710</v>
          </cell>
          <cell r="E61">
            <v>43479048</v>
          </cell>
          <cell r="F61">
            <v>33060546</v>
          </cell>
          <cell r="G61">
            <v>34861239</v>
          </cell>
          <cell r="H61">
            <v>41720652</v>
          </cell>
          <cell r="I61">
            <v>34115015</v>
          </cell>
          <cell r="J61">
            <v>34410732</v>
          </cell>
          <cell r="K61">
            <v>44589559</v>
          </cell>
          <cell r="L61">
            <v>34114158</v>
          </cell>
          <cell r="M61">
            <v>40664380</v>
          </cell>
          <cell r="N61">
            <v>50274344</v>
          </cell>
          <cell r="O61">
            <v>41216233</v>
          </cell>
          <cell r="P61">
            <v>39870211</v>
          </cell>
          <cell r="Q61">
            <v>52875361</v>
          </cell>
          <cell r="R61">
            <v>42996482</v>
          </cell>
          <cell r="S61">
            <v>43646405</v>
          </cell>
          <cell r="T61">
            <v>53623506</v>
          </cell>
          <cell r="U61">
            <v>44219699</v>
          </cell>
          <cell r="V61">
            <v>43521122</v>
          </cell>
          <cell r="W61">
            <v>54615630</v>
          </cell>
          <cell r="X61">
            <v>44901225</v>
          </cell>
          <cell r="Y61">
            <v>43628713</v>
          </cell>
          <cell r="Z61">
            <v>56601429</v>
          </cell>
          <cell r="AA61">
            <v>45873665</v>
          </cell>
          <cell r="AB61">
            <v>44585546</v>
          </cell>
          <cell r="AC61">
            <v>55249852</v>
          </cell>
          <cell r="AD61">
            <v>43041936</v>
          </cell>
          <cell r="AE61">
            <v>44570994</v>
          </cell>
          <cell r="AF61">
            <v>54237314</v>
          </cell>
          <cell r="AG61">
            <v>42913354</v>
          </cell>
          <cell r="AH61">
            <v>44124937</v>
          </cell>
          <cell r="AI61">
            <v>54746238</v>
          </cell>
          <cell r="AJ61">
            <v>47134286</v>
          </cell>
          <cell r="AK61">
            <v>45695663</v>
          </cell>
          <cell r="AL61">
            <v>56784105</v>
          </cell>
          <cell r="AM61">
            <v>45652455</v>
          </cell>
          <cell r="AN61">
            <v>44457093</v>
          </cell>
          <cell r="AO61">
            <v>62121444</v>
          </cell>
          <cell r="AP61">
            <v>43556809</v>
          </cell>
          <cell r="AQ61">
            <v>43267468</v>
          </cell>
          <cell r="AR61">
            <v>51496429</v>
          </cell>
          <cell r="AS61">
            <v>40390423</v>
          </cell>
          <cell r="AT61">
            <v>42193656</v>
          </cell>
          <cell r="AU61">
            <v>52306896</v>
          </cell>
          <cell r="AV61">
            <v>42220952</v>
          </cell>
          <cell r="AW61">
            <v>40825806</v>
          </cell>
          <cell r="AX61">
            <v>50445661</v>
          </cell>
          <cell r="AY61">
            <v>40671783</v>
          </cell>
          <cell r="AZ61">
            <v>39318123</v>
          </cell>
          <cell r="BA61">
            <v>50268875</v>
          </cell>
          <cell r="BB61">
            <v>37563561</v>
          </cell>
          <cell r="BC61">
            <v>38284928</v>
          </cell>
          <cell r="BD61">
            <v>49899531</v>
          </cell>
          <cell r="BE61">
            <v>39943879</v>
          </cell>
          <cell r="BF61">
            <v>38194827</v>
          </cell>
          <cell r="BG61">
            <v>47513506</v>
          </cell>
          <cell r="BH61">
            <v>39489276</v>
          </cell>
          <cell r="BI61">
            <v>37629668</v>
          </cell>
          <cell r="BJ61">
            <v>46376713</v>
          </cell>
          <cell r="BK61">
            <v>36458155</v>
          </cell>
          <cell r="BL61">
            <v>35907314</v>
          </cell>
        </row>
        <row r="62">
          <cell r="A62" t="str">
            <v>KEPIVANCE AAI 012005</v>
          </cell>
          <cell r="B62" t="str">
            <v>KEPIVANCE AAI 012005</v>
          </cell>
          <cell r="C62">
            <v>49500</v>
          </cell>
          <cell r="D62">
            <v>288750</v>
          </cell>
          <cell r="E62">
            <v>536251</v>
          </cell>
          <cell r="F62">
            <v>395999</v>
          </cell>
          <cell r="G62">
            <v>437361</v>
          </cell>
          <cell r="H62">
            <v>866153</v>
          </cell>
          <cell r="I62">
            <v>585654</v>
          </cell>
          <cell r="J62">
            <v>518234</v>
          </cell>
          <cell r="K62">
            <v>789684</v>
          </cell>
          <cell r="L62">
            <v>850850</v>
          </cell>
          <cell r="M62">
            <v>635522</v>
          </cell>
          <cell r="N62">
            <v>1081915</v>
          </cell>
          <cell r="O62">
            <v>885082</v>
          </cell>
          <cell r="P62">
            <v>486750</v>
          </cell>
          <cell r="Q62">
            <v>982718</v>
          </cell>
          <cell r="R62">
            <v>626999</v>
          </cell>
          <cell r="S62">
            <v>685915</v>
          </cell>
          <cell r="T62">
            <v>948749</v>
          </cell>
          <cell r="U62">
            <v>643652</v>
          </cell>
          <cell r="V62">
            <v>776874</v>
          </cell>
          <cell r="W62">
            <v>687235</v>
          </cell>
          <cell r="X62">
            <v>520424</v>
          </cell>
          <cell r="Y62">
            <v>676071</v>
          </cell>
          <cell r="Z62">
            <v>726305</v>
          </cell>
          <cell r="AA62">
            <v>536981</v>
          </cell>
          <cell r="AB62">
            <v>718301</v>
          </cell>
          <cell r="AC62">
            <v>967994</v>
          </cell>
          <cell r="AD62">
            <v>694332</v>
          </cell>
          <cell r="AE62">
            <v>645079</v>
          </cell>
          <cell r="AF62">
            <v>711408</v>
          </cell>
          <cell r="AG62">
            <v>760577</v>
          </cell>
          <cell r="AH62">
            <v>876516</v>
          </cell>
          <cell r="AI62">
            <v>1039913</v>
          </cell>
          <cell r="AJ62">
            <v>899721</v>
          </cell>
          <cell r="AK62">
            <v>862876</v>
          </cell>
          <cell r="AL62">
            <v>1064777</v>
          </cell>
          <cell r="AM62">
            <v>833802</v>
          </cell>
          <cell r="AN62">
            <v>792160</v>
          </cell>
          <cell r="AO62">
            <v>1073230</v>
          </cell>
          <cell r="AP62">
            <v>842826</v>
          </cell>
          <cell r="AQ62">
            <v>841822</v>
          </cell>
          <cell r="AR62">
            <v>974789</v>
          </cell>
          <cell r="AS62">
            <v>784034</v>
          </cell>
          <cell r="AT62">
            <v>883233</v>
          </cell>
          <cell r="AU62">
            <v>792161</v>
          </cell>
          <cell r="AV62">
            <v>1064249</v>
          </cell>
          <cell r="AW62">
            <v>818773</v>
          </cell>
          <cell r="AX62">
            <v>578006</v>
          </cell>
          <cell r="AY62">
            <v>272611</v>
          </cell>
          <cell r="AZ62">
            <v>518109</v>
          </cell>
          <cell r="BA62">
            <v>736064</v>
          </cell>
          <cell r="BB62">
            <v>1453679</v>
          </cell>
          <cell r="BC62">
            <v>957254</v>
          </cell>
          <cell r="BD62">
            <v>1002292</v>
          </cell>
          <cell r="BE62">
            <v>928540</v>
          </cell>
          <cell r="BF62">
            <v>845508</v>
          </cell>
          <cell r="BG62">
            <v>998698</v>
          </cell>
          <cell r="BH62">
            <v>650050</v>
          </cell>
          <cell r="BI62">
            <v>845754</v>
          </cell>
          <cell r="BJ62">
            <v>1009759</v>
          </cell>
          <cell r="BK62">
            <v>703820</v>
          </cell>
          <cell r="BL62">
            <v>776519</v>
          </cell>
        </row>
        <row r="63">
          <cell r="A63" t="str">
            <v>LEXIVA GSK 112003</v>
          </cell>
          <cell r="B63" t="str">
            <v>LEXIVA GSK 112003</v>
          </cell>
          <cell r="C63">
            <v>8634796</v>
          </cell>
          <cell r="D63">
            <v>9904522</v>
          </cell>
          <cell r="E63">
            <v>13620151</v>
          </cell>
          <cell r="F63">
            <v>10726663</v>
          </cell>
          <cell r="G63">
            <v>11740977</v>
          </cell>
          <cell r="H63">
            <v>14096605</v>
          </cell>
          <cell r="I63">
            <v>11989114</v>
          </cell>
          <cell r="J63">
            <v>12501813</v>
          </cell>
          <cell r="K63">
            <v>16169110</v>
          </cell>
          <cell r="L63">
            <v>12104159</v>
          </cell>
          <cell r="M63">
            <v>12379272</v>
          </cell>
          <cell r="N63">
            <v>15602284</v>
          </cell>
          <cell r="O63">
            <v>11876435</v>
          </cell>
          <cell r="P63">
            <v>13526567</v>
          </cell>
          <cell r="Q63">
            <v>15532650</v>
          </cell>
          <cell r="R63">
            <v>12051039</v>
          </cell>
          <cell r="S63">
            <v>12484311</v>
          </cell>
          <cell r="T63">
            <v>15615326</v>
          </cell>
          <cell r="U63">
            <v>12631279</v>
          </cell>
          <cell r="V63">
            <v>12649928</v>
          </cell>
          <cell r="W63">
            <v>15763038</v>
          </cell>
          <cell r="X63">
            <v>12559574</v>
          </cell>
          <cell r="Y63">
            <v>12446325</v>
          </cell>
          <cell r="Z63">
            <v>16564755</v>
          </cell>
          <cell r="AA63">
            <v>13725457</v>
          </cell>
          <cell r="AB63">
            <v>15442101</v>
          </cell>
          <cell r="AC63">
            <v>17169845</v>
          </cell>
          <cell r="AD63">
            <v>13472753</v>
          </cell>
          <cell r="AE63">
            <v>13332780</v>
          </cell>
          <cell r="AF63">
            <v>16655326</v>
          </cell>
          <cell r="AG63">
            <v>13514898</v>
          </cell>
          <cell r="AH63">
            <v>13684425</v>
          </cell>
          <cell r="AI63">
            <v>17424479</v>
          </cell>
          <cell r="AJ63">
            <v>14114782</v>
          </cell>
          <cell r="AK63">
            <v>13615305</v>
          </cell>
          <cell r="AL63">
            <v>17665688</v>
          </cell>
          <cell r="AM63">
            <v>13855310</v>
          </cell>
          <cell r="AN63">
            <v>14267681</v>
          </cell>
          <cell r="AO63">
            <v>19340253</v>
          </cell>
          <cell r="AP63">
            <v>13739700</v>
          </cell>
          <cell r="AQ63">
            <v>13367535</v>
          </cell>
          <cell r="AR63">
            <v>16778977</v>
          </cell>
          <cell r="AS63">
            <v>13202074</v>
          </cell>
          <cell r="AT63">
            <v>14095730</v>
          </cell>
          <cell r="AU63">
            <v>17685478</v>
          </cell>
          <cell r="AV63">
            <v>14864865</v>
          </cell>
          <cell r="AW63">
            <v>13884502</v>
          </cell>
          <cell r="AX63">
            <v>17448519</v>
          </cell>
          <cell r="AY63">
            <v>14347403</v>
          </cell>
          <cell r="AZ63">
            <v>14143013</v>
          </cell>
          <cell r="BA63">
            <v>17759147</v>
          </cell>
          <cell r="BB63">
            <v>13431673</v>
          </cell>
          <cell r="BC63">
            <v>13749746</v>
          </cell>
          <cell r="BD63">
            <v>18280004</v>
          </cell>
          <cell r="BE63">
            <v>14968488</v>
          </cell>
          <cell r="BF63">
            <v>14516110</v>
          </cell>
          <cell r="BG63">
            <v>18074429</v>
          </cell>
          <cell r="BH63">
            <v>14754222</v>
          </cell>
          <cell r="BI63">
            <v>14152526</v>
          </cell>
          <cell r="BJ63">
            <v>17702367</v>
          </cell>
          <cell r="BK63">
            <v>13874391</v>
          </cell>
          <cell r="BL63">
            <v>13817565</v>
          </cell>
        </row>
        <row r="64">
          <cell r="A64" t="str">
            <v>LUCENTIS GTC 072006</v>
          </cell>
          <cell r="B64" t="str">
            <v>LUCENTIS GTC 072006</v>
          </cell>
          <cell r="C64">
            <v>1726775</v>
          </cell>
          <cell r="D64">
            <v>2819874</v>
          </cell>
          <cell r="E64">
            <v>4062619</v>
          </cell>
          <cell r="F64">
            <v>4387244</v>
          </cell>
          <cell r="G64">
            <v>4812775</v>
          </cell>
          <cell r="H64">
            <v>7363459</v>
          </cell>
          <cell r="I64">
            <v>6148204</v>
          </cell>
          <cell r="J64">
            <v>6316776</v>
          </cell>
          <cell r="K64">
            <v>8028519</v>
          </cell>
          <cell r="L64">
            <v>5942919</v>
          </cell>
          <cell r="M64">
            <v>5756046</v>
          </cell>
          <cell r="N64">
            <v>7035220</v>
          </cell>
          <cell r="O64">
            <v>5931188</v>
          </cell>
          <cell r="P64">
            <v>5266340</v>
          </cell>
          <cell r="Q64">
            <v>6969179</v>
          </cell>
          <cell r="R64">
            <v>4891903</v>
          </cell>
          <cell r="S64">
            <v>1486189</v>
          </cell>
          <cell r="T64">
            <v>70292</v>
          </cell>
          <cell r="U64">
            <v>37055637</v>
          </cell>
          <cell r="V64">
            <v>46101498</v>
          </cell>
          <cell r="W64">
            <v>76221807</v>
          </cell>
          <cell r="X64">
            <v>68792050</v>
          </cell>
          <cell r="Y64">
            <v>72140433</v>
          </cell>
          <cell r="Z64">
            <v>87992810</v>
          </cell>
          <cell r="AA64">
            <v>76750260</v>
          </cell>
          <cell r="AB64">
            <v>69573104</v>
          </cell>
          <cell r="AC64">
            <v>88171212</v>
          </cell>
          <cell r="AD64">
            <v>67738604</v>
          </cell>
          <cell r="AE64">
            <v>71071154</v>
          </cell>
          <cell r="AF64">
            <v>86581688</v>
          </cell>
          <cell r="AG64">
            <v>64919163</v>
          </cell>
          <cell r="AH64">
            <v>65802166</v>
          </cell>
          <cell r="AI64">
            <v>85838476</v>
          </cell>
          <cell r="AJ64">
            <v>68232036</v>
          </cell>
          <cell r="AK64">
            <v>64300980</v>
          </cell>
          <cell r="AL64">
            <v>78897598</v>
          </cell>
          <cell r="AM64">
            <v>69448324</v>
          </cell>
          <cell r="AN64">
            <v>64079349</v>
          </cell>
          <cell r="AO64">
            <v>84637164</v>
          </cell>
          <cell r="AP64">
            <v>71628803</v>
          </cell>
          <cell r="AQ64">
            <v>74455694</v>
          </cell>
          <cell r="AR64">
            <v>89866719</v>
          </cell>
          <cell r="AS64">
            <v>71155744</v>
          </cell>
          <cell r="AT64">
            <v>74753092</v>
          </cell>
          <cell r="AU64">
            <v>92910106</v>
          </cell>
          <cell r="AV64">
            <v>75171337</v>
          </cell>
          <cell r="AW64">
            <v>75170573</v>
          </cell>
          <cell r="AX64">
            <v>84519994</v>
          </cell>
          <cell r="AY64">
            <v>82845873</v>
          </cell>
          <cell r="AZ64">
            <v>74343187</v>
          </cell>
          <cell r="BA64">
            <v>100532984</v>
          </cell>
          <cell r="BB64">
            <v>81158224</v>
          </cell>
          <cell r="BC64">
            <v>79178222</v>
          </cell>
          <cell r="BD64">
            <v>104812738</v>
          </cell>
          <cell r="BE64">
            <v>85090696</v>
          </cell>
          <cell r="BF64">
            <v>85933848</v>
          </cell>
          <cell r="BG64">
            <v>109753729</v>
          </cell>
          <cell r="BH64">
            <v>96994564</v>
          </cell>
          <cell r="BI64">
            <v>97476367</v>
          </cell>
          <cell r="BJ64">
            <v>115007071</v>
          </cell>
          <cell r="BK64">
            <v>106564821</v>
          </cell>
          <cell r="BL64">
            <v>96422668</v>
          </cell>
        </row>
        <row r="65">
          <cell r="A65" t="str">
            <v>MACUGEN EYT 012005</v>
          </cell>
          <cell r="B65" t="str">
            <v>MACUGEN EYT 012005</v>
          </cell>
          <cell r="C65">
            <v>1726775</v>
          </cell>
          <cell r="D65">
            <v>2819874</v>
          </cell>
          <cell r="E65">
            <v>4062619</v>
          </cell>
          <cell r="F65">
            <v>4387244</v>
          </cell>
          <cell r="G65">
            <v>4812775</v>
          </cell>
          <cell r="H65">
            <v>7363459</v>
          </cell>
          <cell r="I65">
            <v>6148204</v>
          </cell>
          <cell r="J65">
            <v>6316776</v>
          </cell>
          <cell r="K65">
            <v>8028519</v>
          </cell>
          <cell r="L65">
            <v>5942919</v>
          </cell>
          <cell r="M65">
            <v>5756046</v>
          </cell>
          <cell r="N65">
            <v>7035220</v>
          </cell>
          <cell r="O65">
            <v>5931188</v>
          </cell>
          <cell r="P65">
            <v>5266340</v>
          </cell>
          <cell r="Q65">
            <v>6969179</v>
          </cell>
          <cell r="R65">
            <v>4891903</v>
          </cell>
          <cell r="S65">
            <v>1486189</v>
          </cell>
          <cell r="T65">
            <v>70292</v>
          </cell>
          <cell r="U65">
            <v>78724</v>
          </cell>
          <cell r="V65">
            <v>83007</v>
          </cell>
          <cell r="W65">
            <v>73594</v>
          </cell>
          <cell r="X65">
            <v>69720</v>
          </cell>
          <cell r="Y65">
            <v>48042</v>
          </cell>
          <cell r="Z65">
            <v>63034</v>
          </cell>
          <cell r="AA65">
            <v>22388</v>
          </cell>
          <cell r="AB65">
            <v>28688</v>
          </cell>
          <cell r="AC65">
            <v>18995</v>
          </cell>
          <cell r="AD65">
            <v>27965</v>
          </cell>
          <cell r="AE65">
            <v>12746</v>
          </cell>
          <cell r="AF65">
            <v>20940</v>
          </cell>
          <cell r="AG65">
            <v>17165</v>
          </cell>
          <cell r="AH65">
            <v>28031</v>
          </cell>
          <cell r="AI65">
            <v>16352</v>
          </cell>
          <cell r="AJ65">
            <v>17280</v>
          </cell>
          <cell r="AK65">
            <v>9960</v>
          </cell>
          <cell r="AL65">
            <v>16648</v>
          </cell>
          <cell r="AM65">
            <v>17128</v>
          </cell>
          <cell r="AN65">
            <v>23412</v>
          </cell>
          <cell r="AO65">
            <v>17890</v>
          </cell>
          <cell r="AP65">
            <v>8955</v>
          </cell>
          <cell r="AQ65">
            <v>13447</v>
          </cell>
          <cell r="AR65">
            <v>20665</v>
          </cell>
          <cell r="AS65">
            <v>12579</v>
          </cell>
          <cell r="AT65">
            <v>546364</v>
          </cell>
          <cell r="AU65">
            <v>30607</v>
          </cell>
          <cell r="AV65">
            <v>661062</v>
          </cell>
          <cell r="AW65">
            <v>8606</v>
          </cell>
          <cell r="AX65">
            <v>21761</v>
          </cell>
          <cell r="AY65">
            <v>13627</v>
          </cell>
          <cell r="AZ65">
            <v>23651</v>
          </cell>
          <cell r="BA65">
            <v>50427</v>
          </cell>
          <cell r="BB65">
            <v>56667</v>
          </cell>
          <cell r="BC65">
            <v>42509</v>
          </cell>
          <cell r="BD65">
            <v>54929</v>
          </cell>
          <cell r="BE65">
            <v>58272</v>
          </cell>
          <cell r="BF65">
            <v>39402</v>
          </cell>
          <cell r="BG65">
            <v>140799</v>
          </cell>
          <cell r="BH65">
            <v>138074</v>
          </cell>
          <cell r="BI65">
            <v>93783</v>
          </cell>
          <cell r="BJ65">
            <v>93649</v>
          </cell>
          <cell r="BK65">
            <v>36918</v>
          </cell>
          <cell r="BL65">
            <v>25325</v>
          </cell>
        </row>
        <row r="66">
          <cell r="A66" t="str">
            <v>MIACALCIN NVR 101991</v>
          </cell>
          <cell r="B66" t="str">
            <v xml:space="preserve"> </v>
          </cell>
          <cell r="C66">
            <v>12755084</v>
          </cell>
          <cell r="D66">
            <v>13120942</v>
          </cell>
          <cell r="E66">
            <v>17025615</v>
          </cell>
          <cell r="F66">
            <v>14880221</v>
          </cell>
          <cell r="G66">
            <v>22777396</v>
          </cell>
          <cell r="H66">
            <v>27814536</v>
          </cell>
          <cell r="I66">
            <v>21550205</v>
          </cell>
          <cell r="J66">
            <v>21403909</v>
          </cell>
          <cell r="K66">
            <v>24269738</v>
          </cell>
          <cell r="L66">
            <v>18644225</v>
          </cell>
          <cell r="M66">
            <v>17910281</v>
          </cell>
          <cell r="N66">
            <v>22622417</v>
          </cell>
          <cell r="O66">
            <v>18159005</v>
          </cell>
          <cell r="P66">
            <v>16844170</v>
          </cell>
          <cell r="Q66">
            <v>20685294</v>
          </cell>
          <cell r="R66">
            <v>16017200</v>
          </cell>
          <cell r="S66">
            <v>15960526</v>
          </cell>
          <cell r="T66">
            <v>19279586</v>
          </cell>
          <cell r="U66">
            <v>15155336</v>
          </cell>
          <cell r="V66">
            <v>15249608</v>
          </cell>
          <cell r="W66">
            <v>18734874</v>
          </cell>
          <cell r="X66">
            <v>14850735</v>
          </cell>
          <cell r="Y66">
            <v>14019473</v>
          </cell>
          <cell r="Z66">
            <v>18169556</v>
          </cell>
          <cell r="AA66">
            <v>14223715</v>
          </cell>
          <cell r="AB66">
            <v>13487036</v>
          </cell>
          <cell r="AC66">
            <v>16300734</v>
          </cell>
          <cell r="AD66">
            <v>12029440</v>
          </cell>
          <cell r="AE66">
            <v>12116543</v>
          </cell>
          <cell r="AF66">
            <v>14138522</v>
          </cell>
          <cell r="AG66">
            <v>11288185</v>
          </cell>
          <cell r="AH66">
            <v>10918301</v>
          </cell>
          <cell r="AI66">
            <v>13221700</v>
          </cell>
          <cell r="AJ66">
            <v>10369848</v>
          </cell>
          <cell r="AK66">
            <v>9887615</v>
          </cell>
          <cell r="AL66">
            <v>12107452</v>
          </cell>
          <cell r="AM66">
            <v>10199114</v>
          </cell>
          <cell r="AN66">
            <v>9981389</v>
          </cell>
          <cell r="AO66">
            <v>11950454</v>
          </cell>
          <cell r="AP66">
            <v>9262498</v>
          </cell>
          <cell r="AQ66">
            <v>9348228</v>
          </cell>
          <cell r="AR66">
            <v>11041205</v>
          </cell>
          <cell r="AS66">
            <v>8623578</v>
          </cell>
          <cell r="AT66">
            <v>8545607</v>
          </cell>
          <cell r="AU66">
            <v>10400635</v>
          </cell>
          <cell r="AV66">
            <v>8094954</v>
          </cell>
          <cell r="AW66">
            <v>7538707</v>
          </cell>
          <cell r="AX66">
            <v>6553848</v>
          </cell>
          <cell r="AY66">
            <v>3590916</v>
          </cell>
          <cell r="AZ66">
            <v>2965938</v>
          </cell>
          <cell r="BA66">
            <v>3449292</v>
          </cell>
          <cell r="BB66">
            <v>2514297</v>
          </cell>
          <cell r="BC66">
            <v>2495779</v>
          </cell>
          <cell r="BD66">
            <v>2936186</v>
          </cell>
          <cell r="BE66">
            <v>2420363</v>
          </cell>
          <cell r="BF66">
            <v>2300792</v>
          </cell>
          <cell r="BG66">
            <v>2776010</v>
          </cell>
          <cell r="BH66">
            <v>2238552</v>
          </cell>
          <cell r="BI66">
            <v>1914211</v>
          </cell>
          <cell r="BJ66">
            <v>2614590</v>
          </cell>
          <cell r="BK66">
            <v>1759449</v>
          </cell>
          <cell r="BL66">
            <v>1692502</v>
          </cell>
        </row>
        <row r="67">
          <cell r="A67" t="str">
            <v>SYNVISC GZY 101997</v>
          </cell>
          <cell r="B67" t="str">
            <v>SYNVISC GZY 101997</v>
          </cell>
          <cell r="C67">
            <v>12755084</v>
          </cell>
          <cell r="D67">
            <v>13120942</v>
          </cell>
          <cell r="E67">
            <v>17025615</v>
          </cell>
          <cell r="F67">
            <v>14880221</v>
          </cell>
          <cell r="G67">
            <v>16616814</v>
          </cell>
          <cell r="H67">
            <v>19930397</v>
          </cell>
          <cell r="I67">
            <v>13807436</v>
          </cell>
          <cell r="J67">
            <v>14499411</v>
          </cell>
          <cell r="K67">
            <v>19558041</v>
          </cell>
          <cell r="L67">
            <v>15351321</v>
          </cell>
          <cell r="M67">
            <v>14856912</v>
          </cell>
          <cell r="N67">
            <v>18287198</v>
          </cell>
          <cell r="O67">
            <v>12145553</v>
          </cell>
          <cell r="P67">
            <v>13754255</v>
          </cell>
          <cell r="Q67">
            <v>18393409</v>
          </cell>
          <cell r="R67">
            <v>15847920</v>
          </cell>
          <cell r="S67">
            <v>16829744</v>
          </cell>
          <cell r="T67">
            <v>19921479</v>
          </cell>
          <cell r="U67">
            <v>13955762</v>
          </cell>
          <cell r="V67">
            <v>15169805</v>
          </cell>
          <cell r="W67">
            <v>19614197</v>
          </cell>
          <cell r="X67">
            <v>15335076</v>
          </cell>
          <cell r="Y67">
            <v>15181084</v>
          </cell>
          <cell r="Z67">
            <v>16717082</v>
          </cell>
          <cell r="AA67">
            <v>5173967</v>
          </cell>
          <cell r="AB67">
            <v>5221245</v>
          </cell>
          <cell r="AC67">
            <v>7400885</v>
          </cell>
          <cell r="AD67">
            <v>6237317</v>
          </cell>
          <cell r="AE67">
            <v>6906171</v>
          </cell>
          <cell r="AF67">
            <v>8252841</v>
          </cell>
          <cell r="AG67">
            <v>6261860</v>
          </cell>
          <cell r="AH67">
            <v>6134300</v>
          </cell>
          <cell r="AI67">
            <v>7247103</v>
          </cell>
          <cell r="AJ67">
            <v>6367845</v>
          </cell>
          <cell r="AK67">
            <v>6172456</v>
          </cell>
          <cell r="AL67">
            <v>7071592</v>
          </cell>
          <cell r="AM67">
            <v>4884588</v>
          </cell>
          <cell r="AN67">
            <v>5480133</v>
          </cell>
          <cell r="AO67">
            <v>7243166</v>
          </cell>
          <cell r="AP67">
            <v>6906481</v>
          </cell>
          <cell r="AQ67">
            <v>7330522</v>
          </cell>
          <cell r="AR67">
            <v>8181350</v>
          </cell>
          <cell r="AS67">
            <v>6002612</v>
          </cell>
          <cell r="AT67">
            <v>6246461</v>
          </cell>
          <cell r="AU67">
            <v>7810230</v>
          </cell>
          <cell r="AV67">
            <v>6373895</v>
          </cell>
          <cell r="AW67">
            <v>6665808</v>
          </cell>
          <cell r="AX67">
            <v>5991960</v>
          </cell>
          <cell r="AY67">
            <v>5041495</v>
          </cell>
          <cell r="AZ67">
            <v>5124262</v>
          </cell>
          <cell r="BA67">
            <v>7887694</v>
          </cell>
          <cell r="BB67">
            <v>5764058</v>
          </cell>
          <cell r="BC67">
            <v>5430101</v>
          </cell>
          <cell r="BD67">
            <v>6420671</v>
          </cell>
          <cell r="BE67">
            <v>4460205</v>
          </cell>
          <cell r="BF67">
            <v>4248190</v>
          </cell>
          <cell r="BG67">
            <v>5175886</v>
          </cell>
          <cell r="BH67">
            <v>4325428</v>
          </cell>
          <cell r="BI67">
            <v>4000377</v>
          </cell>
          <cell r="BJ67">
            <v>4400109</v>
          </cell>
          <cell r="BK67">
            <v>3482806</v>
          </cell>
          <cell r="BL67">
            <v>3280629</v>
          </cell>
        </row>
        <row r="68">
          <cell r="A68" t="str">
            <v>MYOZYME GZY 052006</v>
          </cell>
          <cell r="B68" t="str">
            <v>MYOZYME GZY 052006</v>
          </cell>
          <cell r="C68">
            <v>67020167</v>
          </cell>
          <cell r="D68">
            <v>71119104</v>
          </cell>
          <cell r="E68">
            <v>89853844</v>
          </cell>
          <cell r="F68">
            <v>72332787</v>
          </cell>
          <cell r="G68">
            <v>75445809</v>
          </cell>
          <cell r="H68">
            <v>92417079</v>
          </cell>
          <cell r="I68">
            <v>71375250</v>
          </cell>
          <cell r="J68">
            <v>73963313</v>
          </cell>
          <cell r="K68">
            <v>96967441</v>
          </cell>
          <cell r="L68">
            <v>73246831</v>
          </cell>
          <cell r="M68">
            <v>72975984</v>
          </cell>
          <cell r="N68">
            <v>89405429</v>
          </cell>
          <cell r="O68">
            <v>67669327</v>
          </cell>
          <cell r="P68">
            <v>74538463</v>
          </cell>
          <cell r="Q68">
            <v>93869064</v>
          </cell>
          <cell r="R68">
            <v>74259108</v>
          </cell>
          <cell r="S68">
            <v>23159</v>
          </cell>
          <cell r="T68">
            <v>72785</v>
          </cell>
          <cell r="U68">
            <v>98364</v>
          </cell>
          <cell r="V68">
            <v>131170</v>
          </cell>
          <cell r="W68">
            <v>237019</v>
          </cell>
          <cell r="X68">
            <v>140979</v>
          </cell>
          <cell r="Y68">
            <v>245549</v>
          </cell>
          <cell r="Z68">
            <v>292296</v>
          </cell>
          <cell r="AA68">
            <v>239940</v>
          </cell>
          <cell r="AB68">
            <v>258896</v>
          </cell>
          <cell r="AC68">
            <v>319564</v>
          </cell>
          <cell r="AD68">
            <v>220788</v>
          </cell>
          <cell r="AE68">
            <v>363981</v>
          </cell>
          <cell r="AF68">
            <v>423945</v>
          </cell>
          <cell r="AG68">
            <v>442174</v>
          </cell>
          <cell r="AH68">
            <v>291170</v>
          </cell>
          <cell r="AI68">
            <v>289358</v>
          </cell>
          <cell r="AJ68">
            <v>313387</v>
          </cell>
          <cell r="AK68">
            <v>255384</v>
          </cell>
          <cell r="AL68">
            <v>111510</v>
          </cell>
          <cell r="AM68">
            <v>102290</v>
          </cell>
          <cell r="AN68">
            <v>87216</v>
          </cell>
          <cell r="AO68">
            <v>140648</v>
          </cell>
          <cell r="AP68">
            <v>107280</v>
          </cell>
          <cell r="AQ68">
            <v>107354</v>
          </cell>
          <cell r="AR68">
            <v>107503</v>
          </cell>
          <cell r="AS68">
            <v>87973</v>
          </cell>
          <cell r="AT68">
            <v>100886</v>
          </cell>
          <cell r="AU68">
            <v>100998</v>
          </cell>
          <cell r="AV68">
            <v>67183</v>
          </cell>
          <cell r="AW68">
            <v>53627</v>
          </cell>
          <cell r="AX68">
            <v>88757</v>
          </cell>
          <cell r="AY68">
            <v>122159</v>
          </cell>
          <cell r="AZ68">
            <v>116330</v>
          </cell>
          <cell r="BA68">
            <v>95568</v>
          </cell>
          <cell r="BB68">
            <v>69427</v>
          </cell>
          <cell r="BC68">
            <v>73084</v>
          </cell>
          <cell r="BD68">
            <v>115659</v>
          </cell>
          <cell r="BE68">
            <v>73522</v>
          </cell>
          <cell r="BF68">
            <v>81006</v>
          </cell>
          <cell r="BG68">
            <v>77674</v>
          </cell>
          <cell r="BH68">
            <v>51334</v>
          </cell>
          <cell r="BI68">
            <v>87462</v>
          </cell>
          <cell r="BJ68">
            <v>80897</v>
          </cell>
          <cell r="BK68">
            <v>82992</v>
          </cell>
          <cell r="BL68">
            <v>78538</v>
          </cell>
        </row>
        <row r="69">
          <cell r="A69" t="str">
            <v>NEUPOGEN AAI 041997</v>
          </cell>
          <cell r="B69" t="str">
            <v>NEUPOGEN AAI 041997</v>
          </cell>
          <cell r="C69">
            <v>67020167</v>
          </cell>
          <cell r="D69">
            <v>71119104</v>
          </cell>
          <cell r="E69">
            <v>89853844</v>
          </cell>
          <cell r="F69">
            <v>72332787</v>
          </cell>
          <cell r="G69">
            <v>75445809</v>
          </cell>
          <cell r="H69">
            <v>92417079</v>
          </cell>
          <cell r="I69">
            <v>71375250</v>
          </cell>
          <cell r="J69">
            <v>73963313</v>
          </cell>
          <cell r="K69">
            <v>96967441</v>
          </cell>
          <cell r="L69">
            <v>73246831</v>
          </cell>
          <cell r="M69">
            <v>72975984</v>
          </cell>
          <cell r="N69">
            <v>89405429</v>
          </cell>
          <cell r="O69">
            <v>67669327</v>
          </cell>
          <cell r="P69">
            <v>74538463</v>
          </cell>
          <cell r="Q69">
            <v>93869064</v>
          </cell>
          <cell r="R69">
            <v>74259108</v>
          </cell>
          <cell r="S69">
            <v>77901051</v>
          </cell>
          <cell r="T69">
            <v>94033272</v>
          </cell>
          <cell r="U69">
            <v>74337775</v>
          </cell>
          <cell r="V69">
            <v>75800242</v>
          </cell>
          <cell r="W69">
            <v>97091245</v>
          </cell>
          <cell r="X69">
            <v>76820209</v>
          </cell>
          <cell r="Y69">
            <v>76697681</v>
          </cell>
          <cell r="Z69">
            <v>94999279</v>
          </cell>
          <cell r="AA69">
            <v>72079068</v>
          </cell>
          <cell r="AB69">
            <v>76879691</v>
          </cell>
          <cell r="AC69">
            <v>95988665</v>
          </cell>
          <cell r="AD69">
            <v>75832529</v>
          </cell>
          <cell r="AE69">
            <v>79823812</v>
          </cell>
          <cell r="AF69">
            <v>91973235</v>
          </cell>
          <cell r="AG69">
            <v>78381653</v>
          </cell>
          <cell r="AH69">
            <v>77895026</v>
          </cell>
          <cell r="AI69">
            <v>95960610</v>
          </cell>
          <cell r="AJ69">
            <v>78002624</v>
          </cell>
          <cell r="AK69">
            <v>75973611</v>
          </cell>
          <cell r="AL69">
            <v>94036323</v>
          </cell>
          <cell r="AM69">
            <v>71155048</v>
          </cell>
          <cell r="AN69">
            <v>79866671</v>
          </cell>
          <cell r="AO69">
            <v>100232989</v>
          </cell>
          <cell r="AP69">
            <v>80988690</v>
          </cell>
          <cell r="AQ69">
            <v>80094639</v>
          </cell>
          <cell r="AR69">
            <v>97493933</v>
          </cell>
          <cell r="AS69">
            <v>76415980</v>
          </cell>
          <cell r="AT69">
            <v>75620736</v>
          </cell>
          <cell r="AU69">
            <v>91873938</v>
          </cell>
          <cell r="AV69">
            <v>74574364</v>
          </cell>
          <cell r="AW69">
            <v>73012329</v>
          </cell>
          <cell r="AX69">
            <v>82473221</v>
          </cell>
          <cell r="AY69">
            <v>67159864</v>
          </cell>
          <cell r="AZ69">
            <v>67989802</v>
          </cell>
          <cell r="BA69">
            <v>89159948</v>
          </cell>
          <cell r="BB69">
            <v>70468139</v>
          </cell>
          <cell r="BC69">
            <v>71321012</v>
          </cell>
          <cell r="BD69">
            <v>91087322</v>
          </cell>
          <cell r="BE69">
            <v>74387103</v>
          </cell>
          <cell r="BF69">
            <v>74450060</v>
          </cell>
          <cell r="BG69">
            <v>92391894</v>
          </cell>
          <cell r="BH69">
            <v>73021610</v>
          </cell>
          <cell r="BI69">
            <v>72761432</v>
          </cell>
          <cell r="BJ69">
            <v>89587819</v>
          </cell>
          <cell r="BK69">
            <v>72439273</v>
          </cell>
          <cell r="BL69">
            <v>71271970</v>
          </cell>
        </row>
        <row r="70">
          <cell r="A70" t="str">
            <v>NEULASTA AAI 032002</v>
          </cell>
          <cell r="B70" t="str">
            <v>NEULASTA AAI 032002</v>
          </cell>
          <cell r="C70">
            <v>148162906</v>
          </cell>
          <cell r="D70">
            <v>160127677</v>
          </cell>
          <cell r="E70">
            <v>215408734</v>
          </cell>
          <cell r="F70">
            <v>166118085</v>
          </cell>
          <cell r="G70">
            <v>176659355</v>
          </cell>
          <cell r="H70">
            <v>228225710</v>
          </cell>
          <cell r="I70">
            <v>167103283</v>
          </cell>
          <cell r="J70">
            <v>177582195</v>
          </cell>
          <cell r="K70">
            <v>235151959</v>
          </cell>
          <cell r="L70">
            <v>182517188</v>
          </cell>
          <cell r="M70">
            <v>180021019</v>
          </cell>
          <cell r="N70">
            <v>243417657</v>
          </cell>
          <cell r="O70">
            <v>181507709</v>
          </cell>
          <cell r="P70">
            <v>206669667</v>
          </cell>
          <cell r="Q70">
            <v>290149435</v>
          </cell>
          <cell r="R70">
            <v>207798190</v>
          </cell>
          <cell r="S70">
            <v>226351122</v>
          </cell>
          <cell r="T70">
            <v>302403817</v>
          </cell>
          <cell r="U70">
            <v>218553812</v>
          </cell>
          <cell r="V70">
            <v>219807764</v>
          </cell>
          <cell r="W70">
            <v>315245234</v>
          </cell>
          <cell r="X70">
            <v>218186504</v>
          </cell>
          <cell r="Y70">
            <v>231817744</v>
          </cell>
          <cell r="Z70">
            <v>310890633</v>
          </cell>
          <cell r="AA70">
            <v>225283396</v>
          </cell>
          <cell r="AB70">
            <v>239003547</v>
          </cell>
          <cell r="AC70">
            <v>305887179</v>
          </cell>
          <cell r="AD70">
            <v>230332091</v>
          </cell>
          <cell r="AE70">
            <v>244338701</v>
          </cell>
          <cell r="AF70">
            <v>293194994</v>
          </cell>
          <cell r="AG70">
            <v>280275134</v>
          </cell>
          <cell r="AH70">
            <v>212164478</v>
          </cell>
          <cell r="AI70">
            <v>274795823</v>
          </cell>
          <cell r="AJ70">
            <v>228405469</v>
          </cell>
          <cell r="AK70">
            <v>229048338</v>
          </cell>
          <cell r="AL70">
            <v>303462354</v>
          </cell>
          <cell r="AM70">
            <v>269405129</v>
          </cell>
          <cell r="AN70">
            <v>213389019</v>
          </cell>
          <cell r="AO70">
            <v>294814923</v>
          </cell>
          <cell r="AP70">
            <v>243556144</v>
          </cell>
          <cell r="AQ70">
            <v>248915192</v>
          </cell>
          <cell r="AR70">
            <v>349543972</v>
          </cell>
          <cell r="AS70">
            <v>249881559</v>
          </cell>
          <cell r="AT70">
            <v>223960082</v>
          </cell>
          <cell r="AU70">
            <v>301650738</v>
          </cell>
          <cell r="AV70">
            <v>227529579</v>
          </cell>
          <cell r="AW70">
            <v>226178200</v>
          </cell>
          <cell r="AX70">
            <v>275763729</v>
          </cell>
          <cell r="AY70">
            <v>248556553</v>
          </cell>
          <cell r="AZ70">
            <v>204797924</v>
          </cell>
          <cell r="BA70">
            <v>333088341</v>
          </cell>
          <cell r="BB70">
            <v>192412858</v>
          </cell>
          <cell r="BC70">
            <v>214770784</v>
          </cell>
          <cell r="BD70">
            <v>308479943</v>
          </cell>
          <cell r="BE70">
            <v>260779655</v>
          </cell>
          <cell r="BF70">
            <v>201213899</v>
          </cell>
          <cell r="BG70">
            <v>280598935</v>
          </cell>
          <cell r="BH70">
            <v>230291495</v>
          </cell>
          <cell r="BI70">
            <v>230104097</v>
          </cell>
          <cell r="BJ70">
            <v>286640340</v>
          </cell>
          <cell r="BK70">
            <v>273022184</v>
          </cell>
          <cell r="BL70">
            <v>193948043</v>
          </cell>
        </row>
        <row r="71">
          <cell r="A71" t="str">
            <v>NORVIR ABT 031996</v>
          </cell>
          <cell r="B71" t="str">
            <v>NORVIR ABT 031996</v>
          </cell>
          <cell r="C71">
            <v>20716699</v>
          </cell>
          <cell r="D71">
            <v>21330865</v>
          </cell>
          <cell r="E71">
            <v>26659852</v>
          </cell>
          <cell r="F71">
            <v>20739262</v>
          </cell>
          <cell r="G71">
            <v>22072894</v>
          </cell>
          <cell r="H71">
            <v>27056444</v>
          </cell>
          <cell r="I71">
            <v>22530859</v>
          </cell>
          <cell r="J71">
            <v>20890237</v>
          </cell>
          <cell r="K71">
            <v>26168620</v>
          </cell>
          <cell r="L71">
            <v>22180056</v>
          </cell>
          <cell r="M71">
            <v>22216011</v>
          </cell>
          <cell r="N71">
            <v>209887</v>
          </cell>
          <cell r="O71">
            <v>2573725</v>
          </cell>
          <cell r="P71">
            <v>911510</v>
          </cell>
          <cell r="Q71">
            <v>1049998</v>
          </cell>
          <cell r="R71">
            <v>705174</v>
          </cell>
          <cell r="S71">
            <v>796437</v>
          </cell>
          <cell r="T71">
            <v>1104189</v>
          </cell>
          <cell r="U71">
            <v>842326</v>
          </cell>
          <cell r="V71">
            <v>701488</v>
          </cell>
          <cell r="W71">
            <v>966317</v>
          </cell>
          <cell r="X71">
            <v>851111</v>
          </cell>
          <cell r="Y71">
            <v>633716</v>
          </cell>
          <cell r="Z71">
            <v>1094698</v>
          </cell>
          <cell r="AA71">
            <v>816491</v>
          </cell>
          <cell r="AB71">
            <v>766023</v>
          </cell>
          <cell r="AC71">
            <v>1217381</v>
          </cell>
          <cell r="AD71">
            <v>999339</v>
          </cell>
          <cell r="AE71">
            <v>827591</v>
          </cell>
          <cell r="AF71">
            <v>1246813</v>
          </cell>
          <cell r="AG71">
            <v>1159853</v>
          </cell>
          <cell r="AH71">
            <v>1298314</v>
          </cell>
          <cell r="AI71">
            <v>1831020</v>
          </cell>
          <cell r="AJ71">
            <v>1792251</v>
          </cell>
          <cell r="AK71">
            <v>1578176</v>
          </cell>
          <cell r="AL71">
            <v>2507505</v>
          </cell>
          <cell r="AM71">
            <v>1704436</v>
          </cell>
          <cell r="AN71">
            <v>1826325</v>
          </cell>
          <cell r="AO71">
            <v>2364975</v>
          </cell>
          <cell r="AP71">
            <v>1932472</v>
          </cell>
          <cell r="AQ71">
            <v>1756446</v>
          </cell>
          <cell r="AR71">
            <v>2253845</v>
          </cell>
          <cell r="AS71">
            <v>1885262</v>
          </cell>
          <cell r="AT71">
            <v>4507547</v>
          </cell>
          <cell r="AU71">
            <v>6853009</v>
          </cell>
          <cell r="AV71">
            <v>6065650</v>
          </cell>
          <cell r="AW71">
            <v>5179747</v>
          </cell>
          <cell r="AX71">
            <v>5051221</v>
          </cell>
          <cell r="AY71">
            <v>4020049</v>
          </cell>
          <cell r="AZ71">
            <v>3816768</v>
          </cell>
          <cell r="BA71">
            <v>5505746</v>
          </cell>
          <cell r="BB71">
            <v>4736229</v>
          </cell>
          <cell r="BC71">
            <v>4811013</v>
          </cell>
          <cell r="BD71">
            <v>6016334</v>
          </cell>
          <cell r="BE71">
            <v>4617767</v>
          </cell>
          <cell r="BF71">
            <v>4798084</v>
          </cell>
          <cell r="BG71">
            <v>6121332</v>
          </cell>
          <cell r="BH71">
            <v>5576073</v>
          </cell>
          <cell r="BI71">
            <v>4817226</v>
          </cell>
          <cell r="BJ71">
            <v>7005340</v>
          </cell>
          <cell r="BK71">
            <v>1784980</v>
          </cell>
          <cell r="BL71">
            <v>1788853</v>
          </cell>
        </row>
        <row r="72">
          <cell r="A72" t="str">
            <v>ORENCIA BMP 022006</v>
          </cell>
          <cell r="B72" t="str">
            <v>ORENCIA BMP 022006</v>
          </cell>
          <cell r="C72">
            <v>20716699</v>
          </cell>
          <cell r="D72">
            <v>21330865</v>
          </cell>
          <cell r="E72">
            <v>26659852</v>
          </cell>
          <cell r="F72">
            <v>20739262</v>
          </cell>
          <cell r="G72">
            <v>22072894</v>
          </cell>
          <cell r="H72">
            <v>27056444</v>
          </cell>
          <cell r="I72">
            <v>22530859</v>
          </cell>
          <cell r="J72">
            <v>20890237</v>
          </cell>
          <cell r="K72">
            <v>26168620</v>
          </cell>
          <cell r="L72">
            <v>22180056</v>
          </cell>
          <cell r="M72">
            <v>22216011</v>
          </cell>
          <cell r="N72">
            <v>29764474</v>
          </cell>
          <cell r="O72">
            <v>21877428</v>
          </cell>
          <cell r="P72">
            <v>250916</v>
          </cell>
          <cell r="Q72">
            <v>2568809</v>
          </cell>
          <cell r="R72">
            <v>5247084</v>
          </cell>
          <cell r="S72">
            <v>5910038</v>
          </cell>
          <cell r="T72">
            <v>8628439</v>
          </cell>
          <cell r="U72">
            <v>7924013</v>
          </cell>
          <cell r="V72">
            <v>9686904</v>
          </cell>
          <cell r="W72">
            <v>15413444</v>
          </cell>
          <cell r="X72">
            <v>10647408</v>
          </cell>
          <cell r="Y72">
            <v>11040856</v>
          </cell>
          <cell r="Z72">
            <v>14491418</v>
          </cell>
          <cell r="AA72">
            <v>11868092</v>
          </cell>
          <cell r="AB72">
            <v>12860847</v>
          </cell>
          <cell r="AC72">
            <v>17495748</v>
          </cell>
          <cell r="AD72">
            <v>15293822</v>
          </cell>
          <cell r="AE72">
            <v>16286065</v>
          </cell>
          <cell r="AF72">
            <v>20888492</v>
          </cell>
          <cell r="AG72">
            <v>17132015</v>
          </cell>
          <cell r="AH72">
            <v>19308807</v>
          </cell>
          <cell r="AI72">
            <v>23194487</v>
          </cell>
          <cell r="AJ72">
            <v>19897570</v>
          </cell>
          <cell r="AK72">
            <v>20129920</v>
          </cell>
          <cell r="AL72">
            <v>26634574</v>
          </cell>
          <cell r="AM72">
            <v>20888649</v>
          </cell>
          <cell r="AN72">
            <v>23110923</v>
          </cell>
          <cell r="AO72">
            <v>30386911</v>
          </cell>
          <cell r="AP72">
            <v>26143760</v>
          </cell>
          <cell r="AQ72">
            <v>27998419</v>
          </cell>
          <cell r="AR72">
            <v>35127150</v>
          </cell>
          <cell r="AS72">
            <v>30009274</v>
          </cell>
          <cell r="AT72">
            <v>28706143</v>
          </cell>
          <cell r="AU72">
            <v>37057179</v>
          </cell>
          <cell r="AV72">
            <v>29785479</v>
          </cell>
          <cell r="AW72">
            <v>28940712</v>
          </cell>
          <cell r="AX72">
            <v>35837638</v>
          </cell>
          <cell r="AY72">
            <v>30055455</v>
          </cell>
          <cell r="AZ72">
            <v>31242000</v>
          </cell>
          <cell r="BA72">
            <v>39481629</v>
          </cell>
          <cell r="BB72">
            <v>30921419</v>
          </cell>
          <cell r="BC72">
            <v>30744228</v>
          </cell>
          <cell r="BD72">
            <v>40147073</v>
          </cell>
          <cell r="BE72">
            <v>32937093</v>
          </cell>
          <cell r="BF72">
            <v>33283286</v>
          </cell>
          <cell r="BG72">
            <v>41597125</v>
          </cell>
          <cell r="BH72">
            <v>34395250</v>
          </cell>
          <cell r="BI72">
            <v>32647246</v>
          </cell>
          <cell r="BJ72">
            <v>42420484</v>
          </cell>
          <cell r="BK72">
            <v>35072567</v>
          </cell>
          <cell r="BL72">
            <v>34440417</v>
          </cell>
        </row>
        <row r="73">
          <cell r="A73" t="str">
            <v>PAMIDRONATE DISOD SDZ 102005</v>
          </cell>
          <cell r="B73" t="str">
            <v>PAMIDRONATE DISOD SDZ 102005</v>
          </cell>
          <cell r="L73">
            <v>5142</v>
          </cell>
          <cell r="M73">
            <v>4751</v>
          </cell>
          <cell r="N73">
            <v>11716</v>
          </cell>
          <cell r="O73">
            <v>4743</v>
          </cell>
          <cell r="P73">
            <v>250916</v>
          </cell>
          <cell r="Q73">
            <v>2568809</v>
          </cell>
          <cell r="R73">
            <v>5247084</v>
          </cell>
          <cell r="S73">
            <v>5910038</v>
          </cell>
          <cell r="T73">
            <v>8628439</v>
          </cell>
          <cell r="U73">
            <v>7924013</v>
          </cell>
          <cell r="V73">
            <v>9686904</v>
          </cell>
          <cell r="W73">
            <v>15413444</v>
          </cell>
          <cell r="X73">
            <v>10647408</v>
          </cell>
          <cell r="Y73">
            <v>11040856</v>
          </cell>
          <cell r="Z73">
            <v>14491418</v>
          </cell>
          <cell r="AA73">
            <v>11868092</v>
          </cell>
          <cell r="AB73">
            <v>12860847</v>
          </cell>
          <cell r="AC73">
            <v>17495748</v>
          </cell>
          <cell r="AD73">
            <v>15293822</v>
          </cell>
          <cell r="AE73">
            <v>16286065</v>
          </cell>
          <cell r="AF73">
            <v>20888492</v>
          </cell>
          <cell r="AG73">
            <v>17132015</v>
          </cell>
          <cell r="AH73">
            <v>19308807</v>
          </cell>
          <cell r="AI73">
            <v>23194487</v>
          </cell>
          <cell r="AJ73">
            <v>19897570</v>
          </cell>
          <cell r="AK73">
            <v>20129920</v>
          </cell>
          <cell r="AL73">
            <v>26634574</v>
          </cell>
          <cell r="AM73">
            <v>20888649</v>
          </cell>
          <cell r="AN73">
            <v>23110923</v>
          </cell>
          <cell r="AO73">
            <v>30386911</v>
          </cell>
          <cell r="AP73">
            <v>26143760</v>
          </cell>
          <cell r="AQ73">
            <v>27998419</v>
          </cell>
          <cell r="AR73">
            <v>35127150</v>
          </cell>
          <cell r="AS73">
            <v>30009274</v>
          </cell>
          <cell r="AT73">
            <v>30140565</v>
          </cell>
          <cell r="AU73">
            <v>38347181</v>
          </cell>
          <cell r="AV73">
            <v>32126003</v>
          </cell>
          <cell r="AW73">
            <v>31942262</v>
          </cell>
          <cell r="AX73">
            <v>37906408</v>
          </cell>
          <cell r="AY73">
            <v>31705048</v>
          </cell>
          <cell r="AZ73">
            <v>32896224</v>
          </cell>
          <cell r="BA73">
            <v>43599377</v>
          </cell>
          <cell r="BB73">
            <v>35181374</v>
          </cell>
          <cell r="BC73">
            <v>36410973</v>
          </cell>
          <cell r="BD73">
            <v>47828947</v>
          </cell>
          <cell r="BE73">
            <v>37837749</v>
          </cell>
          <cell r="BF73">
            <v>38506535</v>
          </cell>
          <cell r="BG73">
            <v>49786703</v>
          </cell>
          <cell r="BH73">
            <v>37573532</v>
          </cell>
          <cell r="BI73">
            <v>38971900</v>
          </cell>
          <cell r="BJ73">
            <v>50021136</v>
          </cell>
          <cell r="BK73">
            <v>38477736</v>
          </cell>
          <cell r="BL73">
            <v>39490668</v>
          </cell>
        </row>
        <row r="74">
          <cell r="A74" t="str">
            <v>PAMIDRONATE DISOD HO&amp; 032002</v>
          </cell>
          <cell r="B74" t="str">
            <v>PAMIDRONATE DISOD HO&amp; 032002</v>
          </cell>
          <cell r="C74">
            <v>212399589</v>
          </cell>
          <cell r="D74">
            <v>222903009</v>
          </cell>
          <cell r="E74">
            <v>298223311</v>
          </cell>
          <cell r="F74">
            <v>217492178</v>
          </cell>
          <cell r="G74">
            <v>243228220</v>
          </cell>
          <cell r="H74">
            <v>288830992</v>
          </cell>
          <cell r="I74">
            <v>235255618</v>
          </cell>
          <cell r="J74">
            <v>909885</v>
          </cell>
          <cell r="K74">
            <v>1143795</v>
          </cell>
          <cell r="L74">
            <v>5142</v>
          </cell>
          <cell r="M74">
            <v>4751</v>
          </cell>
          <cell r="N74">
            <v>11716</v>
          </cell>
          <cell r="O74">
            <v>4743</v>
          </cell>
          <cell r="P74">
            <v>15063</v>
          </cell>
          <cell r="Q74">
            <v>29866</v>
          </cell>
          <cell r="R74">
            <v>14864</v>
          </cell>
          <cell r="S74">
            <v>13783</v>
          </cell>
          <cell r="T74">
            <v>11051</v>
          </cell>
          <cell r="U74">
            <v>12627</v>
          </cell>
          <cell r="V74">
            <v>19146</v>
          </cell>
          <cell r="W74">
            <v>13667</v>
          </cell>
          <cell r="X74">
            <v>12761</v>
          </cell>
          <cell r="Y74">
            <v>14754</v>
          </cell>
          <cell r="Z74">
            <v>14948</v>
          </cell>
          <cell r="AA74">
            <v>16962</v>
          </cell>
          <cell r="AB74">
            <v>12811</v>
          </cell>
          <cell r="AC74">
            <v>15753</v>
          </cell>
          <cell r="AD74">
            <v>13054</v>
          </cell>
          <cell r="AE74">
            <v>16275</v>
          </cell>
          <cell r="AF74">
            <v>15135</v>
          </cell>
          <cell r="AG74">
            <v>11847</v>
          </cell>
          <cell r="AH74">
            <v>10950</v>
          </cell>
          <cell r="AI74">
            <v>15826</v>
          </cell>
          <cell r="AJ74">
            <v>15083</v>
          </cell>
          <cell r="AK74">
            <v>9217</v>
          </cell>
          <cell r="AL74">
            <v>13329</v>
          </cell>
          <cell r="AM74">
            <v>8071</v>
          </cell>
          <cell r="AN74">
            <v>8307</v>
          </cell>
          <cell r="AO74">
            <v>13958</v>
          </cell>
          <cell r="AP74">
            <v>10746</v>
          </cell>
          <cell r="AQ74">
            <v>17964</v>
          </cell>
          <cell r="AR74">
            <v>69239</v>
          </cell>
          <cell r="AS74">
            <v>27357</v>
          </cell>
          <cell r="AT74">
            <v>5711</v>
          </cell>
          <cell r="AU74">
            <v>3903</v>
          </cell>
          <cell r="AV74">
            <v>2699</v>
          </cell>
          <cell r="AW74">
            <v>1538</v>
          </cell>
          <cell r="AX74">
            <v>2403</v>
          </cell>
          <cell r="AY74">
            <v>1949</v>
          </cell>
          <cell r="AZ74">
            <v>3510</v>
          </cell>
          <cell r="BA74">
            <v>2034</v>
          </cell>
          <cell r="BB74">
            <v>81</v>
          </cell>
          <cell r="BC74">
            <v>438</v>
          </cell>
          <cell r="BD74">
            <v>1969</v>
          </cell>
          <cell r="BE74">
            <v>288</v>
          </cell>
          <cell r="BF74">
            <v>820</v>
          </cell>
        </row>
        <row r="75">
          <cell r="A75" t="str">
            <v>PAMIDRONATE DISOD BDF 122001</v>
          </cell>
          <cell r="B75" t="str">
            <v>PAMIDRONATE DISOD BDF 122001</v>
          </cell>
          <cell r="C75">
            <v>4228422</v>
          </cell>
          <cell r="D75">
            <v>4841494</v>
          </cell>
          <cell r="E75">
            <v>5184876</v>
          </cell>
          <cell r="F75">
            <v>4290021</v>
          </cell>
          <cell r="G75">
            <v>5043076</v>
          </cell>
          <cell r="H75">
            <v>6056798</v>
          </cell>
          <cell r="I75">
            <v>6184561</v>
          </cell>
          <cell r="J75">
            <v>1116647</v>
          </cell>
          <cell r="K75">
            <v>1324926</v>
          </cell>
          <cell r="L75">
            <v>1078006</v>
          </cell>
          <cell r="M75">
            <v>1014650</v>
          </cell>
          <cell r="N75">
            <v>1245578</v>
          </cell>
          <cell r="O75">
            <v>1043764</v>
          </cell>
          <cell r="P75">
            <v>935424</v>
          </cell>
          <cell r="Q75">
            <v>1059409</v>
          </cell>
          <cell r="R75">
            <v>816090</v>
          </cell>
          <cell r="S75">
            <v>809851</v>
          </cell>
          <cell r="T75">
            <v>918524</v>
          </cell>
          <cell r="U75">
            <v>761943</v>
          </cell>
          <cell r="V75">
            <v>727080</v>
          </cell>
          <cell r="W75">
            <v>868353</v>
          </cell>
          <cell r="X75">
            <v>651903</v>
          </cell>
          <cell r="Y75">
            <v>635816</v>
          </cell>
          <cell r="Z75">
            <v>744838</v>
          </cell>
          <cell r="AA75">
            <v>610278</v>
          </cell>
          <cell r="AB75">
            <v>585617</v>
          </cell>
          <cell r="AC75">
            <v>662230</v>
          </cell>
          <cell r="AD75">
            <v>510901</v>
          </cell>
          <cell r="AE75">
            <v>507365</v>
          </cell>
          <cell r="AF75">
            <v>597103</v>
          </cell>
          <cell r="AG75">
            <v>478964</v>
          </cell>
          <cell r="AH75">
            <v>474319</v>
          </cell>
          <cell r="AI75">
            <v>574922</v>
          </cell>
          <cell r="AJ75">
            <v>445191</v>
          </cell>
          <cell r="AK75">
            <v>441685</v>
          </cell>
          <cell r="AL75">
            <v>534705</v>
          </cell>
          <cell r="AM75">
            <v>445016</v>
          </cell>
          <cell r="AN75">
            <v>399347</v>
          </cell>
          <cell r="AO75">
            <v>491826</v>
          </cell>
          <cell r="AP75">
            <v>391785</v>
          </cell>
          <cell r="AQ75">
            <v>394491</v>
          </cell>
          <cell r="AR75">
            <v>351847</v>
          </cell>
          <cell r="AS75">
            <v>362966</v>
          </cell>
          <cell r="AT75">
            <v>286946</v>
          </cell>
          <cell r="AU75">
            <v>401127</v>
          </cell>
          <cell r="AV75">
            <v>294947</v>
          </cell>
          <cell r="AW75">
            <v>253130</v>
          </cell>
          <cell r="AX75">
            <v>289580</v>
          </cell>
          <cell r="AY75">
            <v>254359</v>
          </cell>
          <cell r="AZ75">
            <v>255891</v>
          </cell>
          <cell r="BA75">
            <v>330070</v>
          </cell>
          <cell r="BB75">
            <v>226580</v>
          </cell>
          <cell r="BC75">
            <v>242553</v>
          </cell>
          <cell r="BD75">
            <v>293539</v>
          </cell>
          <cell r="BE75">
            <v>241148</v>
          </cell>
          <cell r="BF75">
            <v>256066</v>
          </cell>
          <cell r="BG75">
            <v>283595</v>
          </cell>
          <cell r="BH75">
            <v>202231</v>
          </cell>
          <cell r="BI75">
            <v>187781</v>
          </cell>
          <cell r="BJ75">
            <v>228560</v>
          </cell>
          <cell r="BK75">
            <v>183141</v>
          </cell>
          <cell r="BL75">
            <v>172882</v>
          </cell>
        </row>
        <row r="76">
          <cell r="A76" t="str">
            <v>PAMIDRONATE DISOD A2P 062002</v>
          </cell>
          <cell r="B76" t="str">
            <v>PAMIDRONATE DISOD A2P 062002</v>
          </cell>
          <cell r="C76">
            <v>28556715</v>
          </cell>
          <cell r="D76">
            <v>28641253</v>
          </cell>
          <cell r="E76">
            <v>39811150</v>
          </cell>
          <cell r="F76">
            <v>33290869</v>
          </cell>
          <cell r="G76">
            <v>34102296</v>
          </cell>
          <cell r="H76">
            <v>41729235</v>
          </cell>
          <cell r="I76">
            <v>33996766</v>
          </cell>
          <cell r="J76">
            <v>1611952</v>
          </cell>
          <cell r="K76">
            <v>1995298</v>
          </cell>
          <cell r="L76">
            <v>1787083</v>
          </cell>
          <cell r="M76">
            <v>1790400</v>
          </cell>
          <cell r="N76">
            <v>1963530</v>
          </cell>
          <cell r="O76">
            <v>1235901</v>
          </cell>
          <cell r="P76">
            <v>1184470</v>
          </cell>
          <cell r="Q76">
            <v>1325228</v>
          </cell>
          <cell r="R76">
            <v>1087499</v>
          </cell>
          <cell r="S76">
            <v>1073677</v>
          </cell>
          <cell r="T76">
            <v>1519950</v>
          </cell>
          <cell r="U76">
            <v>762338</v>
          </cell>
          <cell r="V76">
            <v>722092</v>
          </cell>
          <cell r="W76">
            <v>850992</v>
          </cell>
          <cell r="X76">
            <v>666408</v>
          </cell>
          <cell r="Y76">
            <v>632095</v>
          </cell>
          <cell r="Z76">
            <v>768108</v>
          </cell>
          <cell r="AA76">
            <v>727278</v>
          </cell>
          <cell r="AB76">
            <v>671240</v>
          </cell>
          <cell r="AC76">
            <v>751642</v>
          </cell>
          <cell r="AD76">
            <v>651772</v>
          </cell>
          <cell r="AE76">
            <v>781477</v>
          </cell>
          <cell r="AF76">
            <v>881203</v>
          </cell>
          <cell r="AG76">
            <v>702332</v>
          </cell>
          <cell r="AH76">
            <v>655979</v>
          </cell>
          <cell r="AI76">
            <v>783387</v>
          </cell>
          <cell r="AJ76">
            <v>697484</v>
          </cell>
          <cell r="AK76">
            <v>635394</v>
          </cell>
          <cell r="AL76">
            <v>680491</v>
          </cell>
          <cell r="AM76">
            <v>492802</v>
          </cell>
          <cell r="AN76">
            <v>470652</v>
          </cell>
          <cell r="AO76">
            <v>597426</v>
          </cell>
          <cell r="AP76">
            <v>517124</v>
          </cell>
          <cell r="AQ76">
            <v>425262</v>
          </cell>
          <cell r="AR76">
            <v>970624</v>
          </cell>
          <cell r="AS76">
            <v>802172</v>
          </cell>
          <cell r="AT76">
            <v>377204</v>
          </cell>
          <cell r="AU76">
            <v>472027</v>
          </cell>
          <cell r="AV76">
            <v>395394</v>
          </cell>
          <cell r="AW76">
            <v>357676</v>
          </cell>
          <cell r="AX76">
            <v>413240</v>
          </cell>
          <cell r="AY76">
            <v>375223</v>
          </cell>
          <cell r="AZ76">
            <v>319158</v>
          </cell>
          <cell r="BA76">
            <v>330702</v>
          </cell>
          <cell r="BB76">
            <v>257409</v>
          </cell>
          <cell r="BC76">
            <v>247840</v>
          </cell>
          <cell r="BD76">
            <v>294904</v>
          </cell>
          <cell r="BE76">
            <v>219343</v>
          </cell>
          <cell r="BF76">
            <v>180687</v>
          </cell>
          <cell r="BG76">
            <v>230994</v>
          </cell>
          <cell r="BH76">
            <v>185281</v>
          </cell>
          <cell r="BI76">
            <v>173722</v>
          </cell>
          <cell r="BJ76">
            <v>209322</v>
          </cell>
          <cell r="BK76">
            <v>164380</v>
          </cell>
          <cell r="BL76">
            <v>161094</v>
          </cell>
        </row>
        <row r="77">
          <cell r="A77" t="str">
            <v xml:space="preserve">PAMIDRONATE DISOD SI.        </v>
          </cell>
          <cell r="B77" t="str">
            <v xml:space="preserve">PAMIDRONATE DISOD SI.        </v>
          </cell>
          <cell r="J77">
            <v>1611952</v>
          </cell>
          <cell r="K77">
            <v>1995298</v>
          </cell>
          <cell r="L77">
            <v>1787083</v>
          </cell>
          <cell r="M77">
            <v>1929</v>
          </cell>
          <cell r="N77">
            <v>8372</v>
          </cell>
          <cell r="O77">
            <v>15174</v>
          </cell>
          <cell r="P77">
            <v>91324</v>
          </cell>
          <cell r="Q77">
            <v>135032</v>
          </cell>
          <cell r="R77">
            <v>123502</v>
          </cell>
          <cell r="S77">
            <v>123117</v>
          </cell>
          <cell r="T77">
            <v>132010</v>
          </cell>
          <cell r="U77">
            <v>93089</v>
          </cell>
          <cell r="V77">
            <v>112036</v>
          </cell>
          <cell r="W77">
            <v>130452</v>
          </cell>
          <cell r="X77">
            <v>100706</v>
          </cell>
          <cell r="Y77">
            <v>94531</v>
          </cell>
          <cell r="Z77">
            <v>146979</v>
          </cell>
          <cell r="AA77">
            <v>132200</v>
          </cell>
          <cell r="AB77">
            <v>331989</v>
          </cell>
          <cell r="AC77">
            <v>296542</v>
          </cell>
          <cell r="AD77">
            <v>137357</v>
          </cell>
          <cell r="AE77">
            <v>143838</v>
          </cell>
          <cell r="AF77">
            <v>44498</v>
          </cell>
          <cell r="AG77">
            <v>66144</v>
          </cell>
          <cell r="AH77">
            <v>193143</v>
          </cell>
          <cell r="AI77">
            <v>1625574</v>
          </cell>
          <cell r="AJ77">
            <v>4295144</v>
          </cell>
          <cell r="AK77">
            <v>6070110</v>
          </cell>
          <cell r="AL77">
            <v>9374090</v>
          </cell>
          <cell r="AM77">
            <v>8100097</v>
          </cell>
          <cell r="AN77">
            <v>9229489</v>
          </cell>
          <cell r="AO77">
            <v>12957634</v>
          </cell>
          <cell r="AP77">
            <v>12442020</v>
          </cell>
          <cell r="AQ77">
            <v>14384954</v>
          </cell>
          <cell r="AR77">
            <v>17846725</v>
          </cell>
          <cell r="AS77">
            <v>13959906</v>
          </cell>
          <cell r="AT77">
            <v>572386</v>
          </cell>
          <cell r="AU77">
            <v>459806</v>
          </cell>
          <cell r="AV77">
            <v>945028</v>
          </cell>
          <cell r="AW77">
            <v>427038</v>
          </cell>
          <cell r="AX77">
            <v>476144</v>
          </cell>
          <cell r="AY77">
            <v>428698</v>
          </cell>
          <cell r="AZ77">
            <v>417785</v>
          </cell>
          <cell r="BA77">
            <v>519188</v>
          </cell>
          <cell r="BB77">
            <v>406437</v>
          </cell>
          <cell r="BC77">
            <v>394345</v>
          </cell>
          <cell r="BD77">
            <v>515628</v>
          </cell>
          <cell r="BE77">
            <v>358228</v>
          </cell>
          <cell r="BF77">
            <v>374295</v>
          </cell>
          <cell r="BG77">
            <v>492347</v>
          </cell>
          <cell r="BH77">
            <v>400882</v>
          </cell>
          <cell r="BI77">
            <v>385339</v>
          </cell>
          <cell r="BJ77">
            <v>491671</v>
          </cell>
          <cell r="BK77">
            <v>374531</v>
          </cell>
          <cell r="BL77">
            <v>370911</v>
          </cell>
        </row>
        <row r="78">
          <cell r="A78" t="str">
            <v>PAMIDRONATE DISOD OT7 022007</v>
          </cell>
          <cell r="B78" t="str">
            <v>PAMIDRONATE DISOD OT7 022007</v>
          </cell>
          <cell r="C78">
            <v>160347579</v>
          </cell>
          <cell r="D78">
            <v>155551096</v>
          </cell>
          <cell r="E78">
            <v>204765654</v>
          </cell>
          <cell r="F78">
            <v>162384237</v>
          </cell>
          <cell r="G78">
            <v>171735376</v>
          </cell>
          <cell r="H78">
            <v>210045174</v>
          </cell>
          <cell r="I78">
            <v>166244182</v>
          </cell>
          <cell r="J78">
            <v>171357412</v>
          </cell>
          <cell r="K78">
            <v>221949832</v>
          </cell>
          <cell r="L78">
            <v>179026112</v>
          </cell>
          <cell r="M78">
            <v>1929</v>
          </cell>
          <cell r="N78">
            <v>8372</v>
          </cell>
          <cell r="O78">
            <v>15174</v>
          </cell>
          <cell r="P78">
            <v>91324</v>
          </cell>
          <cell r="Q78">
            <v>135032</v>
          </cell>
          <cell r="R78">
            <v>123502</v>
          </cell>
          <cell r="S78">
            <v>123117</v>
          </cell>
          <cell r="T78">
            <v>132010</v>
          </cell>
          <cell r="U78">
            <v>93089</v>
          </cell>
          <cell r="V78">
            <v>112036</v>
          </cell>
          <cell r="W78">
            <v>130452</v>
          </cell>
          <cell r="X78">
            <v>100706</v>
          </cell>
          <cell r="Y78">
            <v>94531</v>
          </cell>
          <cell r="Z78">
            <v>146979</v>
          </cell>
          <cell r="AA78">
            <v>132200</v>
          </cell>
          <cell r="AB78">
            <v>65892</v>
          </cell>
          <cell r="AC78">
            <v>120288</v>
          </cell>
          <cell r="AD78">
            <v>196581</v>
          </cell>
          <cell r="AE78">
            <v>191888</v>
          </cell>
          <cell r="AF78">
            <v>223815</v>
          </cell>
          <cell r="AG78">
            <v>199845</v>
          </cell>
          <cell r="AH78">
            <v>245054</v>
          </cell>
          <cell r="AI78">
            <v>194336</v>
          </cell>
          <cell r="AJ78">
            <v>183550</v>
          </cell>
          <cell r="AK78">
            <v>174849</v>
          </cell>
          <cell r="AL78">
            <v>236195</v>
          </cell>
          <cell r="AM78">
            <v>146487</v>
          </cell>
          <cell r="AN78">
            <v>181320</v>
          </cell>
          <cell r="AO78">
            <v>214821</v>
          </cell>
          <cell r="AP78">
            <v>164730</v>
          </cell>
          <cell r="AQ78">
            <v>81874</v>
          </cell>
          <cell r="AR78">
            <v>41092</v>
          </cell>
          <cell r="AS78">
            <v>295200</v>
          </cell>
          <cell r="AT78">
            <v>299442</v>
          </cell>
          <cell r="AU78">
            <v>367694</v>
          </cell>
          <cell r="AV78">
            <v>318558</v>
          </cell>
          <cell r="AW78">
            <v>367202</v>
          </cell>
          <cell r="AX78">
            <v>331135</v>
          </cell>
          <cell r="AY78">
            <v>248464</v>
          </cell>
          <cell r="AZ78">
            <v>384902</v>
          </cell>
          <cell r="BA78">
            <v>378281</v>
          </cell>
          <cell r="BB78">
            <v>311321</v>
          </cell>
          <cell r="BC78">
            <v>305403</v>
          </cell>
          <cell r="BD78">
            <v>375827</v>
          </cell>
          <cell r="BE78">
            <v>231199</v>
          </cell>
          <cell r="BF78">
            <v>488933</v>
          </cell>
          <cell r="BG78">
            <v>299219</v>
          </cell>
          <cell r="BH78">
            <v>226819</v>
          </cell>
          <cell r="BI78">
            <v>320258</v>
          </cell>
          <cell r="BJ78">
            <v>249745</v>
          </cell>
          <cell r="BK78">
            <v>258938</v>
          </cell>
          <cell r="BL78">
            <v>236160</v>
          </cell>
        </row>
        <row r="79">
          <cell r="A79" t="str">
            <v>PHOSLO FRS 021991</v>
          </cell>
          <cell r="B79" t="str">
            <v>PHOSLO FRS 021991</v>
          </cell>
          <cell r="C79">
            <v>2647267</v>
          </cell>
          <cell r="D79">
            <v>2655244</v>
          </cell>
          <cell r="E79">
            <v>3173548</v>
          </cell>
          <cell r="F79">
            <v>2451393</v>
          </cell>
          <cell r="G79">
            <v>2564940</v>
          </cell>
          <cell r="H79">
            <v>3115486</v>
          </cell>
          <cell r="I79">
            <v>2847071</v>
          </cell>
          <cell r="J79">
            <v>3039766</v>
          </cell>
          <cell r="K79">
            <v>3780881</v>
          </cell>
          <cell r="L79">
            <v>3217521</v>
          </cell>
          <cell r="M79">
            <v>2933777</v>
          </cell>
          <cell r="N79">
            <v>4136229</v>
          </cell>
          <cell r="O79">
            <v>3308740</v>
          </cell>
          <cell r="P79">
            <v>3395597</v>
          </cell>
          <cell r="Q79">
            <v>4266633</v>
          </cell>
          <cell r="R79">
            <v>3461468</v>
          </cell>
          <cell r="S79">
            <v>3608628</v>
          </cell>
          <cell r="T79">
            <v>4390991</v>
          </cell>
          <cell r="U79">
            <v>3681027</v>
          </cell>
          <cell r="V79">
            <v>3761901</v>
          </cell>
          <cell r="W79">
            <v>4561965</v>
          </cell>
          <cell r="X79">
            <v>3721621</v>
          </cell>
          <cell r="Y79">
            <v>3495535</v>
          </cell>
          <cell r="Z79">
            <v>4467603</v>
          </cell>
          <cell r="AA79">
            <v>4427748</v>
          </cell>
          <cell r="AB79">
            <v>65892</v>
          </cell>
          <cell r="AC79">
            <v>120288</v>
          </cell>
          <cell r="AD79">
            <v>196581</v>
          </cell>
          <cell r="AE79">
            <v>191888</v>
          </cell>
          <cell r="AF79">
            <v>223815</v>
          </cell>
          <cell r="AG79">
            <v>199845</v>
          </cell>
          <cell r="AH79">
            <v>245054</v>
          </cell>
          <cell r="AI79">
            <v>194336</v>
          </cell>
          <cell r="AJ79">
            <v>183550</v>
          </cell>
          <cell r="AK79">
            <v>174849</v>
          </cell>
          <cell r="AL79">
            <v>236195</v>
          </cell>
          <cell r="AM79">
            <v>146487</v>
          </cell>
          <cell r="AN79">
            <v>181320</v>
          </cell>
          <cell r="AO79">
            <v>214821</v>
          </cell>
          <cell r="AP79">
            <v>164730</v>
          </cell>
          <cell r="AQ79">
            <v>81874</v>
          </cell>
          <cell r="AR79">
            <v>41092</v>
          </cell>
          <cell r="AS79">
            <v>9255812</v>
          </cell>
        </row>
        <row r="80">
          <cell r="A80" t="str">
            <v>PREZISTA OBD 062006</v>
          </cell>
          <cell r="B80" t="str">
            <v>PREZISTA OBD 062006</v>
          </cell>
          <cell r="C80">
            <v>2647267</v>
          </cell>
          <cell r="D80">
            <v>2655244</v>
          </cell>
          <cell r="E80">
            <v>3173548</v>
          </cell>
          <cell r="F80">
            <v>11230784</v>
          </cell>
          <cell r="G80">
            <v>11799642</v>
          </cell>
          <cell r="H80">
            <v>13591534</v>
          </cell>
          <cell r="I80">
            <v>10067091</v>
          </cell>
          <cell r="J80">
            <v>9300570</v>
          </cell>
          <cell r="K80">
            <v>12447605</v>
          </cell>
          <cell r="L80">
            <v>9194701</v>
          </cell>
          <cell r="M80">
            <v>9354441</v>
          </cell>
          <cell r="N80">
            <v>12704276</v>
          </cell>
          <cell r="O80">
            <v>9316532</v>
          </cell>
          <cell r="P80">
            <v>10034273</v>
          </cell>
          <cell r="Q80">
            <v>13015123</v>
          </cell>
          <cell r="R80">
            <v>9488718</v>
          </cell>
          <cell r="S80">
            <v>9801325</v>
          </cell>
          <cell r="T80">
            <v>12271307</v>
          </cell>
          <cell r="U80">
            <v>9059865</v>
          </cell>
          <cell r="V80">
            <v>9113197</v>
          </cell>
          <cell r="W80">
            <v>11711831</v>
          </cell>
          <cell r="X80">
            <v>8494973</v>
          </cell>
          <cell r="Y80">
            <v>8721388</v>
          </cell>
          <cell r="Z80">
            <v>11628305</v>
          </cell>
          <cell r="AA80">
            <v>8140729</v>
          </cell>
          <cell r="AB80">
            <v>9058455</v>
          </cell>
          <cell r="AC80">
            <v>11453216</v>
          </cell>
          <cell r="AD80">
            <v>8304077</v>
          </cell>
          <cell r="AE80">
            <v>8582185</v>
          </cell>
          <cell r="AF80">
            <v>10785033</v>
          </cell>
          <cell r="AG80">
            <v>7625663</v>
          </cell>
          <cell r="AH80">
            <v>7402810</v>
          </cell>
          <cell r="AI80">
            <v>9656913</v>
          </cell>
          <cell r="AJ80">
            <v>7764019</v>
          </cell>
          <cell r="AK80">
            <v>7508350</v>
          </cell>
          <cell r="AL80">
            <v>9381574</v>
          </cell>
          <cell r="AM80">
            <v>7454888</v>
          </cell>
          <cell r="AN80">
            <v>7767710</v>
          </cell>
          <cell r="AO80">
            <v>9750652</v>
          </cell>
          <cell r="AP80">
            <v>7249692</v>
          </cell>
          <cell r="AQ80">
            <v>7129619</v>
          </cell>
          <cell r="AR80">
            <v>15413270</v>
          </cell>
          <cell r="AS80">
            <v>13595441</v>
          </cell>
          <cell r="AT80">
            <v>9165160</v>
          </cell>
          <cell r="AU80">
            <v>11466245</v>
          </cell>
          <cell r="AV80">
            <v>8538490</v>
          </cell>
          <cell r="AW80">
            <v>3916155</v>
          </cell>
          <cell r="AX80">
            <v>3093644</v>
          </cell>
          <cell r="AY80">
            <v>2289703</v>
          </cell>
          <cell r="AZ80">
            <v>2152655</v>
          </cell>
          <cell r="BA80">
            <v>2581525</v>
          </cell>
          <cell r="BB80">
            <v>1969096</v>
          </cell>
          <cell r="BC80">
            <v>1760313</v>
          </cell>
          <cell r="BD80">
            <v>2173753</v>
          </cell>
          <cell r="BE80">
            <v>1643659</v>
          </cell>
          <cell r="BF80">
            <v>1540691</v>
          </cell>
          <cell r="BG80">
            <v>1754686</v>
          </cell>
          <cell r="BH80">
            <v>1283083</v>
          </cell>
          <cell r="BI80">
            <v>1194139</v>
          </cell>
          <cell r="BJ80">
            <v>1448033</v>
          </cell>
          <cell r="BK80">
            <v>1113043</v>
          </cell>
          <cell r="BL80">
            <v>1077590</v>
          </cell>
        </row>
        <row r="81">
          <cell r="A81" t="str">
            <v>PROCRIT OBD 021991</v>
          </cell>
          <cell r="B81" t="str">
            <v>PROCRIT OBD 021991</v>
          </cell>
          <cell r="C81">
            <v>212399589</v>
          </cell>
          <cell r="D81">
            <v>222903009</v>
          </cell>
          <cell r="E81">
            <v>298223311</v>
          </cell>
          <cell r="F81">
            <v>217492178</v>
          </cell>
          <cell r="G81">
            <v>243228220</v>
          </cell>
          <cell r="H81">
            <v>288830992</v>
          </cell>
          <cell r="I81">
            <v>235255618</v>
          </cell>
          <cell r="J81">
            <v>227743332</v>
          </cell>
          <cell r="K81">
            <v>300498327</v>
          </cell>
          <cell r="L81">
            <v>236758266</v>
          </cell>
          <cell r="M81">
            <v>212360599</v>
          </cell>
          <cell r="N81">
            <v>292343413</v>
          </cell>
          <cell r="O81">
            <v>206978007</v>
          </cell>
          <cell r="P81">
            <v>216584939</v>
          </cell>
          <cell r="Q81">
            <v>276957142</v>
          </cell>
          <cell r="R81">
            <v>230333992</v>
          </cell>
          <cell r="S81">
            <v>216264705</v>
          </cell>
          <cell r="T81">
            <v>204424</v>
          </cell>
          <cell r="U81">
            <v>1713612</v>
          </cell>
          <cell r="V81">
            <v>2254527</v>
          </cell>
          <cell r="W81">
            <v>3006263</v>
          </cell>
          <cell r="X81">
            <v>2734182</v>
          </cell>
          <cell r="Y81">
            <v>3126693</v>
          </cell>
          <cell r="Z81">
            <v>4469682</v>
          </cell>
          <cell r="AA81">
            <v>3736487</v>
          </cell>
          <cell r="AB81">
            <v>4290256</v>
          </cell>
          <cell r="AC81">
            <v>6277537</v>
          </cell>
          <cell r="AD81">
            <v>5447019</v>
          </cell>
          <cell r="AE81">
            <v>6036138</v>
          </cell>
          <cell r="AF81">
            <v>7656988</v>
          </cell>
          <cell r="AG81">
            <v>6434705</v>
          </cell>
          <cell r="AH81">
            <v>6706308</v>
          </cell>
          <cell r="AI81">
            <v>8781030</v>
          </cell>
          <cell r="AJ81">
            <v>7587217</v>
          </cell>
          <cell r="AK81">
            <v>8052446</v>
          </cell>
          <cell r="AL81">
            <v>11537557</v>
          </cell>
          <cell r="AM81">
            <v>9485791</v>
          </cell>
          <cell r="AN81">
            <v>9947663</v>
          </cell>
          <cell r="AO81">
            <v>15233688</v>
          </cell>
          <cell r="AP81">
            <v>11491358</v>
          </cell>
          <cell r="AQ81">
            <v>11907355</v>
          </cell>
          <cell r="AR81">
            <v>15413270</v>
          </cell>
          <cell r="AS81">
            <v>13595441</v>
          </cell>
          <cell r="AT81">
            <v>13948234</v>
          </cell>
          <cell r="AU81">
            <v>18097255</v>
          </cell>
          <cell r="AV81">
            <v>16202144</v>
          </cell>
          <cell r="AW81">
            <v>15503955</v>
          </cell>
          <cell r="AX81">
            <v>20919989</v>
          </cell>
          <cell r="AY81">
            <v>18884288</v>
          </cell>
          <cell r="AZ81">
            <v>22356000</v>
          </cell>
          <cell r="BA81">
            <v>25134052</v>
          </cell>
          <cell r="BB81">
            <v>19891098</v>
          </cell>
          <cell r="BC81">
            <v>20267817</v>
          </cell>
          <cell r="BD81">
            <v>27618369</v>
          </cell>
          <cell r="BE81">
            <v>22818179</v>
          </cell>
          <cell r="BF81">
            <v>24031330</v>
          </cell>
          <cell r="BG81">
            <v>30658023</v>
          </cell>
          <cell r="BH81">
            <v>27469182</v>
          </cell>
          <cell r="BI81">
            <v>24679134</v>
          </cell>
          <cell r="BJ81">
            <v>33777725</v>
          </cell>
          <cell r="BK81">
            <v>29154989</v>
          </cell>
          <cell r="BL81">
            <v>29408182</v>
          </cell>
        </row>
        <row r="82">
          <cell r="A82" t="str">
            <v>RAPTIVA GTC 112003</v>
          </cell>
          <cell r="B82" t="str">
            <v>RAPTIVA GTC 112003</v>
          </cell>
          <cell r="C82">
            <v>4228422</v>
          </cell>
          <cell r="D82">
            <v>4841494</v>
          </cell>
          <cell r="E82">
            <v>5184876</v>
          </cell>
          <cell r="F82">
            <v>4290021</v>
          </cell>
          <cell r="G82">
            <v>5043076</v>
          </cell>
          <cell r="H82">
            <v>6056798</v>
          </cell>
          <cell r="I82">
            <v>6184561</v>
          </cell>
          <cell r="J82">
            <v>7179007</v>
          </cell>
          <cell r="K82">
            <v>6907951</v>
          </cell>
          <cell r="L82">
            <v>6516244</v>
          </cell>
          <cell r="M82">
            <v>7319495</v>
          </cell>
          <cell r="N82">
            <v>7030299</v>
          </cell>
          <cell r="O82">
            <v>7113983</v>
          </cell>
          <cell r="P82">
            <v>6708695</v>
          </cell>
          <cell r="Q82">
            <v>7379955</v>
          </cell>
          <cell r="R82">
            <v>7476790</v>
          </cell>
          <cell r="S82">
            <v>7937762</v>
          </cell>
          <cell r="T82">
            <v>7774891</v>
          </cell>
          <cell r="U82">
            <v>7739092</v>
          </cell>
          <cell r="V82">
            <v>7876106</v>
          </cell>
          <cell r="W82">
            <v>7920908</v>
          </cell>
          <cell r="X82">
            <v>9087820</v>
          </cell>
          <cell r="Y82">
            <v>7834133</v>
          </cell>
          <cell r="Z82">
            <v>9357132</v>
          </cell>
          <cell r="AA82">
            <v>7728944</v>
          </cell>
          <cell r="AB82">
            <v>7509896</v>
          </cell>
          <cell r="AC82">
            <v>10149349</v>
          </cell>
          <cell r="AD82">
            <v>7968678</v>
          </cell>
          <cell r="AE82">
            <v>8763527</v>
          </cell>
          <cell r="AF82">
            <v>11426864</v>
          </cell>
          <cell r="AG82">
            <v>9134862</v>
          </cell>
          <cell r="AH82">
            <v>8848258</v>
          </cell>
          <cell r="AI82">
            <v>11640556</v>
          </cell>
          <cell r="AJ82">
            <v>9394334</v>
          </cell>
          <cell r="AK82">
            <v>7831901</v>
          </cell>
          <cell r="AL82">
            <v>11613593</v>
          </cell>
          <cell r="AM82">
            <v>7684851</v>
          </cell>
          <cell r="AN82">
            <v>6136698</v>
          </cell>
          <cell r="AO82">
            <v>7800957</v>
          </cell>
          <cell r="AP82">
            <v>6372371</v>
          </cell>
          <cell r="AQ82">
            <v>6855225</v>
          </cell>
          <cell r="AR82">
            <v>7797448</v>
          </cell>
          <cell r="AS82">
            <v>6396948</v>
          </cell>
          <cell r="AT82">
            <v>142470603</v>
          </cell>
          <cell r="AU82">
            <v>173495211</v>
          </cell>
          <cell r="AV82">
            <v>139252203</v>
          </cell>
          <cell r="AW82">
            <v>134096201</v>
          </cell>
          <cell r="AX82">
            <v>164459281</v>
          </cell>
          <cell r="AY82">
            <v>120793219</v>
          </cell>
          <cell r="AZ82">
            <v>122923822</v>
          </cell>
          <cell r="BA82">
            <v>157496574</v>
          </cell>
          <cell r="BB82">
            <v>127052918</v>
          </cell>
          <cell r="BC82">
            <v>125644023</v>
          </cell>
          <cell r="BD82">
            <v>158435036</v>
          </cell>
          <cell r="BE82">
            <v>123598939</v>
          </cell>
          <cell r="BF82">
            <v>124847608</v>
          </cell>
          <cell r="BG82">
            <v>180532413</v>
          </cell>
          <cell r="BH82">
            <v>113345131</v>
          </cell>
          <cell r="BI82">
            <v>114995005</v>
          </cell>
          <cell r="BJ82">
            <v>147041119</v>
          </cell>
          <cell r="BK82">
            <v>117660963</v>
          </cell>
          <cell r="BL82">
            <v>117807156</v>
          </cell>
        </row>
        <row r="83">
          <cell r="A83" t="str">
            <v>REBIF M-S 032002</v>
          </cell>
          <cell r="B83" t="str">
            <v>REBIF M-S 032002</v>
          </cell>
          <cell r="C83">
            <v>28556715</v>
          </cell>
          <cell r="D83">
            <v>28641253</v>
          </cell>
          <cell r="E83">
            <v>39811150</v>
          </cell>
          <cell r="F83">
            <v>33290869</v>
          </cell>
          <cell r="G83">
            <v>34102296</v>
          </cell>
          <cell r="H83">
            <v>41729235</v>
          </cell>
          <cell r="I83">
            <v>33996766</v>
          </cell>
          <cell r="J83">
            <v>35552314</v>
          </cell>
          <cell r="K83">
            <v>45736670</v>
          </cell>
          <cell r="L83">
            <v>35873257</v>
          </cell>
          <cell r="M83">
            <v>34994308</v>
          </cell>
          <cell r="N83">
            <v>46955643</v>
          </cell>
          <cell r="O83">
            <v>38300023</v>
          </cell>
          <cell r="P83">
            <v>39284472</v>
          </cell>
          <cell r="Q83">
            <v>52502467</v>
          </cell>
          <cell r="R83">
            <v>41946749</v>
          </cell>
          <cell r="S83">
            <v>43976764</v>
          </cell>
          <cell r="T83">
            <v>52690112</v>
          </cell>
          <cell r="U83">
            <v>45451662</v>
          </cell>
          <cell r="V83">
            <v>46934847</v>
          </cell>
          <cell r="W83">
            <v>55534977</v>
          </cell>
          <cell r="X83">
            <v>46841801</v>
          </cell>
          <cell r="Y83">
            <v>46678194</v>
          </cell>
          <cell r="Z83">
            <v>58323130</v>
          </cell>
          <cell r="AA83">
            <v>44484930</v>
          </cell>
          <cell r="AB83">
            <v>46238196</v>
          </cell>
          <cell r="AC83">
            <v>58547718</v>
          </cell>
          <cell r="AD83">
            <v>49370442</v>
          </cell>
          <cell r="AE83">
            <v>49130035</v>
          </cell>
          <cell r="AF83">
            <v>63868119</v>
          </cell>
          <cell r="AG83">
            <v>46868438</v>
          </cell>
          <cell r="AH83">
            <v>51944464</v>
          </cell>
          <cell r="AI83">
            <v>62504626</v>
          </cell>
          <cell r="AJ83">
            <v>51577032</v>
          </cell>
          <cell r="AK83">
            <v>52904728</v>
          </cell>
          <cell r="AL83">
            <v>64913989</v>
          </cell>
          <cell r="AM83">
            <v>46880808</v>
          </cell>
          <cell r="AN83">
            <v>54521405</v>
          </cell>
          <cell r="AO83">
            <v>71461206</v>
          </cell>
          <cell r="AP83">
            <v>50285255</v>
          </cell>
          <cell r="AQ83">
            <v>56217361</v>
          </cell>
          <cell r="AR83">
            <v>67590246</v>
          </cell>
          <cell r="AS83">
            <v>59674696</v>
          </cell>
          <cell r="AT83">
            <v>6761885</v>
          </cell>
          <cell r="AU83">
            <v>7326550</v>
          </cell>
          <cell r="AV83">
            <v>6208152</v>
          </cell>
          <cell r="AW83">
            <v>5898379</v>
          </cell>
          <cell r="AX83">
            <v>6220530</v>
          </cell>
          <cell r="AY83">
            <v>4894583</v>
          </cell>
          <cell r="AZ83">
            <v>4300176</v>
          </cell>
          <cell r="BA83">
            <v>3642699</v>
          </cell>
          <cell r="BB83">
            <v>1470787</v>
          </cell>
          <cell r="BC83">
            <v>614869</v>
          </cell>
          <cell r="BD83">
            <v>94814</v>
          </cell>
          <cell r="BE83">
            <v>13705</v>
          </cell>
        </row>
        <row r="84">
          <cell r="A84" t="str">
            <v>RECLAST NVR 062007</v>
          </cell>
          <cell r="B84" t="str">
            <v xml:space="preserve"> </v>
          </cell>
          <cell r="C84">
            <v>28556715</v>
          </cell>
          <cell r="D84">
            <v>28641253</v>
          </cell>
          <cell r="E84">
            <v>39811150</v>
          </cell>
          <cell r="F84">
            <v>33290869</v>
          </cell>
          <cell r="G84">
            <v>34102296</v>
          </cell>
          <cell r="H84">
            <v>41729235</v>
          </cell>
          <cell r="I84">
            <v>33996766</v>
          </cell>
          <cell r="J84">
            <v>35552314</v>
          </cell>
          <cell r="K84">
            <v>45736670</v>
          </cell>
          <cell r="L84">
            <v>35873257</v>
          </cell>
          <cell r="M84">
            <v>34994308</v>
          </cell>
          <cell r="N84">
            <v>46955643</v>
          </cell>
          <cell r="O84">
            <v>1043860</v>
          </cell>
          <cell r="P84">
            <v>2428931</v>
          </cell>
          <cell r="Q84">
            <v>1854491</v>
          </cell>
          <cell r="R84">
            <v>1208139</v>
          </cell>
          <cell r="S84">
            <v>1678493</v>
          </cell>
          <cell r="T84">
            <v>3067530</v>
          </cell>
          <cell r="U84">
            <v>3289038</v>
          </cell>
          <cell r="V84">
            <v>5565993</v>
          </cell>
          <cell r="W84">
            <v>7305530</v>
          </cell>
          <cell r="X84">
            <v>7199378</v>
          </cell>
          <cell r="Y84">
            <v>6546779</v>
          </cell>
          <cell r="Z84">
            <v>10178367</v>
          </cell>
          <cell r="AA84">
            <v>11046981</v>
          </cell>
          <cell r="AB84">
            <v>11924710</v>
          </cell>
          <cell r="AC84">
            <v>15541550</v>
          </cell>
          <cell r="AD84">
            <v>12430058</v>
          </cell>
          <cell r="AE84">
            <v>12688730</v>
          </cell>
          <cell r="AF84">
            <v>17345487</v>
          </cell>
          <cell r="AG84">
            <v>11727098</v>
          </cell>
          <cell r="AH84">
            <v>15160165</v>
          </cell>
          <cell r="AI84">
            <v>18266832</v>
          </cell>
          <cell r="AJ84">
            <v>14690018</v>
          </cell>
          <cell r="AK84">
            <v>13849030</v>
          </cell>
          <cell r="AL84">
            <v>18675508</v>
          </cell>
          <cell r="AM84">
            <v>14913364</v>
          </cell>
          <cell r="AN84">
            <v>18721199</v>
          </cell>
          <cell r="AO84">
            <v>20057393</v>
          </cell>
          <cell r="AP84">
            <v>15740505</v>
          </cell>
          <cell r="AQ84">
            <v>15824216</v>
          </cell>
          <cell r="AR84">
            <v>17846725</v>
          </cell>
          <cell r="AS84">
            <v>13959906</v>
          </cell>
          <cell r="AT84">
            <v>61197828</v>
          </cell>
          <cell r="AU84">
            <v>72358059</v>
          </cell>
          <cell r="AV84">
            <v>62752523</v>
          </cell>
          <cell r="AW84">
            <v>58988601</v>
          </cell>
          <cell r="AX84">
            <v>74896738</v>
          </cell>
          <cell r="AY84">
            <v>62687067</v>
          </cell>
          <cell r="AZ84">
            <v>62689264</v>
          </cell>
          <cell r="BA84">
            <v>79328773</v>
          </cell>
          <cell r="BB84">
            <v>65805004</v>
          </cell>
          <cell r="BC84">
            <v>64665719</v>
          </cell>
          <cell r="BD84">
            <v>83892832</v>
          </cell>
          <cell r="BE84">
            <v>67693264</v>
          </cell>
          <cell r="BF84">
            <v>67012730</v>
          </cell>
          <cell r="BG84">
            <v>85092335</v>
          </cell>
          <cell r="BH84">
            <v>69381234</v>
          </cell>
          <cell r="BI84">
            <v>64821230</v>
          </cell>
          <cell r="BJ84">
            <v>91416592</v>
          </cell>
          <cell r="BK84">
            <v>68217848</v>
          </cell>
          <cell r="BL84">
            <v>68718601</v>
          </cell>
        </row>
        <row r="85">
          <cell r="A85" t="str">
            <v>REMICADE CTO 091998</v>
          </cell>
          <cell r="B85" t="str">
            <v>REMICADE CTO 091998</v>
          </cell>
          <cell r="C85">
            <v>160347579</v>
          </cell>
          <cell r="D85">
            <v>155551096</v>
          </cell>
          <cell r="E85">
            <v>204765654</v>
          </cell>
          <cell r="F85">
            <v>162384237</v>
          </cell>
          <cell r="G85">
            <v>171735376</v>
          </cell>
          <cell r="H85">
            <v>210045174</v>
          </cell>
          <cell r="I85">
            <v>166244182</v>
          </cell>
          <cell r="J85">
            <v>171357412</v>
          </cell>
          <cell r="K85">
            <v>221949832</v>
          </cell>
          <cell r="L85">
            <v>179026112</v>
          </cell>
          <cell r="M85">
            <v>182570911</v>
          </cell>
          <cell r="N85">
            <v>238024112</v>
          </cell>
          <cell r="O85">
            <v>174595345</v>
          </cell>
          <cell r="P85">
            <v>185581686</v>
          </cell>
          <cell r="Q85">
            <v>242878160</v>
          </cell>
          <cell r="R85">
            <v>194733435</v>
          </cell>
          <cell r="S85">
            <v>202364875</v>
          </cell>
          <cell r="T85">
            <v>244318010</v>
          </cell>
          <cell r="U85">
            <v>192227016</v>
          </cell>
          <cell r="V85">
            <v>207572980</v>
          </cell>
          <cell r="W85">
            <v>242956379</v>
          </cell>
          <cell r="X85">
            <v>198889761</v>
          </cell>
          <cell r="Y85">
            <v>199680920</v>
          </cell>
          <cell r="Z85">
            <v>256803178</v>
          </cell>
          <cell r="AA85">
            <v>197837019</v>
          </cell>
          <cell r="AB85">
            <v>200696759</v>
          </cell>
          <cell r="AC85">
            <v>267229117</v>
          </cell>
          <cell r="AD85">
            <v>208780985</v>
          </cell>
          <cell r="AE85">
            <v>222194829</v>
          </cell>
          <cell r="AF85">
            <v>44498</v>
          </cell>
          <cell r="AG85">
            <v>66144</v>
          </cell>
          <cell r="AH85">
            <v>193143</v>
          </cell>
          <cell r="AI85">
            <v>1625574</v>
          </cell>
          <cell r="AJ85">
            <v>4295144</v>
          </cell>
          <cell r="AK85">
            <v>6070110</v>
          </cell>
          <cell r="AL85">
            <v>9374090</v>
          </cell>
          <cell r="AM85">
            <v>8100097</v>
          </cell>
          <cell r="AN85">
            <v>9229489</v>
          </cell>
          <cell r="AO85">
            <v>12957634</v>
          </cell>
          <cell r="AP85">
            <v>12442020</v>
          </cell>
          <cell r="AQ85">
            <v>14452655</v>
          </cell>
          <cell r="AR85">
            <v>17846725</v>
          </cell>
          <cell r="AS85">
            <v>13959906</v>
          </cell>
          <cell r="AT85">
            <v>14465244</v>
          </cell>
          <cell r="AU85">
            <v>19046184</v>
          </cell>
          <cell r="AV85">
            <v>17277080</v>
          </cell>
          <cell r="AW85">
            <v>18167695</v>
          </cell>
          <cell r="AX85">
            <v>20281338</v>
          </cell>
          <cell r="AY85">
            <v>16743125</v>
          </cell>
          <cell r="AZ85">
            <v>19952326</v>
          </cell>
          <cell r="BA85">
            <v>27084659</v>
          </cell>
          <cell r="BB85">
            <v>23610656</v>
          </cell>
          <cell r="BC85">
            <v>24496759</v>
          </cell>
          <cell r="BD85">
            <v>31825872</v>
          </cell>
          <cell r="BE85">
            <v>26118129</v>
          </cell>
          <cell r="BF85">
            <v>27563886</v>
          </cell>
          <cell r="BG85">
            <v>34203043</v>
          </cell>
          <cell r="BH85">
            <v>28622080</v>
          </cell>
          <cell r="BI85">
            <v>30637424</v>
          </cell>
          <cell r="BJ85">
            <v>36934057</v>
          </cell>
          <cell r="BK85">
            <v>25273663</v>
          </cell>
          <cell r="BL85">
            <v>27165050</v>
          </cell>
        </row>
        <row r="86">
          <cell r="A86" t="str">
            <v>RENAGEL GZY 111998</v>
          </cell>
          <cell r="B86" t="str">
            <v>RENAGEL GZY 111998</v>
          </cell>
          <cell r="C86">
            <v>23469136</v>
          </cell>
          <cell r="D86">
            <v>23531435</v>
          </cell>
          <cell r="E86">
            <v>27770090</v>
          </cell>
          <cell r="F86">
            <v>22109534</v>
          </cell>
          <cell r="G86">
            <v>22749742</v>
          </cell>
          <cell r="H86">
            <v>28184428</v>
          </cell>
          <cell r="I86">
            <v>22291972</v>
          </cell>
          <cell r="J86">
            <v>22706930</v>
          </cell>
          <cell r="K86">
            <v>28371598</v>
          </cell>
          <cell r="L86">
            <v>22906650</v>
          </cell>
          <cell r="M86">
            <v>22114068</v>
          </cell>
          <cell r="N86">
            <v>29175505</v>
          </cell>
          <cell r="O86">
            <v>24393434</v>
          </cell>
          <cell r="P86">
            <v>25065541</v>
          </cell>
          <cell r="Q86">
            <v>31741428</v>
          </cell>
          <cell r="R86">
            <v>25919158</v>
          </cell>
          <cell r="S86">
            <v>26764785</v>
          </cell>
          <cell r="T86">
            <v>32101278</v>
          </cell>
          <cell r="U86">
            <v>26374483</v>
          </cell>
          <cell r="V86">
            <v>26547737</v>
          </cell>
          <cell r="W86">
            <v>33972474</v>
          </cell>
          <cell r="X86">
            <v>26660797</v>
          </cell>
          <cell r="Y86">
            <v>26816606</v>
          </cell>
          <cell r="Z86">
            <v>34855604</v>
          </cell>
          <cell r="AA86">
            <v>29270561</v>
          </cell>
          <cell r="AB86">
            <v>29909159</v>
          </cell>
          <cell r="AC86">
            <v>37420044</v>
          </cell>
          <cell r="AD86">
            <v>30299089</v>
          </cell>
          <cell r="AE86">
            <v>34945787</v>
          </cell>
          <cell r="AF86">
            <v>43285868</v>
          </cell>
          <cell r="AG86">
            <v>35248480</v>
          </cell>
          <cell r="AH86">
            <v>35297420</v>
          </cell>
          <cell r="AI86">
            <v>43953414</v>
          </cell>
          <cell r="AJ86">
            <v>36390657</v>
          </cell>
          <cell r="AK86">
            <v>35596414</v>
          </cell>
          <cell r="AL86">
            <v>43876294</v>
          </cell>
          <cell r="AM86">
            <v>35333521</v>
          </cell>
          <cell r="AN86">
            <v>35348648</v>
          </cell>
          <cell r="AO86">
            <v>44677929</v>
          </cell>
          <cell r="AP86">
            <v>36211657</v>
          </cell>
          <cell r="AQ86">
            <v>36364208</v>
          </cell>
          <cell r="AR86">
            <v>43849534</v>
          </cell>
          <cell r="AS86">
            <v>35397536</v>
          </cell>
          <cell r="AT86">
            <v>236106096</v>
          </cell>
          <cell r="AU86">
            <v>328857501</v>
          </cell>
          <cell r="AV86">
            <v>238230641</v>
          </cell>
          <cell r="AW86">
            <v>222025063</v>
          </cell>
          <cell r="AX86">
            <v>281167695</v>
          </cell>
          <cell r="AY86">
            <v>235962081</v>
          </cell>
          <cell r="AZ86">
            <v>233908003</v>
          </cell>
          <cell r="BA86">
            <v>310737897</v>
          </cell>
          <cell r="BB86">
            <v>241519971</v>
          </cell>
          <cell r="BC86">
            <v>243972367</v>
          </cell>
          <cell r="BD86">
            <v>314152352</v>
          </cell>
          <cell r="BE86">
            <v>245566180</v>
          </cell>
          <cell r="BF86">
            <v>251513386</v>
          </cell>
          <cell r="BG86">
            <v>380337362</v>
          </cell>
          <cell r="BH86">
            <v>204340626</v>
          </cell>
          <cell r="BI86">
            <v>235383290</v>
          </cell>
          <cell r="BJ86">
            <v>295651434</v>
          </cell>
          <cell r="BK86">
            <v>247044103</v>
          </cell>
          <cell r="BL86">
            <v>244619773</v>
          </cell>
        </row>
        <row r="87">
          <cell r="A87" t="str">
            <v>REOPRO LLY 021995</v>
          </cell>
          <cell r="B87" t="str">
            <v>REOPRO LLY 021995</v>
          </cell>
          <cell r="C87">
            <v>23469136</v>
          </cell>
          <cell r="D87">
            <v>23531435</v>
          </cell>
          <cell r="E87">
            <v>27770090</v>
          </cell>
          <cell r="F87">
            <v>11230784</v>
          </cell>
          <cell r="G87">
            <v>11799642</v>
          </cell>
          <cell r="H87">
            <v>13591534</v>
          </cell>
          <cell r="I87">
            <v>10067091</v>
          </cell>
          <cell r="J87">
            <v>9300570</v>
          </cell>
          <cell r="K87">
            <v>12447605</v>
          </cell>
          <cell r="L87">
            <v>9194701</v>
          </cell>
          <cell r="M87">
            <v>9354441</v>
          </cell>
          <cell r="N87">
            <v>12704276</v>
          </cell>
          <cell r="O87">
            <v>9316532</v>
          </cell>
          <cell r="P87">
            <v>10034273</v>
          </cell>
          <cell r="Q87">
            <v>13015123</v>
          </cell>
          <cell r="R87">
            <v>9488718</v>
          </cell>
          <cell r="S87">
            <v>9801325</v>
          </cell>
          <cell r="T87">
            <v>12271307</v>
          </cell>
          <cell r="U87">
            <v>9059865</v>
          </cell>
          <cell r="V87">
            <v>9113197</v>
          </cell>
          <cell r="W87">
            <v>11711831</v>
          </cell>
          <cell r="X87">
            <v>8494973</v>
          </cell>
          <cell r="Y87">
            <v>8721388</v>
          </cell>
          <cell r="Z87">
            <v>11628305</v>
          </cell>
          <cell r="AA87">
            <v>8140729</v>
          </cell>
          <cell r="AB87">
            <v>9058455</v>
          </cell>
          <cell r="AC87">
            <v>11453216</v>
          </cell>
          <cell r="AD87">
            <v>8304077</v>
          </cell>
          <cell r="AE87">
            <v>8582185</v>
          </cell>
          <cell r="AF87">
            <v>10785033</v>
          </cell>
          <cell r="AG87">
            <v>7625663</v>
          </cell>
          <cell r="AH87">
            <v>7402810</v>
          </cell>
          <cell r="AI87">
            <v>9656913</v>
          </cell>
          <cell r="AJ87">
            <v>7764019</v>
          </cell>
          <cell r="AK87">
            <v>7508350</v>
          </cell>
          <cell r="AL87">
            <v>9381574</v>
          </cell>
          <cell r="AM87">
            <v>7454888</v>
          </cell>
          <cell r="AN87">
            <v>7767710</v>
          </cell>
          <cell r="AO87">
            <v>9750652</v>
          </cell>
          <cell r="AP87">
            <v>7249692</v>
          </cell>
          <cell r="AQ87">
            <v>7129619</v>
          </cell>
          <cell r="AR87">
            <v>9150841</v>
          </cell>
          <cell r="AS87">
            <v>6835776</v>
          </cell>
          <cell r="AT87">
            <v>36845448</v>
          </cell>
          <cell r="AU87">
            <v>52593107</v>
          </cell>
          <cell r="AV87">
            <v>41465331</v>
          </cell>
          <cell r="AW87">
            <v>39993728</v>
          </cell>
          <cell r="AX87">
            <v>45211659</v>
          </cell>
          <cell r="AY87">
            <v>37399428</v>
          </cell>
          <cell r="AZ87">
            <v>35188672</v>
          </cell>
          <cell r="BA87">
            <v>43886713</v>
          </cell>
          <cell r="BB87">
            <v>33344681</v>
          </cell>
          <cell r="BC87">
            <v>32240487</v>
          </cell>
          <cell r="BD87">
            <v>38640955</v>
          </cell>
          <cell r="BE87">
            <v>29385564</v>
          </cell>
          <cell r="BF87">
            <v>28651242</v>
          </cell>
          <cell r="BG87">
            <v>33992411</v>
          </cell>
          <cell r="BH87">
            <v>26411298</v>
          </cell>
          <cell r="BI87">
            <v>25080178</v>
          </cell>
          <cell r="BJ87">
            <v>30484026</v>
          </cell>
          <cell r="BK87">
            <v>21380067</v>
          </cell>
          <cell r="BL87">
            <v>19688125</v>
          </cell>
        </row>
        <row r="88">
          <cell r="A88" t="str">
            <v>RENVELA GZY 022008</v>
          </cell>
          <cell r="B88" t="str">
            <v>RENVELA GZY 012008</v>
          </cell>
          <cell r="C88">
            <v>34723298</v>
          </cell>
          <cell r="D88">
            <v>36958822</v>
          </cell>
          <cell r="E88">
            <v>47166199</v>
          </cell>
          <cell r="F88">
            <v>11230784</v>
          </cell>
          <cell r="G88">
            <v>11799642</v>
          </cell>
          <cell r="H88">
            <v>13591534</v>
          </cell>
          <cell r="I88">
            <v>10067091</v>
          </cell>
          <cell r="J88">
            <v>9300570</v>
          </cell>
          <cell r="K88">
            <v>12447605</v>
          </cell>
          <cell r="L88">
            <v>9194701</v>
          </cell>
          <cell r="M88">
            <v>9354441</v>
          </cell>
          <cell r="N88">
            <v>12704276</v>
          </cell>
          <cell r="O88">
            <v>9316532</v>
          </cell>
          <cell r="P88">
            <v>10034273</v>
          </cell>
          <cell r="Q88">
            <v>13015123</v>
          </cell>
          <cell r="R88">
            <v>9488718</v>
          </cell>
          <cell r="S88">
            <v>9801325</v>
          </cell>
          <cell r="T88">
            <v>12271307</v>
          </cell>
          <cell r="U88">
            <v>9059865</v>
          </cell>
          <cell r="V88">
            <v>9113197</v>
          </cell>
          <cell r="W88">
            <v>11711831</v>
          </cell>
          <cell r="X88">
            <v>8494973</v>
          </cell>
          <cell r="Y88">
            <v>8721388</v>
          </cell>
          <cell r="Z88">
            <v>11628305</v>
          </cell>
          <cell r="AA88">
            <v>8140729</v>
          </cell>
          <cell r="AB88">
            <v>9058455</v>
          </cell>
          <cell r="AC88">
            <v>11453216</v>
          </cell>
          <cell r="AD88">
            <v>8304077</v>
          </cell>
          <cell r="AE88">
            <v>8582185</v>
          </cell>
          <cell r="AF88">
            <v>10785033</v>
          </cell>
          <cell r="AG88">
            <v>7625663</v>
          </cell>
          <cell r="AH88">
            <v>7402810</v>
          </cell>
          <cell r="AI88">
            <v>9656913</v>
          </cell>
          <cell r="AJ88">
            <v>7764019</v>
          </cell>
          <cell r="AK88">
            <v>7508350</v>
          </cell>
          <cell r="AL88">
            <v>9381574</v>
          </cell>
          <cell r="AM88">
            <v>7454888</v>
          </cell>
          <cell r="AN88">
            <v>364913</v>
          </cell>
          <cell r="AO88">
            <v>1908761</v>
          </cell>
          <cell r="AP88">
            <v>589524</v>
          </cell>
          <cell r="AQ88">
            <v>1131524</v>
          </cell>
          <cell r="AR88">
            <v>2009883</v>
          </cell>
          <cell r="AS88">
            <v>2211773</v>
          </cell>
          <cell r="AT88">
            <v>6807273</v>
          </cell>
          <cell r="AU88">
            <v>7779929</v>
          </cell>
          <cell r="AV88">
            <v>6615282</v>
          </cell>
          <cell r="AW88">
            <v>6475119</v>
          </cell>
          <cell r="AX88">
            <v>8044864</v>
          </cell>
          <cell r="AY88">
            <v>6967249</v>
          </cell>
          <cell r="AZ88">
            <v>6626615</v>
          </cell>
          <cell r="BA88">
            <v>8343289</v>
          </cell>
          <cell r="BB88">
            <v>6740970</v>
          </cell>
          <cell r="BC88">
            <v>6412016</v>
          </cell>
          <cell r="BD88">
            <v>8200003</v>
          </cell>
          <cell r="BE88">
            <v>5828803</v>
          </cell>
          <cell r="BF88">
            <v>5904585</v>
          </cell>
          <cell r="BG88">
            <v>7105328</v>
          </cell>
          <cell r="BH88">
            <v>6340146</v>
          </cell>
          <cell r="BI88">
            <v>6128634</v>
          </cell>
          <cell r="BJ88">
            <v>7486335</v>
          </cell>
          <cell r="BK88">
            <v>6665999</v>
          </cell>
          <cell r="BL88">
            <v>6465342</v>
          </cell>
        </row>
        <row r="89">
          <cell r="A89" t="str">
            <v>RESCRIPTOR PFZ 051997</v>
          </cell>
          <cell r="B89" t="str">
            <v>RESCRIPTOR PFZ 051997</v>
          </cell>
          <cell r="C89">
            <v>342537</v>
          </cell>
          <cell r="D89">
            <v>320894</v>
          </cell>
          <cell r="E89">
            <v>429160</v>
          </cell>
          <cell r="F89">
            <v>327150</v>
          </cell>
          <cell r="G89">
            <v>308464</v>
          </cell>
          <cell r="H89">
            <v>404348</v>
          </cell>
          <cell r="I89">
            <v>308325</v>
          </cell>
          <cell r="J89">
            <v>283373</v>
          </cell>
          <cell r="K89">
            <v>357230</v>
          </cell>
          <cell r="L89">
            <v>303891</v>
          </cell>
          <cell r="M89">
            <v>273402</v>
          </cell>
          <cell r="N89">
            <v>371390</v>
          </cell>
          <cell r="O89">
            <v>282957</v>
          </cell>
          <cell r="P89">
            <v>282752</v>
          </cell>
          <cell r="Q89">
            <v>361274</v>
          </cell>
          <cell r="R89">
            <v>283106</v>
          </cell>
          <cell r="S89">
            <v>258600</v>
          </cell>
          <cell r="T89">
            <v>317731</v>
          </cell>
          <cell r="U89">
            <v>258451</v>
          </cell>
          <cell r="V89">
            <v>238291</v>
          </cell>
          <cell r="W89">
            <v>325919</v>
          </cell>
          <cell r="X89">
            <v>245941</v>
          </cell>
          <cell r="Y89">
            <v>230347</v>
          </cell>
          <cell r="Z89">
            <v>295461</v>
          </cell>
          <cell r="AA89">
            <v>231043</v>
          </cell>
          <cell r="AB89">
            <v>234537</v>
          </cell>
          <cell r="AC89">
            <v>294772</v>
          </cell>
          <cell r="AD89">
            <v>199642</v>
          </cell>
          <cell r="AE89">
            <v>225012</v>
          </cell>
          <cell r="AF89">
            <v>261455</v>
          </cell>
          <cell r="AG89">
            <v>198568</v>
          </cell>
          <cell r="AH89">
            <v>218783</v>
          </cell>
          <cell r="AI89">
            <v>252256</v>
          </cell>
          <cell r="AJ89">
            <v>197638</v>
          </cell>
          <cell r="AK89">
            <v>185073</v>
          </cell>
          <cell r="AL89">
            <v>233532</v>
          </cell>
          <cell r="AM89">
            <v>185164</v>
          </cell>
          <cell r="AN89">
            <v>364913</v>
          </cell>
          <cell r="AO89">
            <v>1908761</v>
          </cell>
          <cell r="AP89">
            <v>589524</v>
          </cell>
          <cell r="AQ89">
            <v>1131524</v>
          </cell>
          <cell r="AR89">
            <v>2009883</v>
          </cell>
          <cell r="AS89">
            <v>2211773</v>
          </cell>
          <cell r="AT89">
            <v>2985478</v>
          </cell>
          <cell r="AU89">
            <v>5281690</v>
          </cell>
          <cell r="AV89">
            <v>4691661</v>
          </cell>
          <cell r="AW89">
            <v>5351768</v>
          </cell>
          <cell r="AX89">
            <v>6856617</v>
          </cell>
          <cell r="AY89">
            <v>6686751</v>
          </cell>
          <cell r="AZ89">
            <v>7824913</v>
          </cell>
          <cell r="BA89">
            <v>11052332</v>
          </cell>
          <cell r="BB89">
            <v>9861586</v>
          </cell>
          <cell r="BC89">
            <v>11254200</v>
          </cell>
          <cell r="BD89">
            <v>15655589</v>
          </cell>
          <cell r="BE89">
            <v>13623309</v>
          </cell>
          <cell r="BF89">
            <v>14352662</v>
          </cell>
          <cell r="BG89">
            <v>19569176</v>
          </cell>
          <cell r="BH89">
            <v>15752610</v>
          </cell>
          <cell r="BI89">
            <v>16454947</v>
          </cell>
          <cell r="BJ89">
            <v>22325772</v>
          </cell>
          <cell r="BK89">
            <v>20935691</v>
          </cell>
          <cell r="BL89">
            <v>23134015</v>
          </cell>
        </row>
        <row r="90">
          <cell r="A90" t="str">
            <v>RETROVIR IV INF GSK 041990</v>
          </cell>
          <cell r="B90" t="str">
            <v>RETROVIR IV INF GSK 041990</v>
          </cell>
          <cell r="C90">
            <v>73692</v>
          </cell>
          <cell r="D90">
            <v>86971</v>
          </cell>
          <cell r="E90">
            <v>107070</v>
          </cell>
          <cell r="F90">
            <v>83285</v>
          </cell>
          <cell r="G90">
            <v>76361</v>
          </cell>
          <cell r="H90">
            <v>85902</v>
          </cell>
          <cell r="I90">
            <v>77440</v>
          </cell>
          <cell r="J90">
            <v>76569</v>
          </cell>
          <cell r="K90">
            <v>103214</v>
          </cell>
          <cell r="L90">
            <v>59988</v>
          </cell>
          <cell r="M90">
            <v>72702</v>
          </cell>
          <cell r="N90">
            <v>116374</v>
          </cell>
          <cell r="O90">
            <v>74396</v>
          </cell>
          <cell r="P90">
            <v>77295</v>
          </cell>
          <cell r="Q90">
            <v>97706</v>
          </cell>
          <cell r="R90">
            <v>79027</v>
          </cell>
          <cell r="S90">
            <v>84365</v>
          </cell>
          <cell r="T90">
            <v>98012</v>
          </cell>
          <cell r="U90">
            <v>81729</v>
          </cell>
          <cell r="V90">
            <v>101298</v>
          </cell>
          <cell r="W90">
            <v>114971</v>
          </cell>
          <cell r="X90">
            <v>95735</v>
          </cell>
          <cell r="Y90">
            <v>86435</v>
          </cell>
          <cell r="Z90">
            <v>112079</v>
          </cell>
          <cell r="AA90">
            <v>88713</v>
          </cell>
          <cell r="AB90">
            <v>89693</v>
          </cell>
          <cell r="AC90">
            <v>117279</v>
          </cell>
          <cell r="AD90">
            <v>77768</v>
          </cell>
          <cell r="AE90">
            <v>64335</v>
          </cell>
          <cell r="AF90">
            <v>92531</v>
          </cell>
          <cell r="AG90">
            <v>75658</v>
          </cell>
          <cell r="AH90">
            <v>100405</v>
          </cell>
          <cell r="AI90">
            <v>139283</v>
          </cell>
          <cell r="AJ90">
            <v>117584</v>
          </cell>
          <cell r="AK90">
            <v>88124</v>
          </cell>
          <cell r="AL90">
            <v>107903</v>
          </cell>
          <cell r="AM90">
            <v>97530</v>
          </cell>
          <cell r="AN90">
            <v>83019</v>
          </cell>
          <cell r="AO90">
            <v>119209</v>
          </cell>
          <cell r="AP90">
            <v>79322</v>
          </cell>
          <cell r="AQ90">
            <v>92554</v>
          </cell>
          <cell r="AR90">
            <v>115152</v>
          </cell>
          <cell r="AS90">
            <v>104898</v>
          </cell>
          <cell r="AT90">
            <v>148073</v>
          </cell>
          <cell r="AU90">
            <v>172643</v>
          </cell>
          <cell r="AV90">
            <v>139607</v>
          </cell>
          <cell r="AW90">
            <v>140309</v>
          </cell>
          <cell r="AX90">
            <v>154800</v>
          </cell>
          <cell r="AY90">
            <v>148233</v>
          </cell>
          <cell r="AZ90">
            <v>165415</v>
          </cell>
          <cell r="BA90">
            <v>170330</v>
          </cell>
          <cell r="BB90">
            <v>141513</v>
          </cell>
          <cell r="BC90">
            <v>122337</v>
          </cell>
          <cell r="BD90">
            <v>158409</v>
          </cell>
          <cell r="BE90">
            <v>120922</v>
          </cell>
          <cell r="BF90">
            <v>123744</v>
          </cell>
          <cell r="BG90">
            <v>133964</v>
          </cell>
          <cell r="BH90">
            <v>113201</v>
          </cell>
          <cell r="BI90">
            <v>107526</v>
          </cell>
          <cell r="BJ90">
            <v>126671</v>
          </cell>
          <cell r="BK90">
            <v>103278</v>
          </cell>
          <cell r="BL90">
            <v>94857</v>
          </cell>
        </row>
        <row r="91">
          <cell r="A91" t="str">
            <v>REVLIMID CC5 012006</v>
          </cell>
          <cell r="B91" t="str">
            <v>REVLIMID CC5 012006</v>
          </cell>
          <cell r="C91">
            <v>73692</v>
          </cell>
          <cell r="D91">
            <v>86971</v>
          </cell>
          <cell r="E91">
            <v>107070</v>
          </cell>
          <cell r="F91">
            <v>83285</v>
          </cell>
          <cell r="G91">
            <v>76361</v>
          </cell>
          <cell r="H91">
            <v>85902</v>
          </cell>
          <cell r="I91">
            <v>77440</v>
          </cell>
          <cell r="J91">
            <v>76569</v>
          </cell>
          <cell r="K91">
            <v>103214</v>
          </cell>
          <cell r="L91">
            <v>59988</v>
          </cell>
          <cell r="M91">
            <v>72702</v>
          </cell>
          <cell r="N91">
            <v>116374</v>
          </cell>
          <cell r="O91">
            <v>1043860</v>
          </cell>
          <cell r="P91">
            <v>2428931</v>
          </cell>
          <cell r="Q91">
            <v>1854491</v>
          </cell>
          <cell r="R91">
            <v>1208139</v>
          </cell>
          <cell r="S91">
            <v>1678493</v>
          </cell>
          <cell r="T91">
            <v>3067530</v>
          </cell>
          <cell r="U91">
            <v>3289038</v>
          </cell>
          <cell r="V91">
            <v>5565993</v>
          </cell>
          <cell r="W91">
            <v>7305530</v>
          </cell>
          <cell r="X91">
            <v>7199378</v>
          </cell>
          <cell r="Y91">
            <v>6546779</v>
          </cell>
          <cell r="Z91">
            <v>10178367</v>
          </cell>
          <cell r="AA91">
            <v>11046981</v>
          </cell>
          <cell r="AB91">
            <v>11924710</v>
          </cell>
          <cell r="AC91">
            <v>15541550</v>
          </cell>
          <cell r="AD91">
            <v>12430058</v>
          </cell>
          <cell r="AE91">
            <v>12688730</v>
          </cell>
          <cell r="AF91">
            <v>17345487</v>
          </cell>
          <cell r="AG91">
            <v>11727098</v>
          </cell>
          <cell r="AH91">
            <v>15160165</v>
          </cell>
          <cell r="AI91">
            <v>18266832</v>
          </cell>
          <cell r="AJ91">
            <v>14690018</v>
          </cell>
          <cell r="AK91">
            <v>13849030</v>
          </cell>
          <cell r="AL91">
            <v>18675508</v>
          </cell>
          <cell r="AM91">
            <v>14913364</v>
          </cell>
          <cell r="AN91">
            <v>18721199</v>
          </cell>
          <cell r="AO91">
            <v>20057393</v>
          </cell>
          <cell r="AP91">
            <v>15740505</v>
          </cell>
          <cell r="AQ91">
            <v>15838346</v>
          </cell>
          <cell r="AR91">
            <v>20321736</v>
          </cell>
          <cell r="AS91">
            <v>16312838</v>
          </cell>
          <cell r="AT91">
            <v>110413</v>
          </cell>
          <cell r="AU91">
            <v>111828</v>
          </cell>
          <cell r="AV91">
            <v>117874</v>
          </cell>
          <cell r="AW91">
            <v>94893</v>
          </cell>
          <cell r="AX91">
            <v>124410</v>
          </cell>
          <cell r="AY91">
            <v>140058</v>
          </cell>
          <cell r="AZ91">
            <v>79154</v>
          </cell>
          <cell r="BA91">
            <v>92882</v>
          </cell>
          <cell r="BB91">
            <v>86966</v>
          </cell>
          <cell r="BC91">
            <v>77313</v>
          </cell>
          <cell r="BD91">
            <v>100664</v>
          </cell>
          <cell r="BE91">
            <v>93065</v>
          </cell>
          <cell r="BF91">
            <v>96066</v>
          </cell>
          <cell r="BG91">
            <v>116692</v>
          </cell>
          <cell r="BH91">
            <v>76992</v>
          </cell>
          <cell r="BI91">
            <v>79763</v>
          </cell>
          <cell r="BJ91">
            <v>124246</v>
          </cell>
          <cell r="BK91">
            <v>130404</v>
          </cell>
          <cell r="BL91">
            <v>112489</v>
          </cell>
        </row>
        <row r="92">
          <cell r="A92" t="str">
            <v>REYATAZ BHV 062003</v>
          </cell>
          <cell r="B92" t="str">
            <v>REYATAZ BHV 062003</v>
          </cell>
          <cell r="C92">
            <v>31792650</v>
          </cell>
          <cell r="D92">
            <v>34415217</v>
          </cell>
          <cell r="E92">
            <v>44952671</v>
          </cell>
          <cell r="F92">
            <v>34789011</v>
          </cell>
          <cell r="G92">
            <v>36903666</v>
          </cell>
          <cell r="H92">
            <v>45013404</v>
          </cell>
          <cell r="I92">
            <v>37709948</v>
          </cell>
          <cell r="J92">
            <v>39206887</v>
          </cell>
          <cell r="K92">
            <v>49922052</v>
          </cell>
          <cell r="L92">
            <v>39649017</v>
          </cell>
          <cell r="M92">
            <v>39204847</v>
          </cell>
          <cell r="N92">
            <v>54197942</v>
          </cell>
          <cell r="O92">
            <v>1043860</v>
          </cell>
          <cell r="P92">
            <v>2428931</v>
          </cell>
          <cell r="Q92">
            <v>1854491</v>
          </cell>
          <cell r="R92">
            <v>1208139</v>
          </cell>
          <cell r="S92">
            <v>1678493</v>
          </cell>
          <cell r="T92">
            <v>3067530</v>
          </cell>
          <cell r="U92">
            <v>3289038</v>
          </cell>
          <cell r="V92">
            <v>5565993</v>
          </cell>
          <cell r="W92">
            <v>7305530</v>
          </cell>
          <cell r="X92">
            <v>7199378</v>
          </cell>
          <cell r="Y92">
            <v>6546779</v>
          </cell>
          <cell r="Z92">
            <v>10178367</v>
          </cell>
          <cell r="AA92">
            <v>11046981</v>
          </cell>
          <cell r="AB92">
            <v>11924710</v>
          </cell>
          <cell r="AC92">
            <v>15541550</v>
          </cell>
          <cell r="AD92">
            <v>12430058</v>
          </cell>
          <cell r="AE92">
            <v>12688730</v>
          </cell>
          <cell r="AF92">
            <v>17345487</v>
          </cell>
          <cell r="AG92">
            <v>11727098</v>
          </cell>
          <cell r="AH92">
            <v>15160165</v>
          </cell>
          <cell r="AI92">
            <v>18266832</v>
          </cell>
          <cell r="AJ92">
            <v>14690018</v>
          </cell>
          <cell r="AK92">
            <v>13849030</v>
          </cell>
          <cell r="AL92">
            <v>18675508</v>
          </cell>
          <cell r="AM92">
            <v>14913364</v>
          </cell>
          <cell r="AN92">
            <v>18721199</v>
          </cell>
          <cell r="AO92">
            <v>20057393</v>
          </cell>
          <cell r="AP92">
            <v>15740505</v>
          </cell>
          <cell r="AQ92">
            <v>15838346</v>
          </cell>
          <cell r="AR92">
            <v>20321736</v>
          </cell>
          <cell r="AS92">
            <v>16312838</v>
          </cell>
          <cell r="AT92">
            <v>16801320</v>
          </cell>
          <cell r="AU92">
            <v>21802263</v>
          </cell>
          <cell r="AV92">
            <v>14749953</v>
          </cell>
          <cell r="AW92">
            <v>14766346</v>
          </cell>
          <cell r="AX92">
            <v>17820761</v>
          </cell>
          <cell r="AY92">
            <v>15783135</v>
          </cell>
          <cell r="AZ92">
            <v>15024385</v>
          </cell>
          <cell r="BA92">
            <v>19124342</v>
          </cell>
          <cell r="BB92">
            <v>16597984</v>
          </cell>
          <cell r="BC92">
            <v>17066818</v>
          </cell>
          <cell r="BD92">
            <v>22149710</v>
          </cell>
          <cell r="BE92">
            <v>16031709</v>
          </cell>
          <cell r="BF92">
            <v>12263024</v>
          </cell>
          <cell r="BG92">
            <v>15245024</v>
          </cell>
          <cell r="BH92">
            <v>12339895</v>
          </cell>
          <cell r="BI92">
            <v>12447878</v>
          </cell>
          <cell r="BJ92">
            <v>15785433</v>
          </cell>
          <cell r="BK92">
            <v>14960994</v>
          </cell>
          <cell r="BL92">
            <v>14315108</v>
          </cell>
        </row>
        <row r="93">
          <cell r="A93" t="str">
            <v>RITUXAN GTC 121997</v>
          </cell>
          <cell r="B93" t="str">
            <v>RITUXAN GTC 121997</v>
          </cell>
          <cell r="C93">
            <v>116632678</v>
          </cell>
          <cell r="D93">
            <v>125936873</v>
          </cell>
          <cell r="E93">
            <v>158228335</v>
          </cell>
          <cell r="F93">
            <v>129859631</v>
          </cell>
          <cell r="G93">
            <v>134722376</v>
          </cell>
          <cell r="H93">
            <v>159763238</v>
          </cell>
          <cell r="I93">
            <v>127235954</v>
          </cell>
          <cell r="J93">
            <v>148517625</v>
          </cell>
          <cell r="K93">
            <v>181163874</v>
          </cell>
          <cell r="L93">
            <v>155359615</v>
          </cell>
          <cell r="M93">
            <v>154704044</v>
          </cell>
          <cell r="N93">
            <v>187719740</v>
          </cell>
          <cell r="O93">
            <v>122409258</v>
          </cell>
          <cell r="P93">
            <v>140706755</v>
          </cell>
          <cell r="Q93">
            <v>183882710</v>
          </cell>
          <cell r="R93">
            <v>164142460</v>
          </cell>
          <cell r="S93">
            <v>173060272</v>
          </cell>
          <cell r="T93">
            <v>204393648</v>
          </cell>
          <cell r="U93">
            <v>154513343</v>
          </cell>
          <cell r="V93">
            <v>165854071</v>
          </cell>
          <cell r="W93">
            <v>198960331</v>
          </cell>
          <cell r="X93">
            <v>171542667</v>
          </cell>
          <cell r="Y93">
            <v>171458319</v>
          </cell>
          <cell r="Z93">
            <v>214353675</v>
          </cell>
          <cell r="AA93">
            <v>160261853</v>
          </cell>
          <cell r="AB93">
            <v>172522118</v>
          </cell>
          <cell r="AC93">
            <v>208579939</v>
          </cell>
          <cell r="AD93">
            <v>175452530</v>
          </cell>
          <cell r="AE93">
            <v>181678050</v>
          </cell>
          <cell r="AF93">
            <v>209732938</v>
          </cell>
          <cell r="AG93">
            <v>173175530</v>
          </cell>
          <cell r="AH93">
            <v>179529866</v>
          </cell>
          <cell r="AI93">
            <v>217330626</v>
          </cell>
          <cell r="AJ93">
            <v>187011993</v>
          </cell>
          <cell r="AK93">
            <v>181949900</v>
          </cell>
          <cell r="AL93">
            <v>227443034</v>
          </cell>
          <cell r="AM93">
            <v>170345404</v>
          </cell>
          <cell r="AN93">
            <v>189117282</v>
          </cell>
          <cell r="AO93">
            <v>231288786</v>
          </cell>
          <cell r="AP93">
            <v>199315944</v>
          </cell>
          <cell r="AQ93">
            <v>207754958</v>
          </cell>
          <cell r="AR93">
            <v>238320536</v>
          </cell>
          <cell r="AS93">
            <v>194789686</v>
          </cell>
          <cell r="AT93">
            <v>60373953</v>
          </cell>
          <cell r="AU93">
            <v>77931355</v>
          </cell>
          <cell r="AV93">
            <v>63116032</v>
          </cell>
          <cell r="AW93">
            <v>61935708</v>
          </cell>
          <cell r="AX93">
            <v>74303927</v>
          </cell>
          <cell r="AY93">
            <v>62488346</v>
          </cell>
          <cell r="AZ93">
            <v>65444819</v>
          </cell>
          <cell r="BA93">
            <v>84690011</v>
          </cell>
          <cell r="BB93">
            <v>61695795</v>
          </cell>
          <cell r="BC93">
            <v>63041191</v>
          </cell>
          <cell r="BD93">
            <v>82262948</v>
          </cell>
          <cell r="BE93">
            <v>66744951</v>
          </cell>
          <cell r="BF93">
            <v>66307998</v>
          </cell>
          <cell r="BG93">
            <v>82357169</v>
          </cell>
          <cell r="BH93">
            <v>68016288</v>
          </cell>
          <cell r="BI93">
            <v>66409343</v>
          </cell>
          <cell r="BJ93">
            <v>84303651</v>
          </cell>
          <cell r="BK93">
            <v>69450614</v>
          </cell>
          <cell r="BL93">
            <v>68870391</v>
          </cell>
        </row>
        <row r="94">
          <cell r="A94" t="str">
            <v>SENSIPAR AAI 042004</v>
          </cell>
          <cell r="B94" t="str">
            <v>SENSIPAR AAI 042004</v>
          </cell>
          <cell r="C94">
            <v>8168598</v>
          </cell>
          <cell r="D94">
            <v>8615422</v>
          </cell>
          <cell r="E94">
            <v>12143599</v>
          </cell>
          <cell r="F94">
            <v>9976024</v>
          </cell>
          <cell r="G94">
            <v>11671460</v>
          </cell>
          <cell r="H94">
            <v>14662897</v>
          </cell>
          <cell r="I94">
            <v>12606550</v>
          </cell>
          <cell r="J94">
            <v>14038702</v>
          </cell>
          <cell r="K94">
            <v>18084748</v>
          </cell>
          <cell r="L94">
            <v>15381693</v>
          </cell>
          <cell r="M94">
            <v>15017965</v>
          </cell>
          <cell r="N94">
            <v>19816274</v>
          </cell>
          <cell r="O94">
            <v>15982271</v>
          </cell>
          <cell r="P94">
            <v>16221738</v>
          </cell>
          <cell r="Q94">
            <v>20221413</v>
          </cell>
          <cell r="R94">
            <v>17340192</v>
          </cell>
          <cell r="S94">
            <v>18648852</v>
          </cell>
          <cell r="T94">
            <v>23703499</v>
          </cell>
          <cell r="U94">
            <v>19725178</v>
          </cell>
          <cell r="V94">
            <v>20553393</v>
          </cell>
          <cell r="W94">
            <v>26720536</v>
          </cell>
          <cell r="X94">
            <v>22322783</v>
          </cell>
          <cell r="Y94">
            <v>22092030</v>
          </cell>
          <cell r="Z94">
            <v>30072875</v>
          </cell>
          <cell r="AA94">
            <v>24004083</v>
          </cell>
          <cell r="AB94">
            <v>24539725</v>
          </cell>
          <cell r="AC94">
            <v>31473210</v>
          </cell>
          <cell r="AD94">
            <v>25245327</v>
          </cell>
          <cell r="AE94">
            <v>25835652</v>
          </cell>
          <cell r="AF94">
            <v>31916695</v>
          </cell>
          <cell r="AG94">
            <v>26051944</v>
          </cell>
          <cell r="AH94">
            <v>26200595</v>
          </cell>
          <cell r="AI94">
            <v>34015925</v>
          </cell>
          <cell r="AJ94">
            <v>29404516</v>
          </cell>
          <cell r="AK94">
            <v>28326792</v>
          </cell>
          <cell r="AL94">
            <v>36198152</v>
          </cell>
          <cell r="AM94">
            <v>29250999</v>
          </cell>
          <cell r="AN94">
            <v>30206955</v>
          </cell>
          <cell r="AO94">
            <v>38351797</v>
          </cell>
          <cell r="AP94">
            <v>30964511</v>
          </cell>
          <cell r="AQ94">
            <v>32037382</v>
          </cell>
          <cell r="AR94">
            <v>39301226</v>
          </cell>
          <cell r="AS94">
            <v>32038612</v>
          </cell>
          <cell r="AT94">
            <v>195359855</v>
          </cell>
          <cell r="AU94">
            <v>241750884</v>
          </cell>
          <cell r="AV94">
            <v>206530396</v>
          </cell>
          <cell r="AW94">
            <v>199553865</v>
          </cell>
          <cell r="AX94">
            <v>225878853</v>
          </cell>
          <cell r="AY94">
            <v>187873719</v>
          </cell>
          <cell r="AZ94">
            <v>196249192</v>
          </cell>
          <cell r="BA94">
            <v>255218286</v>
          </cell>
          <cell r="BB94">
            <v>205718148</v>
          </cell>
          <cell r="BC94">
            <v>208554660</v>
          </cell>
          <cell r="BD94">
            <v>262187507</v>
          </cell>
          <cell r="BE94">
            <v>196002291</v>
          </cell>
          <cell r="BF94">
            <v>203585107</v>
          </cell>
          <cell r="BG94">
            <v>260292197</v>
          </cell>
          <cell r="BH94">
            <v>214319514</v>
          </cell>
          <cell r="BI94">
            <v>214160500</v>
          </cell>
          <cell r="BJ94">
            <v>249790646</v>
          </cell>
          <cell r="BK94">
            <v>198144489</v>
          </cell>
          <cell r="BL94">
            <v>194832113</v>
          </cell>
        </row>
        <row r="95">
          <cell r="A95" t="str">
            <v>SUSTIVA DPT 091998</v>
          </cell>
          <cell r="B95" t="str">
            <v>SUSTIVA DPT 091998</v>
          </cell>
          <cell r="C95">
            <v>34723298</v>
          </cell>
          <cell r="D95">
            <v>36958822</v>
          </cell>
          <cell r="E95">
            <v>47166199</v>
          </cell>
          <cell r="F95">
            <v>35100745</v>
          </cell>
          <cell r="G95">
            <v>37777347</v>
          </cell>
          <cell r="H95">
            <v>45094548</v>
          </cell>
          <cell r="I95">
            <v>37682623</v>
          </cell>
          <cell r="J95">
            <v>36271976</v>
          </cell>
          <cell r="K95">
            <v>48426203</v>
          </cell>
          <cell r="L95">
            <v>37889640</v>
          </cell>
          <cell r="M95">
            <v>36004260</v>
          </cell>
          <cell r="N95">
            <v>48554931</v>
          </cell>
          <cell r="O95">
            <v>37285090</v>
          </cell>
          <cell r="P95">
            <v>37814828</v>
          </cell>
          <cell r="Q95">
            <v>49801701</v>
          </cell>
          <cell r="R95">
            <v>38483252</v>
          </cell>
          <cell r="S95">
            <v>41092549</v>
          </cell>
          <cell r="T95">
            <v>49227595</v>
          </cell>
          <cell r="U95">
            <v>40149310</v>
          </cell>
          <cell r="V95">
            <v>37343672</v>
          </cell>
          <cell r="W95">
            <v>44473373</v>
          </cell>
          <cell r="X95">
            <v>32200866</v>
          </cell>
          <cell r="Y95">
            <v>29974663</v>
          </cell>
          <cell r="Z95">
            <v>36135702</v>
          </cell>
          <cell r="AA95">
            <v>28581872</v>
          </cell>
          <cell r="AB95">
            <v>28142408</v>
          </cell>
          <cell r="AC95">
            <v>33292470</v>
          </cell>
          <cell r="AD95">
            <v>25350782</v>
          </cell>
          <cell r="AE95">
            <v>24870265</v>
          </cell>
          <cell r="AF95">
            <v>29881663</v>
          </cell>
          <cell r="AG95">
            <v>23417237</v>
          </cell>
          <cell r="AH95">
            <v>23484531</v>
          </cell>
          <cell r="AI95">
            <v>28015900</v>
          </cell>
          <cell r="AJ95">
            <v>23056174</v>
          </cell>
          <cell r="AK95">
            <v>22111508</v>
          </cell>
          <cell r="AL95">
            <v>26520938</v>
          </cell>
          <cell r="AM95">
            <v>21689284</v>
          </cell>
          <cell r="AN95">
            <v>22596695</v>
          </cell>
          <cell r="AO95">
            <v>28798096</v>
          </cell>
          <cell r="AP95">
            <v>20713012</v>
          </cell>
          <cell r="AQ95">
            <v>20649765</v>
          </cell>
          <cell r="AR95">
            <v>25194803</v>
          </cell>
          <cell r="AS95">
            <v>19502237</v>
          </cell>
          <cell r="AT95">
            <v>36147142</v>
          </cell>
          <cell r="AU95">
            <v>45064328</v>
          </cell>
          <cell r="AV95">
            <v>36828955</v>
          </cell>
          <cell r="AW95">
            <v>35619260</v>
          </cell>
          <cell r="AX95">
            <v>42048108</v>
          </cell>
          <cell r="AY95">
            <v>35115947</v>
          </cell>
          <cell r="AZ95">
            <v>33553649</v>
          </cell>
          <cell r="BA95">
            <v>41869578</v>
          </cell>
          <cell r="BB95">
            <v>33553117</v>
          </cell>
          <cell r="BC95">
            <v>34733628</v>
          </cell>
          <cell r="BD95">
            <v>43899935</v>
          </cell>
          <cell r="BE95">
            <v>36027799</v>
          </cell>
          <cell r="BF95">
            <v>35729707</v>
          </cell>
          <cell r="BG95">
            <v>45253327</v>
          </cell>
          <cell r="BH95">
            <v>35819951</v>
          </cell>
          <cell r="BI95">
            <v>35807137</v>
          </cell>
          <cell r="BJ95">
            <v>45037376</v>
          </cell>
          <cell r="BK95">
            <v>38372292</v>
          </cell>
          <cell r="BL95">
            <v>38215720</v>
          </cell>
        </row>
        <row r="96">
          <cell r="A96" t="str">
            <v>TARCEVA GTC 112004</v>
          </cell>
          <cell r="B96" t="str">
            <v>TARCEVA GTC 112004</v>
          </cell>
          <cell r="C96">
            <v>11532954</v>
          </cell>
          <cell r="D96">
            <v>14494255</v>
          </cell>
          <cell r="E96">
            <v>20843322</v>
          </cell>
          <cell r="F96">
            <v>19789107</v>
          </cell>
          <cell r="G96">
            <v>21754559</v>
          </cell>
          <cell r="H96">
            <v>29023157</v>
          </cell>
          <cell r="I96">
            <v>22986508</v>
          </cell>
          <cell r="J96">
            <v>23780856</v>
          </cell>
          <cell r="K96">
            <v>31141605</v>
          </cell>
          <cell r="L96">
            <v>24425561</v>
          </cell>
          <cell r="M96">
            <v>26953905</v>
          </cell>
          <cell r="N96">
            <v>38370601</v>
          </cell>
          <cell r="O96">
            <v>29537686</v>
          </cell>
          <cell r="P96">
            <v>31546723</v>
          </cell>
          <cell r="Q96">
            <v>37774597</v>
          </cell>
          <cell r="R96">
            <v>32013258</v>
          </cell>
          <cell r="S96">
            <v>31597894</v>
          </cell>
          <cell r="T96">
            <v>40868574</v>
          </cell>
          <cell r="U96">
            <v>31980071</v>
          </cell>
          <cell r="V96">
            <v>33726138</v>
          </cell>
          <cell r="W96">
            <v>41922058</v>
          </cell>
          <cell r="X96">
            <v>33018079</v>
          </cell>
          <cell r="Y96">
            <v>32941619</v>
          </cell>
          <cell r="Z96">
            <v>43708718</v>
          </cell>
          <cell r="AA96">
            <v>32899392</v>
          </cell>
          <cell r="AB96">
            <v>34634603</v>
          </cell>
          <cell r="AC96">
            <v>43949771</v>
          </cell>
          <cell r="AD96">
            <v>35159524</v>
          </cell>
          <cell r="AE96">
            <v>37313227</v>
          </cell>
          <cell r="AF96">
            <v>47362391</v>
          </cell>
          <cell r="AG96">
            <v>36586163</v>
          </cell>
          <cell r="AH96">
            <v>35089867</v>
          </cell>
          <cell r="AI96">
            <v>44906111</v>
          </cell>
          <cell r="AJ96">
            <v>35466034</v>
          </cell>
          <cell r="AK96">
            <v>34538639</v>
          </cell>
          <cell r="AL96">
            <v>44232749</v>
          </cell>
          <cell r="AM96">
            <v>33154535</v>
          </cell>
          <cell r="AN96">
            <v>36635965</v>
          </cell>
          <cell r="AO96">
            <v>46985643</v>
          </cell>
          <cell r="AP96">
            <v>37573851</v>
          </cell>
          <cell r="AQ96">
            <v>38153040</v>
          </cell>
          <cell r="AR96">
            <v>47728872</v>
          </cell>
          <cell r="AS96">
            <v>38064674</v>
          </cell>
          <cell r="AT96">
            <v>19914127</v>
          </cell>
          <cell r="AU96">
            <v>24810036</v>
          </cell>
          <cell r="AV96">
            <v>20046532</v>
          </cell>
          <cell r="AW96">
            <v>19041746</v>
          </cell>
          <cell r="AX96">
            <v>22755561</v>
          </cell>
          <cell r="AY96">
            <v>18537193</v>
          </cell>
          <cell r="AZ96">
            <v>18997680</v>
          </cell>
          <cell r="BA96">
            <v>22783124</v>
          </cell>
          <cell r="BB96">
            <v>17297186</v>
          </cell>
          <cell r="BC96">
            <v>17504613</v>
          </cell>
          <cell r="BD96">
            <v>22369960</v>
          </cell>
          <cell r="BE96">
            <v>17540880</v>
          </cell>
          <cell r="BF96">
            <v>17276479</v>
          </cell>
          <cell r="BG96">
            <v>21325885</v>
          </cell>
          <cell r="BH96">
            <v>16778261</v>
          </cell>
          <cell r="BI96">
            <v>16609531</v>
          </cell>
          <cell r="BJ96">
            <v>21215968</v>
          </cell>
          <cell r="BK96">
            <v>17594218</v>
          </cell>
          <cell r="BL96">
            <v>16979484</v>
          </cell>
        </row>
        <row r="97">
          <cell r="A97" t="str">
            <v>THALOMID CC5 101998</v>
          </cell>
          <cell r="B97" t="str">
            <v>THALOMID CC5 101998</v>
          </cell>
          <cell r="C97">
            <v>25418394</v>
          </cell>
          <cell r="D97">
            <v>23272475</v>
          </cell>
          <cell r="E97">
            <v>38904504</v>
          </cell>
          <cell r="F97">
            <v>23090007</v>
          </cell>
          <cell r="G97">
            <v>24128785</v>
          </cell>
          <cell r="H97">
            <v>37285074</v>
          </cell>
          <cell r="I97">
            <v>27586676</v>
          </cell>
          <cell r="J97">
            <v>30575097</v>
          </cell>
          <cell r="K97">
            <v>35654320</v>
          </cell>
          <cell r="L97">
            <v>28216267</v>
          </cell>
          <cell r="M97">
            <v>29025104</v>
          </cell>
          <cell r="N97">
            <v>41060992</v>
          </cell>
          <cell r="O97">
            <v>33736829</v>
          </cell>
          <cell r="P97">
            <v>2417582</v>
          </cell>
          <cell r="Q97">
            <v>8125294</v>
          </cell>
          <cell r="R97">
            <v>8123741</v>
          </cell>
          <cell r="S97">
            <v>10454806</v>
          </cell>
          <cell r="T97">
            <v>14855617</v>
          </cell>
          <cell r="U97">
            <v>12291345</v>
          </cell>
          <cell r="V97">
            <v>14860876</v>
          </cell>
          <cell r="W97">
            <v>19502005</v>
          </cell>
          <cell r="X97">
            <v>15847447</v>
          </cell>
          <cell r="Y97">
            <v>19407653</v>
          </cell>
          <cell r="Z97">
            <v>24621200</v>
          </cell>
          <cell r="AA97">
            <v>19392287</v>
          </cell>
          <cell r="AB97">
            <v>20202187</v>
          </cell>
          <cell r="AC97">
            <v>26486854</v>
          </cell>
          <cell r="AD97">
            <v>21490094</v>
          </cell>
          <cell r="AE97">
            <v>22452072</v>
          </cell>
          <cell r="AF97">
            <v>27007599</v>
          </cell>
          <cell r="AG97">
            <v>21384536</v>
          </cell>
          <cell r="AH97">
            <v>23353662</v>
          </cell>
          <cell r="AI97">
            <v>26704295</v>
          </cell>
          <cell r="AJ97">
            <v>22933394</v>
          </cell>
          <cell r="AK97">
            <v>22170592</v>
          </cell>
          <cell r="AL97">
            <v>28126781</v>
          </cell>
          <cell r="AM97">
            <v>22410938</v>
          </cell>
          <cell r="AN97">
            <v>21717215</v>
          </cell>
          <cell r="AO97">
            <v>27419681</v>
          </cell>
          <cell r="AP97">
            <v>19214974</v>
          </cell>
          <cell r="AQ97">
            <v>19657244</v>
          </cell>
          <cell r="AR97">
            <v>24128254</v>
          </cell>
          <cell r="AS97">
            <v>18928836</v>
          </cell>
          <cell r="AT97">
            <v>21398782</v>
          </cell>
          <cell r="AU97">
            <v>25862902</v>
          </cell>
          <cell r="AV97">
            <v>21779740</v>
          </cell>
          <cell r="AW97">
            <v>20526859</v>
          </cell>
          <cell r="AX97">
            <v>24431277</v>
          </cell>
          <cell r="AY97">
            <v>21202712</v>
          </cell>
          <cell r="AZ97">
            <v>19960059</v>
          </cell>
          <cell r="BA97">
            <v>26338066</v>
          </cell>
          <cell r="BB97">
            <v>21295405</v>
          </cell>
          <cell r="BC97">
            <v>20137235</v>
          </cell>
          <cell r="BD97">
            <v>26488212</v>
          </cell>
          <cell r="BE97">
            <v>20465610</v>
          </cell>
          <cell r="BF97">
            <v>20497203</v>
          </cell>
          <cell r="BG97">
            <v>26538623</v>
          </cell>
          <cell r="BH97">
            <v>20446455</v>
          </cell>
          <cell r="BI97">
            <v>19870221</v>
          </cell>
          <cell r="BJ97">
            <v>25900770</v>
          </cell>
          <cell r="BK97">
            <v>20670742</v>
          </cell>
          <cell r="BL97">
            <v>19984381</v>
          </cell>
        </row>
        <row r="98">
          <cell r="A98" t="str">
            <v>THYMOGLOBULIN GZY 021999</v>
          </cell>
          <cell r="B98" t="str">
            <v>THYMOGLOBULIN GZY 021999</v>
          </cell>
          <cell r="C98">
            <v>4904199</v>
          </cell>
          <cell r="D98">
            <v>5647905</v>
          </cell>
          <cell r="E98">
            <v>6150809</v>
          </cell>
          <cell r="F98">
            <v>5331778</v>
          </cell>
          <cell r="G98">
            <v>5918319</v>
          </cell>
          <cell r="H98">
            <v>11402790</v>
          </cell>
          <cell r="I98">
            <v>7210272</v>
          </cell>
          <cell r="J98">
            <v>7543938</v>
          </cell>
          <cell r="K98">
            <v>9420303</v>
          </cell>
          <cell r="L98">
            <v>7681115</v>
          </cell>
          <cell r="M98">
            <v>8236460</v>
          </cell>
          <cell r="N98">
            <v>9983334</v>
          </cell>
          <cell r="O98">
            <v>6611796</v>
          </cell>
          <cell r="P98">
            <v>8453435</v>
          </cell>
          <cell r="Q98">
            <v>9824600</v>
          </cell>
          <cell r="R98">
            <v>9568575</v>
          </cell>
          <cell r="S98">
            <v>9751050</v>
          </cell>
          <cell r="T98">
            <v>12870824</v>
          </cell>
          <cell r="U98">
            <v>8421750</v>
          </cell>
          <cell r="V98">
            <v>9073576</v>
          </cell>
          <cell r="W98">
            <v>10930499</v>
          </cell>
          <cell r="X98">
            <v>8159652</v>
          </cell>
          <cell r="Y98">
            <v>9274908</v>
          </cell>
          <cell r="Z98">
            <v>11845536</v>
          </cell>
          <cell r="AA98">
            <v>7237202</v>
          </cell>
          <cell r="AB98">
            <v>9252683</v>
          </cell>
          <cell r="AC98">
            <v>11496628</v>
          </cell>
          <cell r="AD98">
            <v>9155995</v>
          </cell>
          <cell r="AE98">
            <v>10019148</v>
          </cell>
          <cell r="AF98">
            <v>11790112</v>
          </cell>
          <cell r="AG98">
            <v>10035010</v>
          </cell>
          <cell r="AH98">
            <v>10214263</v>
          </cell>
          <cell r="AI98">
            <v>11935828</v>
          </cell>
          <cell r="AJ98">
            <v>8381428</v>
          </cell>
          <cell r="AK98">
            <v>8651581</v>
          </cell>
          <cell r="AL98">
            <v>14148377</v>
          </cell>
          <cell r="AM98">
            <v>8477503</v>
          </cell>
          <cell r="AN98">
            <v>9892108</v>
          </cell>
          <cell r="AO98">
            <v>14469524</v>
          </cell>
          <cell r="AP98">
            <v>10772581</v>
          </cell>
          <cell r="AQ98">
            <v>10988934</v>
          </cell>
          <cell r="AR98">
            <v>13598260</v>
          </cell>
          <cell r="AS98">
            <v>10676881</v>
          </cell>
          <cell r="AT98">
            <v>38913025</v>
          </cell>
          <cell r="AU98">
            <v>48730435</v>
          </cell>
          <cell r="AV98">
            <v>39192366</v>
          </cell>
          <cell r="AW98">
            <v>38374675</v>
          </cell>
          <cell r="AX98">
            <v>42461807</v>
          </cell>
          <cell r="AY98">
            <v>33700724</v>
          </cell>
          <cell r="AZ98">
            <v>36249646</v>
          </cell>
          <cell r="BA98">
            <v>47309547</v>
          </cell>
          <cell r="BB98">
            <v>36324219</v>
          </cell>
          <cell r="BC98">
            <v>37056427</v>
          </cell>
          <cell r="BD98">
            <v>47663347</v>
          </cell>
          <cell r="BE98">
            <v>37252353</v>
          </cell>
          <cell r="BF98">
            <v>37902379</v>
          </cell>
          <cell r="BG98">
            <v>49147950</v>
          </cell>
          <cell r="BH98">
            <v>40527881</v>
          </cell>
          <cell r="BI98">
            <v>39158378</v>
          </cell>
          <cell r="BJ98">
            <v>48553335</v>
          </cell>
          <cell r="BK98">
            <v>38374300</v>
          </cell>
          <cell r="BL98">
            <v>38813969</v>
          </cell>
        </row>
        <row r="99">
          <cell r="A99" t="str">
            <v>THYROGEN GZY 021999</v>
          </cell>
          <cell r="B99" t="str">
            <v>THYROGEN GZY 021999</v>
          </cell>
          <cell r="C99">
            <v>2175469</v>
          </cell>
          <cell r="D99">
            <v>1735002</v>
          </cell>
          <cell r="E99">
            <v>2373102</v>
          </cell>
          <cell r="F99">
            <v>2252307</v>
          </cell>
          <cell r="G99">
            <v>2331152</v>
          </cell>
          <cell r="H99">
            <v>2754299</v>
          </cell>
          <cell r="I99">
            <v>1984686</v>
          </cell>
          <cell r="J99">
            <v>1716431</v>
          </cell>
          <cell r="K99">
            <v>2363186</v>
          </cell>
          <cell r="L99">
            <v>2030929</v>
          </cell>
          <cell r="M99">
            <v>1776032</v>
          </cell>
          <cell r="N99">
            <v>2119744</v>
          </cell>
          <cell r="O99">
            <v>1792570</v>
          </cell>
          <cell r="P99">
            <v>2400949</v>
          </cell>
          <cell r="Q99">
            <v>2742297</v>
          </cell>
          <cell r="R99">
            <v>1898881</v>
          </cell>
          <cell r="S99">
            <v>2355379</v>
          </cell>
          <cell r="T99">
            <v>2505498</v>
          </cell>
          <cell r="U99">
            <v>1982600</v>
          </cell>
          <cell r="V99">
            <v>2045691</v>
          </cell>
          <cell r="W99">
            <v>2654660</v>
          </cell>
          <cell r="X99">
            <v>2199006</v>
          </cell>
          <cell r="Y99">
            <v>1933755</v>
          </cell>
          <cell r="Z99">
            <v>2927156</v>
          </cell>
          <cell r="AA99">
            <v>2063040</v>
          </cell>
          <cell r="AB99">
            <v>2223114</v>
          </cell>
          <cell r="AC99">
            <v>2964612</v>
          </cell>
          <cell r="AD99">
            <v>2366064</v>
          </cell>
          <cell r="AE99">
            <v>2326023</v>
          </cell>
          <cell r="AF99">
            <v>3237485</v>
          </cell>
          <cell r="AG99">
            <v>1978236</v>
          </cell>
          <cell r="AH99">
            <v>2447117</v>
          </cell>
          <cell r="AI99">
            <v>2303267</v>
          </cell>
          <cell r="AJ99">
            <v>1693955</v>
          </cell>
          <cell r="AK99">
            <v>1614729</v>
          </cell>
          <cell r="AL99">
            <v>2837131</v>
          </cell>
          <cell r="AM99">
            <v>2200162</v>
          </cell>
          <cell r="AN99">
            <v>2664319</v>
          </cell>
          <cell r="AO99">
            <v>3768923</v>
          </cell>
          <cell r="AP99">
            <v>3111525</v>
          </cell>
          <cell r="AQ99">
            <v>3444634</v>
          </cell>
          <cell r="AR99">
            <v>3685731</v>
          </cell>
          <cell r="AS99">
            <v>3457955</v>
          </cell>
          <cell r="AT99">
            <v>26434561</v>
          </cell>
          <cell r="AU99">
            <v>31974728</v>
          </cell>
          <cell r="AV99">
            <v>25375665</v>
          </cell>
          <cell r="AW99">
            <v>22671094</v>
          </cell>
          <cell r="AX99">
            <v>26610506</v>
          </cell>
          <cell r="AY99">
            <v>25957305</v>
          </cell>
          <cell r="AZ99">
            <v>20633230</v>
          </cell>
          <cell r="BA99">
            <v>28043547</v>
          </cell>
          <cell r="BB99">
            <v>21587684</v>
          </cell>
          <cell r="BC99">
            <v>19037443</v>
          </cell>
          <cell r="BD99">
            <v>25409101</v>
          </cell>
          <cell r="BE99">
            <v>19068788</v>
          </cell>
          <cell r="BF99">
            <v>18649895</v>
          </cell>
          <cell r="BG99">
            <v>23054750</v>
          </cell>
          <cell r="BH99">
            <v>17723654</v>
          </cell>
          <cell r="BI99">
            <v>16880299</v>
          </cell>
          <cell r="BJ99">
            <v>20044114</v>
          </cell>
          <cell r="BK99">
            <v>17916157</v>
          </cell>
          <cell r="BL99">
            <v>17802738</v>
          </cell>
        </row>
        <row r="100">
          <cell r="A100" t="str">
            <v>TRIZIVIR GSK 122000</v>
          </cell>
          <cell r="B100" t="str">
            <v>TRIZIVIR GSK 122000</v>
          </cell>
          <cell r="C100">
            <v>30098546</v>
          </cell>
          <cell r="D100">
            <v>32159654</v>
          </cell>
          <cell r="E100">
            <v>38960019</v>
          </cell>
          <cell r="F100">
            <v>28867054</v>
          </cell>
          <cell r="G100">
            <v>30676077</v>
          </cell>
          <cell r="H100">
            <v>35868718</v>
          </cell>
          <cell r="I100">
            <v>28447577</v>
          </cell>
          <cell r="J100">
            <v>28196698</v>
          </cell>
          <cell r="K100">
            <v>34705689</v>
          </cell>
          <cell r="L100">
            <v>26977602</v>
          </cell>
          <cell r="M100">
            <v>26296248</v>
          </cell>
          <cell r="N100">
            <v>36091442</v>
          </cell>
          <cell r="O100">
            <v>27520868</v>
          </cell>
          <cell r="P100">
            <v>26507096</v>
          </cell>
          <cell r="Q100">
            <v>33273275</v>
          </cell>
          <cell r="R100">
            <v>25846259</v>
          </cell>
          <cell r="S100">
            <v>26265994</v>
          </cell>
          <cell r="T100">
            <v>31542385</v>
          </cell>
          <cell r="U100">
            <v>25165959</v>
          </cell>
          <cell r="V100">
            <v>25648502</v>
          </cell>
          <cell r="W100">
            <v>30980115</v>
          </cell>
          <cell r="X100">
            <v>24313389</v>
          </cell>
          <cell r="Y100">
            <v>23013592</v>
          </cell>
          <cell r="Z100">
            <v>30095513</v>
          </cell>
          <cell r="AA100">
            <v>24822107</v>
          </cell>
          <cell r="AB100">
            <v>26885898</v>
          </cell>
          <cell r="AC100">
            <v>29766047</v>
          </cell>
          <cell r="AD100">
            <v>22919086</v>
          </cell>
          <cell r="AE100">
            <v>23458942</v>
          </cell>
          <cell r="AF100">
            <v>28342478</v>
          </cell>
          <cell r="AG100">
            <v>22066758</v>
          </cell>
          <cell r="AH100">
            <v>22550714</v>
          </cell>
          <cell r="AI100">
            <v>27360323</v>
          </cell>
          <cell r="AJ100">
            <v>22936396</v>
          </cell>
          <cell r="AK100">
            <v>20615449</v>
          </cell>
          <cell r="AL100">
            <v>25840482</v>
          </cell>
          <cell r="AM100">
            <v>20693139</v>
          </cell>
          <cell r="AN100">
            <v>20669470</v>
          </cell>
          <cell r="AO100">
            <v>27948110</v>
          </cell>
          <cell r="AP100">
            <v>19316803</v>
          </cell>
          <cell r="AQ100">
            <v>18865511</v>
          </cell>
          <cell r="AR100">
            <v>23203396</v>
          </cell>
          <cell r="AS100">
            <v>18113386</v>
          </cell>
          <cell r="AT100">
            <v>10216487</v>
          </cell>
          <cell r="AU100">
            <v>10987433</v>
          </cell>
          <cell r="AV100">
            <v>10393946</v>
          </cell>
          <cell r="AW100">
            <v>2216111</v>
          </cell>
          <cell r="AX100">
            <v>12919602</v>
          </cell>
          <cell r="AY100">
            <v>10420724</v>
          </cell>
          <cell r="AZ100">
            <v>11193635</v>
          </cell>
          <cell r="BA100">
            <v>13304102</v>
          </cell>
          <cell r="BB100">
            <v>9603584</v>
          </cell>
          <cell r="BC100">
            <v>11317049</v>
          </cell>
          <cell r="BD100">
            <v>13245471</v>
          </cell>
          <cell r="BE100">
            <v>9600494</v>
          </cell>
          <cell r="BF100">
            <v>10893120</v>
          </cell>
          <cell r="BG100">
            <v>15342808</v>
          </cell>
          <cell r="BH100">
            <v>11989792</v>
          </cell>
          <cell r="BI100">
            <v>13053930</v>
          </cell>
          <cell r="BJ100">
            <v>13572720</v>
          </cell>
          <cell r="BK100">
            <v>10362791</v>
          </cell>
          <cell r="BL100">
            <v>12142809</v>
          </cell>
        </row>
      </sheetData>
      <sheetData sheetId="1"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INUED"/>
      <sheetName val=" Master List"/>
      <sheetName val="WeeklyTRx"/>
      <sheetName val="WeeklyNRx"/>
      <sheetName val="Weekly Rx Master List"/>
    </sheetNames>
    <sheetDataSet>
      <sheetData sheetId="0" refreshError="1"/>
      <sheetData sheetId="1" refreshError="1"/>
      <sheetData sheetId="2" refreshError="1">
        <row r="3">
          <cell r="D3">
            <v>38898</v>
          </cell>
          <cell r="E3">
            <v>38905</v>
          </cell>
          <cell r="F3">
            <v>38912</v>
          </cell>
          <cell r="G3">
            <v>38919</v>
          </cell>
          <cell r="H3">
            <v>38926</v>
          </cell>
          <cell r="I3">
            <v>38933</v>
          </cell>
          <cell r="J3">
            <v>38940</v>
          </cell>
          <cell r="K3">
            <v>38947</v>
          </cell>
          <cell r="L3">
            <v>38954</v>
          </cell>
          <cell r="M3">
            <v>38961</v>
          </cell>
          <cell r="N3">
            <v>38968</v>
          </cell>
          <cell r="O3">
            <v>38975</v>
          </cell>
          <cell r="P3">
            <v>38982</v>
          </cell>
          <cell r="Q3">
            <v>38989</v>
          </cell>
          <cell r="R3">
            <v>38996</v>
          </cell>
          <cell r="S3">
            <v>39003</v>
          </cell>
          <cell r="T3">
            <v>39010</v>
          </cell>
          <cell r="U3">
            <v>39017</v>
          </cell>
          <cell r="V3">
            <v>39024</v>
          </cell>
          <cell r="W3">
            <v>39031</v>
          </cell>
          <cell r="X3">
            <v>39038</v>
          </cell>
          <cell r="Y3">
            <v>39045</v>
          </cell>
          <cell r="Z3">
            <v>39052</v>
          </cell>
          <cell r="AA3">
            <v>39059</v>
          </cell>
          <cell r="AB3">
            <v>39066</v>
          </cell>
          <cell r="AC3">
            <v>39073</v>
          </cell>
          <cell r="AD3">
            <v>39080</v>
          </cell>
          <cell r="AE3">
            <v>39087</v>
          </cell>
          <cell r="AF3">
            <v>39094</v>
          </cell>
          <cell r="AG3">
            <v>39101</v>
          </cell>
          <cell r="AH3">
            <v>39108</v>
          </cell>
          <cell r="AI3">
            <v>39115</v>
          </cell>
          <cell r="AJ3">
            <v>39122</v>
          </cell>
          <cell r="AK3">
            <v>39129</v>
          </cell>
          <cell r="AL3">
            <v>39136</v>
          </cell>
          <cell r="AM3">
            <v>39143</v>
          </cell>
          <cell r="AN3">
            <v>39150</v>
          </cell>
          <cell r="AO3">
            <v>39157</v>
          </cell>
          <cell r="AP3">
            <v>39164</v>
          </cell>
          <cell r="AQ3">
            <v>39171</v>
          </cell>
          <cell r="AR3">
            <v>39178</v>
          </cell>
          <cell r="AS3">
            <v>39185</v>
          </cell>
          <cell r="AT3">
            <v>39192</v>
          </cell>
          <cell r="AU3">
            <v>39199</v>
          </cell>
          <cell r="AV3">
            <v>39206</v>
          </cell>
          <cell r="AW3">
            <v>39213</v>
          </cell>
          <cell r="AX3">
            <v>39220</v>
          </cell>
          <cell r="AY3">
            <v>39227</v>
          </cell>
          <cell r="AZ3">
            <v>39234</v>
          </cell>
          <cell r="BA3">
            <v>39241</v>
          </cell>
          <cell r="BB3">
            <v>39248</v>
          </cell>
          <cell r="BC3">
            <v>39255</v>
          </cell>
          <cell r="BD3">
            <v>39262</v>
          </cell>
          <cell r="BE3">
            <v>39269</v>
          </cell>
          <cell r="BF3">
            <v>39276</v>
          </cell>
          <cell r="BG3">
            <v>39283</v>
          </cell>
          <cell r="BH3">
            <v>39290</v>
          </cell>
          <cell r="BI3">
            <v>39297</v>
          </cell>
          <cell r="BJ3">
            <v>39304</v>
          </cell>
          <cell r="BK3">
            <v>39311</v>
          </cell>
          <cell r="BL3">
            <v>39318</v>
          </cell>
          <cell r="BM3">
            <v>39325</v>
          </cell>
          <cell r="BN3">
            <v>39332</v>
          </cell>
          <cell r="BO3">
            <v>39339</v>
          </cell>
          <cell r="BP3">
            <v>39346</v>
          </cell>
          <cell r="BQ3">
            <v>39353</v>
          </cell>
          <cell r="BR3">
            <v>39360</v>
          </cell>
          <cell r="BS3">
            <v>39367</v>
          </cell>
          <cell r="BT3">
            <v>39374</v>
          </cell>
          <cell r="BU3">
            <v>39381</v>
          </cell>
          <cell r="BV3">
            <v>39388</v>
          </cell>
          <cell r="BW3">
            <v>39395</v>
          </cell>
          <cell r="BX3">
            <v>39402</v>
          </cell>
          <cell r="BY3">
            <v>39409</v>
          </cell>
          <cell r="BZ3">
            <v>39416</v>
          </cell>
          <cell r="CA3">
            <v>39423</v>
          </cell>
          <cell r="CB3">
            <v>39430</v>
          </cell>
          <cell r="CC3">
            <v>39437</v>
          </cell>
          <cell r="CD3">
            <v>39444</v>
          </cell>
          <cell r="CE3">
            <v>39451</v>
          </cell>
          <cell r="CF3">
            <v>39458</v>
          </cell>
          <cell r="CG3">
            <v>39465</v>
          </cell>
          <cell r="CH3">
            <v>39472</v>
          </cell>
          <cell r="CI3">
            <v>39479</v>
          </cell>
          <cell r="CJ3">
            <v>39486</v>
          </cell>
          <cell r="CK3">
            <v>39493</v>
          </cell>
          <cell r="CL3">
            <v>39500</v>
          </cell>
          <cell r="CM3">
            <v>39507</v>
          </cell>
          <cell r="CN3">
            <v>39514</v>
          </cell>
          <cell r="CO3">
            <v>39521</v>
          </cell>
          <cell r="CP3">
            <v>39528</v>
          </cell>
          <cell r="CQ3">
            <v>39535</v>
          </cell>
          <cell r="CR3">
            <v>39542</v>
          </cell>
          <cell r="CS3">
            <v>39549</v>
          </cell>
          <cell r="CT3">
            <v>39556</v>
          </cell>
          <cell r="CU3">
            <v>39563</v>
          </cell>
          <cell r="CV3">
            <v>39570</v>
          </cell>
          <cell r="CW3">
            <v>39577</v>
          </cell>
          <cell r="CX3">
            <v>39584</v>
          </cell>
          <cell r="CY3">
            <v>39591</v>
          </cell>
          <cell r="CZ3">
            <v>39598</v>
          </cell>
          <cell r="DA3">
            <v>39605</v>
          </cell>
          <cell r="DB3">
            <v>39612</v>
          </cell>
          <cell r="DC3">
            <v>39619</v>
          </cell>
          <cell r="DD3">
            <v>39626</v>
          </cell>
          <cell r="DE3">
            <v>39633</v>
          </cell>
          <cell r="DF3">
            <v>39640</v>
          </cell>
          <cell r="DG3">
            <v>39647</v>
          </cell>
          <cell r="DH3">
            <v>39654</v>
          </cell>
          <cell r="DI3">
            <v>39661</v>
          </cell>
          <cell r="DJ3">
            <v>39668</v>
          </cell>
          <cell r="DK3">
            <v>39675</v>
          </cell>
          <cell r="DL3">
            <v>39682</v>
          </cell>
          <cell r="DM3">
            <v>39689</v>
          </cell>
          <cell r="DN3">
            <v>39696</v>
          </cell>
          <cell r="DO3">
            <v>39703</v>
          </cell>
          <cell r="DP3">
            <v>39710</v>
          </cell>
          <cell r="DQ3">
            <v>39717</v>
          </cell>
          <cell r="DR3">
            <v>39724</v>
          </cell>
          <cell r="DS3">
            <v>39731</v>
          </cell>
          <cell r="DT3">
            <v>39738</v>
          </cell>
          <cell r="DU3">
            <v>39745</v>
          </cell>
          <cell r="DV3">
            <v>39752</v>
          </cell>
          <cell r="DW3">
            <v>39759</v>
          </cell>
          <cell r="DX3">
            <v>39766</v>
          </cell>
          <cell r="DY3">
            <v>39773</v>
          </cell>
          <cell r="DZ3">
            <v>39780</v>
          </cell>
          <cell r="EA3">
            <v>39787</v>
          </cell>
          <cell r="EB3">
            <v>39794</v>
          </cell>
          <cell r="EC3">
            <v>39801</v>
          </cell>
          <cell r="ED3">
            <v>39808</v>
          </cell>
          <cell r="EE3">
            <v>39815</v>
          </cell>
          <cell r="EF3">
            <v>39822</v>
          </cell>
          <cell r="EG3">
            <v>39829</v>
          </cell>
          <cell r="EH3">
            <v>39836</v>
          </cell>
          <cell r="EI3">
            <v>39843</v>
          </cell>
          <cell r="EJ3">
            <v>39850</v>
          </cell>
          <cell r="EK3">
            <v>39857</v>
          </cell>
          <cell r="EL3">
            <v>39864</v>
          </cell>
          <cell r="EM3">
            <v>39871</v>
          </cell>
          <cell r="EN3">
            <v>39878</v>
          </cell>
          <cell r="EO3">
            <v>39885</v>
          </cell>
          <cell r="EP3">
            <v>39892</v>
          </cell>
          <cell r="EQ3">
            <v>39899</v>
          </cell>
          <cell r="ER3">
            <v>39906</v>
          </cell>
          <cell r="ES3">
            <v>39913</v>
          </cell>
          <cell r="ET3">
            <v>39920</v>
          </cell>
          <cell r="EU3">
            <v>39927</v>
          </cell>
          <cell r="EV3">
            <v>39934</v>
          </cell>
          <cell r="EW3">
            <v>39941</v>
          </cell>
          <cell r="EX3">
            <v>39948</v>
          </cell>
          <cell r="EY3">
            <v>39955</v>
          </cell>
          <cell r="EZ3">
            <v>39962</v>
          </cell>
          <cell r="FA3">
            <v>39969</v>
          </cell>
          <cell r="FB3">
            <v>39976</v>
          </cell>
          <cell r="FC3">
            <v>39983</v>
          </cell>
          <cell r="FD3">
            <v>39990</v>
          </cell>
          <cell r="FE3">
            <v>39997</v>
          </cell>
          <cell r="FF3">
            <v>40004</v>
          </cell>
          <cell r="FG3">
            <v>40011</v>
          </cell>
          <cell r="FH3">
            <v>40018</v>
          </cell>
          <cell r="FI3">
            <v>40025</v>
          </cell>
          <cell r="FJ3">
            <v>40032</v>
          </cell>
          <cell r="FK3">
            <v>40039</v>
          </cell>
          <cell r="FL3">
            <v>40046</v>
          </cell>
          <cell r="FM3">
            <v>40053</v>
          </cell>
          <cell r="FN3">
            <v>40060</v>
          </cell>
          <cell r="FO3">
            <v>40067</v>
          </cell>
          <cell r="FP3">
            <v>40074</v>
          </cell>
          <cell r="FQ3">
            <v>40081</v>
          </cell>
          <cell r="FR3">
            <v>40088</v>
          </cell>
          <cell r="FS3">
            <v>40095</v>
          </cell>
          <cell r="FT3">
            <v>40102</v>
          </cell>
          <cell r="FU3">
            <v>40109</v>
          </cell>
          <cell r="FV3">
            <v>40116</v>
          </cell>
          <cell r="FW3">
            <v>40123</v>
          </cell>
          <cell r="FX3">
            <v>40130</v>
          </cell>
          <cell r="FY3">
            <v>40137</v>
          </cell>
          <cell r="FZ3">
            <v>40144</v>
          </cell>
          <cell r="GA3">
            <v>40151</v>
          </cell>
          <cell r="GB3">
            <v>40158</v>
          </cell>
          <cell r="GC3">
            <v>40165</v>
          </cell>
          <cell r="GD3">
            <v>40172</v>
          </cell>
          <cell r="GE3">
            <v>40179</v>
          </cell>
          <cell r="GF3">
            <v>40186</v>
          </cell>
          <cell r="GG3">
            <v>40193</v>
          </cell>
          <cell r="GH3">
            <v>40200</v>
          </cell>
          <cell r="GI3">
            <v>40207</v>
          </cell>
          <cell r="GJ3">
            <v>40214</v>
          </cell>
          <cell r="GK3">
            <v>40221</v>
          </cell>
          <cell r="GL3">
            <v>40228</v>
          </cell>
          <cell r="GM3">
            <v>40235</v>
          </cell>
          <cell r="GN3">
            <v>40242</v>
          </cell>
        </row>
        <row r="4">
          <cell r="B4" t="str">
            <v>AGENERASE</v>
          </cell>
          <cell r="C4" t="str">
            <v>GSK</v>
          </cell>
          <cell r="D4">
            <v>14</v>
          </cell>
          <cell r="E4">
            <v>15</v>
          </cell>
          <cell r="F4">
            <v>17</v>
          </cell>
          <cell r="G4">
            <v>24</v>
          </cell>
          <cell r="H4">
            <v>22</v>
          </cell>
          <cell r="I4">
            <v>16</v>
          </cell>
          <cell r="J4">
            <v>18</v>
          </cell>
          <cell r="K4">
            <v>19</v>
          </cell>
          <cell r="L4">
            <v>20</v>
          </cell>
          <cell r="M4">
            <v>15</v>
          </cell>
          <cell r="N4">
            <v>21</v>
          </cell>
          <cell r="O4">
            <v>20</v>
          </cell>
          <cell r="P4">
            <v>20</v>
          </cell>
          <cell r="Q4">
            <v>15</v>
          </cell>
          <cell r="R4">
            <v>16</v>
          </cell>
          <cell r="S4">
            <v>21</v>
          </cell>
          <cell r="T4">
            <v>13</v>
          </cell>
          <cell r="U4">
            <v>17</v>
          </cell>
          <cell r="V4">
            <v>9</v>
          </cell>
          <cell r="W4">
            <v>12</v>
          </cell>
          <cell r="X4">
            <v>9</v>
          </cell>
          <cell r="Y4">
            <v>11</v>
          </cell>
          <cell r="Z4">
            <v>20</v>
          </cell>
          <cell r="AA4">
            <v>12</v>
          </cell>
          <cell r="AB4">
            <v>13</v>
          </cell>
          <cell r="AC4">
            <v>17</v>
          </cell>
          <cell r="AD4">
            <v>13</v>
          </cell>
          <cell r="AE4">
            <v>9</v>
          </cell>
          <cell r="AF4">
            <v>27</v>
          </cell>
          <cell r="AG4">
            <v>19</v>
          </cell>
          <cell r="AH4">
            <v>8</v>
          </cell>
          <cell r="AI4">
            <v>17</v>
          </cell>
          <cell r="AJ4">
            <v>15</v>
          </cell>
          <cell r="AK4">
            <v>13</v>
          </cell>
          <cell r="AL4">
            <v>14</v>
          </cell>
          <cell r="AM4">
            <v>12</v>
          </cell>
          <cell r="AN4">
            <v>13</v>
          </cell>
          <cell r="AO4">
            <v>17</v>
          </cell>
          <cell r="AP4">
            <v>7</v>
          </cell>
          <cell r="AQ4">
            <v>6</v>
          </cell>
          <cell r="AR4">
            <v>10</v>
          </cell>
          <cell r="AS4">
            <v>15</v>
          </cell>
          <cell r="AT4">
            <v>16</v>
          </cell>
          <cell r="AU4">
            <v>6</v>
          </cell>
          <cell r="AV4">
            <v>11</v>
          </cell>
          <cell r="AW4">
            <v>17</v>
          </cell>
          <cell r="AX4">
            <v>12</v>
          </cell>
          <cell r="AY4">
            <v>12</v>
          </cell>
          <cell r="AZ4">
            <v>13</v>
          </cell>
          <cell r="BA4">
            <v>6</v>
          </cell>
          <cell r="BB4">
            <v>19</v>
          </cell>
          <cell r="BC4">
            <v>6</v>
          </cell>
          <cell r="BD4">
            <v>9</v>
          </cell>
          <cell r="BE4">
            <v>7</v>
          </cell>
          <cell r="BF4">
            <v>6</v>
          </cell>
          <cell r="BG4">
            <v>9</v>
          </cell>
          <cell r="BH4">
            <v>2</v>
          </cell>
          <cell r="BI4">
            <v>5</v>
          </cell>
          <cell r="BJ4">
            <v>10</v>
          </cell>
          <cell r="BK4">
            <v>9</v>
          </cell>
          <cell r="BL4">
            <v>10</v>
          </cell>
          <cell r="BM4">
            <v>9</v>
          </cell>
          <cell r="BN4">
            <v>9</v>
          </cell>
          <cell r="BO4">
            <v>7</v>
          </cell>
          <cell r="BP4">
            <v>5</v>
          </cell>
          <cell r="BQ4">
            <v>7</v>
          </cell>
          <cell r="BR4">
            <v>6</v>
          </cell>
          <cell r="BS4">
            <v>12</v>
          </cell>
          <cell r="BT4">
            <v>4</v>
          </cell>
          <cell r="BU4">
            <v>7</v>
          </cell>
          <cell r="BV4">
            <v>10</v>
          </cell>
          <cell r="BW4">
            <v>7</v>
          </cell>
          <cell r="BX4">
            <v>1</v>
          </cell>
          <cell r="BY4">
            <v>6</v>
          </cell>
          <cell r="BZ4">
            <v>12</v>
          </cell>
          <cell r="CA4">
            <v>1</v>
          </cell>
          <cell r="CB4">
            <v>3</v>
          </cell>
          <cell r="CC4">
            <v>5</v>
          </cell>
          <cell r="CD4">
            <v>8</v>
          </cell>
          <cell r="CE4">
            <v>2</v>
          </cell>
          <cell r="CF4">
            <v>3</v>
          </cell>
          <cell r="CG4">
            <v>2</v>
          </cell>
          <cell r="CH4">
            <v>4</v>
          </cell>
          <cell r="CI4">
            <v>6</v>
          </cell>
          <cell r="CJ4">
            <v>2</v>
          </cell>
          <cell r="CK4">
            <v>3</v>
          </cell>
          <cell r="CL4">
            <v>0</v>
          </cell>
          <cell r="CM4">
            <v>5</v>
          </cell>
          <cell r="CN4">
            <v>3</v>
          </cell>
          <cell r="CO4">
            <v>0</v>
          </cell>
          <cell r="CP4">
            <v>2</v>
          </cell>
          <cell r="CQ4">
            <v>1</v>
          </cell>
          <cell r="CR4">
            <v>1</v>
          </cell>
          <cell r="CS4">
            <v>0</v>
          </cell>
          <cell r="CT4">
            <v>0</v>
          </cell>
          <cell r="CU4">
            <v>1</v>
          </cell>
          <cell r="CV4">
            <v>0</v>
          </cell>
          <cell r="CW4">
            <v>1</v>
          </cell>
          <cell r="CX4">
            <v>1</v>
          </cell>
          <cell r="CY4">
            <v>3</v>
          </cell>
          <cell r="CZ4">
            <v>0</v>
          </cell>
          <cell r="DA4">
            <v>0</v>
          </cell>
          <cell r="DB4">
            <v>0</v>
          </cell>
          <cell r="DC4">
            <v>0</v>
          </cell>
          <cell r="DD4">
            <v>0</v>
          </cell>
          <cell r="DE4">
            <v>0</v>
          </cell>
          <cell r="DF4">
            <v>0</v>
          </cell>
          <cell r="DG4">
            <v>0</v>
          </cell>
          <cell r="DH4">
            <v>0</v>
          </cell>
          <cell r="DI4">
            <v>0</v>
          </cell>
          <cell r="DJ4">
            <v>0</v>
          </cell>
          <cell r="DK4">
            <v>0</v>
          </cell>
          <cell r="DL4">
            <v>0</v>
          </cell>
          <cell r="DM4">
            <v>0</v>
          </cell>
          <cell r="DN4">
            <v>0</v>
          </cell>
          <cell r="DO4">
            <v>0</v>
          </cell>
          <cell r="DP4">
            <v>0</v>
          </cell>
          <cell r="DQ4">
            <v>0</v>
          </cell>
          <cell r="DR4">
            <v>0</v>
          </cell>
          <cell r="DS4">
            <v>0</v>
          </cell>
          <cell r="DT4">
            <v>0</v>
          </cell>
          <cell r="DU4">
            <v>0</v>
          </cell>
          <cell r="DV4">
            <v>0</v>
          </cell>
          <cell r="DW4">
            <v>0</v>
          </cell>
          <cell r="DX4">
            <v>0</v>
          </cell>
          <cell r="DY4">
            <v>0</v>
          </cell>
          <cell r="DZ4">
            <v>0</v>
          </cell>
          <cell r="GI4">
            <v>4</v>
          </cell>
        </row>
        <row r="5">
          <cell r="B5" t="str">
            <v>ALIMTA</v>
          </cell>
          <cell r="C5" t="str">
            <v>LLY</v>
          </cell>
          <cell r="D5">
            <v>10</v>
          </cell>
          <cell r="E5">
            <v>10</v>
          </cell>
          <cell r="F5">
            <v>12</v>
          </cell>
          <cell r="G5">
            <v>6</v>
          </cell>
          <cell r="H5">
            <v>10</v>
          </cell>
          <cell r="I5">
            <v>2</v>
          </cell>
          <cell r="J5">
            <v>7</v>
          </cell>
          <cell r="K5">
            <v>20</v>
          </cell>
          <cell r="L5">
            <v>13</v>
          </cell>
          <cell r="M5">
            <v>17</v>
          </cell>
          <cell r="N5">
            <v>13</v>
          </cell>
          <cell r="O5">
            <v>19</v>
          </cell>
          <cell r="P5">
            <v>9</v>
          </cell>
          <cell r="Q5">
            <v>11</v>
          </cell>
          <cell r="R5">
            <v>16</v>
          </cell>
          <cell r="S5">
            <v>13</v>
          </cell>
          <cell r="T5">
            <v>10</v>
          </cell>
          <cell r="U5">
            <v>16</v>
          </cell>
          <cell r="V5">
            <v>15</v>
          </cell>
          <cell r="W5">
            <v>20</v>
          </cell>
          <cell r="X5">
            <v>16</v>
          </cell>
          <cell r="Y5">
            <v>7</v>
          </cell>
          <cell r="Z5">
            <v>16</v>
          </cell>
          <cell r="AA5">
            <v>16</v>
          </cell>
          <cell r="AB5">
            <v>14</v>
          </cell>
          <cell r="AC5">
            <v>17</v>
          </cell>
          <cell r="AD5">
            <v>8</v>
          </cell>
          <cell r="AE5">
            <v>15</v>
          </cell>
          <cell r="AF5">
            <v>17</v>
          </cell>
          <cell r="AG5">
            <v>12</v>
          </cell>
          <cell r="AH5">
            <v>14</v>
          </cell>
          <cell r="AI5">
            <v>9</v>
          </cell>
          <cell r="AJ5">
            <v>11</v>
          </cell>
          <cell r="AK5">
            <v>23</v>
          </cell>
          <cell r="AL5">
            <v>11</v>
          </cell>
          <cell r="AM5">
            <v>17</v>
          </cell>
          <cell r="AN5">
            <v>9</v>
          </cell>
          <cell r="AO5">
            <v>14</v>
          </cell>
          <cell r="AP5">
            <v>9</v>
          </cell>
          <cell r="AQ5">
            <v>8</v>
          </cell>
          <cell r="AR5">
            <v>14</v>
          </cell>
          <cell r="AS5">
            <v>10</v>
          </cell>
          <cell r="AT5">
            <v>19</v>
          </cell>
          <cell r="AU5">
            <v>12</v>
          </cell>
          <cell r="AV5">
            <v>18</v>
          </cell>
          <cell r="AW5">
            <v>12</v>
          </cell>
          <cell r="AX5">
            <v>18</v>
          </cell>
          <cell r="AY5">
            <v>19</v>
          </cell>
          <cell r="AZ5">
            <v>19</v>
          </cell>
          <cell r="BA5">
            <v>14</v>
          </cell>
          <cell r="BB5">
            <v>18</v>
          </cell>
          <cell r="BC5">
            <v>20</v>
          </cell>
          <cell r="BD5">
            <v>13</v>
          </cell>
          <cell r="BE5">
            <v>12</v>
          </cell>
          <cell r="BF5">
            <v>28</v>
          </cell>
          <cell r="BG5">
            <v>13</v>
          </cell>
          <cell r="BH5">
            <v>21</v>
          </cell>
          <cell r="BI5">
            <v>18</v>
          </cell>
          <cell r="BJ5">
            <v>20</v>
          </cell>
          <cell r="BK5">
            <v>17</v>
          </cell>
          <cell r="BL5">
            <v>23</v>
          </cell>
          <cell r="BM5">
            <v>16</v>
          </cell>
          <cell r="BN5">
            <v>9</v>
          </cell>
          <cell r="BO5">
            <v>25</v>
          </cell>
          <cell r="BP5">
            <v>21</v>
          </cell>
          <cell r="BQ5">
            <v>23</v>
          </cell>
          <cell r="BR5">
            <v>20</v>
          </cell>
          <cell r="BS5">
            <v>12</v>
          </cell>
          <cell r="BT5">
            <v>26</v>
          </cell>
          <cell r="BU5">
            <v>18</v>
          </cell>
          <cell r="BV5">
            <v>7</v>
          </cell>
          <cell r="BW5">
            <v>12</v>
          </cell>
          <cell r="BX5">
            <v>11</v>
          </cell>
          <cell r="BY5">
            <v>8</v>
          </cell>
          <cell r="BZ5">
            <v>23</v>
          </cell>
          <cell r="CA5">
            <v>19</v>
          </cell>
          <cell r="CB5">
            <v>21</v>
          </cell>
          <cell r="CC5">
            <v>12</v>
          </cell>
          <cell r="CD5">
            <v>7</v>
          </cell>
          <cell r="CE5">
            <v>12</v>
          </cell>
          <cell r="CF5">
            <v>15</v>
          </cell>
          <cell r="CG5">
            <v>21</v>
          </cell>
          <cell r="CH5">
            <v>12</v>
          </cell>
          <cell r="CI5">
            <v>14</v>
          </cell>
          <cell r="CJ5">
            <v>18</v>
          </cell>
          <cell r="CK5">
            <v>16</v>
          </cell>
          <cell r="CL5">
            <v>18</v>
          </cell>
          <cell r="CM5">
            <v>15</v>
          </cell>
          <cell r="CN5">
            <v>13</v>
          </cell>
          <cell r="CO5">
            <v>11</v>
          </cell>
          <cell r="CP5">
            <v>18</v>
          </cell>
          <cell r="CQ5">
            <v>23</v>
          </cell>
          <cell r="CR5">
            <v>18</v>
          </cell>
          <cell r="CS5">
            <v>7</v>
          </cell>
          <cell r="CT5">
            <v>29</v>
          </cell>
          <cell r="CU5">
            <v>10</v>
          </cell>
          <cell r="CV5">
            <v>7</v>
          </cell>
          <cell r="CW5">
            <v>29</v>
          </cell>
          <cell r="CX5">
            <v>11</v>
          </cell>
          <cell r="CY5">
            <v>11</v>
          </cell>
          <cell r="CZ5">
            <v>24</v>
          </cell>
          <cell r="DA5">
            <v>13</v>
          </cell>
          <cell r="DB5">
            <v>18</v>
          </cell>
          <cell r="DC5">
            <v>27</v>
          </cell>
          <cell r="DD5">
            <v>17</v>
          </cell>
          <cell r="DE5">
            <v>25</v>
          </cell>
          <cell r="DF5">
            <v>22</v>
          </cell>
          <cell r="DG5">
            <v>14</v>
          </cell>
          <cell r="DH5">
            <v>23</v>
          </cell>
          <cell r="DI5">
            <v>18</v>
          </cell>
          <cell r="DJ5">
            <v>14</v>
          </cell>
          <cell r="DK5">
            <v>18</v>
          </cell>
          <cell r="DL5">
            <v>21</v>
          </cell>
          <cell r="DM5">
            <v>8</v>
          </cell>
          <cell r="DN5">
            <v>12</v>
          </cell>
          <cell r="DO5">
            <v>18</v>
          </cell>
          <cell r="DP5">
            <v>17</v>
          </cell>
          <cell r="DQ5">
            <v>14</v>
          </cell>
          <cell r="DR5">
            <v>13</v>
          </cell>
          <cell r="DS5">
            <v>16</v>
          </cell>
          <cell r="DT5">
            <v>19</v>
          </cell>
          <cell r="DU5">
            <v>16</v>
          </cell>
          <cell r="DV5">
            <v>14</v>
          </cell>
          <cell r="DW5">
            <v>18</v>
          </cell>
          <cell r="DX5">
            <v>15</v>
          </cell>
          <cell r="DY5">
            <v>20</v>
          </cell>
          <cell r="DZ5">
            <v>14</v>
          </cell>
          <cell r="EA5">
            <v>22</v>
          </cell>
          <cell r="EB5">
            <v>30</v>
          </cell>
          <cell r="EC5">
            <v>26</v>
          </cell>
          <cell r="ED5">
            <v>20</v>
          </cell>
          <cell r="EE5">
            <v>12</v>
          </cell>
          <cell r="EF5">
            <v>32</v>
          </cell>
          <cell r="EG5">
            <v>21</v>
          </cell>
          <cell r="EH5">
            <v>34</v>
          </cell>
          <cell r="EI5">
            <v>40</v>
          </cell>
          <cell r="EJ5">
            <v>27</v>
          </cell>
          <cell r="EK5">
            <v>19</v>
          </cell>
          <cell r="EL5">
            <v>46</v>
          </cell>
          <cell r="EM5">
            <v>35</v>
          </cell>
          <cell r="EN5">
            <v>31</v>
          </cell>
          <cell r="EO5">
            <v>45</v>
          </cell>
          <cell r="EP5">
            <v>31</v>
          </cell>
          <cell r="EQ5">
            <v>44</v>
          </cell>
          <cell r="ER5">
            <v>44</v>
          </cell>
          <cell r="ES5">
            <v>33</v>
          </cell>
          <cell r="ET5">
            <v>30</v>
          </cell>
          <cell r="EU5">
            <v>44</v>
          </cell>
          <cell r="EV5">
            <v>32</v>
          </cell>
          <cell r="EW5">
            <v>45</v>
          </cell>
          <cell r="EX5">
            <v>57</v>
          </cell>
          <cell r="EY5">
            <v>38</v>
          </cell>
          <cell r="EZ5">
            <v>45</v>
          </cell>
          <cell r="FA5">
            <v>42</v>
          </cell>
          <cell r="FB5">
            <v>45</v>
          </cell>
          <cell r="FC5">
            <v>45</v>
          </cell>
          <cell r="FD5">
            <v>36</v>
          </cell>
          <cell r="FE5">
            <v>35</v>
          </cell>
          <cell r="FF5">
            <v>37</v>
          </cell>
          <cell r="FG5">
            <v>35</v>
          </cell>
          <cell r="FH5">
            <v>27</v>
          </cell>
          <cell r="FI5">
            <v>35</v>
          </cell>
          <cell r="FJ5">
            <v>39</v>
          </cell>
          <cell r="FK5">
            <v>49</v>
          </cell>
          <cell r="FL5">
            <v>37</v>
          </cell>
          <cell r="FM5">
            <v>49</v>
          </cell>
          <cell r="FN5">
            <v>51</v>
          </cell>
          <cell r="FO5">
            <v>26</v>
          </cell>
          <cell r="FP5">
            <v>31</v>
          </cell>
          <cell r="FQ5">
            <v>52</v>
          </cell>
          <cell r="FR5">
            <v>44</v>
          </cell>
          <cell r="FS5">
            <v>23</v>
          </cell>
          <cell r="FT5">
            <v>39</v>
          </cell>
          <cell r="FU5">
            <v>44</v>
          </cell>
          <cell r="FV5">
            <v>38</v>
          </cell>
          <cell r="FW5">
            <v>36</v>
          </cell>
          <cell r="FX5">
            <v>42</v>
          </cell>
          <cell r="FY5">
            <v>50</v>
          </cell>
          <cell r="FZ5">
            <v>33</v>
          </cell>
          <cell r="GA5">
            <v>56</v>
          </cell>
          <cell r="GB5">
            <v>35</v>
          </cell>
          <cell r="GC5">
            <v>33</v>
          </cell>
          <cell r="GD5">
            <v>30</v>
          </cell>
          <cell r="GE5">
            <v>35</v>
          </cell>
          <cell r="GF5">
            <v>52</v>
          </cell>
          <cell r="GG5">
            <v>37</v>
          </cell>
          <cell r="GH5">
            <v>42</v>
          </cell>
          <cell r="GI5">
            <v>38</v>
          </cell>
          <cell r="GJ5">
            <v>33</v>
          </cell>
          <cell r="GK5">
            <v>55</v>
          </cell>
          <cell r="GL5">
            <v>40</v>
          </cell>
          <cell r="GM5">
            <v>37</v>
          </cell>
          <cell r="GN5">
            <v>49</v>
          </cell>
        </row>
        <row r="6">
          <cell r="B6" t="str">
            <v>ALOXI</v>
          </cell>
          <cell r="C6" t="str">
            <v>M-G</v>
          </cell>
          <cell r="D6">
            <v>53</v>
          </cell>
          <cell r="E6">
            <v>67</v>
          </cell>
          <cell r="F6">
            <v>68</v>
          </cell>
          <cell r="G6">
            <v>74</v>
          </cell>
          <cell r="H6">
            <v>80</v>
          </cell>
          <cell r="I6">
            <v>81</v>
          </cell>
          <cell r="J6">
            <v>91</v>
          </cell>
          <cell r="K6">
            <v>104</v>
          </cell>
          <cell r="L6">
            <v>110</v>
          </cell>
          <cell r="M6">
            <v>109</v>
          </cell>
          <cell r="N6">
            <v>115</v>
          </cell>
          <cell r="O6">
            <v>131</v>
          </cell>
          <cell r="P6">
            <v>113</v>
          </cell>
          <cell r="Q6">
            <v>112</v>
          </cell>
          <cell r="R6">
            <v>107</v>
          </cell>
          <cell r="S6">
            <v>127</v>
          </cell>
          <cell r="T6">
            <v>133</v>
          </cell>
          <cell r="U6">
            <v>122</v>
          </cell>
          <cell r="V6">
            <v>105</v>
          </cell>
          <cell r="W6">
            <v>132</v>
          </cell>
          <cell r="X6">
            <v>145</v>
          </cell>
          <cell r="Y6">
            <v>71</v>
          </cell>
          <cell r="Z6">
            <v>118</v>
          </cell>
          <cell r="AA6">
            <v>136</v>
          </cell>
          <cell r="AB6">
            <v>109</v>
          </cell>
          <cell r="AC6">
            <v>93</v>
          </cell>
          <cell r="AD6">
            <v>82</v>
          </cell>
          <cell r="AE6">
            <v>117</v>
          </cell>
          <cell r="AF6">
            <v>115</v>
          </cell>
          <cell r="AG6">
            <v>115</v>
          </cell>
          <cell r="AH6">
            <v>141</v>
          </cell>
          <cell r="AI6">
            <v>120</v>
          </cell>
          <cell r="AJ6">
            <v>136</v>
          </cell>
          <cell r="AK6">
            <v>106</v>
          </cell>
          <cell r="AL6">
            <v>135</v>
          </cell>
          <cell r="AM6">
            <v>131</v>
          </cell>
          <cell r="AN6">
            <v>151</v>
          </cell>
          <cell r="AO6">
            <v>123</v>
          </cell>
          <cell r="AP6">
            <v>124</v>
          </cell>
          <cell r="AQ6">
            <v>132</v>
          </cell>
          <cell r="AR6">
            <v>136</v>
          </cell>
          <cell r="AS6">
            <v>136</v>
          </cell>
          <cell r="AT6">
            <v>161</v>
          </cell>
          <cell r="AU6">
            <v>143</v>
          </cell>
          <cell r="AV6">
            <v>150</v>
          </cell>
          <cell r="AW6">
            <v>134</v>
          </cell>
          <cell r="AX6">
            <v>141</v>
          </cell>
          <cell r="AY6">
            <v>133</v>
          </cell>
          <cell r="AZ6">
            <v>131</v>
          </cell>
          <cell r="BA6">
            <v>134</v>
          </cell>
          <cell r="BB6">
            <v>140</v>
          </cell>
          <cell r="BC6">
            <v>136</v>
          </cell>
          <cell r="BD6">
            <v>131</v>
          </cell>
          <cell r="BE6">
            <v>98</v>
          </cell>
          <cell r="BF6">
            <v>139</v>
          </cell>
          <cell r="BG6">
            <v>137</v>
          </cell>
          <cell r="BH6">
            <v>139</v>
          </cell>
          <cell r="BI6">
            <v>157</v>
          </cell>
          <cell r="BJ6">
            <v>129</v>
          </cell>
          <cell r="BK6">
            <v>143</v>
          </cell>
          <cell r="BL6">
            <v>149</v>
          </cell>
          <cell r="BM6">
            <v>154</v>
          </cell>
          <cell r="BN6">
            <v>98</v>
          </cell>
          <cell r="BO6">
            <v>158</v>
          </cell>
          <cell r="BP6">
            <v>142</v>
          </cell>
          <cell r="BQ6">
            <v>120</v>
          </cell>
          <cell r="BR6">
            <v>144</v>
          </cell>
          <cell r="BS6">
            <v>146</v>
          </cell>
          <cell r="BT6">
            <v>145</v>
          </cell>
          <cell r="BU6">
            <v>135</v>
          </cell>
          <cell r="BV6">
            <v>144</v>
          </cell>
          <cell r="BW6">
            <v>99</v>
          </cell>
          <cell r="BX6">
            <v>145</v>
          </cell>
          <cell r="BY6">
            <v>98</v>
          </cell>
          <cell r="BZ6">
            <v>141</v>
          </cell>
          <cell r="CA6">
            <v>178</v>
          </cell>
          <cell r="CB6">
            <v>129</v>
          </cell>
          <cell r="CC6">
            <v>151</v>
          </cell>
          <cell r="CD6">
            <v>81</v>
          </cell>
          <cell r="CE6">
            <v>100</v>
          </cell>
          <cell r="CF6">
            <v>158</v>
          </cell>
          <cell r="CG6">
            <v>153</v>
          </cell>
          <cell r="CH6">
            <v>142</v>
          </cell>
          <cell r="CI6">
            <v>157</v>
          </cell>
          <cell r="CJ6">
            <v>161</v>
          </cell>
          <cell r="CK6">
            <v>101</v>
          </cell>
          <cell r="CL6">
            <v>97</v>
          </cell>
          <cell r="CM6">
            <v>133</v>
          </cell>
          <cell r="CN6">
            <v>126</v>
          </cell>
          <cell r="CO6">
            <v>148</v>
          </cell>
          <cell r="CP6">
            <v>129</v>
          </cell>
          <cell r="CQ6">
            <v>171</v>
          </cell>
          <cell r="CR6">
            <v>175</v>
          </cell>
          <cell r="CS6">
            <v>160</v>
          </cell>
          <cell r="CT6">
            <v>149</v>
          </cell>
          <cell r="CU6">
            <v>165</v>
          </cell>
          <cell r="CV6">
            <v>152</v>
          </cell>
          <cell r="CW6">
            <v>200</v>
          </cell>
          <cell r="CX6">
            <v>234</v>
          </cell>
          <cell r="CY6">
            <v>218</v>
          </cell>
          <cell r="CZ6">
            <v>245</v>
          </cell>
          <cell r="DA6">
            <v>280</v>
          </cell>
          <cell r="DB6">
            <v>172</v>
          </cell>
          <cell r="DC6">
            <v>184</v>
          </cell>
          <cell r="DD6">
            <v>210</v>
          </cell>
          <cell r="DE6">
            <v>146</v>
          </cell>
          <cell r="DF6">
            <v>234</v>
          </cell>
          <cell r="DG6">
            <v>213</v>
          </cell>
          <cell r="DH6">
            <v>216</v>
          </cell>
          <cell r="DI6">
            <v>228</v>
          </cell>
          <cell r="DJ6">
            <v>184</v>
          </cell>
          <cell r="DK6">
            <v>173</v>
          </cell>
          <cell r="DL6">
            <v>164</v>
          </cell>
          <cell r="DM6">
            <v>202</v>
          </cell>
          <cell r="DN6">
            <v>168</v>
          </cell>
          <cell r="DO6">
            <v>191</v>
          </cell>
          <cell r="DP6">
            <v>175</v>
          </cell>
          <cell r="DQ6">
            <v>153</v>
          </cell>
          <cell r="DR6">
            <v>141</v>
          </cell>
          <cell r="DS6">
            <v>133</v>
          </cell>
          <cell r="DT6">
            <v>160</v>
          </cell>
          <cell r="DU6">
            <v>139</v>
          </cell>
          <cell r="DV6">
            <v>178</v>
          </cell>
          <cell r="DW6">
            <v>159</v>
          </cell>
          <cell r="DX6">
            <v>173</v>
          </cell>
          <cell r="DY6">
            <v>184</v>
          </cell>
          <cell r="DZ6">
            <v>124</v>
          </cell>
          <cell r="EA6">
            <v>179</v>
          </cell>
          <cell r="EB6">
            <v>185</v>
          </cell>
          <cell r="EC6">
            <v>166</v>
          </cell>
          <cell r="ED6">
            <v>103</v>
          </cell>
          <cell r="EE6">
            <v>97</v>
          </cell>
          <cell r="EF6">
            <v>114</v>
          </cell>
          <cell r="EG6">
            <v>118</v>
          </cell>
          <cell r="EH6">
            <v>95</v>
          </cell>
          <cell r="EI6">
            <v>109</v>
          </cell>
          <cell r="EJ6">
            <v>104</v>
          </cell>
          <cell r="EK6">
            <v>121</v>
          </cell>
          <cell r="EL6">
            <v>136</v>
          </cell>
          <cell r="EM6">
            <v>116</v>
          </cell>
          <cell r="EN6">
            <v>107</v>
          </cell>
          <cell r="EO6">
            <v>139</v>
          </cell>
          <cell r="EP6">
            <v>116</v>
          </cell>
          <cell r="EQ6">
            <v>106</v>
          </cell>
          <cell r="ER6">
            <v>137</v>
          </cell>
          <cell r="ES6">
            <v>103</v>
          </cell>
          <cell r="ET6">
            <v>103</v>
          </cell>
          <cell r="EU6">
            <v>135</v>
          </cell>
          <cell r="EV6">
            <v>109</v>
          </cell>
          <cell r="EW6">
            <v>102</v>
          </cell>
          <cell r="EX6">
            <v>109</v>
          </cell>
          <cell r="EY6">
            <v>129</v>
          </cell>
          <cell r="EZ6">
            <v>128</v>
          </cell>
          <cell r="FA6">
            <v>103</v>
          </cell>
          <cell r="FB6">
            <v>124</v>
          </cell>
          <cell r="FC6">
            <v>158</v>
          </cell>
          <cell r="FD6">
            <v>129</v>
          </cell>
          <cell r="FE6">
            <v>96</v>
          </cell>
          <cell r="FF6">
            <v>112</v>
          </cell>
          <cell r="FG6">
            <v>94</v>
          </cell>
          <cell r="FH6">
            <v>109</v>
          </cell>
          <cell r="FI6">
            <v>113</v>
          </cell>
          <cell r="FJ6">
            <v>119</v>
          </cell>
          <cell r="FK6">
            <v>113</v>
          </cell>
          <cell r="FL6">
            <v>122</v>
          </cell>
          <cell r="FM6">
            <v>113</v>
          </cell>
          <cell r="FN6">
            <v>114</v>
          </cell>
          <cell r="FO6">
            <v>75</v>
          </cell>
          <cell r="FP6">
            <v>96</v>
          </cell>
          <cell r="FQ6">
            <v>116</v>
          </cell>
          <cell r="FR6">
            <v>119</v>
          </cell>
          <cell r="FS6">
            <v>102</v>
          </cell>
          <cell r="FT6">
            <v>103</v>
          </cell>
          <cell r="FU6">
            <v>128</v>
          </cell>
          <cell r="FV6">
            <v>89</v>
          </cell>
          <cell r="FW6">
            <v>96</v>
          </cell>
          <cell r="FX6">
            <v>95</v>
          </cell>
          <cell r="FY6">
            <v>117</v>
          </cell>
          <cell r="FZ6">
            <v>66</v>
          </cell>
          <cell r="GA6">
            <v>123</v>
          </cell>
          <cell r="GB6">
            <v>105</v>
          </cell>
          <cell r="GC6">
            <v>73</v>
          </cell>
          <cell r="GD6">
            <v>65</v>
          </cell>
          <cell r="GE6">
            <v>80</v>
          </cell>
          <cell r="GF6">
            <v>104</v>
          </cell>
          <cell r="GG6">
            <v>92</v>
          </cell>
          <cell r="GH6">
            <v>93</v>
          </cell>
          <cell r="GI6">
            <v>105</v>
          </cell>
          <cell r="GJ6">
            <v>102</v>
          </cell>
          <cell r="GK6">
            <v>87</v>
          </cell>
          <cell r="GL6">
            <v>99</v>
          </cell>
          <cell r="GM6">
            <v>134</v>
          </cell>
          <cell r="GN6">
            <v>151</v>
          </cell>
        </row>
        <row r="7">
          <cell r="B7" t="str">
            <v>AMBISOME</v>
          </cell>
          <cell r="C7" t="str">
            <v>AES</v>
          </cell>
          <cell r="D7">
            <v>2</v>
          </cell>
          <cell r="E7">
            <v>52</v>
          </cell>
          <cell r="F7">
            <v>30</v>
          </cell>
          <cell r="G7">
            <v>0</v>
          </cell>
          <cell r="H7">
            <v>4</v>
          </cell>
          <cell r="I7">
            <v>0</v>
          </cell>
          <cell r="J7">
            <v>5</v>
          </cell>
          <cell r="K7">
            <v>4</v>
          </cell>
          <cell r="L7">
            <v>6</v>
          </cell>
          <cell r="M7">
            <v>7</v>
          </cell>
          <cell r="N7">
            <v>10</v>
          </cell>
          <cell r="O7">
            <v>9</v>
          </cell>
          <cell r="P7">
            <v>13</v>
          </cell>
          <cell r="Q7">
            <v>28</v>
          </cell>
          <cell r="R7">
            <v>20</v>
          </cell>
          <cell r="S7">
            <v>16</v>
          </cell>
          <cell r="T7">
            <v>1</v>
          </cell>
          <cell r="U7">
            <v>5</v>
          </cell>
          <cell r="V7">
            <v>6</v>
          </cell>
          <cell r="W7">
            <v>1</v>
          </cell>
          <cell r="X7">
            <v>6</v>
          </cell>
          <cell r="Y7">
            <v>0</v>
          </cell>
          <cell r="Z7">
            <v>2</v>
          </cell>
          <cell r="AA7">
            <v>31</v>
          </cell>
          <cell r="AB7">
            <v>18</v>
          </cell>
          <cell r="AC7">
            <v>24</v>
          </cell>
          <cell r="AD7">
            <v>7</v>
          </cell>
          <cell r="AE7">
            <v>38</v>
          </cell>
          <cell r="AF7">
            <v>29</v>
          </cell>
          <cell r="AG7">
            <v>7</v>
          </cell>
          <cell r="AH7">
            <v>0</v>
          </cell>
          <cell r="AI7">
            <v>0</v>
          </cell>
          <cell r="AJ7">
            <v>1</v>
          </cell>
          <cell r="AK7">
            <v>1</v>
          </cell>
          <cell r="AL7">
            <v>12</v>
          </cell>
          <cell r="AM7">
            <v>0</v>
          </cell>
          <cell r="AN7">
            <v>0</v>
          </cell>
          <cell r="AO7">
            <v>26</v>
          </cell>
          <cell r="AP7">
            <v>28</v>
          </cell>
          <cell r="AQ7">
            <v>31</v>
          </cell>
          <cell r="AR7">
            <v>6</v>
          </cell>
          <cell r="AS7">
            <v>0</v>
          </cell>
          <cell r="AT7">
            <v>0</v>
          </cell>
          <cell r="AU7">
            <v>0</v>
          </cell>
          <cell r="AV7">
            <v>0</v>
          </cell>
          <cell r="AW7">
            <v>5</v>
          </cell>
          <cell r="AX7">
            <v>16</v>
          </cell>
          <cell r="AY7">
            <v>28</v>
          </cell>
          <cell r="AZ7">
            <v>10</v>
          </cell>
          <cell r="BA7">
            <v>7</v>
          </cell>
          <cell r="BB7">
            <v>11</v>
          </cell>
          <cell r="BC7">
            <v>20</v>
          </cell>
          <cell r="BD7">
            <v>19</v>
          </cell>
          <cell r="BE7">
            <v>46</v>
          </cell>
          <cell r="BF7">
            <v>13</v>
          </cell>
          <cell r="BG7">
            <v>29</v>
          </cell>
          <cell r="BH7">
            <v>13</v>
          </cell>
          <cell r="BI7">
            <v>3</v>
          </cell>
          <cell r="BJ7">
            <v>8</v>
          </cell>
          <cell r="BK7">
            <v>10</v>
          </cell>
          <cell r="BL7">
            <v>0</v>
          </cell>
          <cell r="BM7">
            <v>1</v>
          </cell>
          <cell r="BN7">
            <v>3</v>
          </cell>
          <cell r="BO7">
            <v>2</v>
          </cell>
          <cell r="BP7">
            <v>3</v>
          </cell>
          <cell r="BQ7">
            <v>8</v>
          </cell>
          <cell r="BR7">
            <v>26</v>
          </cell>
          <cell r="BS7">
            <v>41</v>
          </cell>
          <cell r="BT7">
            <v>20</v>
          </cell>
          <cell r="BU7">
            <v>12</v>
          </cell>
          <cell r="BV7">
            <v>2</v>
          </cell>
          <cell r="BW7">
            <v>11</v>
          </cell>
          <cell r="BX7">
            <v>2</v>
          </cell>
          <cell r="BY7">
            <v>0</v>
          </cell>
          <cell r="BZ7">
            <v>21</v>
          </cell>
          <cell r="CA7">
            <v>3</v>
          </cell>
          <cell r="CB7">
            <v>2</v>
          </cell>
          <cell r="CC7">
            <v>0</v>
          </cell>
          <cell r="CD7">
            <v>0</v>
          </cell>
          <cell r="CE7">
            <v>8</v>
          </cell>
          <cell r="CF7">
            <v>3</v>
          </cell>
          <cell r="CG7">
            <v>4</v>
          </cell>
          <cell r="CH7">
            <v>0</v>
          </cell>
          <cell r="CI7">
            <v>0</v>
          </cell>
          <cell r="CJ7">
            <v>0</v>
          </cell>
          <cell r="CK7">
            <v>0</v>
          </cell>
          <cell r="CL7">
            <v>0</v>
          </cell>
          <cell r="CM7">
            <v>7</v>
          </cell>
          <cell r="CN7">
            <v>3</v>
          </cell>
          <cell r="CO7">
            <v>6</v>
          </cell>
          <cell r="CP7">
            <v>6</v>
          </cell>
          <cell r="CQ7">
            <v>31</v>
          </cell>
          <cell r="CR7">
            <v>11</v>
          </cell>
          <cell r="CS7">
            <v>2</v>
          </cell>
          <cell r="CT7">
            <v>16</v>
          </cell>
          <cell r="CU7">
            <v>13</v>
          </cell>
          <cell r="CV7">
            <v>15</v>
          </cell>
          <cell r="CW7">
            <v>22</v>
          </cell>
          <cell r="CX7">
            <v>5</v>
          </cell>
          <cell r="CY7">
            <v>5</v>
          </cell>
          <cell r="CZ7">
            <v>4</v>
          </cell>
          <cell r="DA7">
            <v>4</v>
          </cell>
          <cell r="DB7">
            <v>3</v>
          </cell>
          <cell r="DC7">
            <v>7</v>
          </cell>
          <cell r="DD7">
            <v>2</v>
          </cell>
          <cell r="DE7">
            <v>1</v>
          </cell>
          <cell r="DF7">
            <v>2</v>
          </cell>
          <cell r="DG7">
            <v>5</v>
          </cell>
          <cell r="DH7">
            <v>4</v>
          </cell>
          <cell r="DI7">
            <v>3</v>
          </cell>
          <cell r="DJ7">
            <v>8</v>
          </cell>
          <cell r="DK7">
            <v>3</v>
          </cell>
          <cell r="DL7">
            <v>12</v>
          </cell>
          <cell r="DM7">
            <v>30</v>
          </cell>
          <cell r="DN7">
            <v>4</v>
          </cell>
          <cell r="DO7">
            <v>3</v>
          </cell>
          <cell r="DP7">
            <v>3</v>
          </cell>
          <cell r="DQ7">
            <v>2</v>
          </cell>
          <cell r="DR7">
            <v>2</v>
          </cell>
          <cell r="DS7">
            <v>5</v>
          </cell>
          <cell r="DT7">
            <v>3</v>
          </cell>
          <cell r="DU7">
            <v>2</v>
          </cell>
          <cell r="DV7">
            <v>4</v>
          </cell>
          <cell r="DW7">
            <v>6</v>
          </cell>
          <cell r="DX7">
            <v>34</v>
          </cell>
          <cell r="DY7">
            <v>2</v>
          </cell>
          <cell r="DZ7">
            <v>7</v>
          </cell>
          <cell r="EA7">
            <v>7</v>
          </cell>
          <cell r="EC7">
            <v>3</v>
          </cell>
          <cell r="ED7">
            <v>6</v>
          </cell>
          <cell r="EE7">
            <v>6</v>
          </cell>
          <cell r="EF7">
            <v>3</v>
          </cell>
          <cell r="EG7">
            <v>5</v>
          </cell>
          <cell r="EH7">
            <v>7</v>
          </cell>
          <cell r="EI7">
            <v>0</v>
          </cell>
          <cell r="EJ7">
            <v>4</v>
          </cell>
          <cell r="EK7">
            <v>11</v>
          </cell>
          <cell r="EL7">
            <v>13</v>
          </cell>
          <cell r="EM7">
            <v>17</v>
          </cell>
          <cell r="EO7">
            <v>12</v>
          </cell>
          <cell r="EP7">
            <v>30</v>
          </cell>
          <cell r="EQ7">
            <v>35</v>
          </cell>
          <cell r="ER7">
            <v>36</v>
          </cell>
          <cell r="ES7">
            <v>34</v>
          </cell>
          <cell r="ET7">
            <v>42</v>
          </cell>
          <cell r="EU7">
            <v>29</v>
          </cell>
          <cell r="EV7">
            <v>35</v>
          </cell>
          <cell r="EW7">
            <v>34</v>
          </cell>
          <cell r="EX7">
            <v>23</v>
          </cell>
          <cell r="EY7">
            <v>29</v>
          </cell>
          <cell r="EZ7">
            <v>8</v>
          </cell>
          <cell r="FB7">
            <v>2</v>
          </cell>
          <cell r="FC7">
            <v>7</v>
          </cell>
          <cell r="FD7">
            <v>19</v>
          </cell>
          <cell r="FE7">
            <v>25</v>
          </cell>
          <cell r="FF7">
            <v>20</v>
          </cell>
          <cell r="FG7">
            <v>71</v>
          </cell>
          <cell r="FH7">
            <v>50</v>
          </cell>
          <cell r="FI7">
            <v>27</v>
          </cell>
          <cell r="FJ7">
            <v>9</v>
          </cell>
          <cell r="FK7">
            <v>10</v>
          </cell>
          <cell r="FL7">
            <v>13</v>
          </cell>
          <cell r="FM7">
            <v>10</v>
          </cell>
          <cell r="FN7">
            <v>27</v>
          </cell>
          <cell r="FO7">
            <v>39</v>
          </cell>
          <cell r="FP7">
            <v>5</v>
          </cell>
          <cell r="FQ7">
            <v>16</v>
          </cell>
          <cell r="FR7">
            <v>11</v>
          </cell>
          <cell r="FS7">
            <v>11</v>
          </cell>
          <cell r="FT7">
            <v>20</v>
          </cell>
          <cell r="FU7">
            <v>22</v>
          </cell>
          <cell r="FV7">
            <v>39</v>
          </cell>
          <cell r="FW7">
            <v>47</v>
          </cell>
          <cell r="FX7">
            <v>34</v>
          </cell>
          <cell r="FY7">
            <v>8</v>
          </cell>
          <cell r="FZ7">
            <v>8</v>
          </cell>
          <cell r="GA7">
            <v>1</v>
          </cell>
          <cell r="GB7">
            <v>3</v>
          </cell>
          <cell r="GD7">
            <v>3</v>
          </cell>
          <cell r="GE7">
            <v>1</v>
          </cell>
          <cell r="GG7">
            <v>1</v>
          </cell>
          <cell r="GI7">
            <v>2</v>
          </cell>
          <cell r="GK7">
            <v>5</v>
          </cell>
          <cell r="GL7">
            <v>9</v>
          </cell>
          <cell r="GM7">
            <v>5</v>
          </cell>
          <cell r="GN7">
            <v>3</v>
          </cell>
        </row>
        <row r="8">
          <cell r="B8" t="str">
            <v>APTIVUS</v>
          </cell>
          <cell r="C8" t="str">
            <v>B.I</v>
          </cell>
          <cell r="D8">
            <v>619</v>
          </cell>
          <cell r="E8">
            <v>604</v>
          </cell>
          <cell r="F8">
            <v>651</v>
          </cell>
          <cell r="G8">
            <v>577</v>
          </cell>
          <cell r="H8">
            <v>549</v>
          </cell>
          <cell r="I8">
            <v>651</v>
          </cell>
          <cell r="J8">
            <v>574</v>
          </cell>
          <cell r="K8">
            <v>609</v>
          </cell>
          <cell r="L8">
            <v>565</v>
          </cell>
          <cell r="M8">
            <v>593</v>
          </cell>
          <cell r="N8">
            <v>538</v>
          </cell>
          <cell r="O8">
            <v>606</v>
          </cell>
          <cell r="P8">
            <v>524</v>
          </cell>
          <cell r="Q8">
            <v>560</v>
          </cell>
          <cell r="R8">
            <v>569</v>
          </cell>
          <cell r="S8">
            <v>569</v>
          </cell>
          <cell r="T8">
            <v>494</v>
          </cell>
          <cell r="U8">
            <v>528</v>
          </cell>
          <cell r="V8">
            <v>543</v>
          </cell>
          <cell r="W8">
            <v>544</v>
          </cell>
          <cell r="X8">
            <v>479</v>
          </cell>
          <cell r="Y8">
            <v>455</v>
          </cell>
          <cell r="Z8">
            <v>522</v>
          </cell>
          <cell r="AA8">
            <v>552</v>
          </cell>
          <cell r="AB8">
            <v>531</v>
          </cell>
          <cell r="AC8">
            <v>492</v>
          </cell>
          <cell r="AD8">
            <v>473</v>
          </cell>
          <cell r="AE8">
            <v>454</v>
          </cell>
          <cell r="AF8">
            <v>503</v>
          </cell>
          <cell r="AG8">
            <v>467</v>
          </cell>
          <cell r="AH8">
            <v>519</v>
          </cell>
          <cell r="AI8">
            <v>488</v>
          </cell>
          <cell r="AJ8">
            <v>487</v>
          </cell>
          <cell r="AK8">
            <v>448</v>
          </cell>
          <cell r="AL8">
            <v>421</v>
          </cell>
          <cell r="AM8">
            <v>549</v>
          </cell>
          <cell r="AN8">
            <v>527</v>
          </cell>
          <cell r="AO8">
            <v>465</v>
          </cell>
          <cell r="AP8">
            <v>414</v>
          </cell>
          <cell r="AQ8">
            <v>440</v>
          </cell>
          <cell r="AR8">
            <v>490</v>
          </cell>
          <cell r="AS8">
            <v>479</v>
          </cell>
          <cell r="AT8">
            <v>422</v>
          </cell>
          <cell r="AU8">
            <v>421</v>
          </cell>
          <cell r="AV8">
            <v>474</v>
          </cell>
          <cell r="AW8">
            <v>486</v>
          </cell>
          <cell r="AX8">
            <v>413</v>
          </cell>
          <cell r="AY8">
            <v>429</v>
          </cell>
          <cell r="AZ8">
            <v>449</v>
          </cell>
          <cell r="BA8">
            <v>460</v>
          </cell>
          <cell r="BB8">
            <v>422</v>
          </cell>
          <cell r="BC8">
            <v>395</v>
          </cell>
          <cell r="BD8">
            <v>492</v>
          </cell>
          <cell r="BE8">
            <v>389</v>
          </cell>
          <cell r="BF8">
            <v>475</v>
          </cell>
          <cell r="BG8">
            <v>392</v>
          </cell>
          <cell r="BH8">
            <v>400</v>
          </cell>
          <cell r="BI8">
            <v>429</v>
          </cell>
          <cell r="BJ8">
            <v>421</v>
          </cell>
          <cell r="BK8">
            <v>394</v>
          </cell>
          <cell r="BL8">
            <v>374</v>
          </cell>
          <cell r="BM8">
            <v>442</v>
          </cell>
          <cell r="BN8">
            <v>390</v>
          </cell>
          <cell r="BO8">
            <v>395</v>
          </cell>
          <cell r="BP8">
            <v>376</v>
          </cell>
          <cell r="BQ8">
            <v>422</v>
          </cell>
          <cell r="BR8">
            <v>392</v>
          </cell>
          <cell r="BS8">
            <v>388</v>
          </cell>
          <cell r="BT8">
            <v>384</v>
          </cell>
          <cell r="BU8">
            <v>348</v>
          </cell>
          <cell r="BV8">
            <v>394</v>
          </cell>
          <cell r="BW8">
            <v>369</v>
          </cell>
          <cell r="BX8">
            <v>374</v>
          </cell>
          <cell r="BY8">
            <v>318</v>
          </cell>
          <cell r="BZ8">
            <v>394</v>
          </cell>
          <cell r="CA8">
            <v>412</v>
          </cell>
          <cell r="CB8">
            <v>377</v>
          </cell>
          <cell r="CC8">
            <v>365</v>
          </cell>
          <cell r="CD8">
            <v>280</v>
          </cell>
          <cell r="CE8">
            <v>358</v>
          </cell>
          <cell r="CF8">
            <v>375</v>
          </cell>
          <cell r="CG8">
            <v>381</v>
          </cell>
          <cell r="CH8">
            <v>325</v>
          </cell>
          <cell r="CI8">
            <v>344</v>
          </cell>
          <cell r="CJ8">
            <v>352</v>
          </cell>
          <cell r="CK8">
            <v>326</v>
          </cell>
          <cell r="CL8">
            <v>331</v>
          </cell>
          <cell r="CM8">
            <v>338</v>
          </cell>
          <cell r="CN8">
            <v>363</v>
          </cell>
          <cell r="CO8">
            <v>383</v>
          </cell>
          <cell r="CP8">
            <v>268</v>
          </cell>
          <cell r="CQ8">
            <v>310</v>
          </cell>
          <cell r="CR8">
            <v>365</v>
          </cell>
          <cell r="CS8">
            <v>347</v>
          </cell>
          <cell r="CT8">
            <v>341</v>
          </cell>
          <cell r="CU8">
            <v>272</v>
          </cell>
          <cell r="CV8">
            <v>358</v>
          </cell>
          <cell r="CW8">
            <v>310</v>
          </cell>
          <cell r="CX8">
            <v>329</v>
          </cell>
          <cell r="CY8">
            <v>291</v>
          </cell>
          <cell r="CZ8">
            <v>311</v>
          </cell>
          <cell r="DA8">
            <v>339</v>
          </cell>
          <cell r="DB8">
            <v>329</v>
          </cell>
          <cell r="DC8">
            <v>276</v>
          </cell>
          <cell r="DD8">
            <v>319</v>
          </cell>
          <cell r="DE8">
            <v>277</v>
          </cell>
          <cell r="DF8">
            <v>378</v>
          </cell>
          <cell r="DG8">
            <v>285</v>
          </cell>
          <cell r="DH8">
            <v>253</v>
          </cell>
          <cell r="DI8">
            <v>314</v>
          </cell>
          <cell r="DJ8">
            <v>323</v>
          </cell>
          <cell r="DK8">
            <v>323</v>
          </cell>
          <cell r="DL8">
            <v>251</v>
          </cell>
          <cell r="DM8">
            <v>317</v>
          </cell>
          <cell r="DN8">
            <v>265</v>
          </cell>
          <cell r="DO8">
            <v>320</v>
          </cell>
          <cell r="DP8">
            <v>297</v>
          </cell>
          <cell r="DQ8">
            <v>271</v>
          </cell>
          <cell r="DR8">
            <v>354</v>
          </cell>
          <cell r="DS8">
            <v>277</v>
          </cell>
          <cell r="DT8">
            <v>275</v>
          </cell>
          <cell r="DU8">
            <v>258</v>
          </cell>
          <cell r="DV8">
            <v>300</v>
          </cell>
          <cell r="DW8">
            <v>299</v>
          </cell>
          <cell r="DX8">
            <v>302</v>
          </cell>
          <cell r="DY8">
            <v>270</v>
          </cell>
          <cell r="DZ8">
            <v>241</v>
          </cell>
          <cell r="EA8">
            <v>314</v>
          </cell>
          <cell r="EB8">
            <v>287</v>
          </cell>
          <cell r="EC8">
            <v>262</v>
          </cell>
          <cell r="ED8">
            <v>253</v>
          </cell>
          <cell r="EE8">
            <v>269</v>
          </cell>
          <cell r="EF8">
            <v>291</v>
          </cell>
          <cell r="EG8">
            <v>285</v>
          </cell>
          <cell r="EH8">
            <v>257</v>
          </cell>
          <cell r="EI8">
            <v>253</v>
          </cell>
          <cell r="EJ8">
            <v>285</v>
          </cell>
          <cell r="EK8">
            <v>284</v>
          </cell>
          <cell r="EL8">
            <v>252</v>
          </cell>
          <cell r="EM8">
            <v>255</v>
          </cell>
          <cell r="EN8">
            <v>311</v>
          </cell>
          <cell r="EO8">
            <v>255</v>
          </cell>
          <cell r="EP8">
            <v>271</v>
          </cell>
          <cell r="EQ8">
            <v>250</v>
          </cell>
          <cell r="ER8">
            <v>271</v>
          </cell>
          <cell r="ES8">
            <v>231</v>
          </cell>
          <cell r="ET8">
            <v>258</v>
          </cell>
          <cell r="EU8">
            <v>213</v>
          </cell>
          <cell r="EV8">
            <v>273</v>
          </cell>
          <cell r="EW8">
            <v>223</v>
          </cell>
          <cell r="EX8">
            <v>242</v>
          </cell>
          <cell r="EY8">
            <v>210</v>
          </cell>
          <cell r="EZ8">
            <v>245</v>
          </cell>
          <cell r="FA8">
            <v>257</v>
          </cell>
          <cell r="FB8">
            <v>233</v>
          </cell>
          <cell r="FC8">
            <v>215</v>
          </cell>
          <cell r="FD8">
            <v>238</v>
          </cell>
          <cell r="FE8">
            <v>230</v>
          </cell>
          <cell r="FF8">
            <v>198</v>
          </cell>
          <cell r="FG8">
            <v>242</v>
          </cell>
          <cell r="FH8">
            <v>217</v>
          </cell>
          <cell r="FI8">
            <v>227</v>
          </cell>
          <cell r="FJ8">
            <v>248</v>
          </cell>
          <cell r="FK8">
            <v>233</v>
          </cell>
          <cell r="FL8">
            <v>221</v>
          </cell>
          <cell r="FM8">
            <v>212</v>
          </cell>
          <cell r="FN8">
            <v>221</v>
          </cell>
          <cell r="FO8">
            <v>209</v>
          </cell>
          <cell r="FP8">
            <v>239</v>
          </cell>
          <cell r="FQ8">
            <v>253</v>
          </cell>
          <cell r="FR8">
            <v>249</v>
          </cell>
          <cell r="FS8">
            <v>220</v>
          </cell>
          <cell r="FT8">
            <v>232</v>
          </cell>
          <cell r="FU8">
            <v>221</v>
          </cell>
          <cell r="FV8">
            <v>234</v>
          </cell>
          <cell r="FW8">
            <v>232</v>
          </cell>
          <cell r="FX8">
            <v>245</v>
          </cell>
          <cell r="FY8">
            <v>212</v>
          </cell>
          <cell r="FZ8">
            <v>158</v>
          </cell>
          <cell r="GA8">
            <v>265</v>
          </cell>
          <cell r="GB8">
            <v>210</v>
          </cell>
          <cell r="GC8">
            <v>217</v>
          </cell>
          <cell r="GD8">
            <v>205</v>
          </cell>
          <cell r="GE8">
            <v>247</v>
          </cell>
          <cell r="GF8">
            <v>229</v>
          </cell>
          <cell r="GG8">
            <v>213</v>
          </cell>
          <cell r="GH8">
            <v>204</v>
          </cell>
          <cell r="GI8">
            <v>218</v>
          </cell>
          <cell r="GJ8">
            <v>198</v>
          </cell>
          <cell r="GK8">
            <v>195</v>
          </cell>
          <cell r="GL8">
            <v>194</v>
          </cell>
          <cell r="GM8">
            <v>183</v>
          </cell>
          <cell r="GN8">
            <v>227</v>
          </cell>
        </row>
        <row r="9">
          <cell r="B9" t="str">
            <v>ARAVA</v>
          </cell>
          <cell r="C9" t="str">
            <v>S.A</v>
          </cell>
          <cell r="D9">
            <v>859</v>
          </cell>
          <cell r="E9">
            <v>763</v>
          </cell>
          <cell r="F9">
            <v>747</v>
          </cell>
          <cell r="G9">
            <v>779</v>
          </cell>
          <cell r="H9">
            <v>702</v>
          </cell>
          <cell r="I9">
            <v>787</v>
          </cell>
          <cell r="J9">
            <v>736</v>
          </cell>
          <cell r="K9">
            <v>623</v>
          </cell>
          <cell r="L9">
            <v>632</v>
          </cell>
          <cell r="M9">
            <v>683</v>
          </cell>
          <cell r="N9">
            <v>687</v>
          </cell>
          <cell r="O9">
            <v>595</v>
          </cell>
          <cell r="P9">
            <v>583</v>
          </cell>
          <cell r="Q9">
            <v>620</v>
          </cell>
          <cell r="R9">
            <v>666</v>
          </cell>
          <cell r="S9">
            <v>621</v>
          </cell>
          <cell r="T9">
            <v>570</v>
          </cell>
          <cell r="U9">
            <v>551</v>
          </cell>
          <cell r="V9">
            <v>622</v>
          </cell>
          <cell r="W9">
            <v>606</v>
          </cell>
          <cell r="X9">
            <v>558</v>
          </cell>
          <cell r="Y9">
            <v>463</v>
          </cell>
          <cell r="Z9">
            <v>607</v>
          </cell>
          <cell r="AA9">
            <v>587</v>
          </cell>
          <cell r="AB9">
            <v>532</v>
          </cell>
          <cell r="AC9">
            <v>553</v>
          </cell>
          <cell r="AD9">
            <v>494</v>
          </cell>
          <cell r="AE9">
            <v>499</v>
          </cell>
          <cell r="AF9">
            <v>456</v>
          </cell>
          <cell r="AG9">
            <v>450</v>
          </cell>
          <cell r="AH9">
            <v>472</v>
          </cell>
          <cell r="AI9">
            <v>500</v>
          </cell>
          <cell r="AJ9">
            <v>470</v>
          </cell>
          <cell r="AK9">
            <v>443</v>
          </cell>
          <cell r="AL9">
            <v>467</v>
          </cell>
          <cell r="AM9">
            <v>504</v>
          </cell>
          <cell r="AN9">
            <v>475</v>
          </cell>
          <cell r="AO9">
            <v>400</v>
          </cell>
          <cell r="AP9">
            <v>434</v>
          </cell>
          <cell r="AQ9">
            <v>459</v>
          </cell>
          <cell r="AR9">
            <v>440</v>
          </cell>
          <cell r="AS9">
            <v>409</v>
          </cell>
          <cell r="AT9">
            <v>384</v>
          </cell>
          <cell r="AU9">
            <v>409</v>
          </cell>
          <cell r="AV9">
            <v>471</v>
          </cell>
          <cell r="AW9">
            <v>404</v>
          </cell>
          <cell r="AX9">
            <v>401</v>
          </cell>
          <cell r="AY9">
            <v>404</v>
          </cell>
          <cell r="AZ9">
            <v>426</v>
          </cell>
          <cell r="BA9">
            <v>395</v>
          </cell>
          <cell r="BB9">
            <v>387</v>
          </cell>
          <cell r="BC9">
            <v>347</v>
          </cell>
          <cell r="BD9">
            <v>404</v>
          </cell>
          <cell r="BE9">
            <v>377</v>
          </cell>
          <cell r="BF9">
            <v>390</v>
          </cell>
          <cell r="BG9">
            <v>358</v>
          </cell>
          <cell r="BH9">
            <v>370</v>
          </cell>
          <cell r="BI9">
            <v>410</v>
          </cell>
          <cell r="BJ9">
            <v>386</v>
          </cell>
          <cell r="BK9">
            <v>314</v>
          </cell>
          <cell r="BL9">
            <v>363</v>
          </cell>
          <cell r="BM9">
            <v>325</v>
          </cell>
          <cell r="BN9">
            <v>337</v>
          </cell>
          <cell r="BO9">
            <v>365</v>
          </cell>
          <cell r="BP9">
            <v>376</v>
          </cell>
          <cell r="BQ9">
            <v>346</v>
          </cell>
          <cell r="BR9">
            <v>379</v>
          </cell>
          <cell r="BS9">
            <v>331</v>
          </cell>
          <cell r="BT9">
            <v>372</v>
          </cell>
          <cell r="BU9">
            <v>338</v>
          </cell>
          <cell r="BV9">
            <v>363</v>
          </cell>
          <cell r="BW9">
            <v>378</v>
          </cell>
          <cell r="BX9">
            <v>293</v>
          </cell>
          <cell r="BY9">
            <v>286</v>
          </cell>
          <cell r="BZ9">
            <v>356</v>
          </cell>
          <cell r="CA9">
            <v>380</v>
          </cell>
          <cell r="CB9">
            <v>303</v>
          </cell>
          <cell r="CC9">
            <v>323</v>
          </cell>
          <cell r="CD9">
            <v>272</v>
          </cell>
          <cell r="CE9">
            <v>298</v>
          </cell>
          <cell r="CF9">
            <v>343</v>
          </cell>
          <cell r="CG9">
            <v>299</v>
          </cell>
          <cell r="CH9">
            <v>297</v>
          </cell>
          <cell r="CI9">
            <v>304</v>
          </cell>
          <cell r="CJ9">
            <v>314</v>
          </cell>
          <cell r="CK9">
            <v>230</v>
          </cell>
          <cell r="CL9">
            <v>307</v>
          </cell>
          <cell r="CM9">
            <v>290</v>
          </cell>
          <cell r="CN9">
            <v>317</v>
          </cell>
          <cell r="CO9">
            <v>334</v>
          </cell>
          <cell r="CP9">
            <v>247</v>
          </cell>
          <cell r="CQ9">
            <v>244</v>
          </cell>
          <cell r="CR9">
            <v>293</v>
          </cell>
          <cell r="CS9">
            <v>247</v>
          </cell>
          <cell r="CT9">
            <v>236</v>
          </cell>
          <cell r="CU9">
            <v>271</v>
          </cell>
          <cell r="CV9">
            <v>318</v>
          </cell>
          <cell r="CW9">
            <v>288</v>
          </cell>
          <cell r="CX9">
            <v>270</v>
          </cell>
          <cell r="CY9">
            <v>250</v>
          </cell>
          <cell r="CZ9">
            <v>218</v>
          </cell>
          <cell r="DA9">
            <v>268</v>
          </cell>
          <cell r="DB9">
            <v>279</v>
          </cell>
          <cell r="DC9">
            <v>260</v>
          </cell>
          <cell r="DD9">
            <v>216</v>
          </cell>
          <cell r="DE9">
            <v>231</v>
          </cell>
          <cell r="DF9">
            <v>253</v>
          </cell>
          <cell r="DG9">
            <v>203</v>
          </cell>
          <cell r="DH9">
            <v>223</v>
          </cell>
          <cell r="DI9">
            <v>257</v>
          </cell>
          <cell r="DJ9">
            <v>239</v>
          </cell>
          <cell r="DK9">
            <v>199</v>
          </cell>
          <cell r="DL9">
            <v>204</v>
          </cell>
          <cell r="DM9">
            <v>226</v>
          </cell>
          <cell r="DN9">
            <v>196</v>
          </cell>
          <cell r="DO9">
            <v>208</v>
          </cell>
          <cell r="DP9">
            <v>233</v>
          </cell>
          <cell r="DQ9">
            <v>209</v>
          </cell>
          <cell r="DR9">
            <v>183</v>
          </cell>
          <cell r="DS9">
            <v>179</v>
          </cell>
          <cell r="DT9">
            <v>203</v>
          </cell>
          <cell r="DU9">
            <v>215</v>
          </cell>
          <cell r="DV9">
            <v>201</v>
          </cell>
          <cell r="DW9">
            <v>214</v>
          </cell>
          <cell r="DX9">
            <v>198</v>
          </cell>
          <cell r="DY9">
            <v>183</v>
          </cell>
          <cell r="DZ9">
            <v>169</v>
          </cell>
          <cell r="EA9">
            <v>201</v>
          </cell>
          <cell r="EB9">
            <v>195</v>
          </cell>
          <cell r="EC9">
            <v>213</v>
          </cell>
          <cell r="ED9">
            <v>135</v>
          </cell>
          <cell r="EE9">
            <v>183</v>
          </cell>
          <cell r="EF9">
            <v>206</v>
          </cell>
          <cell r="EG9">
            <v>223</v>
          </cell>
          <cell r="EH9">
            <v>208</v>
          </cell>
          <cell r="EI9">
            <v>148</v>
          </cell>
          <cell r="EJ9">
            <v>215</v>
          </cell>
          <cell r="EK9">
            <v>166</v>
          </cell>
          <cell r="EL9">
            <v>224</v>
          </cell>
          <cell r="EM9">
            <v>174</v>
          </cell>
          <cell r="EN9">
            <v>188</v>
          </cell>
          <cell r="EO9">
            <v>172</v>
          </cell>
          <cell r="EP9">
            <v>184</v>
          </cell>
          <cell r="EQ9">
            <v>202</v>
          </cell>
          <cell r="ER9">
            <v>180</v>
          </cell>
          <cell r="ES9">
            <v>195</v>
          </cell>
          <cell r="ET9">
            <v>174</v>
          </cell>
          <cell r="EU9">
            <v>165</v>
          </cell>
          <cell r="EV9">
            <v>178</v>
          </cell>
          <cell r="EW9">
            <v>201</v>
          </cell>
          <cell r="EX9">
            <v>172</v>
          </cell>
          <cell r="EY9">
            <v>195</v>
          </cell>
          <cell r="EZ9">
            <v>166</v>
          </cell>
          <cell r="FA9">
            <v>197</v>
          </cell>
          <cell r="FB9">
            <v>157</v>
          </cell>
          <cell r="FC9">
            <v>145</v>
          </cell>
          <cell r="FD9">
            <v>171</v>
          </cell>
          <cell r="FE9">
            <v>173</v>
          </cell>
          <cell r="FF9">
            <v>178</v>
          </cell>
          <cell r="FG9">
            <v>149</v>
          </cell>
          <cell r="FH9">
            <v>154</v>
          </cell>
          <cell r="FI9">
            <v>146</v>
          </cell>
          <cell r="FJ9">
            <v>186</v>
          </cell>
          <cell r="FK9">
            <v>166</v>
          </cell>
          <cell r="FL9">
            <v>168</v>
          </cell>
          <cell r="FM9">
            <v>162</v>
          </cell>
          <cell r="FN9">
            <v>170</v>
          </cell>
          <cell r="FO9">
            <v>152</v>
          </cell>
          <cell r="FP9">
            <v>147</v>
          </cell>
          <cell r="FQ9">
            <v>149</v>
          </cell>
          <cell r="FR9">
            <v>161</v>
          </cell>
          <cell r="FS9">
            <v>148</v>
          </cell>
          <cell r="FT9">
            <v>167</v>
          </cell>
          <cell r="FU9">
            <v>130</v>
          </cell>
          <cell r="FV9">
            <v>172</v>
          </cell>
          <cell r="FW9">
            <v>166</v>
          </cell>
          <cell r="FX9">
            <v>135</v>
          </cell>
          <cell r="FY9">
            <v>131</v>
          </cell>
          <cell r="FZ9">
            <v>153</v>
          </cell>
          <cell r="GA9">
            <v>177</v>
          </cell>
          <cell r="GB9">
            <v>155</v>
          </cell>
          <cell r="GC9">
            <v>198</v>
          </cell>
          <cell r="GD9">
            <v>118</v>
          </cell>
          <cell r="GE9">
            <v>141</v>
          </cell>
          <cell r="GF9">
            <v>155</v>
          </cell>
          <cell r="GG9">
            <v>132</v>
          </cell>
          <cell r="GH9">
            <v>159</v>
          </cell>
          <cell r="GI9">
            <v>106</v>
          </cell>
          <cell r="GJ9">
            <v>179</v>
          </cell>
          <cell r="GK9">
            <v>115</v>
          </cell>
          <cell r="GL9">
            <v>184</v>
          </cell>
          <cell r="GM9">
            <v>199</v>
          </cell>
          <cell r="GN9">
            <v>299</v>
          </cell>
        </row>
        <row r="10">
          <cell r="B10" t="str">
            <v>ARANESP</v>
          </cell>
          <cell r="C10" t="str">
            <v>AAI</v>
          </cell>
          <cell r="D10">
            <v>9098</v>
          </cell>
          <cell r="E10">
            <v>8067</v>
          </cell>
          <cell r="F10">
            <v>8788</v>
          </cell>
          <cell r="G10">
            <v>8752</v>
          </cell>
          <cell r="H10">
            <v>8681</v>
          </cell>
          <cell r="I10">
            <v>8875</v>
          </cell>
          <cell r="J10">
            <v>9013</v>
          </cell>
          <cell r="K10">
            <v>8913</v>
          </cell>
          <cell r="L10">
            <v>8805</v>
          </cell>
          <cell r="M10">
            <v>8798</v>
          </cell>
          <cell r="N10">
            <v>8478</v>
          </cell>
          <cell r="O10">
            <v>9464</v>
          </cell>
          <cell r="P10">
            <v>8838</v>
          </cell>
          <cell r="Q10">
            <v>9399</v>
          </cell>
          <cell r="R10">
            <v>9416</v>
          </cell>
          <cell r="S10">
            <v>9476</v>
          </cell>
          <cell r="T10">
            <v>9270</v>
          </cell>
          <cell r="U10">
            <v>9205</v>
          </cell>
          <cell r="V10">
            <v>9235</v>
          </cell>
          <cell r="W10">
            <v>9416</v>
          </cell>
          <cell r="X10">
            <v>9474</v>
          </cell>
          <cell r="Y10">
            <v>7813</v>
          </cell>
          <cell r="Z10">
            <v>9507</v>
          </cell>
          <cell r="AA10">
            <v>9515</v>
          </cell>
          <cell r="AB10">
            <v>9518</v>
          </cell>
          <cell r="AC10">
            <v>9087</v>
          </cell>
          <cell r="AD10">
            <v>8326</v>
          </cell>
          <cell r="AE10">
            <v>7969</v>
          </cell>
          <cell r="AF10">
            <v>9012</v>
          </cell>
          <cell r="AG10">
            <v>8857</v>
          </cell>
          <cell r="AH10">
            <v>9031</v>
          </cell>
          <cell r="AI10">
            <v>9078</v>
          </cell>
          <cell r="AJ10">
            <v>9178</v>
          </cell>
          <cell r="AK10">
            <v>9232</v>
          </cell>
          <cell r="AL10">
            <v>8907</v>
          </cell>
          <cell r="AM10">
            <v>8977</v>
          </cell>
          <cell r="AN10">
            <v>8899</v>
          </cell>
          <cell r="AO10">
            <v>8693</v>
          </cell>
          <cell r="AP10">
            <v>8518</v>
          </cell>
          <cell r="AQ10">
            <v>8340</v>
          </cell>
          <cell r="AR10">
            <v>8015</v>
          </cell>
          <cell r="AS10">
            <v>8039</v>
          </cell>
          <cell r="AT10">
            <v>7832</v>
          </cell>
          <cell r="AU10">
            <v>7688</v>
          </cell>
          <cell r="AV10">
            <v>7670</v>
          </cell>
          <cell r="AW10">
            <v>7670</v>
          </cell>
          <cell r="AX10">
            <v>7473</v>
          </cell>
          <cell r="AY10">
            <v>7299</v>
          </cell>
          <cell r="AZ10">
            <v>6692</v>
          </cell>
          <cell r="BA10">
            <v>7527</v>
          </cell>
          <cell r="BB10">
            <v>7087</v>
          </cell>
          <cell r="BC10">
            <v>7133</v>
          </cell>
          <cell r="BD10">
            <v>7102</v>
          </cell>
          <cell r="BE10">
            <v>6450</v>
          </cell>
          <cell r="BF10">
            <v>6820</v>
          </cell>
          <cell r="BG10">
            <v>6691</v>
          </cell>
          <cell r="BH10">
            <v>6850</v>
          </cell>
          <cell r="BI10">
            <v>6784</v>
          </cell>
          <cell r="BJ10">
            <v>6729</v>
          </cell>
          <cell r="BK10">
            <v>6747</v>
          </cell>
          <cell r="BL10">
            <v>6541</v>
          </cell>
          <cell r="BM10">
            <v>6406</v>
          </cell>
          <cell r="BN10">
            <v>6240</v>
          </cell>
          <cell r="BO10">
            <v>6539</v>
          </cell>
          <cell r="BP10">
            <v>6482</v>
          </cell>
          <cell r="BQ10">
            <v>6274</v>
          </cell>
          <cell r="BR10">
            <v>6503</v>
          </cell>
          <cell r="BS10">
            <v>6341</v>
          </cell>
          <cell r="BT10">
            <v>6345</v>
          </cell>
          <cell r="BU10">
            <v>6218</v>
          </cell>
          <cell r="BV10">
            <v>6514</v>
          </cell>
          <cell r="BW10">
            <v>6380</v>
          </cell>
          <cell r="BX10">
            <v>6387</v>
          </cell>
          <cell r="BY10">
            <v>5293</v>
          </cell>
          <cell r="BZ10">
            <v>6567</v>
          </cell>
          <cell r="CA10">
            <v>6142</v>
          </cell>
          <cell r="CB10">
            <v>6054</v>
          </cell>
          <cell r="CC10">
            <v>5801</v>
          </cell>
          <cell r="CD10">
            <v>5293</v>
          </cell>
          <cell r="CE10">
            <v>5380</v>
          </cell>
          <cell r="CF10">
            <v>5978</v>
          </cell>
          <cell r="CG10">
            <v>5808</v>
          </cell>
          <cell r="CH10">
            <v>5718</v>
          </cell>
          <cell r="CI10">
            <v>5841</v>
          </cell>
          <cell r="CJ10">
            <v>5940</v>
          </cell>
          <cell r="CK10">
            <v>5996</v>
          </cell>
          <cell r="CL10">
            <v>5752</v>
          </cell>
          <cell r="CM10">
            <v>6204</v>
          </cell>
          <cell r="CN10">
            <v>6008</v>
          </cell>
          <cell r="CO10">
            <v>5977</v>
          </cell>
          <cell r="CP10">
            <v>5758</v>
          </cell>
          <cell r="CQ10">
            <v>5967</v>
          </cell>
          <cell r="CR10">
            <v>5923</v>
          </cell>
          <cell r="CS10">
            <v>5600</v>
          </cell>
          <cell r="CT10">
            <v>5584</v>
          </cell>
          <cell r="CU10">
            <v>5564</v>
          </cell>
          <cell r="CV10">
            <v>5788</v>
          </cell>
          <cell r="CW10">
            <v>5847</v>
          </cell>
          <cell r="CX10">
            <v>5725</v>
          </cell>
          <cell r="CY10">
            <v>5643</v>
          </cell>
          <cell r="CZ10">
            <v>5323</v>
          </cell>
          <cell r="DA10">
            <v>5563</v>
          </cell>
          <cell r="DB10">
            <v>5339</v>
          </cell>
          <cell r="DC10">
            <v>5299</v>
          </cell>
          <cell r="DD10">
            <v>5258</v>
          </cell>
          <cell r="DE10">
            <v>4611</v>
          </cell>
          <cell r="DF10">
            <v>5478</v>
          </cell>
          <cell r="DG10">
            <v>5541</v>
          </cell>
          <cell r="DH10">
            <v>5552</v>
          </cell>
          <cell r="DI10">
            <v>5342</v>
          </cell>
          <cell r="DJ10">
            <v>5380</v>
          </cell>
          <cell r="DK10">
            <v>5604</v>
          </cell>
          <cell r="DL10">
            <v>5372</v>
          </cell>
          <cell r="DM10">
            <v>5406</v>
          </cell>
          <cell r="DN10">
            <v>4832</v>
          </cell>
          <cell r="DO10">
            <v>5309</v>
          </cell>
          <cell r="DP10">
            <v>5374</v>
          </cell>
          <cell r="DQ10">
            <v>5279</v>
          </cell>
          <cell r="DR10">
            <v>5254</v>
          </cell>
          <cell r="DS10">
            <v>5056</v>
          </cell>
          <cell r="DT10">
            <v>5175</v>
          </cell>
          <cell r="DU10">
            <v>5237</v>
          </cell>
          <cell r="DV10">
            <v>5202</v>
          </cell>
          <cell r="DW10">
            <v>5105</v>
          </cell>
          <cell r="DX10">
            <v>5406</v>
          </cell>
          <cell r="DY10">
            <v>5313</v>
          </cell>
          <cell r="DZ10">
            <v>4544</v>
          </cell>
          <cell r="EA10">
            <v>5614</v>
          </cell>
          <cell r="EB10">
            <v>5268</v>
          </cell>
          <cell r="EC10">
            <v>5156</v>
          </cell>
          <cell r="ED10">
            <v>4003</v>
          </cell>
          <cell r="EE10">
            <v>4208</v>
          </cell>
          <cell r="EF10">
            <v>4431</v>
          </cell>
          <cell r="EG10">
            <v>4591</v>
          </cell>
          <cell r="EH10">
            <v>4573</v>
          </cell>
          <cell r="EI10">
            <v>4721</v>
          </cell>
          <cell r="EJ10">
            <v>4757</v>
          </cell>
          <cell r="EK10">
            <v>4912</v>
          </cell>
          <cell r="EL10">
            <v>4749</v>
          </cell>
          <cell r="EM10">
            <v>4715</v>
          </cell>
          <cell r="EN10">
            <v>4667</v>
          </cell>
          <cell r="EO10">
            <v>4810</v>
          </cell>
          <cell r="EP10">
            <v>4863</v>
          </cell>
          <cell r="EQ10">
            <v>4840</v>
          </cell>
          <cell r="ER10">
            <v>4789</v>
          </cell>
          <cell r="ES10">
            <v>4948</v>
          </cell>
          <cell r="ET10">
            <v>5030</v>
          </cell>
          <cell r="EU10">
            <v>5073</v>
          </cell>
          <cell r="EV10">
            <v>5174</v>
          </cell>
          <cell r="EW10">
            <v>5525</v>
          </cell>
          <cell r="EX10">
            <v>5505</v>
          </cell>
          <cell r="EY10">
            <v>5594</v>
          </cell>
          <cell r="EZ10">
            <v>5333</v>
          </cell>
          <cell r="FA10">
            <v>5686</v>
          </cell>
          <cell r="FB10">
            <v>5592</v>
          </cell>
          <cell r="FC10">
            <v>5489</v>
          </cell>
          <cell r="FD10">
            <v>5624</v>
          </cell>
          <cell r="FE10">
            <v>5236</v>
          </cell>
          <cell r="FF10">
            <v>5480</v>
          </cell>
          <cell r="FG10">
            <v>5527</v>
          </cell>
          <cell r="FH10">
            <v>5612</v>
          </cell>
          <cell r="FI10">
            <v>5435</v>
          </cell>
          <cell r="FJ10">
            <v>5551</v>
          </cell>
          <cell r="FK10">
            <v>5536</v>
          </cell>
          <cell r="FL10">
            <v>5660</v>
          </cell>
          <cell r="FM10">
            <v>5561</v>
          </cell>
          <cell r="FN10">
            <v>5514</v>
          </cell>
          <cell r="FO10">
            <v>5191</v>
          </cell>
          <cell r="FP10">
            <v>5616</v>
          </cell>
          <cell r="FQ10">
            <v>5525</v>
          </cell>
          <cell r="FR10">
            <v>5588</v>
          </cell>
          <cell r="FS10">
            <v>5482</v>
          </cell>
          <cell r="FT10">
            <v>5654</v>
          </cell>
          <cell r="FU10">
            <v>5614</v>
          </cell>
          <cell r="FV10">
            <v>5743</v>
          </cell>
          <cell r="FW10">
            <v>5543</v>
          </cell>
          <cell r="FX10">
            <v>5562</v>
          </cell>
          <cell r="FY10">
            <v>5553</v>
          </cell>
          <cell r="FZ10">
            <v>4892</v>
          </cell>
          <cell r="GA10">
            <v>5382</v>
          </cell>
          <cell r="GB10">
            <v>5618</v>
          </cell>
          <cell r="GC10">
            <v>5689</v>
          </cell>
          <cell r="GD10">
            <v>4577</v>
          </cell>
          <cell r="GE10">
            <v>5267</v>
          </cell>
          <cell r="GF10">
            <v>5707</v>
          </cell>
          <cell r="GG10">
            <v>5543</v>
          </cell>
          <cell r="GH10">
            <v>5378</v>
          </cell>
          <cell r="GI10">
            <v>5547</v>
          </cell>
          <cell r="GJ10">
            <v>5523</v>
          </cell>
          <cell r="GK10">
            <v>5290</v>
          </cell>
          <cell r="GL10">
            <v>5507</v>
          </cell>
          <cell r="GM10">
            <v>5654</v>
          </cell>
          <cell r="GN10">
            <v>5713</v>
          </cell>
        </row>
        <row r="11">
          <cell r="B11" t="str">
            <v>AREDIA</v>
          </cell>
          <cell r="C11" t="str">
            <v>NVR</v>
          </cell>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4</v>
          </cell>
          <cell r="BR11">
            <v>5</v>
          </cell>
          <cell r="BS11">
            <v>4</v>
          </cell>
          <cell r="BT11">
            <v>3</v>
          </cell>
          <cell r="BU11">
            <v>4</v>
          </cell>
          <cell r="BV11">
            <v>6</v>
          </cell>
          <cell r="BW11">
            <v>4</v>
          </cell>
          <cell r="BX11">
            <v>7</v>
          </cell>
          <cell r="BY11">
            <v>3</v>
          </cell>
          <cell r="BZ11">
            <v>3</v>
          </cell>
          <cell r="CA11">
            <v>4</v>
          </cell>
          <cell r="CB11">
            <v>2</v>
          </cell>
          <cell r="CC11">
            <v>3</v>
          </cell>
          <cell r="CD11">
            <v>4</v>
          </cell>
          <cell r="CE11">
            <v>4</v>
          </cell>
          <cell r="CF11">
            <v>6</v>
          </cell>
          <cell r="CG11">
            <v>8</v>
          </cell>
          <cell r="CH11">
            <v>3</v>
          </cell>
          <cell r="CI11">
            <v>4</v>
          </cell>
          <cell r="CJ11">
            <v>8</v>
          </cell>
          <cell r="CK11">
            <v>3</v>
          </cell>
          <cell r="CL11">
            <v>4</v>
          </cell>
          <cell r="CM11">
            <v>4</v>
          </cell>
          <cell r="CN11">
            <v>9</v>
          </cell>
          <cell r="CO11">
            <v>4</v>
          </cell>
          <cell r="CP11">
            <v>1</v>
          </cell>
          <cell r="CQ11">
            <v>5</v>
          </cell>
          <cell r="CR11">
            <v>7</v>
          </cell>
          <cell r="CS11">
            <v>5</v>
          </cell>
          <cell r="CT11">
            <v>5</v>
          </cell>
          <cell r="CU11">
            <v>10</v>
          </cell>
          <cell r="CV11">
            <v>0</v>
          </cell>
          <cell r="CW11">
            <v>2</v>
          </cell>
          <cell r="CX11">
            <v>2</v>
          </cell>
          <cell r="CY11">
            <v>3</v>
          </cell>
          <cell r="CZ11">
            <v>3</v>
          </cell>
          <cell r="DA11">
            <v>5</v>
          </cell>
          <cell r="DB11">
            <v>1</v>
          </cell>
          <cell r="DC11">
            <v>1</v>
          </cell>
          <cell r="DD11">
            <v>3</v>
          </cell>
          <cell r="DE11">
            <v>2</v>
          </cell>
          <cell r="DF11">
            <v>4</v>
          </cell>
          <cell r="DG11">
            <v>5</v>
          </cell>
          <cell r="DH11">
            <v>2</v>
          </cell>
          <cell r="DI11">
            <v>3</v>
          </cell>
          <cell r="DJ11">
            <v>2</v>
          </cell>
          <cell r="DK11">
            <v>1</v>
          </cell>
          <cell r="DL11">
            <v>2</v>
          </cell>
          <cell r="DM11">
            <v>1</v>
          </cell>
          <cell r="DN11">
            <v>0</v>
          </cell>
          <cell r="DO11">
            <v>0</v>
          </cell>
          <cell r="DP11">
            <v>8</v>
          </cell>
          <cell r="DQ11">
            <v>0</v>
          </cell>
          <cell r="DR11">
            <v>1</v>
          </cell>
          <cell r="DS11">
            <v>4</v>
          </cell>
          <cell r="DT11">
            <v>2</v>
          </cell>
          <cell r="DU11">
            <v>0</v>
          </cell>
          <cell r="DV11">
            <v>2</v>
          </cell>
          <cell r="DW11">
            <v>0</v>
          </cell>
          <cell r="DX11">
            <v>3</v>
          </cell>
          <cell r="DY11">
            <v>2</v>
          </cell>
          <cell r="DZ11">
            <v>1</v>
          </cell>
          <cell r="EA11">
            <v>3</v>
          </cell>
          <cell r="EB11">
            <v>2</v>
          </cell>
          <cell r="EC11">
            <v>2</v>
          </cell>
          <cell r="ED11">
            <v>2</v>
          </cell>
          <cell r="EE11">
            <v>1</v>
          </cell>
          <cell r="EF11">
            <v>1</v>
          </cell>
          <cell r="EG11">
            <v>2</v>
          </cell>
          <cell r="EH11">
            <v>3</v>
          </cell>
          <cell r="EI11">
            <v>0</v>
          </cell>
          <cell r="EJ11">
            <v>2</v>
          </cell>
          <cell r="EL11">
            <v>2</v>
          </cell>
          <cell r="EM11">
            <v>1</v>
          </cell>
          <cell r="EN11">
            <v>1</v>
          </cell>
          <cell r="EO11">
            <v>1</v>
          </cell>
          <cell r="EP11">
            <v>2</v>
          </cell>
          <cell r="EQ11">
            <v>5</v>
          </cell>
          <cell r="ER11">
            <v>2</v>
          </cell>
          <cell r="ET11">
            <v>3</v>
          </cell>
          <cell r="EV11">
            <v>1</v>
          </cell>
          <cell r="EW11">
            <v>4</v>
          </cell>
          <cell r="EX11">
            <v>1</v>
          </cell>
          <cell r="EY11">
            <v>1</v>
          </cell>
          <cell r="EZ11">
            <v>1</v>
          </cell>
          <cell r="FA11">
            <v>4</v>
          </cell>
          <cell r="FB11">
            <v>2</v>
          </cell>
          <cell r="FE11">
            <v>2</v>
          </cell>
          <cell r="FG11">
            <v>1</v>
          </cell>
          <cell r="FH11">
            <v>2</v>
          </cell>
          <cell r="FI11">
            <v>3</v>
          </cell>
          <cell r="FJ11">
            <v>2</v>
          </cell>
          <cell r="FM11">
            <v>3</v>
          </cell>
          <cell r="FN11">
            <v>3</v>
          </cell>
          <cell r="FP11">
            <v>2</v>
          </cell>
          <cell r="FR11">
            <v>1</v>
          </cell>
          <cell r="FS11">
            <v>1</v>
          </cell>
          <cell r="FT11">
            <v>1</v>
          </cell>
          <cell r="FU11">
            <v>3</v>
          </cell>
          <cell r="FV11">
            <v>4</v>
          </cell>
          <cell r="FX11">
            <v>2</v>
          </cell>
          <cell r="FY11">
            <v>1</v>
          </cell>
          <cell r="GA11">
            <v>6</v>
          </cell>
          <cell r="GB11">
            <v>3</v>
          </cell>
          <cell r="GE11">
            <v>2</v>
          </cell>
          <cell r="GF11">
            <v>1</v>
          </cell>
          <cell r="GI11">
            <v>3</v>
          </cell>
          <cell r="GJ11">
            <v>5</v>
          </cell>
          <cell r="GK11">
            <v>3</v>
          </cell>
          <cell r="GM11">
            <v>1</v>
          </cell>
          <cell r="GN11">
            <v>2</v>
          </cell>
        </row>
        <row r="12">
          <cell r="B12" t="str">
            <v>ATRIPLA</v>
          </cell>
          <cell r="C12" t="str">
            <v>BMG</v>
          </cell>
          <cell r="D12">
            <v>0</v>
          </cell>
          <cell r="E12">
            <v>0</v>
          </cell>
          <cell r="F12">
            <v>0</v>
          </cell>
          <cell r="G12">
            <v>354</v>
          </cell>
          <cell r="H12">
            <v>1062</v>
          </cell>
          <cell r="I12">
            <v>1339</v>
          </cell>
          <cell r="J12">
            <v>1891</v>
          </cell>
          <cell r="K12">
            <v>2201</v>
          </cell>
          <cell r="L12">
            <v>2801</v>
          </cell>
          <cell r="M12">
            <v>3022</v>
          </cell>
          <cell r="N12">
            <v>3227</v>
          </cell>
          <cell r="O12">
            <v>3935</v>
          </cell>
          <cell r="P12">
            <v>4263</v>
          </cell>
          <cell r="Q12">
            <v>4640</v>
          </cell>
          <cell r="R12">
            <v>5156</v>
          </cell>
          <cell r="S12">
            <v>5365</v>
          </cell>
          <cell r="T12">
            <v>5526</v>
          </cell>
          <cell r="U12">
            <v>6353</v>
          </cell>
          <cell r="V12">
            <v>6856</v>
          </cell>
          <cell r="W12">
            <v>6758</v>
          </cell>
          <cell r="X12">
            <v>6770</v>
          </cell>
          <cell r="Y12">
            <v>5950</v>
          </cell>
          <cell r="Z12">
            <v>7365</v>
          </cell>
          <cell r="AA12">
            <v>7534</v>
          </cell>
          <cell r="AB12">
            <v>7820</v>
          </cell>
          <cell r="AC12">
            <v>8077</v>
          </cell>
          <cell r="AD12">
            <v>6885</v>
          </cell>
          <cell r="AE12">
            <v>7759</v>
          </cell>
          <cell r="AF12">
            <v>8584</v>
          </cell>
          <cell r="AG12">
            <v>8390</v>
          </cell>
          <cell r="AH12">
            <v>8424</v>
          </cell>
          <cell r="AI12">
            <v>8912</v>
          </cell>
          <cell r="AJ12">
            <v>9314</v>
          </cell>
          <cell r="AK12">
            <v>9204</v>
          </cell>
          <cell r="AL12">
            <v>9082</v>
          </cell>
          <cell r="AM12">
            <v>9521</v>
          </cell>
          <cell r="AN12">
            <v>10094</v>
          </cell>
          <cell r="AO12">
            <v>10029</v>
          </cell>
          <cell r="AP12">
            <v>9848</v>
          </cell>
          <cell r="AQ12">
            <v>9662</v>
          </cell>
          <cell r="AR12">
            <v>10235</v>
          </cell>
          <cell r="AS12">
            <v>10173</v>
          </cell>
          <cell r="AT12">
            <v>10232</v>
          </cell>
          <cell r="AU12">
            <v>10274</v>
          </cell>
          <cell r="AV12">
            <v>11041</v>
          </cell>
          <cell r="AW12">
            <v>10857</v>
          </cell>
          <cell r="AX12">
            <v>11090</v>
          </cell>
          <cell r="AY12">
            <v>11193</v>
          </cell>
          <cell r="AZ12">
            <v>10649</v>
          </cell>
          <cell r="BA12">
            <v>11632</v>
          </cell>
          <cell r="BB12">
            <v>11227</v>
          </cell>
          <cell r="BC12">
            <v>11463</v>
          </cell>
          <cell r="BD12">
            <v>11709</v>
          </cell>
          <cell r="BE12">
            <v>11101</v>
          </cell>
          <cell r="BF12">
            <v>11931</v>
          </cell>
          <cell r="BG12">
            <v>12000</v>
          </cell>
          <cell r="BH12">
            <v>11910</v>
          </cell>
          <cell r="BI12">
            <v>12437</v>
          </cell>
          <cell r="BJ12">
            <v>12244</v>
          </cell>
          <cell r="BK12">
            <v>12115</v>
          </cell>
          <cell r="BL12">
            <v>11933</v>
          </cell>
          <cell r="BM12">
            <v>12861</v>
          </cell>
          <cell r="BN12">
            <v>11726</v>
          </cell>
          <cell r="BO12">
            <v>12963</v>
          </cell>
          <cell r="BP12">
            <v>12701</v>
          </cell>
          <cell r="BQ12">
            <v>12950</v>
          </cell>
          <cell r="BR12">
            <v>13778</v>
          </cell>
          <cell r="BS12">
            <v>12675</v>
          </cell>
          <cell r="BT12">
            <v>13101</v>
          </cell>
          <cell r="BU12">
            <v>13118</v>
          </cell>
          <cell r="BV12">
            <v>13743</v>
          </cell>
          <cell r="BW12">
            <v>13676</v>
          </cell>
          <cell r="BX12">
            <v>13420</v>
          </cell>
          <cell r="BY12">
            <v>12008</v>
          </cell>
          <cell r="BZ12">
            <v>14255</v>
          </cell>
          <cell r="CA12">
            <v>14273</v>
          </cell>
          <cell r="CB12">
            <v>14217</v>
          </cell>
          <cell r="CC12">
            <v>14345</v>
          </cell>
          <cell r="CD12">
            <v>11934</v>
          </cell>
          <cell r="CE12">
            <v>13135</v>
          </cell>
          <cell r="CF12">
            <v>14828</v>
          </cell>
          <cell r="CG12">
            <v>14367</v>
          </cell>
          <cell r="CH12">
            <v>13792</v>
          </cell>
          <cell r="CI12">
            <v>14400</v>
          </cell>
          <cell r="CJ12">
            <v>15011</v>
          </cell>
          <cell r="CK12">
            <v>14829</v>
          </cell>
          <cell r="CL12">
            <v>14359</v>
          </cell>
          <cell r="CM12">
            <v>15120</v>
          </cell>
          <cell r="CN12">
            <v>16134</v>
          </cell>
          <cell r="CO12">
            <v>15431</v>
          </cell>
          <cell r="CP12">
            <v>14998</v>
          </cell>
          <cell r="CQ12">
            <v>14888</v>
          </cell>
          <cell r="CR12">
            <v>15619</v>
          </cell>
          <cell r="CS12">
            <v>15179</v>
          </cell>
          <cell r="CT12">
            <v>15332</v>
          </cell>
          <cell r="CU12">
            <v>15079</v>
          </cell>
          <cell r="CV12">
            <v>16086</v>
          </cell>
          <cell r="CW12">
            <v>15630</v>
          </cell>
          <cell r="CX12">
            <v>15165</v>
          </cell>
          <cell r="CY12">
            <v>15598</v>
          </cell>
          <cell r="CZ12">
            <v>14725</v>
          </cell>
          <cell r="DA12">
            <v>16850</v>
          </cell>
          <cell r="DB12">
            <v>15992</v>
          </cell>
          <cell r="DC12">
            <v>15555</v>
          </cell>
          <cell r="DD12">
            <v>15747</v>
          </cell>
          <cell r="DE12">
            <v>15303</v>
          </cell>
          <cell r="DF12">
            <v>16557</v>
          </cell>
          <cell r="DG12">
            <v>16237</v>
          </cell>
          <cell r="DH12">
            <v>16164</v>
          </cell>
          <cell r="DI12">
            <v>16267</v>
          </cell>
          <cell r="DJ12">
            <v>17011</v>
          </cell>
          <cell r="DK12">
            <v>16572</v>
          </cell>
          <cell r="DL12">
            <v>16420</v>
          </cell>
          <cell r="DM12">
            <v>17014</v>
          </cell>
          <cell r="DN12">
            <v>16490</v>
          </cell>
          <cell r="DO12">
            <v>17627</v>
          </cell>
          <cell r="DP12">
            <v>17276</v>
          </cell>
          <cell r="DQ12">
            <v>17291</v>
          </cell>
          <cell r="DR12">
            <v>18121</v>
          </cell>
          <cell r="DS12">
            <v>17778</v>
          </cell>
          <cell r="DT12">
            <v>16785</v>
          </cell>
          <cell r="DU12">
            <v>17574</v>
          </cell>
          <cell r="DV12">
            <v>17475</v>
          </cell>
          <cell r="DW12">
            <v>18455</v>
          </cell>
          <cell r="DX12">
            <v>17649</v>
          </cell>
          <cell r="DY12">
            <v>17961</v>
          </cell>
          <cell r="DZ12">
            <v>15690</v>
          </cell>
          <cell r="EA12">
            <v>19900</v>
          </cell>
          <cell r="EB12">
            <v>18942</v>
          </cell>
          <cell r="EC12">
            <v>19445</v>
          </cell>
          <cell r="ED12">
            <v>15588</v>
          </cell>
          <cell r="EE12">
            <v>17190</v>
          </cell>
          <cell r="EF12">
            <v>20336</v>
          </cell>
          <cell r="EG12">
            <v>19113</v>
          </cell>
          <cell r="EH12">
            <v>18320</v>
          </cell>
          <cell r="EI12">
            <v>17977</v>
          </cell>
          <cell r="EJ12">
            <v>19033</v>
          </cell>
          <cell r="EK12">
            <v>18526</v>
          </cell>
          <cell r="EL12">
            <v>18309</v>
          </cell>
          <cell r="EM12">
            <v>18620</v>
          </cell>
          <cell r="EN12">
            <v>19335</v>
          </cell>
          <cell r="EO12">
            <v>18922</v>
          </cell>
          <cell r="EP12">
            <v>18605</v>
          </cell>
          <cell r="EQ12">
            <v>18370</v>
          </cell>
          <cell r="ER12">
            <v>19101</v>
          </cell>
          <cell r="ES12">
            <v>18955</v>
          </cell>
          <cell r="ET12">
            <v>19043</v>
          </cell>
          <cell r="EU12">
            <v>18701</v>
          </cell>
          <cell r="EV12">
            <v>19612</v>
          </cell>
          <cell r="EW12">
            <v>19833</v>
          </cell>
          <cell r="EX12">
            <v>19492</v>
          </cell>
          <cell r="EY12">
            <v>19432</v>
          </cell>
          <cell r="EZ12">
            <v>17805</v>
          </cell>
          <cell r="FA12">
            <v>21205</v>
          </cell>
          <cell r="FB12">
            <v>19745</v>
          </cell>
          <cell r="FC12">
            <v>19751</v>
          </cell>
          <cell r="FD12">
            <v>19470</v>
          </cell>
          <cell r="FE12">
            <v>20532</v>
          </cell>
          <cell r="FF12">
            <v>19886</v>
          </cell>
          <cell r="FG12">
            <v>20341</v>
          </cell>
          <cell r="FH12">
            <v>19827</v>
          </cell>
          <cell r="FI12">
            <v>20473</v>
          </cell>
          <cell r="FJ12">
            <v>21198</v>
          </cell>
          <cell r="FK12">
            <v>20369</v>
          </cell>
          <cell r="FL12">
            <v>20315</v>
          </cell>
          <cell r="FM12">
            <v>20625</v>
          </cell>
          <cell r="FN12">
            <v>21635</v>
          </cell>
          <cell r="FO12">
            <v>19246</v>
          </cell>
          <cell r="FP12">
            <v>21161</v>
          </cell>
          <cell r="FQ12">
            <v>20506</v>
          </cell>
          <cell r="FR12">
            <v>21948</v>
          </cell>
          <cell r="FS12">
            <v>20914</v>
          </cell>
          <cell r="FT12">
            <v>21249</v>
          </cell>
          <cell r="FU12">
            <v>20527</v>
          </cell>
          <cell r="FV12">
            <v>21054</v>
          </cell>
          <cell r="FW12">
            <v>21939</v>
          </cell>
          <cell r="FX12">
            <v>21075</v>
          </cell>
          <cell r="FY12">
            <v>21312</v>
          </cell>
          <cell r="FZ12">
            <v>19033</v>
          </cell>
          <cell r="GA12">
            <v>24125</v>
          </cell>
          <cell r="GB12">
            <v>22398</v>
          </cell>
          <cell r="GC12">
            <v>22715</v>
          </cell>
          <cell r="GD12">
            <v>18131</v>
          </cell>
          <cell r="GE12">
            <v>21532</v>
          </cell>
          <cell r="GF12">
            <v>23550</v>
          </cell>
          <cell r="GG12">
            <v>22840</v>
          </cell>
          <cell r="GH12">
            <v>20937</v>
          </cell>
          <cell r="GI12">
            <v>22139</v>
          </cell>
          <cell r="GJ12">
            <v>22996</v>
          </cell>
          <cell r="GK12">
            <v>21143</v>
          </cell>
          <cell r="GL12">
            <v>21947</v>
          </cell>
          <cell r="GM12">
            <v>22047</v>
          </cell>
          <cell r="GN12">
            <v>24434</v>
          </cell>
        </row>
        <row r="13">
          <cell r="B13" t="str">
            <v>AVONEX</v>
          </cell>
          <cell r="C13" t="str">
            <v>BGE</v>
          </cell>
          <cell r="D13">
            <v>14497</v>
          </cell>
          <cell r="E13">
            <v>11158</v>
          </cell>
          <cell r="F13">
            <v>14273</v>
          </cell>
          <cell r="G13">
            <v>13614</v>
          </cell>
          <cell r="H13">
            <v>13742</v>
          </cell>
          <cell r="I13">
            <v>13337</v>
          </cell>
          <cell r="J13">
            <v>12989</v>
          </cell>
          <cell r="K13">
            <v>13777</v>
          </cell>
          <cell r="L13">
            <v>13327</v>
          </cell>
          <cell r="M13">
            <v>13260</v>
          </cell>
          <cell r="N13">
            <v>12783</v>
          </cell>
          <cell r="O13">
            <v>14665</v>
          </cell>
          <cell r="P13">
            <v>13980</v>
          </cell>
          <cell r="Q13">
            <v>13562</v>
          </cell>
          <cell r="R13">
            <v>14689</v>
          </cell>
          <cell r="S13">
            <v>14033</v>
          </cell>
          <cell r="T13">
            <v>13662</v>
          </cell>
          <cell r="U13">
            <v>13354</v>
          </cell>
          <cell r="V13">
            <v>14707</v>
          </cell>
          <cell r="W13">
            <v>13734</v>
          </cell>
          <cell r="X13">
            <v>14648</v>
          </cell>
          <cell r="Y13">
            <v>10313</v>
          </cell>
          <cell r="Z13">
            <v>15551</v>
          </cell>
          <cell r="AA13">
            <v>14378</v>
          </cell>
          <cell r="AB13">
            <v>14314</v>
          </cell>
          <cell r="AC13">
            <v>13810</v>
          </cell>
          <cell r="AD13">
            <v>13579</v>
          </cell>
          <cell r="AE13">
            <v>11847</v>
          </cell>
          <cell r="AF13">
            <v>13667</v>
          </cell>
          <cell r="AG13">
            <v>13509</v>
          </cell>
          <cell r="AH13">
            <v>14468</v>
          </cell>
          <cell r="AI13">
            <v>14550</v>
          </cell>
          <cell r="AJ13">
            <v>13235</v>
          </cell>
          <cell r="AK13">
            <v>12711</v>
          </cell>
          <cell r="AL13">
            <v>13227</v>
          </cell>
          <cell r="AM13">
            <v>13256</v>
          </cell>
          <cell r="AN13">
            <v>12457</v>
          </cell>
          <cell r="AO13">
            <v>11486</v>
          </cell>
          <cell r="AP13">
            <v>12160</v>
          </cell>
          <cell r="AQ13">
            <v>12108</v>
          </cell>
          <cell r="AR13">
            <v>11288</v>
          </cell>
          <cell r="AS13">
            <v>10794</v>
          </cell>
          <cell r="AT13">
            <v>11033</v>
          </cell>
          <cell r="AU13">
            <v>11619</v>
          </cell>
          <cell r="AV13">
            <v>11109</v>
          </cell>
          <cell r="AW13">
            <v>10736</v>
          </cell>
          <cell r="AX13">
            <v>11280</v>
          </cell>
          <cell r="AY13">
            <v>12108</v>
          </cell>
          <cell r="AZ13">
            <v>11112</v>
          </cell>
          <cell r="BA13">
            <v>14446</v>
          </cell>
          <cell r="BB13">
            <v>14116</v>
          </cell>
          <cell r="BC13">
            <v>17423</v>
          </cell>
          <cell r="BD13">
            <v>18272</v>
          </cell>
          <cell r="BE13">
            <v>13057</v>
          </cell>
          <cell r="BF13">
            <v>15712</v>
          </cell>
          <cell r="BG13">
            <v>14437</v>
          </cell>
          <cell r="BH13">
            <v>14519</v>
          </cell>
          <cell r="BI13">
            <v>14299</v>
          </cell>
          <cell r="BJ13">
            <v>13789</v>
          </cell>
          <cell r="BK13">
            <v>13863</v>
          </cell>
          <cell r="BL13">
            <v>13386</v>
          </cell>
          <cell r="BM13">
            <v>14064</v>
          </cell>
          <cell r="BN13">
            <v>11526</v>
          </cell>
          <cell r="BO13">
            <v>13441</v>
          </cell>
          <cell r="BP13">
            <v>12743</v>
          </cell>
          <cell r="BQ13">
            <v>12380</v>
          </cell>
          <cell r="BR13">
            <v>12790</v>
          </cell>
          <cell r="BS13">
            <v>12309</v>
          </cell>
          <cell r="BT13">
            <v>12434</v>
          </cell>
          <cell r="BU13">
            <v>11954</v>
          </cell>
          <cell r="BV13">
            <v>12566</v>
          </cell>
          <cell r="BW13">
            <v>12795</v>
          </cell>
          <cell r="BX13">
            <v>12344</v>
          </cell>
          <cell r="BY13">
            <v>9104</v>
          </cell>
          <cell r="BZ13">
            <v>13477</v>
          </cell>
          <cell r="CA13">
            <v>12383</v>
          </cell>
          <cell r="CB13">
            <v>12534</v>
          </cell>
          <cell r="CC13">
            <v>13000</v>
          </cell>
          <cell r="CD13">
            <v>10336</v>
          </cell>
          <cell r="CE13">
            <v>9801</v>
          </cell>
          <cell r="CF13">
            <v>12087</v>
          </cell>
          <cell r="CG13">
            <v>11760</v>
          </cell>
          <cell r="CH13">
            <v>11923</v>
          </cell>
          <cell r="CI13">
            <v>12775</v>
          </cell>
          <cell r="CJ13">
            <v>12851</v>
          </cell>
          <cell r="CK13">
            <v>11949</v>
          </cell>
          <cell r="CL13">
            <v>9804</v>
          </cell>
          <cell r="CM13">
            <v>10370</v>
          </cell>
          <cell r="CN13">
            <v>9682</v>
          </cell>
          <cell r="CO13">
            <v>9428</v>
          </cell>
          <cell r="CP13">
            <v>9443</v>
          </cell>
          <cell r="CQ13">
            <v>9780</v>
          </cell>
          <cell r="CR13">
            <v>9466</v>
          </cell>
          <cell r="CS13">
            <v>9516</v>
          </cell>
          <cell r="CT13">
            <v>9464</v>
          </cell>
          <cell r="CU13">
            <v>9695</v>
          </cell>
          <cell r="CV13">
            <v>9649</v>
          </cell>
          <cell r="CW13">
            <v>9625</v>
          </cell>
          <cell r="CX13">
            <v>9122</v>
          </cell>
          <cell r="CY13">
            <v>9892</v>
          </cell>
          <cell r="CZ13">
            <v>9205</v>
          </cell>
          <cell r="DA13">
            <v>10407</v>
          </cell>
          <cell r="DB13">
            <v>9809</v>
          </cell>
          <cell r="DC13">
            <v>9804</v>
          </cell>
          <cell r="DD13">
            <v>10008</v>
          </cell>
          <cell r="DE13">
            <v>8322</v>
          </cell>
          <cell r="DF13">
            <v>10223</v>
          </cell>
          <cell r="DG13">
            <v>10196</v>
          </cell>
          <cell r="DH13">
            <v>10086</v>
          </cell>
          <cell r="DI13">
            <v>9844</v>
          </cell>
          <cell r="DJ13">
            <v>10048</v>
          </cell>
          <cell r="DK13">
            <v>9997</v>
          </cell>
          <cell r="DL13">
            <v>9766</v>
          </cell>
          <cell r="DM13">
            <v>10482</v>
          </cell>
          <cell r="DN13">
            <v>9217</v>
          </cell>
          <cell r="DO13">
            <v>10365</v>
          </cell>
          <cell r="DP13">
            <v>10198</v>
          </cell>
          <cell r="DQ13">
            <v>10026</v>
          </cell>
          <cell r="DR13">
            <v>10173</v>
          </cell>
          <cell r="DS13">
            <v>10182</v>
          </cell>
          <cell r="DT13">
            <v>9971</v>
          </cell>
          <cell r="DU13">
            <v>10069</v>
          </cell>
          <cell r="DV13">
            <v>10263</v>
          </cell>
          <cell r="DW13">
            <v>9946</v>
          </cell>
          <cell r="DX13">
            <v>9798</v>
          </cell>
          <cell r="DY13">
            <v>10406</v>
          </cell>
          <cell r="DZ13">
            <v>7707</v>
          </cell>
          <cell r="EA13">
            <v>10804</v>
          </cell>
          <cell r="EB13">
            <v>10282</v>
          </cell>
          <cell r="EC13">
            <v>10674</v>
          </cell>
          <cell r="ED13">
            <v>6815</v>
          </cell>
          <cell r="EE13">
            <v>9019</v>
          </cell>
          <cell r="EF13">
            <v>9592</v>
          </cell>
          <cell r="EG13">
            <v>9585</v>
          </cell>
          <cell r="EH13">
            <v>8683</v>
          </cell>
          <cell r="EI13">
            <v>9749</v>
          </cell>
          <cell r="EJ13">
            <v>9583</v>
          </cell>
          <cell r="EK13">
            <v>10013</v>
          </cell>
          <cell r="EL13">
            <v>9573</v>
          </cell>
          <cell r="EM13">
            <v>9887</v>
          </cell>
          <cell r="EN13">
            <v>9941</v>
          </cell>
          <cell r="EO13">
            <v>9486</v>
          </cell>
          <cell r="EP13">
            <v>9987</v>
          </cell>
          <cell r="EQ13">
            <v>9695</v>
          </cell>
          <cell r="ER13">
            <v>9445</v>
          </cell>
          <cell r="ES13">
            <v>9765</v>
          </cell>
          <cell r="ET13">
            <v>9962</v>
          </cell>
          <cell r="EU13">
            <v>9977</v>
          </cell>
          <cell r="EV13">
            <v>9799</v>
          </cell>
          <cell r="EW13">
            <v>9851</v>
          </cell>
          <cell r="EX13">
            <v>9868</v>
          </cell>
          <cell r="EY13">
            <v>9953</v>
          </cell>
          <cell r="EZ13">
            <v>8786</v>
          </cell>
          <cell r="FA13">
            <v>9766</v>
          </cell>
          <cell r="FB13">
            <v>9937</v>
          </cell>
          <cell r="FC13">
            <v>9557</v>
          </cell>
          <cell r="FD13">
            <v>9888</v>
          </cell>
          <cell r="FE13">
            <v>9030</v>
          </cell>
          <cell r="FF13">
            <v>9520</v>
          </cell>
          <cell r="FG13">
            <v>9546</v>
          </cell>
          <cell r="FH13">
            <v>9971</v>
          </cell>
          <cell r="FI13">
            <v>9965</v>
          </cell>
          <cell r="FJ13">
            <v>9016</v>
          </cell>
          <cell r="FK13">
            <v>9233</v>
          </cell>
          <cell r="FL13">
            <v>9475</v>
          </cell>
          <cell r="FM13">
            <v>9576</v>
          </cell>
          <cell r="FN13">
            <v>9467</v>
          </cell>
          <cell r="FO13">
            <v>8450</v>
          </cell>
          <cell r="FP13">
            <v>9599</v>
          </cell>
          <cell r="FQ13">
            <v>9520</v>
          </cell>
          <cell r="FR13">
            <v>9390</v>
          </cell>
          <cell r="FS13">
            <v>9117</v>
          </cell>
          <cell r="FT13">
            <v>9254</v>
          </cell>
          <cell r="FU13">
            <v>9226</v>
          </cell>
          <cell r="FV13">
            <v>9463</v>
          </cell>
          <cell r="FW13">
            <v>8750</v>
          </cell>
          <cell r="FX13">
            <v>9306</v>
          </cell>
          <cell r="FY13">
            <v>9277</v>
          </cell>
          <cell r="FZ13">
            <v>7362</v>
          </cell>
          <cell r="GA13">
            <v>9641</v>
          </cell>
          <cell r="GB13">
            <v>9708</v>
          </cell>
          <cell r="GC13">
            <v>9847</v>
          </cell>
          <cell r="GD13">
            <v>7510</v>
          </cell>
          <cell r="GE13">
            <v>8696</v>
          </cell>
          <cell r="GF13">
            <v>8693</v>
          </cell>
          <cell r="GG13">
            <v>8756</v>
          </cell>
          <cell r="GH13">
            <v>8338</v>
          </cell>
          <cell r="GI13">
            <v>8712</v>
          </cell>
          <cell r="GJ13">
            <v>8522</v>
          </cell>
          <cell r="GK13">
            <v>8058</v>
          </cell>
          <cell r="GL13">
            <v>9169</v>
          </cell>
          <cell r="GM13">
            <v>8985</v>
          </cell>
          <cell r="GN13">
            <v>9421</v>
          </cell>
        </row>
        <row r="14">
          <cell r="B14" t="str">
            <v>AVASTIN</v>
          </cell>
          <cell r="C14" t="str">
            <v>GTC</v>
          </cell>
          <cell r="D14">
            <v>105</v>
          </cell>
          <cell r="E14">
            <v>66</v>
          </cell>
          <cell r="F14">
            <v>92</v>
          </cell>
          <cell r="G14">
            <v>88</v>
          </cell>
          <cell r="H14">
            <v>92</v>
          </cell>
          <cell r="I14">
            <v>86</v>
          </cell>
          <cell r="J14">
            <v>118</v>
          </cell>
          <cell r="K14">
            <v>87</v>
          </cell>
          <cell r="L14">
            <v>137</v>
          </cell>
          <cell r="M14">
            <v>121</v>
          </cell>
          <cell r="N14">
            <v>110</v>
          </cell>
          <cell r="O14">
            <v>145</v>
          </cell>
          <cell r="P14">
            <v>137</v>
          </cell>
          <cell r="Q14">
            <v>145</v>
          </cell>
          <cell r="R14">
            <v>121</v>
          </cell>
          <cell r="S14">
            <v>118</v>
          </cell>
          <cell r="T14">
            <v>111</v>
          </cell>
          <cell r="U14">
            <v>152</v>
          </cell>
          <cell r="V14">
            <v>150</v>
          </cell>
          <cell r="W14">
            <v>135</v>
          </cell>
          <cell r="X14">
            <v>139</v>
          </cell>
          <cell r="Y14">
            <v>90</v>
          </cell>
          <cell r="Z14">
            <v>136</v>
          </cell>
          <cell r="AA14">
            <v>131</v>
          </cell>
          <cell r="AB14">
            <v>152</v>
          </cell>
          <cell r="AC14">
            <v>107</v>
          </cell>
          <cell r="AD14">
            <v>114</v>
          </cell>
          <cell r="AE14">
            <v>122</v>
          </cell>
          <cell r="AF14">
            <v>130</v>
          </cell>
          <cell r="AG14">
            <v>143</v>
          </cell>
          <cell r="AH14">
            <v>192</v>
          </cell>
          <cell r="AI14">
            <v>164</v>
          </cell>
          <cell r="AJ14">
            <v>197</v>
          </cell>
          <cell r="AK14">
            <v>168</v>
          </cell>
          <cell r="AL14">
            <v>221</v>
          </cell>
          <cell r="AM14">
            <v>253</v>
          </cell>
          <cell r="AN14">
            <v>188</v>
          </cell>
          <cell r="AO14">
            <v>213</v>
          </cell>
          <cell r="AP14">
            <v>208</v>
          </cell>
          <cell r="AQ14">
            <v>272</v>
          </cell>
          <cell r="AR14">
            <v>187</v>
          </cell>
          <cell r="AS14">
            <v>299</v>
          </cell>
          <cell r="AT14">
            <v>266</v>
          </cell>
          <cell r="AU14">
            <v>292</v>
          </cell>
          <cell r="AV14">
            <v>336</v>
          </cell>
          <cell r="AW14">
            <v>183</v>
          </cell>
          <cell r="AX14">
            <v>179</v>
          </cell>
          <cell r="AY14">
            <v>254</v>
          </cell>
          <cell r="AZ14">
            <v>170</v>
          </cell>
          <cell r="BA14">
            <v>217</v>
          </cell>
          <cell r="BB14">
            <v>192</v>
          </cell>
          <cell r="BC14">
            <v>241</v>
          </cell>
          <cell r="BD14">
            <v>150</v>
          </cell>
          <cell r="BE14">
            <v>135</v>
          </cell>
          <cell r="BF14">
            <v>206</v>
          </cell>
          <cell r="BG14">
            <v>177</v>
          </cell>
          <cell r="BH14">
            <v>159</v>
          </cell>
          <cell r="BI14">
            <v>149</v>
          </cell>
          <cell r="BJ14">
            <v>175</v>
          </cell>
          <cell r="BK14">
            <v>168</v>
          </cell>
          <cell r="BL14">
            <v>185</v>
          </cell>
          <cell r="BM14">
            <v>187</v>
          </cell>
          <cell r="BN14">
            <v>201</v>
          </cell>
          <cell r="BO14">
            <v>242</v>
          </cell>
          <cell r="BP14">
            <v>235</v>
          </cell>
          <cell r="BQ14">
            <v>234</v>
          </cell>
          <cell r="BR14">
            <v>264</v>
          </cell>
          <cell r="BS14">
            <v>193</v>
          </cell>
          <cell r="BT14">
            <v>215</v>
          </cell>
          <cell r="BU14">
            <v>258</v>
          </cell>
          <cell r="BV14">
            <v>238</v>
          </cell>
          <cell r="BW14">
            <v>216</v>
          </cell>
          <cell r="BX14">
            <v>247</v>
          </cell>
          <cell r="BY14">
            <v>152</v>
          </cell>
          <cell r="BZ14">
            <v>273</v>
          </cell>
          <cell r="CA14">
            <v>211</v>
          </cell>
          <cell r="CB14">
            <v>230</v>
          </cell>
          <cell r="CC14">
            <v>216</v>
          </cell>
          <cell r="CD14">
            <v>192</v>
          </cell>
          <cell r="CE14">
            <v>112</v>
          </cell>
          <cell r="CF14">
            <v>238</v>
          </cell>
          <cell r="CG14">
            <v>209</v>
          </cell>
          <cell r="CH14">
            <v>184</v>
          </cell>
          <cell r="CI14">
            <v>181</v>
          </cell>
          <cell r="CJ14">
            <v>182</v>
          </cell>
          <cell r="CK14">
            <v>166</v>
          </cell>
          <cell r="CL14">
            <v>176</v>
          </cell>
          <cell r="CM14">
            <v>186</v>
          </cell>
          <cell r="CN14">
            <v>242</v>
          </cell>
          <cell r="CO14">
            <v>192</v>
          </cell>
          <cell r="CP14">
            <v>176</v>
          </cell>
          <cell r="CQ14">
            <v>140</v>
          </cell>
          <cell r="CR14">
            <v>199</v>
          </cell>
          <cell r="CS14">
            <v>153</v>
          </cell>
          <cell r="CT14">
            <v>166</v>
          </cell>
          <cell r="CU14">
            <v>157</v>
          </cell>
          <cell r="CV14">
            <v>171</v>
          </cell>
          <cell r="CW14">
            <v>176</v>
          </cell>
          <cell r="CX14">
            <v>206</v>
          </cell>
          <cell r="CY14">
            <v>182</v>
          </cell>
          <cell r="CZ14">
            <v>223</v>
          </cell>
          <cell r="DA14">
            <v>241</v>
          </cell>
          <cell r="DB14">
            <v>235</v>
          </cell>
          <cell r="DC14">
            <v>216</v>
          </cell>
          <cell r="DD14">
            <v>241</v>
          </cell>
          <cell r="DE14">
            <v>167</v>
          </cell>
          <cell r="DF14">
            <v>259</v>
          </cell>
          <cell r="DG14">
            <v>231</v>
          </cell>
          <cell r="DH14">
            <v>242</v>
          </cell>
          <cell r="DI14">
            <v>234</v>
          </cell>
          <cell r="DJ14">
            <v>196</v>
          </cell>
          <cell r="DK14">
            <v>150</v>
          </cell>
          <cell r="DL14">
            <v>191</v>
          </cell>
          <cell r="DM14">
            <v>259</v>
          </cell>
          <cell r="DN14">
            <v>196</v>
          </cell>
          <cell r="DO14">
            <v>260</v>
          </cell>
          <cell r="DP14">
            <v>222</v>
          </cell>
          <cell r="DQ14">
            <v>194</v>
          </cell>
          <cell r="DR14">
            <v>221</v>
          </cell>
          <cell r="DS14">
            <v>182</v>
          </cell>
          <cell r="DT14">
            <v>202</v>
          </cell>
          <cell r="DU14">
            <v>215</v>
          </cell>
          <cell r="DV14">
            <v>230</v>
          </cell>
          <cell r="DW14">
            <v>183</v>
          </cell>
          <cell r="DX14">
            <v>237</v>
          </cell>
          <cell r="DY14">
            <v>214</v>
          </cell>
          <cell r="DZ14">
            <v>195</v>
          </cell>
          <cell r="EA14">
            <v>241</v>
          </cell>
          <cell r="EB14">
            <v>229</v>
          </cell>
          <cell r="EC14">
            <v>218</v>
          </cell>
          <cell r="ED14">
            <v>132</v>
          </cell>
          <cell r="EE14">
            <v>112</v>
          </cell>
          <cell r="EF14">
            <v>129</v>
          </cell>
          <cell r="EG14">
            <v>143</v>
          </cell>
          <cell r="EH14">
            <v>142</v>
          </cell>
          <cell r="EI14">
            <v>155</v>
          </cell>
          <cell r="EJ14">
            <v>137</v>
          </cell>
          <cell r="EK14">
            <v>143</v>
          </cell>
          <cell r="EL14">
            <v>155</v>
          </cell>
          <cell r="EM14">
            <v>169</v>
          </cell>
          <cell r="EN14">
            <v>172</v>
          </cell>
          <cell r="EO14">
            <v>161</v>
          </cell>
          <cell r="EP14">
            <v>153</v>
          </cell>
          <cell r="EQ14">
            <v>139</v>
          </cell>
          <cell r="ER14">
            <v>150</v>
          </cell>
          <cell r="ES14">
            <v>177</v>
          </cell>
          <cell r="ET14">
            <v>156</v>
          </cell>
          <cell r="EU14">
            <v>191</v>
          </cell>
          <cell r="EV14">
            <v>172</v>
          </cell>
          <cell r="EW14">
            <v>171</v>
          </cell>
          <cell r="EX14">
            <v>165</v>
          </cell>
          <cell r="EY14">
            <v>215</v>
          </cell>
          <cell r="EZ14">
            <v>151</v>
          </cell>
          <cell r="FA14">
            <v>178</v>
          </cell>
          <cell r="FB14">
            <v>171</v>
          </cell>
          <cell r="FC14">
            <v>220</v>
          </cell>
          <cell r="FD14">
            <v>224</v>
          </cell>
          <cell r="FE14">
            <v>149</v>
          </cell>
          <cell r="FF14">
            <v>190</v>
          </cell>
          <cell r="FG14">
            <v>195</v>
          </cell>
          <cell r="FH14">
            <v>169</v>
          </cell>
          <cell r="FI14">
            <v>215</v>
          </cell>
          <cell r="FJ14">
            <v>178</v>
          </cell>
          <cell r="FK14">
            <v>171</v>
          </cell>
          <cell r="FL14">
            <v>199</v>
          </cell>
          <cell r="FM14">
            <v>203</v>
          </cell>
          <cell r="FN14">
            <v>186</v>
          </cell>
          <cell r="FO14">
            <v>179</v>
          </cell>
          <cell r="FP14">
            <v>174</v>
          </cell>
          <cell r="FQ14">
            <v>183</v>
          </cell>
          <cell r="FR14">
            <v>185</v>
          </cell>
          <cell r="FS14">
            <v>196</v>
          </cell>
          <cell r="FT14">
            <v>181</v>
          </cell>
          <cell r="FU14">
            <v>158</v>
          </cell>
          <cell r="FV14">
            <v>192</v>
          </cell>
          <cell r="FW14">
            <v>186</v>
          </cell>
          <cell r="FX14">
            <v>158</v>
          </cell>
          <cell r="FY14">
            <v>160</v>
          </cell>
          <cell r="FZ14">
            <v>121</v>
          </cell>
          <cell r="GA14">
            <v>174</v>
          </cell>
          <cell r="GB14">
            <v>160</v>
          </cell>
          <cell r="GC14">
            <v>168</v>
          </cell>
          <cell r="GD14">
            <v>154</v>
          </cell>
          <cell r="GE14">
            <v>135</v>
          </cell>
          <cell r="GF14">
            <v>172</v>
          </cell>
          <cell r="GG14">
            <v>176</v>
          </cell>
          <cell r="GH14">
            <v>178</v>
          </cell>
          <cell r="GI14">
            <v>204</v>
          </cell>
          <cell r="GJ14">
            <v>173</v>
          </cell>
          <cell r="GK14">
            <v>158</v>
          </cell>
          <cell r="GL14">
            <v>192</v>
          </cell>
          <cell r="GM14">
            <v>183</v>
          </cell>
          <cell r="GN14">
            <v>214</v>
          </cell>
        </row>
        <row r="15">
          <cell r="B15" t="str">
            <v>BARACLUDE</v>
          </cell>
          <cell r="C15" t="str">
            <v>BMP</v>
          </cell>
          <cell r="D15">
            <v>1206</v>
          </cell>
          <cell r="E15">
            <v>1132</v>
          </cell>
          <cell r="F15">
            <v>1176</v>
          </cell>
          <cell r="G15">
            <v>1226</v>
          </cell>
          <cell r="H15">
            <v>1165</v>
          </cell>
          <cell r="I15">
            <v>1249</v>
          </cell>
          <cell r="J15">
            <v>1315</v>
          </cell>
          <cell r="K15">
            <v>1291</v>
          </cell>
          <cell r="L15">
            <v>1333</v>
          </cell>
          <cell r="M15">
            <v>1365</v>
          </cell>
          <cell r="N15">
            <v>1197</v>
          </cell>
          <cell r="O15">
            <v>1324</v>
          </cell>
          <cell r="P15">
            <v>1307</v>
          </cell>
          <cell r="Q15">
            <v>1365</v>
          </cell>
          <cell r="R15">
            <v>1304</v>
          </cell>
          <cell r="S15">
            <v>1578</v>
          </cell>
          <cell r="T15">
            <v>1378</v>
          </cell>
          <cell r="U15">
            <v>1406</v>
          </cell>
          <cell r="V15">
            <v>1419</v>
          </cell>
          <cell r="W15">
            <v>1532</v>
          </cell>
          <cell r="X15">
            <v>1522</v>
          </cell>
          <cell r="Y15">
            <v>1364</v>
          </cell>
          <cell r="Z15">
            <v>1728</v>
          </cell>
          <cell r="AA15">
            <v>1659</v>
          </cell>
          <cell r="AB15">
            <v>1632</v>
          </cell>
          <cell r="AC15">
            <v>1594</v>
          </cell>
          <cell r="AD15">
            <v>1517</v>
          </cell>
          <cell r="AE15">
            <v>1569</v>
          </cell>
          <cell r="AF15">
            <v>1709</v>
          </cell>
          <cell r="AG15">
            <v>1587</v>
          </cell>
          <cell r="AH15">
            <v>1630</v>
          </cell>
          <cell r="AI15">
            <v>1715</v>
          </cell>
          <cell r="AJ15">
            <v>1691</v>
          </cell>
          <cell r="AK15">
            <v>1687</v>
          </cell>
          <cell r="AL15">
            <v>1577</v>
          </cell>
          <cell r="AM15">
            <v>1833</v>
          </cell>
          <cell r="AN15">
            <v>1774</v>
          </cell>
          <cell r="AO15">
            <v>1868</v>
          </cell>
          <cell r="AP15">
            <v>1753</v>
          </cell>
          <cell r="AQ15">
            <v>1795</v>
          </cell>
          <cell r="AR15">
            <v>1818</v>
          </cell>
          <cell r="AS15">
            <v>1831</v>
          </cell>
          <cell r="AT15">
            <v>1826</v>
          </cell>
          <cell r="AU15">
            <v>1854</v>
          </cell>
          <cell r="AV15">
            <v>1889</v>
          </cell>
          <cell r="AW15">
            <v>1945</v>
          </cell>
          <cell r="AX15">
            <v>1852</v>
          </cell>
          <cell r="AY15">
            <v>1995</v>
          </cell>
          <cell r="AZ15">
            <v>1747</v>
          </cell>
          <cell r="BA15">
            <v>1925</v>
          </cell>
          <cell r="BB15">
            <v>2099</v>
          </cell>
          <cell r="BC15">
            <v>1985</v>
          </cell>
          <cell r="BD15">
            <v>2024</v>
          </cell>
          <cell r="BE15">
            <v>1917</v>
          </cell>
          <cell r="BF15">
            <v>2105</v>
          </cell>
          <cell r="BG15">
            <v>2044</v>
          </cell>
          <cell r="BH15">
            <v>2058</v>
          </cell>
          <cell r="BI15">
            <v>2206</v>
          </cell>
          <cell r="BJ15">
            <v>2127</v>
          </cell>
          <cell r="BK15">
            <v>2043</v>
          </cell>
          <cell r="BL15">
            <v>2121</v>
          </cell>
          <cell r="BM15">
            <v>2252</v>
          </cell>
          <cell r="BN15">
            <v>2162</v>
          </cell>
          <cell r="BO15">
            <v>2269</v>
          </cell>
          <cell r="BP15">
            <v>2109</v>
          </cell>
          <cell r="BQ15">
            <v>2360</v>
          </cell>
          <cell r="BR15">
            <v>2265</v>
          </cell>
          <cell r="BS15">
            <v>2253</v>
          </cell>
          <cell r="BT15">
            <v>2324</v>
          </cell>
          <cell r="BU15">
            <v>2281</v>
          </cell>
          <cell r="BV15">
            <v>2373</v>
          </cell>
          <cell r="BW15">
            <v>2347</v>
          </cell>
          <cell r="BX15">
            <v>2323</v>
          </cell>
          <cell r="BY15">
            <v>2080</v>
          </cell>
          <cell r="BZ15">
            <v>2509</v>
          </cell>
          <cell r="CA15">
            <v>2437</v>
          </cell>
          <cell r="CB15">
            <v>2472</v>
          </cell>
          <cell r="CC15">
            <v>2550</v>
          </cell>
          <cell r="CD15">
            <v>2224</v>
          </cell>
          <cell r="CE15">
            <v>2285</v>
          </cell>
          <cell r="CF15">
            <v>2590</v>
          </cell>
          <cell r="CG15">
            <v>2558</v>
          </cell>
          <cell r="CH15">
            <v>2506</v>
          </cell>
          <cell r="CI15">
            <v>2637</v>
          </cell>
          <cell r="CJ15">
            <v>2452</v>
          </cell>
          <cell r="CK15">
            <v>2747</v>
          </cell>
          <cell r="CL15">
            <v>2543</v>
          </cell>
          <cell r="CM15">
            <v>2813</v>
          </cell>
          <cell r="CN15">
            <v>2850</v>
          </cell>
          <cell r="CO15">
            <v>2788</v>
          </cell>
          <cell r="CP15">
            <v>2889</v>
          </cell>
          <cell r="CQ15">
            <v>2763</v>
          </cell>
          <cell r="CR15">
            <v>2687</v>
          </cell>
          <cell r="CS15">
            <v>2901</v>
          </cell>
          <cell r="CT15">
            <v>2775</v>
          </cell>
          <cell r="CU15">
            <v>2729</v>
          </cell>
          <cell r="CV15">
            <v>2870</v>
          </cell>
          <cell r="CW15">
            <v>2980</v>
          </cell>
          <cell r="CX15">
            <v>2910</v>
          </cell>
          <cell r="CY15">
            <v>3043</v>
          </cell>
          <cell r="CZ15">
            <v>2754</v>
          </cell>
          <cell r="DA15">
            <v>3052</v>
          </cell>
          <cell r="DB15">
            <v>3232</v>
          </cell>
          <cell r="DC15">
            <v>2971</v>
          </cell>
          <cell r="DD15">
            <v>3055</v>
          </cell>
          <cell r="DE15">
            <v>2949</v>
          </cell>
          <cell r="DF15">
            <v>3328</v>
          </cell>
          <cell r="DG15">
            <v>3260</v>
          </cell>
          <cell r="DH15">
            <v>3182</v>
          </cell>
          <cell r="DI15">
            <v>3102</v>
          </cell>
          <cell r="DJ15">
            <v>3199</v>
          </cell>
          <cell r="DK15">
            <v>3142</v>
          </cell>
          <cell r="DL15">
            <v>3226</v>
          </cell>
          <cell r="DM15">
            <v>3204</v>
          </cell>
          <cell r="DN15">
            <v>3130</v>
          </cell>
          <cell r="DO15">
            <v>3323</v>
          </cell>
          <cell r="DP15">
            <v>3347</v>
          </cell>
          <cell r="DQ15">
            <v>3416</v>
          </cell>
          <cell r="DR15">
            <v>3390</v>
          </cell>
          <cell r="DS15">
            <v>3264</v>
          </cell>
          <cell r="DT15">
            <v>3279</v>
          </cell>
          <cell r="DU15">
            <v>3324</v>
          </cell>
          <cell r="DV15">
            <v>3315</v>
          </cell>
          <cell r="DW15">
            <v>3302</v>
          </cell>
          <cell r="DX15">
            <v>3476</v>
          </cell>
          <cell r="DY15">
            <v>3359</v>
          </cell>
          <cell r="DZ15">
            <v>2947</v>
          </cell>
          <cell r="EA15">
            <v>3671</v>
          </cell>
          <cell r="EB15">
            <v>3407</v>
          </cell>
          <cell r="EC15">
            <v>3468</v>
          </cell>
          <cell r="ED15">
            <v>2965</v>
          </cell>
          <cell r="EE15">
            <v>3181</v>
          </cell>
          <cell r="EF15">
            <v>3677</v>
          </cell>
          <cell r="EG15">
            <v>3464</v>
          </cell>
          <cell r="EH15">
            <v>3449</v>
          </cell>
          <cell r="EI15">
            <v>3274</v>
          </cell>
          <cell r="EJ15">
            <v>3488</v>
          </cell>
          <cell r="EK15">
            <v>3683</v>
          </cell>
          <cell r="EL15">
            <v>3499</v>
          </cell>
          <cell r="EM15">
            <v>3363</v>
          </cell>
          <cell r="EN15">
            <v>3681</v>
          </cell>
          <cell r="EO15">
            <v>3638</v>
          </cell>
          <cell r="EP15">
            <v>3652</v>
          </cell>
          <cell r="EQ15">
            <v>3496</v>
          </cell>
          <cell r="ER15">
            <v>3560</v>
          </cell>
          <cell r="ES15">
            <v>3629</v>
          </cell>
          <cell r="ET15">
            <v>3707</v>
          </cell>
          <cell r="EU15">
            <v>3501</v>
          </cell>
          <cell r="EV15">
            <v>3714</v>
          </cell>
          <cell r="EW15">
            <v>3647</v>
          </cell>
          <cell r="EX15">
            <v>3550</v>
          </cell>
          <cell r="EY15">
            <v>3550</v>
          </cell>
          <cell r="EZ15">
            <v>3332</v>
          </cell>
          <cell r="FA15">
            <v>3673</v>
          </cell>
          <cell r="FB15">
            <v>3565</v>
          </cell>
          <cell r="FC15">
            <v>3576</v>
          </cell>
          <cell r="FD15">
            <v>3612</v>
          </cell>
          <cell r="FE15">
            <v>3493</v>
          </cell>
          <cell r="FF15">
            <v>3421</v>
          </cell>
          <cell r="FG15">
            <v>3726</v>
          </cell>
          <cell r="FH15">
            <v>3453</v>
          </cell>
          <cell r="FI15">
            <v>3575</v>
          </cell>
          <cell r="FJ15">
            <v>3602</v>
          </cell>
          <cell r="FK15">
            <v>3454</v>
          </cell>
          <cell r="FL15">
            <v>3380</v>
          </cell>
          <cell r="FM15">
            <v>3523</v>
          </cell>
          <cell r="FN15">
            <v>3776</v>
          </cell>
          <cell r="FO15">
            <v>3200</v>
          </cell>
          <cell r="FP15">
            <v>3589</v>
          </cell>
          <cell r="FQ15">
            <v>3589</v>
          </cell>
          <cell r="FR15">
            <v>3769</v>
          </cell>
          <cell r="FS15">
            <v>3581</v>
          </cell>
          <cell r="FT15">
            <v>3430</v>
          </cell>
          <cell r="FU15">
            <v>3579</v>
          </cell>
          <cell r="FV15">
            <v>3576</v>
          </cell>
          <cell r="FW15">
            <v>3739</v>
          </cell>
          <cell r="FX15">
            <v>3576</v>
          </cell>
          <cell r="FY15">
            <v>3537</v>
          </cell>
          <cell r="FZ15">
            <v>3070</v>
          </cell>
          <cell r="GA15">
            <v>4202</v>
          </cell>
          <cell r="GB15">
            <v>3766</v>
          </cell>
          <cell r="GC15">
            <v>3677</v>
          </cell>
          <cell r="GD15">
            <v>3276</v>
          </cell>
          <cell r="GE15">
            <v>3582</v>
          </cell>
          <cell r="GF15">
            <v>4024</v>
          </cell>
          <cell r="GG15">
            <v>3744</v>
          </cell>
          <cell r="GH15">
            <v>3564</v>
          </cell>
          <cell r="GI15">
            <v>3638</v>
          </cell>
          <cell r="GJ15">
            <v>3865</v>
          </cell>
          <cell r="GK15">
            <v>3658</v>
          </cell>
          <cell r="GL15">
            <v>3281</v>
          </cell>
          <cell r="GM15">
            <v>3654</v>
          </cell>
          <cell r="GN15">
            <v>4132</v>
          </cell>
        </row>
        <row r="16">
          <cell r="B16" t="str">
            <v>BETASERON (OLD)</v>
          </cell>
          <cell r="C16" t="str">
            <v>BYH</v>
          </cell>
          <cell r="D16">
            <v>0</v>
          </cell>
          <cell r="E16">
            <v>0</v>
          </cell>
          <cell r="F16">
            <v>0</v>
          </cell>
          <cell r="G16">
            <v>0</v>
          </cell>
          <cell r="H16">
            <v>0</v>
          </cell>
          <cell r="I16">
            <v>0</v>
          </cell>
          <cell r="J16">
            <v>1</v>
          </cell>
          <cell r="K16">
            <v>5</v>
          </cell>
          <cell r="L16">
            <v>0</v>
          </cell>
          <cell r="M16">
            <v>3</v>
          </cell>
          <cell r="N16">
            <v>0</v>
          </cell>
          <cell r="O16">
            <v>0</v>
          </cell>
          <cell r="P16">
            <v>0</v>
          </cell>
          <cell r="Q16">
            <v>0</v>
          </cell>
          <cell r="R16">
            <v>0</v>
          </cell>
          <cell r="S16">
            <v>2</v>
          </cell>
          <cell r="T16">
            <v>0</v>
          </cell>
          <cell r="U16">
            <v>1</v>
          </cell>
          <cell r="V16">
            <v>0</v>
          </cell>
          <cell r="W16">
            <v>0</v>
          </cell>
          <cell r="X16">
            <v>2</v>
          </cell>
          <cell r="Y16">
            <v>0</v>
          </cell>
          <cell r="Z16">
            <v>1</v>
          </cell>
          <cell r="AA16">
            <v>0</v>
          </cell>
          <cell r="AB16">
            <v>0</v>
          </cell>
          <cell r="AC16">
            <v>3</v>
          </cell>
          <cell r="AD16">
            <v>2</v>
          </cell>
          <cell r="AE16">
            <v>0</v>
          </cell>
          <cell r="AF16">
            <v>0</v>
          </cell>
          <cell r="AG16">
            <v>0</v>
          </cell>
          <cell r="AH16">
            <v>1</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1</v>
          </cell>
          <cell r="BQ16">
            <v>0</v>
          </cell>
          <cell r="BR16">
            <v>0</v>
          </cell>
          <cell r="BS16">
            <v>0</v>
          </cell>
          <cell r="BT16">
            <v>0</v>
          </cell>
          <cell r="BU16">
            <v>0</v>
          </cell>
          <cell r="BV16">
            <v>2</v>
          </cell>
          <cell r="BW16">
            <v>0</v>
          </cell>
          <cell r="BX16">
            <v>0</v>
          </cell>
          <cell r="BY16">
            <v>0</v>
          </cell>
          <cell r="BZ16">
            <v>1</v>
          </cell>
          <cell r="CA16">
            <v>2</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1</v>
          </cell>
          <cell r="CU16">
            <v>0</v>
          </cell>
          <cell r="CV16">
            <v>0</v>
          </cell>
          <cell r="CW16">
            <v>0</v>
          </cell>
          <cell r="CX16">
            <v>0</v>
          </cell>
          <cell r="CY16">
            <v>0</v>
          </cell>
          <cell r="CZ16">
            <v>0</v>
          </cell>
          <cell r="DA16">
            <v>0</v>
          </cell>
          <cell r="DB16">
            <v>0</v>
          </cell>
          <cell r="DC16">
            <v>0</v>
          </cell>
          <cell r="DD16">
            <v>0</v>
          </cell>
          <cell r="DE16">
            <v>0</v>
          </cell>
          <cell r="DF16">
            <v>2</v>
          </cell>
          <cell r="DG16">
            <v>0</v>
          </cell>
          <cell r="DH16">
            <v>0</v>
          </cell>
          <cell r="DI16">
            <v>0</v>
          </cell>
          <cell r="DJ16">
            <v>1</v>
          </cell>
          <cell r="DK16">
            <v>0</v>
          </cell>
          <cell r="DL16">
            <v>0</v>
          </cell>
          <cell r="DM16">
            <v>1</v>
          </cell>
          <cell r="DN16">
            <v>0</v>
          </cell>
          <cell r="DO16">
            <v>0</v>
          </cell>
          <cell r="DP16">
            <v>0</v>
          </cell>
          <cell r="DQ16">
            <v>0</v>
          </cell>
          <cell r="DR16">
            <v>0</v>
          </cell>
          <cell r="DS16">
            <v>0</v>
          </cell>
          <cell r="DT16">
            <v>0</v>
          </cell>
          <cell r="DU16">
            <v>0</v>
          </cell>
          <cell r="DV16">
            <v>0</v>
          </cell>
          <cell r="DW16">
            <v>0</v>
          </cell>
          <cell r="DX16">
            <v>0</v>
          </cell>
          <cell r="DY16">
            <v>0</v>
          </cell>
          <cell r="DZ16">
            <v>0</v>
          </cell>
          <cell r="EG16">
            <v>2</v>
          </cell>
          <cell r="FK16">
            <v>1</v>
          </cell>
          <cell r="FY16">
            <v>2</v>
          </cell>
        </row>
        <row r="17">
          <cell r="B17" t="str">
            <v>BETASERON</v>
          </cell>
          <cell r="C17" t="str">
            <v>BYH</v>
          </cell>
          <cell r="D17">
            <v>5213</v>
          </cell>
          <cell r="E17">
            <v>4403</v>
          </cell>
          <cell r="F17">
            <v>5004</v>
          </cell>
          <cell r="G17">
            <v>4861</v>
          </cell>
          <cell r="H17">
            <v>5008</v>
          </cell>
          <cell r="I17">
            <v>5043</v>
          </cell>
          <cell r="J17">
            <v>4757</v>
          </cell>
          <cell r="K17">
            <v>5144</v>
          </cell>
          <cell r="L17">
            <v>5035</v>
          </cell>
          <cell r="M17">
            <v>5318</v>
          </cell>
          <cell r="N17">
            <v>4715</v>
          </cell>
          <cell r="O17">
            <v>5042</v>
          </cell>
          <cell r="P17">
            <v>5110</v>
          </cell>
          <cell r="Q17">
            <v>5149</v>
          </cell>
          <cell r="R17">
            <v>5454</v>
          </cell>
          <cell r="S17">
            <v>4925</v>
          </cell>
          <cell r="T17">
            <v>4861</v>
          </cell>
          <cell r="U17">
            <v>5152</v>
          </cell>
          <cell r="V17">
            <v>4948</v>
          </cell>
          <cell r="W17">
            <v>5254</v>
          </cell>
          <cell r="X17">
            <v>5246</v>
          </cell>
          <cell r="Y17">
            <v>4016</v>
          </cell>
          <cell r="Z17">
            <v>5683</v>
          </cell>
          <cell r="AA17">
            <v>5323</v>
          </cell>
          <cell r="AB17">
            <v>5242</v>
          </cell>
          <cell r="AC17">
            <v>5379</v>
          </cell>
          <cell r="AD17">
            <v>4662</v>
          </cell>
          <cell r="AE17">
            <v>4436</v>
          </cell>
          <cell r="AF17">
            <v>4984</v>
          </cell>
          <cell r="AG17">
            <v>5271</v>
          </cell>
          <cell r="AH17">
            <v>5148</v>
          </cell>
          <cell r="AI17">
            <v>5245</v>
          </cell>
          <cell r="AJ17">
            <v>5263</v>
          </cell>
          <cell r="AK17">
            <v>4980</v>
          </cell>
          <cell r="AL17">
            <v>4789</v>
          </cell>
          <cell r="AM17">
            <v>5330</v>
          </cell>
          <cell r="AN17">
            <v>5015</v>
          </cell>
          <cell r="AO17">
            <v>4859</v>
          </cell>
          <cell r="AP17">
            <v>4732</v>
          </cell>
          <cell r="AQ17">
            <v>4857</v>
          </cell>
          <cell r="AR17">
            <v>4746</v>
          </cell>
          <cell r="AS17">
            <v>4523</v>
          </cell>
          <cell r="AT17">
            <v>4610</v>
          </cell>
          <cell r="AU17">
            <v>4755</v>
          </cell>
          <cell r="AV17">
            <v>4658</v>
          </cell>
          <cell r="AW17">
            <v>4581</v>
          </cell>
          <cell r="AX17">
            <v>4477</v>
          </cell>
          <cell r="AY17">
            <v>4907</v>
          </cell>
          <cell r="AZ17">
            <v>4398</v>
          </cell>
          <cell r="BA17">
            <v>5291</v>
          </cell>
          <cell r="BB17">
            <v>4893</v>
          </cell>
          <cell r="BC17">
            <v>4972</v>
          </cell>
          <cell r="BD17">
            <v>5046</v>
          </cell>
          <cell r="BE17">
            <v>4592</v>
          </cell>
          <cell r="BF17">
            <v>5028</v>
          </cell>
          <cell r="BG17">
            <v>4924</v>
          </cell>
          <cell r="BH17">
            <v>4900</v>
          </cell>
          <cell r="BI17">
            <v>5010</v>
          </cell>
          <cell r="BJ17">
            <v>4973</v>
          </cell>
          <cell r="BK17">
            <v>4905</v>
          </cell>
          <cell r="BL17">
            <v>4784</v>
          </cell>
          <cell r="BM17">
            <v>5212</v>
          </cell>
          <cell r="BN17">
            <v>4632</v>
          </cell>
          <cell r="BO17">
            <v>5073</v>
          </cell>
          <cell r="BP17">
            <v>4895</v>
          </cell>
          <cell r="BQ17">
            <v>4966</v>
          </cell>
          <cell r="BR17">
            <v>5274</v>
          </cell>
          <cell r="BS17">
            <v>4631</v>
          </cell>
          <cell r="BT17">
            <v>4931</v>
          </cell>
          <cell r="BU17">
            <v>4708</v>
          </cell>
          <cell r="BV17">
            <v>4695</v>
          </cell>
          <cell r="BW17">
            <v>5084</v>
          </cell>
          <cell r="BX17">
            <v>4972</v>
          </cell>
          <cell r="BY17">
            <v>3593</v>
          </cell>
          <cell r="BZ17">
            <v>5141</v>
          </cell>
          <cell r="CA17">
            <v>4904</v>
          </cell>
          <cell r="CB17">
            <v>4796</v>
          </cell>
          <cell r="CC17">
            <v>4629</v>
          </cell>
          <cell r="CD17">
            <v>3908</v>
          </cell>
          <cell r="CE17">
            <v>4020</v>
          </cell>
          <cell r="CF17">
            <v>4489</v>
          </cell>
          <cell r="CG17">
            <v>4703</v>
          </cell>
          <cell r="CH17">
            <v>4388</v>
          </cell>
          <cell r="CI17">
            <v>4782</v>
          </cell>
          <cell r="CJ17">
            <v>4625</v>
          </cell>
          <cell r="CK17">
            <v>4530</v>
          </cell>
          <cell r="CL17">
            <v>4961</v>
          </cell>
          <cell r="CM17">
            <v>5448</v>
          </cell>
          <cell r="CN17">
            <v>5015</v>
          </cell>
          <cell r="CO17">
            <v>4742</v>
          </cell>
          <cell r="CP17">
            <v>4622</v>
          </cell>
          <cell r="CQ17">
            <v>4952</v>
          </cell>
          <cell r="CR17">
            <v>4913</v>
          </cell>
          <cell r="CS17">
            <v>4806</v>
          </cell>
          <cell r="CT17">
            <v>4576</v>
          </cell>
          <cell r="CU17">
            <v>4758</v>
          </cell>
          <cell r="CV17">
            <v>5280</v>
          </cell>
          <cell r="CW17">
            <v>4791</v>
          </cell>
          <cell r="CX17">
            <v>4828</v>
          </cell>
          <cell r="CY17">
            <v>4719</v>
          </cell>
          <cell r="CZ17">
            <v>4524</v>
          </cell>
          <cell r="DA17">
            <v>5178</v>
          </cell>
          <cell r="DB17">
            <v>4819</v>
          </cell>
          <cell r="DC17">
            <v>4576</v>
          </cell>
          <cell r="DD17">
            <v>4799</v>
          </cell>
          <cell r="DE17">
            <v>4319</v>
          </cell>
          <cell r="DF17">
            <v>5002</v>
          </cell>
          <cell r="DG17">
            <v>4780</v>
          </cell>
          <cell r="DH17">
            <v>4757</v>
          </cell>
          <cell r="DI17">
            <v>5009</v>
          </cell>
          <cell r="DJ17">
            <v>4718</v>
          </cell>
          <cell r="DK17">
            <v>4662</v>
          </cell>
          <cell r="DL17">
            <v>4989</v>
          </cell>
          <cell r="DM17">
            <v>5225</v>
          </cell>
          <cell r="DN17">
            <v>4562</v>
          </cell>
          <cell r="DO17">
            <v>4967</v>
          </cell>
          <cell r="DP17">
            <v>4831</v>
          </cell>
          <cell r="DQ17">
            <v>5056</v>
          </cell>
          <cell r="DR17">
            <v>4820</v>
          </cell>
          <cell r="DS17">
            <v>4539</v>
          </cell>
          <cell r="DT17">
            <v>4888</v>
          </cell>
          <cell r="DU17">
            <v>4943</v>
          </cell>
          <cell r="DV17">
            <v>4963</v>
          </cell>
          <cell r="DW17">
            <v>4961</v>
          </cell>
          <cell r="DX17">
            <v>4981</v>
          </cell>
          <cell r="DY17">
            <v>5327</v>
          </cell>
          <cell r="DZ17">
            <v>3928</v>
          </cell>
          <cell r="EA17">
            <v>5644</v>
          </cell>
          <cell r="EB17">
            <v>5365</v>
          </cell>
          <cell r="EC17">
            <v>5658</v>
          </cell>
          <cell r="ED17">
            <v>3884</v>
          </cell>
          <cell r="EE17">
            <v>4604</v>
          </cell>
          <cell r="EF17">
            <v>5194</v>
          </cell>
          <cell r="EG17">
            <v>4929</v>
          </cell>
          <cell r="EH17">
            <v>4918</v>
          </cell>
          <cell r="EI17">
            <v>4800</v>
          </cell>
          <cell r="EJ17">
            <v>4970</v>
          </cell>
          <cell r="EK17">
            <v>5084</v>
          </cell>
          <cell r="EL17">
            <v>5082</v>
          </cell>
          <cell r="EM17">
            <v>4968</v>
          </cell>
          <cell r="EN17">
            <v>5005</v>
          </cell>
          <cell r="EO17">
            <v>5004</v>
          </cell>
          <cell r="EP17">
            <v>5074</v>
          </cell>
          <cell r="EQ17">
            <v>5154</v>
          </cell>
          <cell r="ER17">
            <v>5105</v>
          </cell>
          <cell r="ES17">
            <v>5243</v>
          </cell>
          <cell r="ET17">
            <v>4956</v>
          </cell>
          <cell r="EU17">
            <v>5106</v>
          </cell>
          <cell r="EV17">
            <v>5397</v>
          </cell>
          <cell r="EW17">
            <v>5256</v>
          </cell>
          <cell r="EX17">
            <v>5331</v>
          </cell>
          <cell r="EY17">
            <v>5125</v>
          </cell>
          <cell r="EZ17">
            <v>4931</v>
          </cell>
          <cell r="FA17">
            <v>5281</v>
          </cell>
          <cell r="FB17">
            <v>5090</v>
          </cell>
          <cell r="FC17">
            <v>5166</v>
          </cell>
          <cell r="FD17">
            <v>5406</v>
          </cell>
          <cell r="FE17">
            <v>4574</v>
          </cell>
          <cell r="FF17">
            <v>5411</v>
          </cell>
          <cell r="FG17">
            <v>5286</v>
          </cell>
          <cell r="FH17">
            <v>5254</v>
          </cell>
          <cell r="FI17">
            <v>5228</v>
          </cell>
          <cell r="FJ17">
            <v>5097</v>
          </cell>
          <cell r="FK17">
            <v>4998</v>
          </cell>
          <cell r="FL17">
            <v>5151</v>
          </cell>
          <cell r="FM17">
            <v>5343</v>
          </cell>
          <cell r="FN17">
            <v>5307</v>
          </cell>
          <cell r="FO17">
            <v>4597</v>
          </cell>
          <cell r="FP17">
            <v>5166</v>
          </cell>
          <cell r="FQ17">
            <v>5240</v>
          </cell>
          <cell r="FR17">
            <v>5201</v>
          </cell>
          <cell r="FS17">
            <v>4896</v>
          </cell>
          <cell r="FT17">
            <v>4811</v>
          </cell>
          <cell r="FU17">
            <v>5011</v>
          </cell>
          <cell r="FV17">
            <v>5308</v>
          </cell>
          <cell r="FW17">
            <v>5005</v>
          </cell>
          <cell r="FX17">
            <v>4907</v>
          </cell>
          <cell r="FY17">
            <v>5264</v>
          </cell>
          <cell r="FZ17">
            <v>4074</v>
          </cell>
          <cell r="GA17">
            <v>5572</v>
          </cell>
          <cell r="GB17">
            <v>5023</v>
          </cell>
          <cell r="GC17">
            <v>5288</v>
          </cell>
          <cell r="GD17">
            <v>4149</v>
          </cell>
          <cell r="GE17">
            <v>4631</v>
          </cell>
          <cell r="GF17">
            <v>4848</v>
          </cell>
          <cell r="GG17">
            <v>4834</v>
          </cell>
          <cell r="GH17">
            <v>4555</v>
          </cell>
          <cell r="GI17">
            <v>4632</v>
          </cell>
          <cell r="GJ17">
            <v>4620</v>
          </cell>
          <cell r="GK17">
            <v>4380</v>
          </cell>
          <cell r="GL17">
            <v>4817</v>
          </cell>
          <cell r="GM17">
            <v>4980</v>
          </cell>
          <cell r="GN17">
            <v>4752</v>
          </cell>
        </row>
        <row r="18">
          <cell r="B18" t="str">
            <v>CALCIUM ACE</v>
          </cell>
          <cell r="C18" t="str">
            <v>ROX</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29</v>
          </cell>
          <cell r="DU18">
            <v>4291</v>
          </cell>
          <cell r="DV18">
            <v>14355</v>
          </cell>
          <cell r="DW18">
            <v>17813</v>
          </cell>
          <cell r="DX18">
            <v>11827</v>
          </cell>
          <cell r="DY18">
            <v>12594</v>
          </cell>
          <cell r="DZ18">
            <v>11182</v>
          </cell>
          <cell r="EA18">
            <v>13655</v>
          </cell>
          <cell r="EB18">
            <v>12976</v>
          </cell>
          <cell r="EC18">
            <v>12758</v>
          </cell>
          <cell r="ED18">
            <v>10732</v>
          </cell>
          <cell r="EE18">
            <v>12173</v>
          </cell>
          <cell r="EF18">
            <v>13669</v>
          </cell>
          <cell r="EG18">
            <v>13445</v>
          </cell>
          <cell r="EH18">
            <v>13484</v>
          </cell>
          <cell r="EI18">
            <v>13569</v>
          </cell>
          <cell r="EJ18">
            <v>14881</v>
          </cell>
          <cell r="EK18">
            <v>14324</v>
          </cell>
          <cell r="EL18">
            <v>13648</v>
          </cell>
          <cell r="EM18">
            <v>13777</v>
          </cell>
          <cell r="EN18">
            <v>14907</v>
          </cell>
          <cell r="EO18">
            <v>14444</v>
          </cell>
          <cell r="EP18">
            <v>14077</v>
          </cell>
          <cell r="EQ18">
            <v>14086</v>
          </cell>
          <cell r="ER18">
            <v>14512</v>
          </cell>
          <cell r="ES18">
            <v>14243</v>
          </cell>
          <cell r="ET18">
            <v>14147</v>
          </cell>
          <cell r="EU18">
            <v>14112</v>
          </cell>
          <cell r="EV18">
            <v>14897</v>
          </cell>
          <cell r="EW18">
            <v>15173</v>
          </cell>
          <cell r="EX18">
            <v>14966</v>
          </cell>
          <cell r="EY18">
            <v>14995</v>
          </cell>
          <cell r="EZ18">
            <v>14354</v>
          </cell>
          <cell r="FA18">
            <v>15812</v>
          </cell>
          <cell r="FB18">
            <v>14943</v>
          </cell>
          <cell r="FC18">
            <v>14965</v>
          </cell>
          <cell r="FD18">
            <v>14828</v>
          </cell>
          <cell r="FE18">
            <v>15767</v>
          </cell>
          <cell r="FF18">
            <v>15397</v>
          </cell>
          <cell r="FG18">
            <v>15553</v>
          </cell>
          <cell r="FH18">
            <v>15096</v>
          </cell>
          <cell r="FI18">
            <v>15056</v>
          </cell>
          <cell r="FJ18">
            <v>16212</v>
          </cell>
          <cell r="FK18">
            <v>15381</v>
          </cell>
          <cell r="FL18">
            <v>15411</v>
          </cell>
          <cell r="FM18">
            <v>15283</v>
          </cell>
          <cell r="FN18">
            <v>16200</v>
          </cell>
          <cell r="FO18">
            <v>14987</v>
          </cell>
          <cell r="FP18">
            <v>15715</v>
          </cell>
          <cell r="FQ18">
            <v>15425</v>
          </cell>
          <cell r="FR18">
            <v>15905</v>
          </cell>
          <cell r="FS18">
            <v>15519</v>
          </cell>
          <cell r="FT18">
            <v>15380</v>
          </cell>
          <cell r="FU18">
            <v>15577</v>
          </cell>
          <cell r="FV18">
            <v>15383</v>
          </cell>
          <cell r="FW18">
            <v>16418</v>
          </cell>
          <cell r="FX18">
            <v>15204</v>
          </cell>
          <cell r="FY18">
            <v>14649</v>
          </cell>
          <cell r="FZ18">
            <v>12718</v>
          </cell>
          <cell r="GA18">
            <v>15220</v>
          </cell>
          <cell r="GB18">
            <v>13712</v>
          </cell>
          <cell r="GC18">
            <v>13531</v>
          </cell>
          <cell r="GD18">
            <v>11175</v>
          </cell>
          <cell r="GE18">
            <v>12362</v>
          </cell>
          <cell r="GF18">
            <v>13228</v>
          </cell>
          <cell r="GG18">
            <v>12558</v>
          </cell>
          <cell r="GH18">
            <v>11900</v>
          </cell>
          <cell r="GI18">
            <v>12144</v>
          </cell>
          <cell r="GJ18">
            <v>12518</v>
          </cell>
          <cell r="GK18">
            <v>11803</v>
          </cell>
          <cell r="GL18">
            <v>11622</v>
          </cell>
          <cell r="GM18">
            <v>11672</v>
          </cell>
          <cell r="GN18">
            <v>12424</v>
          </cell>
        </row>
        <row r="19">
          <cell r="B19" t="str">
            <v>CALCITRIOL</v>
          </cell>
          <cell r="C19" t="str">
            <v>TEV</v>
          </cell>
          <cell r="D19">
            <v>21260</v>
          </cell>
          <cell r="E19">
            <v>20755</v>
          </cell>
          <cell r="F19">
            <v>21434</v>
          </cell>
          <cell r="G19">
            <v>20452</v>
          </cell>
          <cell r="H19">
            <v>20289</v>
          </cell>
          <cell r="I19">
            <v>22195</v>
          </cell>
          <cell r="J19">
            <v>21315</v>
          </cell>
          <cell r="K19">
            <v>20995</v>
          </cell>
          <cell r="L19">
            <v>20762</v>
          </cell>
          <cell r="M19">
            <v>21810</v>
          </cell>
          <cell r="N19">
            <v>20714</v>
          </cell>
          <cell r="O19">
            <v>21238</v>
          </cell>
          <cell r="P19">
            <v>21287</v>
          </cell>
          <cell r="Q19">
            <v>21561</v>
          </cell>
          <cell r="R19">
            <v>22926</v>
          </cell>
          <cell r="S19">
            <v>21425</v>
          </cell>
          <cell r="T19">
            <v>21123</v>
          </cell>
          <cell r="U19">
            <v>21318</v>
          </cell>
          <cell r="V19">
            <v>22578</v>
          </cell>
          <cell r="W19">
            <v>22270</v>
          </cell>
          <cell r="X19">
            <v>21530</v>
          </cell>
          <cell r="Y19">
            <v>18967</v>
          </cell>
          <cell r="Z19">
            <v>22894</v>
          </cell>
          <cell r="AA19">
            <v>23186</v>
          </cell>
          <cell r="AB19">
            <v>22264</v>
          </cell>
          <cell r="AC19">
            <v>22434</v>
          </cell>
          <cell r="AD19">
            <v>19282</v>
          </cell>
          <cell r="AE19">
            <v>22635</v>
          </cell>
          <cell r="AF19">
            <v>22370</v>
          </cell>
          <cell r="AG19">
            <v>21786</v>
          </cell>
          <cell r="AH19">
            <v>21089</v>
          </cell>
          <cell r="AI19">
            <v>23025</v>
          </cell>
          <cell r="AJ19">
            <v>23425</v>
          </cell>
          <cell r="AK19">
            <v>21764</v>
          </cell>
          <cell r="AL19">
            <v>21872</v>
          </cell>
          <cell r="AM19">
            <v>23414</v>
          </cell>
          <cell r="AN19">
            <v>23660</v>
          </cell>
          <cell r="AO19">
            <v>21816</v>
          </cell>
          <cell r="AP19">
            <v>22277</v>
          </cell>
          <cell r="AQ19">
            <v>21828</v>
          </cell>
          <cell r="AR19">
            <v>23830</v>
          </cell>
          <cell r="AS19">
            <v>22217</v>
          </cell>
          <cell r="AT19">
            <v>21993</v>
          </cell>
          <cell r="AU19">
            <v>22292</v>
          </cell>
          <cell r="AV19">
            <v>23770</v>
          </cell>
          <cell r="AW19">
            <v>23086</v>
          </cell>
          <cell r="AX19">
            <v>22088</v>
          </cell>
          <cell r="AY19">
            <v>23019</v>
          </cell>
          <cell r="AZ19">
            <v>21924</v>
          </cell>
          <cell r="BA19">
            <v>23788</v>
          </cell>
          <cell r="BB19">
            <v>23021</v>
          </cell>
          <cell r="BC19">
            <v>22776</v>
          </cell>
          <cell r="BD19">
            <v>23085</v>
          </cell>
          <cell r="BE19">
            <v>23438</v>
          </cell>
          <cell r="BF19">
            <v>23459</v>
          </cell>
          <cell r="BG19">
            <v>22773</v>
          </cell>
          <cell r="BH19">
            <v>22340</v>
          </cell>
          <cell r="BI19">
            <v>24285</v>
          </cell>
          <cell r="BJ19">
            <v>23515</v>
          </cell>
          <cell r="BK19">
            <v>22351</v>
          </cell>
          <cell r="BL19">
            <v>22417</v>
          </cell>
          <cell r="BM19">
            <v>23786</v>
          </cell>
          <cell r="BN19">
            <v>23027</v>
          </cell>
          <cell r="BO19">
            <v>23216</v>
          </cell>
          <cell r="BP19">
            <v>23051</v>
          </cell>
          <cell r="BQ19">
            <v>23198</v>
          </cell>
          <cell r="BR19">
            <v>24866</v>
          </cell>
          <cell r="BS19">
            <v>23554</v>
          </cell>
          <cell r="BT19">
            <v>23760</v>
          </cell>
          <cell r="BU19">
            <v>23691</v>
          </cell>
          <cell r="BV19">
            <v>24917</v>
          </cell>
          <cell r="BW19">
            <v>25088</v>
          </cell>
          <cell r="BX19">
            <v>24266</v>
          </cell>
          <cell r="BY19">
            <v>21466</v>
          </cell>
          <cell r="BZ19">
            <v>25619</v>
          </cell>
          <cell r="CA19">
            <v>25946</v>
          </cell>
          <cell r="CB19">
            <v>24727</v>
          </cell>
          <cell r="CC19">
            <v>25500</v>
          </cell>
          <cell r="CD19">
            <v>21214</v>
          </cell>
          <cell r="CE19">
            <v>24276</v>
          </cell>
          <cell r="CF19">
            <v>25507</v>
          </cell>
          <cell r="CG19">
            <v>24867</v>
          </cell>
          <cell r="CH19">
            <v>23922</v>
          </cell>
          <cell r="CI19">
            <v>25511</v>
          </cell>
          <cell r="CJ19">
            <v>26662</v>
          </cell>
          <cell r="CK19">
            <v>25338</v>
          </cell>
          <cell r="CL19">
            <v>24735</v>
          </cell>
          <cell r="CM19">
            <v>25930</v>
          </cell>
          <cell r="CN19">
            <v>27158</v>
          </cell>
          <cell r="CO19">
            <v>25542</v>
          </cell>
          <cell r="CP19">
            <v>25345</v>
          </cell>
          <cell r="CQ19">
            <v>25533</v>
          </cell>
          <cell r="CR19">
            <v>26701</v>
          </cell>
          <cell r="CS19">
            <v>26368</v>
          </cell>
          <cell r="CT19">
            <v>25927</v>
          </cell>
          <cell r="CU19">
            <v>25102</v>
          </cell>
          <cell r="CV19">
            <v>27088</v>
          </cell>
          <cell r="CW19">
            <v>26911</v>
          </cell>
          <cell r="CX19">
            <v>25882</v>
          </cell>
          <cell r="CY19">
            <v>26446</v>
          </cell>
          <cell r="CZ19">
            <v>24950</v>
          </cell>
          <cell r="DA19">
            <v>28102</v>
          </cell>
          <cell r="DB19">
            <v>26312</v>
          </cell>
          <cell r="DC19">
            <v>26435</v>
          </cell>
          <cell r="DD19">
            <v>26734</v>
          </cell>
          <cell r="DE19">
            <v>26030</v>
          </cell>
          <cell r="DF19">
            <v>27895</v>
          </cell>
          <cell r="DG19">
            <v>26377</v>
          </cell>
          <cell r="DH19">
            <v>26822</v>
          </cell>
          <cell r="DI19">
            <v>27167</v>
          </cell>
          <cell r="DJ19">
            <v>27477</v>
          </cell>
          <cell r="DK19">
            <v>27102</v>
          </cell>
          <cell r="DL19">
            <v>26488</v>
          </cell>
          <cell r="DM19">
            <v>27689</v>
          </cell>
          <cell r="DN19">
            <v>27647</v>
          </cell>
          <cell r="DO19">
            <v>27473</v>
          </cell>
          <cell r="DP19">
            <v>27088</v>
          </cell>
          <cell r="DQ19">
            <v>26751</v>
          </cell>
          <cell r="DR19">
            <v>29309</v>
          </cell>
          <cell r="DS19">
            <v>27970</v>
          </cell>
          <cell r="DT19">
            <v>27008</v>
          </cell>
          <cell r="DU19">
            <v>27091</v>
          </cell>
          <cell r="DV19">
            <v>27530</v>
          </cell>
          <cell r="DW19">
            <v>29616</v>
          </cell>
          <cell r="DX19">
            <v>27980</v>
          </cell>
          <cell r="DY19">
            <v>27469</v>
          </cell>
          <cell r="DZ19">
            <v>24867</v>
          </cell>
          <cell r="EA19">
            <v>31004</v>
          </cell>
          <cell r="EB19">
            <v>28469</v>
          </cell>
          <cell r="EC19">
            <v>28714</v>
          </cell>
          <cell r="ED19">
            <v>23741</v>
          </cell>
          <cell r="EE19">
            <v>27734</v>
          </cell>
          <cell r="EF19">
            <v>30667</v>
          </cell>
          <cell r="EG19">
            <v>28826</v>
          </cell>
          <cell r="EH19">
            <v>27972</v>
          </cell>
          <cell r="EI19">
            <v>28151</v>
          </cell>
          <cell r="EJ19">
            <v>31251</v>
          </cell>
          <cell r="EK19">
            <v>29003</v>
          </cell>
          <cell r="EL19">
            <v>28753</v>
          </cell>
          <cell r="EM19">
            <v>29196</v>
          </cell>
          <cell r="EN19">
            <v>31342</v>
          </cell>
          <cell r="EO19">
            <v>29904</v>
          </cell>
          <cell r="EP19">
            <v>29440</v>
          </cell>
          <cell r="EQ19">
            <v>28861</v>
          </cell>
          <cell r="ER19">
            <v>30441</v>
          </cell>
          <cell r="ES19">
            <v>29858</v>
          </cell>
          <cell r="ET19">
            <v>29326</v>
          </cell>
          <cell r="EU19">
            <v>29130</v>
          </cell>
          <cell r="EV19">
            <v>30187</v>
          </cell>
          <cell r="EW19">
            <v>30783</v>
          </cell>
          <cell r="EX19">
            <v>29429</v>
          </cell>
          <cell r="EY19">
            <v>29790</v>
          </cell>
          <cell r="EZ19">
            <v>28194</v>
          </cell>
          <cell r="FA19">
            <v>31444</v>
          </cell>
          <cell r="FB19">
            <v>30033</v>
          </cell>
          <cell r="FC19">
            <v>29384</v>
          </cell>
          <cell r="FD19">
            <v>29527</v>
          </cell>
          <cell r="FE19">
            <v>31055</v>
          </cell>
          <cell r="FF19">
            <v>29827</v>
          </cell>
          <cell r="FG19">
            <v>29704</v>
          </cell>
          <cell r="FH19">
            <v>28300</v>
          </cell>
          <cell r="FI19">
            <v>29335</v>
          </cell>
          <cell r="FJ19">
            <v>31173</v>
          </cell>
          <cell r="FK19">
            <v>29682</v>
          </cell>
          <cell r="FL19">
            <v>29103</v>
          </cell>
          <cell r="FM19">
            <v>28994</v>
          </cell>
          <cell r="FN19">
            <v>31360</v>
          </cell>
          <cell r="FO19">
            <v>28283</v>
          </cell>
          <cell r="FP19">
            <v>29445</v>
          </cell>
          <cell r="FQ19">
            <v>29356</v>
          </cell>
          <cell r="FR19">
            <v>30544</v>
          </cell>
          <cell r="FS19">
            <v>29446</v>
          </cell>
          <cell r="FT19">
            <v>29233</v>
          </cell>
          <cell r="FU19">
            <v>29048</v>
          </cell>
          <cell r="FV19">
            <v>29202</v>
          </cell>
          <cell r="FW19">
            <v>30279</v>
          </cell>
          <cell r="FX19">
            <v>28858</v>
          </cell>
          <cell r="FY19">
            <v>28401</v>
          </cell>
          <cell r="FZ19">
            <v>25383</v>
          </cell>
          <cell r="GA19">
            <v>31347</v>
          </cell>
          <cell r="GB19">
            <v>27889</v>
          </cell>
          <cell r="GC19">
            <v>27824</v>
          </cell>
          <cell r="GD19">
            <v>22998</v>
          </cell>
          <cell r="GE19">
            <v>26271</v>
          </cell>
          <cell r="GF19">
            <v>29333</v>
          </cell>
          <cell r="GG19">
            <v>27261</v>
          </cell>
          <cell r="GH19">
            <v>25877</v>
          </cell>
          <cell r="GI19">
            <v>26579</v>
          </cell>
          <cell r="GJ19">
            <v>28519</v>
          </cell>
          <cell r="GK19">
            <v>26390</v>
          </cell>
          <cell r="GL19">
            <v>26099</v>
          </cell>
          <cell r="GM19">
            <v>26199</v>
          </cell>
          <cell r="GN19">
            <v>29191</v>
          </cell>
        </row>
        <row r="20">
          <cell r="B20" t="str">
            <v>CALCITRIOL</v>
          </cell>
          <cell r="C20" t="str">
            <v>SI.</v>
          </cell>
          <cell r="D20">
            <v>14</v>
          </cell>
          <cell r="E20">
            <v>12</v>
          </cell>
          <cell r="F20">
            <v>13</v>
          </cell>
          <cell r="G20">
            <v>13</v>
          </cell>
          <cell r="H20">
            <v>16</v>
          </cell>
          <cell r="I20">
            <v>12</v>
          </cell>
          <cell r="J20">
            <v>9</v>
          </cell>
          <cell r="K20">
            <v>9</v>
          </cell>
          <cell r="L20">
            <v>17</v>
          </cell>
          <cell r="M20">
            <v>8</v>
          </cell>
          <cell r="N20">
            <v>5</v>
          </cell>
          <cell r="O20">
            <v>21</v>
          </cell>
          <cell r="P20">
            <v>8</v>
          </cell>
          <cell r="Q20">
            <v>13</v>
          </cell>
          <cell r="R20">
            <v>6</v>
          </cell>
          <cell r="S20">
            <v>10</v>
          </cell>
          <cell r="T20">
            <v>6</v>
          </cell>
          <cell r="U20">
            <v>6</v>
          </cell>
          <cell r="V20">
            <v>10</v>
          </cell>
          <cell r="W20">
            <v>6</v>
          </cell>
          <cell r="X20">
            <v>15</v>
          </cell>
          <cell r="Y20">
            <v>13</v>
          </cell>
          <cell r="Z20">
            <v>27</v>
          </cell>
          <cell r="AA20">
            <v>30</v>
          </cell>
          <cell r="AB20">
            <v>35</v>
          </cell>
          <cell r="AC20">
            <v>16</v>
          </cell>
          <cell r="AD20">
            <v>9</v>
          </cell>
          <cell r="AE20">
            <v>2</v>
          </cell>
          <cell r="AF20">
            <v>13</v>
          </cell>
          <cell r="AG20">
            <v>7</v>
          </cell>
          <cell r="AH20">
            <v>17</v>
          </cell>
          <cell r="AI20">
            <v>9</v>
          </cell>
          <cell r="AJ20">
            <v>13</v>
          </cell>
          <cell r="AK20">
            <v>9</v>
          </cell>
          <cell r="AL20">
            <v>13</v>
          </cell>
          <cell r="AM20">
            <v>10</v>
          </cell>
          <cell r="AN20">
            <v>25</v>
          </cell>
          <cell r="AO20">
            <v>5</v>
          </cell>
          <cell r="AP20">
            <v>12</v>
          </cell>
          <cell r="AQ20">
            <v>14</v>
          </cell>
          <cell r="AR20">
            <v>26</v>
          </cell>
          <cell r="AS20">
            <v>8</v>
          </cell>
          <cell r="AT20">
            <v>11</v>
          </cell>
          <cell r="AU20">
            <v>5</v>
          </cell>
          <cell r="AV20">
            <v>12</v>
          </cell>
          <cell r="AW20">
            <v>5</v>
          </cell>
          <cell r="AX20">
            <v>4</v>
          </cell>
          <cell r="AY20">
            <v>4</v>
          </cell>
          <cell r="AZ20">
            <v>7</v>
          </cell>
          <cell r="BA20">
            <v>2</v>
          </cell>
          <cell r="BB20">
            <v>5</v>
          </cell>
          <cell r="BC20">
            <v>3</v>
          </cell>
          <cell r="BD20">
            <v>5</v>
          </cell>
          <cell r="BE20">
            <v>2</v>
          </cell>
          <cell r="BF20">
            <v>2</v>
          </cell>
          <cell r="BG20">
            <v>5</v>
          </cell>
          <cell r="BH20">
            <v>0</v>
          </cell>
          <cell r="BI20">
            <v>10</v>
          </cell>
          <cell r="BJ20">
            <v>2</v>
          </cell>
          <cell r="BK20">
            <v>1</v>
          </cell>
          <cell r="BL20">
            <v>5</v>
          </cell>
          <cell r="BM20">
            <v>2</v>
          </cell>
          <cell r="BN20">
            <v>1</v>
          </cell>
          <cell r="BO20">
            <v>7</v>
          </cell>
          <cell r="BP20">
            <v>3</v>
          </cell>
          <cell r="BQ20">
            <v>4</v>
          </cell>
          <cell r="BR20">
            <v>3</v>
          </cell>
          <cell r="BS20">
            <v>2</v>
          </cell>
          <cell r="BT20">
            <v>2</v>
          </cell>
          <cell r="BU20">
            <v>7</v>
          </cell>
          <cell r="BV20">
            <v>8</v>
          </cell>
          <cell r="BW20">
            <v>6</v>
          </cell>
          <cell r="BX20">
            <v>2</v>
          </cell>
          <cell r="BY20">
            <v>4</v>
          </cell>
          <cell r="BZ20">
            <v>4</v>
          </cell>
          <cell r="CA20">
            <v>6</v>
          </cell>
          <cell r="CB20">
            <v>1</v>
          </cell>
          <cell r="CC20">
            <v>5</v>
          </cell>
          <cell r="CD20">
            <v>2</v>
          </cell>
          <cell r="CE20">
            <v>1</v>
          </cell>
          <cell r="CF20">
            <v>4</v>
          </cell>
          <cell r="CG20">
            <v>2</v>
          </cell>
          <cell r="CH20">
            <v>6</v>
          </cell>
          <cell r="CI20">
            <v>8</v>
          </cell>
          <cell r="CJ20">
            <v>1</v>
          </cell>
          <cell r="CK20">
            <v>0</v>
          </cell>
          <cell r="CL20">
            <v>4</v>
          </cell>
          <cell r="CM20">
            <v>0</v>
          </cell>
          <cell r="CN20">
            <v>0</v>
          </cell>
          <cell r="CO20">
            <v>0</v>
          </cell>
          <cell r="CP20">
            <v>0</v>
          </cell>
          <cell r="CQ20">
            <v>0</v>
          </cell>
          <cell r="CR20">
            <v>0</v>
          </cell>
          <cell r="CS20">
            <v>4</v>
          </cell>
          <cell r="CT20">
            <v>1</v>
          </cell>
          <cell r="CU20">
            <v>1</v>
          </cell>
          <cell r="CV20">
            <v>3</v>
          </cell>
          <cell r="CW20">
            <v>0</v>
          </cell>
          <cell r="CX20">
            <v>5</v>
          </cell>
          <cell r="CY20">
            <v>3</v>
          </cell>
          <cell r="CZ20">
            <v>3</v>
          </cell>
          <cell r="DA20">
            <v>2</v>
          </cell>
          <cell r="DB20">
            <v>1</v>
          </cell>
          <cell r="DC20">
            <v>3</v>
          </cell>
          <cell r="DD20">
            <v>9</v>
          </cell>
          <cell r="DE20">
            <v>0</v>
          </cell>
          <cell r="DF20">
            <v>2</v>
          </cell>
          <cell r="DG20">
            <v>3</v>
          </cell>
          <cell r="DH20">
            <v>1</v>
          </cell>
          <cell r="DI20">
            <v>0</v>
          </cell>
          <cell r="DJ20">
            <v>2</v>
          </cell>
          <cell r="DK20">
            <v>0</v>
          </cell>
          <cell r="DL20">
            <v>7</v>
          </cell>
          <cell r="DM20">
            <v>0</v>
          </cell>
          <cell r="DN20">
            <v>0</v>
          </cell>
          <cell r="DO20">
            <v>0</v>
          </cell>
          <cell r="DP20">
            <v>0</v>
          </cell>
          <cell r="DQ20">
            <v>2</v>
          </cell>
          <cell r="DR20">
            <v>4</v>
          </cell>
          <cell r="DS20">
            <v>0</v>
          </cell>
          <cell r="DT20">
            <v>0</v>
          </cell>
          <cell r="DU20">
            <v>0</v>
          </cell>
          <cell r="DV20">
            <v>1</v>
          </cell>
          <cell r="DW20">
            <v>2</v>
          </cell>
          <cell r="DX20">
            <v>0</v>
          </cell>
          <cell r="DY20">
            <v>5</v>
          </cell>
          <cell r="DZ20">
            <v>0</v>
          </cell>
          <cell r="EJ20">
            <v>3</v>
          </cell>
          <cell r="EL20">
            <v>1</v>
          </cell>
          <cell r="EO20">
            <v>4</v>
          </cell>
          <cell r="ES20">
            <v>6</v>
          </cell>
          <cell r="ET20">
            <v>6</v>
          </cell>
          <cell r="EV20">
            <v>2</v>
          </cell>
          <cell r="EW20">
            <v>1</v>
          </cell>
          <cell r="EX20">
            <v>2</v>
          </cell>
          <cell r="FB20">
            <v>1</v>
          </cell>
          <cell r="FE20">
            <v>3</v>
          </cell>
          <cell r="GD20">
            <v>2</v>
          </cell>
          <cell r="GH20">
            <v>2</v>
          </cell>
        </row>
        <row r="21">
          <cell r="B21" t="str">
            <v>CALCITRIOL</v>
          </cell>
          <cell r="C21" t="str">
            <v>A2P</v>
          </cell>
          <cell r="D21">
            <v>9</v>
          </cell>
          <cell r="E21">
            <v>3</v>
          </cell>
          <cell r="F21">
            <v>6</v>
          </cell>
          <cell r="G21">
            <v>3</v>
          </cell>
          <cell r="H21">
            <v>2</v>
          </cell>
          <cell r="I21">
            <v>0</v>
          </cell>
          <cell r="J21">
            <v>1</v>
          </cell>
          <cell r="K21">
            <v>2</v>
          </cell>
          <cell r="L21">
            <v>2</v>
          </cell>
          <cell r="M21">
            <v>0</v>
          </cell>
          <cell r="N21">
            <v>1</v>
          </cell>
          <cell r="O21">
            <v>0</v>
          </cell>
          <cell r="P21">
            <v>3</v>
          </cell>
          <cell r="Q21">
            <v>1</v>
          </cell>
          <cell r="R21">
            <v>1</v>
          </cell>
          <cell r="S21">
            <v>0</v>
          </cell>
          <cell r="T21">
            <v>1</v>
          </cell>
          <cell r="U21">
            <v>1</v>
          </cell>
          <cell r="V21">
            <v>3</v>
          </cell>
          <cell r="W21">
            <v>1</v>
          </cell>
          <cell r="X21">
            <v>0</v>
          </cell>
          <cell r="Y21">
            <v>1</v>
          </cell>
          <cell r="Z21">
            <v>0</v>
          </cell>
          <cell r="AA21">
            <v>3</v>
          </cell>
          <cell r="AB21">
            <v>0</v>
          </cell>
          <cell r="AC21">
            <v>1</v>
          </cell>
          <cell r="AD21">
            <v>1</v>
          </cell>
          <cell r="AE21">
            <v>0</v>
          </cell>
          <cell r="AF21">
            <v>0</v>
          </cell>
          <cell r="AG21">
            <v>3</v>
          </cell>
          <cell r="AH21">
            <v>0</v>
          </cell>
          <cell r="AI21">
            <v>0</v>
          </cell>
          <cell r="AJ21">
            <v>0</v>
          </cell>
          <cell r="AK21">
            <v>0</v>
          </cell>
          <cell r="AL21">
            <v>0</v>
          </cell>
          <cell r="AM21">
            <v>2</v>
          </cell>
          <cell r="AN21">
            <v>0</v>
          </cell>
          <cell r="AO21">
            <v>0</v>
          </cell>
          <cell r="AP21">
            <v>1</v>
          </cell>
          <cell r="AQ21">
            <v>0</v>
          </cell>
          <cell r="AR21">
            <v>1</v>
          </cell>
          <cell r="AS21">
            <v>0</v>
          </cell>
          <cell r="AT21">
            <v>6</v>
          </cell>
          <cell r="AU21">
            <v>5</v>
          </cell>
          <cell r="AV21">
            <v>4</v>
          </cell>
          <cell r="AW21">
            <v>2</v>
          </cell>
          <cell r="AX21">
            <v>2</v>
          </cell>
          <cell r="AY21">
            <v>8</v>
          </cell>
          <cell r="AZ21">
            <v>5</v>
          </cell>
          <cell r="BA21">
            <v>5</v>
          </cell>
          <cell r="BB21">
            <v>4</v>
          </cell>
          <cell r="BC21">
            <v>2</v>
          </cell>
          <cell r="BD21">
            <v>7</v>
          </cell>
          <cell r="BE21">
            <v>1</v>
          </cell>
          <cell r="BF21">
            <v>3</v>
          </cell>
          <cell r="BG21">
            <v>7</v>
          </cell>
          <cell r="BH21">
            <v>10</v>
          </cell>
          <cell r="BI21">
            <v>1</v>
          </cell>
          <cell r="BJ21">
            <v>5</v>
          </cell>
          <cell r="BK21">
            <v>5</v>
          </cell>
          <cell r="BL21">
            <v>8</v>
          </cell>
          <cell r="BM21">
            <v>3</v>
          </cell>
          <cell r="BN21">
            <v>1</v>
          </cell>
          <cell r="BO21">
            <v>1</v>
          </cell>
          <cell r="BP21">
            <v>3</v>
          </cell>
          <cell r="BQ21">
            <v>8</v>
          </cell>
          <cell r="BR21">
            <v>6</v>
          </cell>
          <cell r="BS21">
            <v>0</v>
          </cell>
          <cell r="BT21">
            <v>1</v>
          </cell>
          <cell r="BU21">
            <v>10</v>
          </cell>
          <cell r="BV21">
            <v>2</v>
          </cell>
          <cell r="BW21">
            <v>0</v>
          </cell>
          <cell r="BX21">
            <v>0</v>
          </cell>
          <cell r="BY21">
            <v>4</v>
          </cell>
          <cell r="BZ21">
            <v>5</v>
          </cell>
          <cell r="CA21">
            <v>8</v>
          </cell>
          <cell r="CB21">
            <v>5</v>
          </cell>
          <cell r="CC21">
            <v>11</v>
          </cell>
          <cell r="CD21">
            <v>4</v>
          </cell>
          <cell r="CE21">
            <v>2</v>
          </cell>
          <cell r="CF21">
            <v>9</v>
          </cell>
          <cell r="CG21">
            <v>2</v>
          </cell>
          <cell r="CH21">
            <v>3</v>
          </cell>
          <cell r="CI21">
            <v>1</v>
          </cell>
          <cell r="CJ21">
            <v>0</v>
          </cell>
          <cell r="CK21">
            <v>5</v>
          </cell>
          <cell r="CL21">
            <v>0</v>
          </cell>
          <cell r="CM21">
            <v>2</v>
          </cell>
          <cell r="CN21">
            <v>6</v>
          </cell>
          <cell r="CO21">
            <v>0</v>
          </cell>
          <cell r="CP21">
            <v>6</v>
          </cell>
          <cell r="CQ21">
            <v>1</v>
          </cell>
          <cell r="CR21">
            <v>1</v>
          </cell>
          <cell r="CS21">
            <v>6</v>
          </cell>
          <cell r="CT21">
            <v>7</v>
          </cell>
          <cell r="CU21">
            <v>0</v>
          </cell>
          <cell r="CV21">
            <v>10</v>
          </cell>
          <cell r="CW21">
            <v>3</v>
          </cell>
          <cell r="CX21">
            <v>3</v>
          </cell>
          <cell r="CY21">
            <v>6</v>
          </cell>
          <cell r="CZ21">
            <v>7</v>
          </cell>
          <cell r="DA21">
            <v>5</v>
          </cell>
          <cell r="DB21">
            <v>6</v>
          </cell>
          <cell r="DC21">
            <v>3</v>
          </cell>
          <cell r="DD21">
            <v>6</v>
          </cell>
          <cell r="DE21">
            <v>0</v>
          </cell>
          <cell r="DF21">
            <v>3</v>
          </cell>
          <cell r="DG21">
            <v>1</v>
          </cell>
          <cell r="DH21">
            <v>1</v>
          </cell>
          <cell r="DI21">
            <v>0</v>
          </cell>
          <cell r="DJ21">
            <v>0</v>
          </cell>
          <cell r="DK21">
            <v>1</v>
          </cell>
          <cell r="DL21">
            <v>0</v>
          </cell>
          <cell r="DM21">
            <v>3</v>
          </cell>
          <cell r="DN21">
            <v>1</v>
          </cell>
          <cell r="DO21">
            <v>0</v>
          </cell>
          <cell r="DP21">
            <v>0</v>
          </cell>
          <cell r="DQ21">
            <v>0</v>
          </cell>
          <cell r="DR21">
            <v>6</v>
          </cell>
          <cell r="DS21">
            <v>0</v>
          </cell>
          <cell r="DT21">
            <v>0</v>
          </cell>
          <cell r="DU21">
            <v>0</v>
          </cell>
          <cell r="DV21">
            <v>1</v>
          </cell>
          <cell r="DW21">
            <v>4</v>
          </cell>
          <cell r="DX21">
            <v>1</v>
          </cell>
          <cell r="DY21">
            <v>1</v>
          </cell>
          <cell r="DZ21">
            <v>1</v>
          </cell>
          <cell r="EA21">
            <v>8</v>
          </cell>
          <cell r="EB21">
            <v>2</v>
          </cell>
          <cell r="EC21">
            <v>1</v>
          </cell>
          <cell r="EE21">
            <v>10</v>
          </cell>
          <cell r="EF21">
            <v>1</v>
          </cell>
          <cell r="EG21">
            <v>3</v>
          </cell>
          <cell r="EH21">
            <v>0</v>
          </cell>
          <cell r="EI21">
            <v>7</v>
          </cell>
          <cell r="EJ21">
            <v>1</v>
          </cell>
          <cell r="EK21">
            <v>5</v>
          </cell>
          <cell r="EL21">
            <v>5</v>
          </cell>
          <cell r="EM21">
            <v>3</v>
          </cell>
          <cell r="EN21">
            <v>6</v>
          </cell>
          <cell r="EP21">
            <v>3</v>
          </cell>
          <cell r="ER21">
            <v>15</v>
          </cell>
          <cell r="ES21">
            <v>4</v>
          </cell>
          <cell r="EV21">
            <v>5</v>
          </cell>
          <cell r="EW21">
            <v>6</v>
          </cell>
          <cell r="EX21">
            <v>1</v>
          </cell>
          <cell r="FA21">
            <v>10</v>
          </cell>
          <cell r="FB21">
            <v>1</v>
          </cell>
          <cell r="FD21">
            <v>3</v>
          </cell>
          <cell r="FE21">
            <v>9</v>
          </cell>
          <cell r="FF21">
            <v>3</v>
          </cell>
          <cell r="FG21">
            <v>2</v>
          </cell>
          <cell r="FH21">
            <v>1</v>
          </cell>
          <cell r="FI21">
            <v>3</v>
          </cell>
          <cell r="FJ21">
            <v>10</v>
          </cell>
          <cell r="FK21">
            <v>5</v>
          </cell>
          <cell r="FL21">
            <v>2</v>
          </cell>
          <cell r="FM21">
            <v>1</v>
          </cell>
          <cell r="FN21">
            <v>10</v>
          </cell>
          <cell r="FO21">
            <v>4</v>
          </cell>
          <cell r="FP21">
            <v>11</v>
          </cell>
          <cell r="FQ21">
            <v>5</v>
          </cell>
          <cell r="FR21">
            <v>1</v>
          </cell>
          <cell r="FS21">
            <v>12</v>
          </cell>
          <cell r="FT21">
            <v>8</v>
          </cell>
          <cell r="FV21">
            <v>11</v>
          </cell>
          <cell r="FW21">
            <v>2</v>
          </cell>
          <cell r="FX21">
            <v>2</v>
          </cell>
          <cell r="FY21">
            <v>18</v>
          </cell>
          <cell r="FZ21">
            <v>5</v>
          </cell>
          <cell r="GA21">
            <v>15</v>
          </cell>
          <cell r="GB21">
            <v>8</v>
          </cell>
          <cell r="GC21">
            <v>3</v>
          </cell>
          <cell r="GD21">
            <v>15</v>
          </cell>
          <cell r="GE21">
            <v>13</v>
          </cell>
          <cell r="GF21">
            <v>8</v>
          </cell>
          <cell r="GG21">
            <v>29</v>
          </cell>
          <cell r="GH21">
            <v>19</v>
          </cell>
          <cell r="GI21">
            <v>19</v>
          </cell>
          <cell r="GJ21">
            <v>19</v>
          </cell>
          <cell r="GK21">
            <v>21</v>
          </cell>
          <cell r="GL21">
            <v>22</v>
          </cell>
          <cell r="GM21">
            <v>17</v>
          </cell>
          <cell r="GN21">
            <v>12</v>
          </cell>
        </row>
        <row r="22">
          <cell r="B22" t="str">
            <v>CALCITRIOL</v>
          </cell>
          <cell r="C22" t="str">
            <v>ROX</v>
          </cell>
          <cell r="D22">
            <v>617</v>
          </cell>
          <cell r="E22">
            <v>683</v>
          </cell>
          <cell r="F22">
            <v>745</v>
          </cell>
          <cell r="G22">
            <v>762</v>
          </cell>
          <cell r="H22">
            <v>800</v>
          </cell>
          <cell r="I22">
            <v>904</v>
          </cell>
          <cell r="J22">
            <v>895</v>
          </cell>
          <cell r="K22">
            <v>966</v>
          </cell>
          <cell r="L22">
            <v>966</v>
          </cell>
          <cell r="M22">
            <v>1044</v>
          </cell>
          <cell r="N22">
            <v>1083</v>
          </cell>
          <cell r="O22">
            <v>1136</v>
          </cell>
          <cell r="P22">
            <v>1128</v>
          </cell>
          <cell r="Q22">
            <v>1071</v>
          </cell>
          <cell r="R22">
            <v>1375</v>
          </cell>
          <cell r="S22">
            <v>1227</v>
          </cell>
          <cell r="T22">
            <v>1335</v>
          </cell>
          <cell r="U22">
            <v>1423</v>
          </cell>
          <cell r="V22">
            <v>1437</v>
          </cell>
          <cell r="W22">
            <v>1502</v>
          </cell>
          <cell r="X22">
            <v>1385</v>
          </cell>
          <cell r="Y22">
            <v>1286</v>
          </cell>
          <cell r="Z22">
            <v>1547</v>
          </cell>
          <cell r="AA22">
            <v>1620</v>
          </cell>
          <cell r="AB22">
            <v>1759</v>
          </cell>
          <cell r="AC22">
            <v>1659</v>
          </cell>
          <cell r="AD22">
            <v>1550</v>
          </cell>
          <cell r="AE22">
            <v>1859</v>
          </cell>
          <cell r="AF22">
            <v>2082</v>
          </cell>
          <cell r="AG22">
            <v>2087</v>
          </cell>
          <cell r="AH22">
            <v>2095</v>
          </cell>
          <cell r="AI22">
            <v>2412</v>
          </cell>
          <cell r="AJ22">
            <v>2519</v>
          </cell>
          <cell r="AK22">
            <v>2404</v>
          </cell>
          <cell r="AL22">
            <v>2549</v>
          </cell>
          <cell r="AM22">
            <v>2810</v>
          </cell>
          <cell r="AN22">
            <v>2841</v>
          </cell>
          <cell r="AO22">
            <v>2775</v>
          </cell>
          <cell r="AP22">
            <v>2778</v>
          </cell>
          <cell r="AQ22">
            <v>2987</v>
          </cell>
          <cell r="AR22">
            <v>3075</v>
          </cell>
          <cell r="AS22">
            <v>3102</v>
          </cell>
          <cell r="AT22">
            <v>2940</v>
          </cell>
          <cell r="AU22">
            <v>3124</v>
          </cell>
          <cell r="AV22">
            <v>3355</v>
          </cell>
          <cell r="AW22">
            <v>3234</v>
          </cell>
          <cell r="AX22">
            <v>3222</v>
          </cell>
          <cell r="AY22">
            <v>3345</v>
          </cell>
          <cell r="AZ22">
            <v>3127</v>
          </cell>
          <cell r="BA22">
            <v>3495</v>
          </cell>
          <cell r="BB22">
            <v>3393</v>
          </cell>
          <cell r="BC22">
            <v>3257</v>
          </cell>
          <cell r="BD22">
            <v>3558</v>
          </cell>
          <cell r="BE22">
            <v>3540</v>
          </cell>
          <cell r="BF22">
            <v>3586</v>
          </cell>
          <cell r="BG22">
            <v>3506</v>
          </cell>
          <cell r="BH22">
            <v>3453</v>
          </cell>
          <cell r="BI22">
            <v>3751</v>
          </cell>
          <cell r="BJ22">
            <v>3690</v>
          </cell>
          <cell r="BK22">
            <v>3632</v>
          </cell>
          <cell r="BL22">
            <v>3714</v>
          </cell>
          <cell r="BM22">
            <v>3941</v>
          </cell>
          <cell r="BN22">
            <v>3836</v>
          </cell>
          <cell r="BO22">
            <v>3819</v>
          </cell>
          <cell r="BP22">
            <v>3778</v>
          </cell>
          <cell r="BQ22">
            <v>3796</v>
          </cell>
          <cell r="BR22">
            <v>4000</v>
          </cell>
          <cell r="BS22">
            <v>3496</v>
          </cell>
          <cell r="BT22">
            <v>3611</v>
          </cell>
          <cell r="BU22">
            <v>3663</v>
          </cell>
          <cell r="BV22">
            <v>3668</v>
          </cell>
          <cell r="BW22">
            <v>3676</v>
          </cell>
          <cell r="BX22">
            <v>3519</v>
          </cell>
          <cell r="BY22">
            <v>3117</v>
          </cell>
          <cell r="BZ22">
            <v>3916</v>
          </cell>
          <cell r="CA22">
            <v>4125</v>
          </cell>
          <cell r="CB22">
            <v>3902</v>
          </cell>
          <cell r="CC22">
            <v>4033</v>
          </cell>
          <cell r="CD22">
            <v>3267</v>
          </cell>
          <cell r="CE22">
            <v>4008</v>
          </cell>
          <cell r="CF22">
            <v>4098</v>
          </cell>
          <cell r="CG22">
            <v>4085</v>
          </cell>
          <cell r="CH22">
            <v>3922</v>
          </cell>
          <cell r="CI22">
            <v>4028</v>
          </cell>
          <cell r="CJ22">
            <v>4356</v>
          </cell>
          <cell r="CK22">
            <v>4207</v>
          </cell>
          <cell r="CL22">
            <v>4043</v>
          </cell>
          <cell r="CM22">
            <v>4260</v>
          </cell>
          <cell r="CN22">
            <v>4703</v>
          </cell>
          <cell r="CO22">
            <v>4494</v>
          </cell>
          <cell r="CP22">
            <v>4312</v>
          </cell>
          <cell r="CQ22">
            <v>4303</v>
          </cell>
          <cell r="CR22">
            <v>4764</v>
          </cell>
          <cell r="CS22">
            <v>4438</v>
          </cell>
          <cell r="CT22">
            <v>4493</v>
          </cell>
          <cell r="CU22">
            <v>4496</v>
          </cell>
          <cell r="CV22">
            <v>4930</v>
          </cell>
          <cell r="CW22">
            <v>4641</v>
          </cell>
          <cell r="CX22">
            <v>4648</v>
          </cell>
          <cell r="CY22">
            <v>4708</v>
          </cell>
          <cell r="CZ22">
            <v>4329</v>
          </cell>
          <cell r="DA22">
            <v>4945</v>
          </cell>
          <cell r="DB22">
            <v>4674</v>
          </cell>
          <cell r="DC22">
            <v>4747</v>
          </cell>
          <cell r="DD22">
            <v>4922</v>
          </cell>
          <cell r="DE22">
            <v>4392</v>
          </cell>
          <cell r="DF22">
            <v>5194</v>
          </cell>
          <cell r="DG22">
            <v>4854</v>
          </cell>
          <cell r="DH22">
            <v>4792</v>
          </cell>
          <cell r="DI22">
            <v>4884</v>
          </cell>
          <cell r="DJ22">
            <v>4824</v>
          </cell>
          <cell r="DK22">
            <v>4886</v>
          </cell>
          <cell r="DL22">
            <v>4782</v>
          </cell>
          <cell r="DM22">
            <v>4830</v>
          </cell>
          <cell r="DN22">
            <v>4906</v>
          </cell>
          <cell r="DO22">
            <v>4895</v>
          </cell>
          <cell r="DP22">
            <v>4841</v>
          </cell>
          <cell r="DQ22">
            <v>4940</v>
          </cell>
          <cell r="DR22">
            <v>5154</v>
          </cell>
          <cell r="DS22">
            <v>4879</v>
          </cell>
          <cell r="DT22">
            <v>4893</v>
          </cell>
          <cell r="DU22">
            <v>4877</v>
          </cell>
          <cell r="DV22">
            <v>4639</v>
          </cell>
          <cell r="DW22">
            <v>5246</v>
          </cell>
          <cell r="DX22">
            <v>4966</v>
          </cell>
          <cell r="DY22">
            <v>5032</v>
          </cell>
          <cell r="DZ22">
            <v>4414</v>
          </cell>
          <cell r="EA22">
            <v>5784</v>
          </cell>
          <cell r="EB22">
            <v>4952</v>
          </cell>
          <cell r="EC22">
            <v>5133</v>
          </cell>
          <cell r="ED22">
            <v>4086</v>
          </cell>
          <cell r="EE22">
            <v>5093</v>
          </cell>
          <cell r="EF22">
            <v>5470</v>
          </cell>
          <cell r="EG22">
            <v>4950</v>
          </cell>
          <cell r="EH22">
            <v>4705</v>
          </cell>
          <cell r="EI22">
            <v>4705</v>
          </cell>
          <cell r="EJ22">
            <v>5606</v>
          </cell>
          <cell r="EK22">
            <v>4904</v>
          </cell>
          <cell r="EL22">
            <v>4787</v>
          </cell>
          <cell r="EM22">
            <v>5112</v>
          </cell>
          <cell r="EN22">
            <v>5416</v>
          </cell>
          <cell r="EO22">
            <v>5040</v>
          </cell>
          <cell r="EP22">
            <v>4819</v>
          </cell>
          <cell r="EQ22">
            <v>4950</v>
          </cell>
          <cell r="ER22">
            <v>5216</v>
          </cell>
          <cell r="ES22">
            <v>5202</v>
          </cell>
          <cell r="ET22">
            <v>4904</v>
          </cell>
          <cell r="EU22">
            <v>5070</v>
          </cell>
          <cell r="EV22">
            <v>5090</v>
          </cell>
          <cell r="EW22">
            <v>5293</v>
          </cell>
          <cell r="EX22">
            <v>4969</v>
          </cell>
          <cell r="EY22">
            <v>5282</v>
          </cell>
          <cell r="EZ22">
            <v>4839</v>
          </cell>
          <cell r="FA22">
            <v>5587</v>
          </cell>
          <cell r="FB22">
            <v>5154</v>
          </cell>
          <cell r="FC22">
            <v>4980</v>
          </cell>
          <cell r="FD22">
            <v>5220</v>
          </cell>
          <cell r="FE22">
            <v>5459</v>
          </cell>
          <cell r="FF22">
            <v>5334</v>
          </cell>
          <cell r="FG22">
            <v>5202</v>
          </cell>
          <cell r="FH22">
            <v>5154</v>
          </cell>
          <cell r="FI22">
            <v>5128</v>
          </cell>
          <cell r="FJ22">
            <v>5538</v>
          </cell>
          <cell r="FK22">
            <v>5104</v>
          </cell>
          <cell r="FL22">
            <v>4924</v>
          </cell>
          <cell r="FM22">
            <v>5044</v>
          </cell>
          <cell r="FN22">
            <v>5707</v>
          </cell>
          <cell r="FO22">
            <v>5033</v>
          </cell>
          <cell r="FP22">
            <v>5299</v>
          </cell>
          <cell r="FQ22">
            <v>5169</v>
          </cell>
          <cell r="FR22">
            <v>5508</v>
          </cell>
          <cell r="FS22">
            <v>5297</v>
          </cell>
          <cell r="FT22">
            <v>5042</v>
          </cell>
          <cell r="FU22">
            <v>5164</v>
          </cell>
          <cell r="FV22">
            <v>5077</v>
          </cell>
          <cell r="FW22">
            <v>5614</v>
          </cell>
          <cell r="FX22">
            <v>5272</v>
          </cell>
          <cell r="FY22">
            <v>5208</v>
          </cell>
          <cell r="FZ22">
            <v>4348</v>
          </cell>
          <cell r="GA22">
            <v>5967</v>
          </cell>
          <cell r="GB22">
            <v>5333</v>
          </cell>
          <cell r="GC22">
            <v>5219</v>
          </cell>
          <cell r="GD22">
            <v>4184</v>
          </cell>
          <cell r="GE22">
            <v>4706</v>
          </cell>
          <cell r="GF22">
            <v>5784</v>
          </cell>
          <cell r="GG22">
            <v>5048</v>
          </cell>
          <cell r="GH22">
            <v>4685</v>
          </cell>
          <cell r="GI22">
            <v>4664</v>
          </cell>
          <cell r="GJ22">
            <v>5456</v>
          </cell>
          <cell r="GK22">
            <v>4797</v>
          </cell>
          <cell r="GL22">
            <v>4685</v>
          </cell>
          <cell r="GM22">
            <v>4860</v>
          </cell>
          <cell r="GN22">
            <v>5567</v>
          </cell>
        </row>
        <row r="23">
          <cell r="B23" t="str">
            <v xml:space="preserve">CALCITRIOL </v>
          </cell>
          <cell r="C23" t="str">
            <v>A-R</v>
          </cell>
          <cell r="D23">
            <v>0</v>
          </cell>
          <cell r="E23">
            <v>0</v>
          </cell>
          <cell r="F23">
            <v>0</v>
          </cell>
          <cell r="G23">
            <v>0</v>
          </cell>
          <cell r="H23">
            <v>0</v>
          </cell>
          <cell r="I23">
            <v>0</v>
          </cell>
          <cell r="J23">
            <v>0</v>
          </cell>
          <cell r="K23">
            <v>0</v>
          </cell>
          <cell r="L23">
            <v>0</v>
          </cell>
          <cell r="M23">
            <v>0</v>
          </cell>
          <cell r="N23">
            <v>0</v>
          </cell>
          <cell r="O23">
            <v>4</v>
          </cell>
          <cell r="P23">
            <v>0</v>
          </cell>
          <cell r="Q23">
            <v>0</v>
          </cell>
          <cell r="R23">
            <v>0</v>
          </cell>
          <cell r="S23">
            <v>0</v>
          </cell>
          <cell r="T23">
            <v>2</v>
          </cell>
          <cell r="U23">
            <v>1</v>
          </cell>
          <cell r="V23">
            <v>0</v>
          </cell>
          <cell r="W23">
            <v>2</v>
          </cell>
          <cell r="X23">
            <v>0</v>
          </cell>
          <cell r="Y23">
            <v>2</v>
          </cell>
          <cell r="Z23">
            <v>0</v>
          </cell>
          <cell r="AA23">
            <v>0</v>
          </cell>
          <cell r="AB23">
            <v>0</v>
          </cell>
          <cell r="AC23">
            <v>0</v>
          </cell>
          <cell r="AD23">
            <v>0</v>
          </cell>
          <cell r="AE23">
            <v>0</v>
          </cell>
          <cell r="AF23">
            <v>2</v>
          </cell>
          <cell r="AG23">
            <v>1</v>
          </cell>
          <cell r="AH23">
            <v>0</v>
          </cell>
          <cell r="AI23">
            <v>0</v>
          </cell>
          <cell r="AJ23">
            <v>0</v>
          </cell>
          <cell r="AK23">
            <v>2</v>
          </cell>
          <cell r="AL23">
            <v>4</v>
          </cell>
          <cell r="AM23">
            <v>0</v>
          </cell>
          <cell r="AN23">
            <v>0</v>
          </cell>
          <cell r="AO23">
            <v>5</v>
          </cell>
          <cell r="AP23">
            <v>0</v>
          </cell>
          <cell r="AQ23">
            <v>0</v>
          </cell>
          <cell r="AR23">
            <v>0</v>
          </cell>
          <cell r="AS23">
            <v>0</v>
          </cell>
          <cell r="AT23">
            <v>0</v>
          </cell>
          <cell r="AU23">
            <v>0</v>
          </cell>
          <cell r="AV23">
            <v>0</v>
          </cell>
          <cell r="AW23">
            <v>0</v>
          </cell>
          <cell r="AX23">
            <v>1</v>
          </cell>
          <cell r="AY23">
            <v>0</v>
          </cell>
          <cell r="AZ23">
            <v>1</v>
          </cell>
          <cell r="BA23">
            <v>0</v>
          </cell>
          <cell r="BB23">
            <v>0</v>
          </cell>
          <cell r="BC23">
            <v>0</v>
          </cell>
          <cell r="BD23">
            <v>0</v>
          </cell>
          <cell r="BE23">
            <v>0</v>
          </cell>
          <cell r="BF23">
            <v>1</v>
          </cell>
          <cell r="BG23">
            <v>0</v>
          </cell>
          <cell r="BH23">
            <v>0</v>
          </cell>
          <cell r="BI23">
            <v>0</v>
          </cell>
          <cell r="BJ23">
            <v>0</v>
          </cell>
          <cell r="BK23">
            <v>0</v>
          </cell>
          <cell r="BL23">
            <v>2</v>
          </cell>
          <cell r="BM23">
            <v>0</v>
          </cell>
          <cell r="BN23">
            <v>0</v>
          </cell>
          <cell r="BO23">
            <v>0</v>
          </cell>
          <cell r="BP23">
            <v>1</v>
          </cell>
          <cell r="BQ23">
            <v>2</v>
          </cell>
          <cell r="BR23">
            <v>2</v>
          </cell>
          <cell r="BS23">
            <v>1</v>
          </cell>
          <cell r="BT23">
            <v>0</v>
          </cell>
          <cell r="BU23">
            <v>1</v>
          </cell>
          <cell r="BV23">
            <v>3</v>
          </cell>
          <cell r="BW23">
            <v>1</v>
          </cell>
          <cell r="BX23">
            <v>1</v>
          </cell>
          <cell r="BY23">
            <v>2</v>
          </cell>
          <cell r="BZ23">
            <v>1</v>
          </cell>
          <cell r="CA23">
            <v>0</v>
          </cell>
          <cell r="CB23">
            <v>2</v>
          </cell>
          <cell r="CC23">
            <v>1</v>
          </cell>
          <cell r="CD23">
            <v>0</v>
          </cell>
          <cell r="CE23">
            <v>1</v>
          </cell>
          <cell r="CF23">
            <v>1</v>
          </cell>
          <cell r="CG23">
            <v>0</v>
          </cell>
          <cell r="CH23">
            <v>1</v>
          </cell>
          <cell r="CI23">
            <v>2</v>
          </cell>
          <cell r="CJ23">
            <v>5</v>
          </cell>
          <cell r="CK23">
            <v>0</v>
          </cell>
          <cell r="CL23">
            <v>2</v>
          </cell>
          <cell r="CM23">
            <v>1</v>
          </cell>
          <cell r="CN23">
            <v>2</v>
          </cell>
          <cell r="CO23">
            <v>2</v>
          </cell>
          <cell r="CP23">
            <v>1</v>
          </cell>
          <cell r="CQ23">
            <v>2</v>
          </cell>
          <cell r="CR23">
            <v>1</v>
          </cell>
          <cell r="CS23">
            <v>0</v>
          </cell>
          <cell r="CT23">
            <v>2</v>
          </cell>
          <cell r="CU23">
            <v>0</v>
          </cell>
          <cell r="CV23">
            <v>1</v>
          </cell>
          <cell r="CW23">
            <v>1</v>
          </cell>
          <cell r="CX23">
            <v>3</v>
          </cell>
          <cell r="CY23">
            <v>4</v>
          </cell>
          <cell r="CZ23">
            <v>5</v>
          </cell>
          <cell r="DA23">
            <v>7</v>
          </cell>
          <cell r="DB23">
            <v>0</v>
          </cell>
          <cell r="DC23">
            <v>0</v>
          </cell>
          <cell r="DD23">
            <v>2</v>
          </cell>
          <cell r="DE23">
            <v>6</v>
          </cell>
          <cell r="DF23">
            <v>2</v>
          </cell>
          <cell r="DG23">
            <v>5</v>
          </cell>
          <cell r="DH23">
            <v>3</v>
          </cell>
          <cell r="DI23">
            <v>6</v>
          </cell>
          <cell r="DJ23">
            <v>6</v>
          </cell>
          <cell r="DK23">
            <v>8</v>
          </cell>
          <cell r="DL23">
            <v>4</v>
          </cell>
          <cell r="DM23">
            <v>3</v>
          </cell>
          <cell r="DN23">
            <v>0</v>
          </cell>
          <cell r="DO23">
            <v>11</v>
          </cell>
          <cell r="DP23">
            <v>4</v>
          </cell>
          <cell r="DQ23">
            <v>8</v>
          </cell>
          <cell r="DR23">
            <v>2</v>
          </cell>
          <cell r="DS23">
            <v>12</v>
          </cell>
          <cell r="DT23">
            <v>3</v>
          </cell>
          <cell r="DU23">
            <v>9</v>
          </cell>
          <cell r="DV23">
            <v>3</v>
          </cell>
          <cell r="DW23">
            <v>1</v>
          </cell>
          <cell r="DX23">
            <v>7</v>
          </cell>
          <cell r="DY23">
            <v>16</v>
          </cell>
          <cell r="DZ23">
            <v>1</v>
          </cell>
          <cell r="EA23">
            <v>3</v>
          </cell>
          <cell r="EB23">
            <v>6</v>
          </cell>
          <cell r="EC23">
            <v>4</v>
          </cell>
          <cell r="ED23">
            <v>1</v>
          </cell>
          <cell r="EE23">
            <v>5</v>
          </cell>
          <cell r="EF23">
            <v>2</v>
          </cell>
          <cell r="EG23">
            <v>13</v>
          </cell>
          <cell r="EH23">
            <v>5</v>
          </cell>
          <cell r="EI23">
            <v>5</v>
          </cell>
          <cell r="EJ23">
            <v>1</v>
          </cell>
          <cell r="EK23">
            <v>6</v>
          </cell>
          <cell r="EL23">
            <v>2</v>
          </cell>
          <cell r="EM23">
            <v>1</v>
          </cell>
          <cell r="EN23">
            <v>11</v>
          </cell>
          <cell r="EO23">
            <v>8</v>
          </cell>
          <cell r="EP23">
            <v>9</v>
          </cell>
          <cell r="ER23">
            <v>6</v>
          </cell>
          <cell r="ES23">
            <v>5</v>
          </cell>
          <cell r="ET23">
            <v>9</v>
          </cell>
          <cell r="EU23">
            <v>5</v>
          </cell>
          <cell r="EV23">
            <v>14</v>
          </cell>
          <cell r="EW23">
            <v>2</v>
          </cell>
          <cell r="EX23">
            <v>11</v>
          </cell>
          <cell r="EY23">
            <v>3</v>
          </cell>
          <cell r="EZ23">
            <v>12</v>
          </cell>
          <cell r="FA23">
            <v>4</v>
          </cell>
          <cell r="FB23">
            <v>3</v>
          </cell>
          <cell r="FD23">
            <v>6</v>
          </cell>
          <cell r="FF23">
            <v>2</v>
          </cell>
          <cell r="FG23">
            <v>3</v>
          </cell>
          <cell r="FH23">
            <v>1</v>
          </cell>
          <cell r="FI23">
            <v>1</v>
          </cell>
          <cell r="FJ23">
            <v>1</v>
          </cell>
          <cell r="FK23">
            <v>5</v>
          </cell>
          <cell r="FL23">
            <v>4</v>
          </cell>
          <cell r="FM23">
            <v>3</v>
          </cell>
          <cell r="FN23">
            <v>3</v>
          </cell>
          <cell r="FO23">
            <v>9</v>
          </cell>
          <cell r="FP23">
            <v>4</v>
          </cell>
          <cell r="FR23">
            <v>4</v>
          </cell>
          <cell r="FS23">
            <v>3</v>
          </cell>
          <cell r="FU23">
            <v>2</v>
          </cell>
          <cell r="FW23">
            <v>3</v>
          </cell>
          <cell r="FX23">
            <v>2</v>
          </cell>
          <cell r="FY23">
            <v>4</v>
          </cell>
          <cell r="FZ23">
            <v>5</v>
          </cell>
          <cell r="GA23">
            <v>3</v>
          </cell>
          <cell r="GB23">
            <v>2</v>
          </cell>
          <cell r="GC23">
            <v>6</v>
          </cell>
          <cell r="GD23">
            <v>10</v>
          </cell>
          <cell r="GE23">
            <v>4</v>
          </cell>
          <cell r="GF23">
            <v>4</v>
          </cell>
          <cell r="GG23">
            <v>4</v>
          </cell>
          <cell r="GI23">
            <v>1</v>
          </cell>
          <cell r="GJ23">
            <v>7</v>
          </cell>
          <cell r="GL23">
            <v>2</v>
          </cell>
          <cell r="GM23">
            <v>4</v>
          </cell>
          <cell r="GN23">
            <v>1</v>
          </cell>
        </row>
        <row r="24">
          <cell r="B24" t="str">
            <v xml:space="preserve">CALCITRIOL </v>
          </cell>
          <cell r="C24" t="str">
            <v>PYO</v>
          </cell>
          <cell r="D24">
            <v>0</v>
          </cell>
          <cell r="E24">
            <v>2</v>
          </cell>
          <cell r="F24">
            <v>0</v>
          </cell>
          <cell r="G24">
            <v>0</v>
          </cell>
          <cell r="H24">
            <v>0</v>
          </cell>
          <cell r="I24">
            <v>2</v>
          </cell>
          <cell r="J24">
            <v>0</v>
          </cell>
          <cell r="K24">
            <v>0</v>
          </cell>
          <cell r="L24">
            <v>0</v>
          </cell>
          <cell r="M24">
            <v>2</v>
          </cell>
          <cell r="N24">
            <v>0</v>
          </cell>
          <cell r="O24">
            <v>0</v>
          </cell>
          <cell r="P24">
            <v>0</v>
          </cell>
          <cell r="Q24">
            <v>0</v>
          </cell>
          <cell r="R24">
            <v>0</v>
          </cell>
          <cell r="S24">
            <v>0</v>
          </cell>
          <cell r="T24">
            <v>1</v>
          </cell>
          <cell r="U24">
            <v>0</v>
          </cell>
          <cell r="V24">
            <v>0</v>
          </cell>
          <cell r="W24">
            <v>1</v>
          </cell>
          <cell r="X24">
            <v>0</v>
          </cell>
          <cell r="Y24">
            <v>1</v>
          </cell>
          <cell r="Z24">
            <v>0</v>
          </cell>
          <cell r="AA24">
            <v>0</v>
          </cell>
          <cell r="AB24">
            <v>0</v>
          </cell>
          <cell r="AC24">
            <v>0</v>
          </cell>
          <cell r="AD24">
            <v>1</v>
          </cell>
          <cell r="AE24">
            <v>0</v>
          </cell>
          <cell r="AF24">
            <v>0</v>
          </cell>
          <cell r="AG24">
            <v>0</v>
          </cell>
          <cell r="AH24">
            <v>1</v>
          </cell>
          <cell r="AI24">
            <v>0</v>
          </cell>
          <cell r="AJ24">
            <v>0</v>
          </cell>
          <cell r="AK24">
            <v>0</v>
          </cell>
          <cell r="AL24">
            <v>0</v>
          </cell>
          <cell r="AM24">
            <v>1</v>
          </cell>
          <cell r="AN24">
            <v>0</v>
          </cell>
          <cell r="AO24">
            <v>0</v>
          </cell>
          <cell r="AP24">
            <v>1</v>
          </cell>
          <cell r="AQ24">
            <v>0</v>
          </cell>
          <cell r="AR24">
            <v>0</v>
          </cell>
          <cell r="AS24">
            <v>1</v>
          </cell>
          <cell r="AT24">
            <v>1</v>
          </cell>
          <cell r="AU24">
            <v>0</v>
          </cell>
          <cell r="AV24">
            <v>1</v>
          </cell>
          <cell r="AW24">
            <v>0</v>
          </cell>
          <cell r="AX24">
            <v>0</v>
          </cell>
          <cell r="AY24">
            <v>0</v>
          </cell>
          <cell r="AZ24">
            <v>0</v>
          </cell>
          <cell r="BA24">
            <v>0</v>
          </cell>
          <cell r="BB24">
            <v>0</v>
          </cell>
          <cell r="BC24">
            <v>1</v>
          </cell>
          <cell r="BD24">
            <v>1</v>
          </cell>
          <cell r="BE24">
            <v>0</v>
          </cell>
          <cell r="BF24">
            <v>0</v>
          </cell>
          <cell r="BG24">
            <v>1</v>
          </cell>
          <cell r="BH24">
            <v>0</v>
          </cell>
          <cell r="BI24">
            <v>0</v>
          </cell>
          <cell r="BJ24">
            <v>0</v>
          </cell>
          <cell r="BK24">
            <v>0</v>
          </cell>
          <cell r="BL24">
            <v>1</v>
          </cell>
          <cell r="BM24">
            <v>0</v>
          </cell>
          <cell r="BN24">
            <v>0</v>
          </cell>
          <cell r="BO24">
            <v>0</v>
          </cell>
          <cell r="BP24">
            <v>1</v>
          </cell>
          <cell r="BQ24">
            <v>0</v>
          </cell>
          <cell r="BR24">
            <v>0</v>
          </cell>
          <cell r="BS24">
            <v>0</v>
          </cell>
          <cell r="BT24">
            <v>1</v>
          </cell>
          <cell r="BU24">
            <v>0</v>
          </cell>
          <cell r="BV24">
            <v>0</v>
          </cell>
          <cell r="BW24">
            <v>0</v>
          </cell>
          <cell r="BX24">
            <v>1</v>
          </cell>
          <cell r="BY24">
            <v>0</v>
          </cell>
          <cell r="BZ24">
            <v>0</v>
          </cell>
          <cell r="CA24">
            <v>0</v>
          </cell>
          <cell r="CB24">
            <v>0</v>
          </cell>
          <cell r="CC24">
            <v>1</v>
          </cell>
          <cell r="CD24">
            <v>0</v>
          </cell>
          <cell r="CE24">
            <v>0</v>
          </cell>
          <cell r="CF24">
            <v>2</v>
          </cell>
          <cell r="CG24">
            <v>0</v>
          </cell>
          <cell r="CH24">
            <v>1</v>
          </cell>
          <cell r="CI24">
            <v>0</v>
          </cell>
          <cell r="CJ24">
            <v>0</v>
          </cell>
          <cell r="CK24">
            <v>0</v>
          </cell>
          <cell r="CL24">
            <v>0</v>
          </cell>
          <cell r="CM24">
            <v>0</v>
          </cell>
          <cell r="CN24">
            <v>0</v>
          </cell>
          <cell r="CO24">
            <v>1</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B24">
            <v>1</v>
          </cell>
          <cell r="EE24">
            <v>0</v>
          </cell>
          <cell r="EG24">
            <v>1</v>
          </cell>
          <cell r="EO24">
            <v>1</v>
          </cell>
          <cell r="ES24">
            <v>1</v>
          </cell>
          <cell r="EZ24">
            <v>3</v>
          </cell>
          <cell r="FE24">
            <v>1</v>
          </cell>
        </row>
        <row r="25">
          <cell r="B25" t="str">
            <v xml:space="preserve">CALCITRIOL </v>
          </cell>
          <cell r="C25" t="str">
            <v>DI/</v>
          </cell>
          <cell r="D25">
            <v>0</v>
          </cell>
          <cell r="E25">
            <v>0</v>
          </cell>
          <cell r="F25">
            <v>0</v>
          </cell>
          <cell r="G25">
            <v>0</v>
          </cell>
          <cell r="H25">
            <v>1</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1</v>
          </cell>
          <cell r="AC25">
            <v>0</v>
          </cell>
          <cell r="AD25">
            <v>0</v>
          </cell>
          <cell r="AE25">
            <v>1</v>
          </cell>
          <cell r="AF25">
            <v>0</v>
          </cell>
          <cell r="AG25">
            <v>0</v>
          </cell>
          <cell r="AH25">
            <v>0</v>
          </cell>
          <cell r="AI25">
            <v>1</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1</v>
          </cell>
          <cell r="BD25">
            <v>0</v>
          </cell>
          <cell r="BE25">
            <v>0</v>
          </cell>
          <cell r="BF25">
            <v>0</v>
          </cell>
          <cell r="BG25">
            <v>0</v>
          </cell>
          <cell r="BH25">
            <v>0</v>
          </cell>
          <cell r="BI25">
            <v>0</v>
          </cell>
          <cell r="BJ25">
            <v>0</v>
          </cell>
          <cell r="BK25">
            <v>0</v>
          </cell>
          <cell r="BL25">
            <v>1</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2</v>
          </cell>
          <cell r="CV25">
            <v>0</v>
          </cell>
          <cell r="CW25">
            <v>0</v>
          </cell>
          <cell r="CX25">
            <v>0</v>
          </cell>
          <cell r="CY25">
            <v>2</v>
          </cell>
          <cell r="CZ25">
            <v>0</v>
          </cell>
          <cell r="DA25">
            <v>0</v>
          </cell>
          <cell r="DB25">
            <v>1</v>
          </cell>
          <cell r="DC25">
            <v>1</v>
          </cell>
          <cell r="DD25">
            <v>0</v>
          </cell>
          <cell r="DE25">
            <v>0</v>
          </cell>
          <cell r="DF25">
            <v>0</v>
          </cell>
          <cell r="DG25">
            <v>0</v>
          </cell>
          <cell r="DH25">
            <v>1</v>
          </cell>
          <cell r="DI25">
            <v>0</v>
          </cell>
          <cell r="DJ25">
            <v>0</v>
          </cell>
          <cell r="DK25">
            <v>1</v>
          </cell>
          <cell r="DL25">
            <v>0</v>
          </cell>
          <cell r="DM25">
            <v>0</v>
          </cell>
          <cell r="DN25">
            <v>0</v>
          </cell>
          <cell r="DO25">
            <v>1</v>
          </cell>
          <cell r="DP25">
            <v>0</v>
          </cell>
          <cell r="DQ25">
            <v>0</v>
          </cell>
          <cell r="DR25">
            <v>0</v>
          </cell>
          <cell r="DS25">
            <v>0</v>
          </cell>
          <cell r="DT25">
            <v>0</v>
          </cell>
          <cell r="DU25">
            <v>0</v>
          </cell>
          <cell r="DV25">
            <v>0</v>
          </cell>
          <cell r="DW25">
            <v>0</v>
          </cell>
          <cell r="DX25">
            <v>0</v>
          </cell>
          <cell r="DY25">
            <v>0</v>
          </cell>
          <cell r="DZ25">
            <v>0</v>
          </cell>
          <cell r="FW25">
            <v>1</v>
          </cell>
          <cell r="GA25">
            <v>1</v>
          </cell>
          <cell r="GC25">
            <v>3</v>
          </cell>
          <cell r="GF25">
            <v>2</v>
          </cell>
          <cell r="GM25">
            <v>2</v>
          </cell>
        </row>
        <row r="26">
          <cell r="B26" t="str">
            <v xml:space="preserve">CALCITRIOL/ALM OIL </v>
          </cell>
          <cell r="C26" t="str">
            <v>PNO</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3</v>
          </cell>
          <cell r="Y26">
            <v>1</v>
          </cell>
          <cell r="Z26">
            <v>4</v>
          </cell>
          <cell r="AA26">
            <v>2</v>
          </cell>
          <cell r="AB26">
            <v>2</v>
          </cell>
          <cell r="AC26">
            <v>0</v>
          </cell>
          <cell r="AD26">
            <v>0</v>
          </cell>
          <cell r="AE26">
            <v>5</v>
          </cell>
          <cell r="AF26">
            <v>4</v>
          </cell>
          <cell r="AG26">
            <v>2</v>
          </cell>
          <cell r="AH26">
            <v>2</v>
          </cell>
          <cell r="AI26">
            <v>0</v>
          </cell>
          <cell r="AJ26">
            <v>3</v>
          </cell>
          <cell r="AK26">
            <v>0</v>
          </cell>
          <cell r="AL26">
            <v>1</v>
          </cell>
          <cell r="AM26">
            <v>6</v>
          </cell>
          <cell r="AN26">
            <v>4</v>
          </cell>
          <cell r="AO26">
            <v>1</v>
          </cell>
          <cell r="AP26">
            <v>1</v>
          </cell>
          <cell r="AQ26">
            <v>0</v>
          </cell>
          <cell r="AR26">
            <v>1</v>
          </cell>
          <cell r="AS26">
            <v>2</v>
          </cell>
          <cell r="AT26">
            <v>0</v>
          </cell>
          <cell r="AU26">
            <v>4</v>
          </cell>
          <cell r="AV26">
            <v>2</v>
          </cell>
          <cell r="AW26">
            <v>3</v>
          </cell>
          <cell r="AX26">
            <v>0</v>
          </cell>
          <cell r="AY26">
            <v>1</v>
          </cell>
          <cell r="AZ26">
            <v>0</v>
          </cell>
          <cell r="BA26">
            <v>1</v>
          </cell>
          <cell r="BB26">
            <v>1</v>
          </cell>
          <cell r="BC26">
            <v>3</v>
          </cell>
          <cell r="BD26">
            <v>3</v>
          </cell>
          <cell r="BE26">
            <v>1</v>
          </cell>
          <cell r="BF26">
            <v>3</v>
          </cell>
          <cell r="BG26">
            <v>4</v>
          </cell>
          <cell r="BH26">
            <v>1</v>
          </cell>
          <cell r="BI26">
            <v>3</v>
          </cell>
          <cell r="BJ26">
            <v>2</v>
          </cell>
          <cell r="BK26">
            <v>4</v>
          </cell>
          <cell r="BL26">
            <v>2</v>
          </cell>
          <cell r="BM26">
            <v>2</v>
          </cell>
          <cell r="BN26">
            <v>1</v>
          </cell>
          <cell r="BO26">
            <v>1</v>
          </cell>
          <cell r="BP26">
            <v>2</v>
          </cell>
          <cell r="BQ26">
            <v>5</v>
          </cell>
          <cell r="BR26">
            <v>4</v>
          </cell>
          <cell r="BS26">
            <v>0</v>
          </cell>
          <cell r="BT26">
            <v>2</v>
          </cell>
          <cell r="BU26">
            <v>10</v>
          </cell>
          <cell r="BV26">
            <v>3</v>
          </cell>
          <cell r="BW26">
            <v>0</v>
          </cell>
          <cell r="BX26">
            <v>2</v>
          </cell>
          <cell r="BY26">
            <v>0</v>
          </cell>
          <cell r="BZ26">
            <v>2</v>
          </cell>
          <cell r="CA26">
            <v>1</v>
          </cell>
          <cell r="CB26">
            <v>5</v>
          </cell>
          <cell r="CC26">
            <v>1</v>
          </cell>
          <cell r="CD26">
            <v>5</v>
          </cell>
          <cell r="CE26">
            <v>1</v>
          </cell>
          <cell r="CF26">
            <v>4</v>
          </cell>
          <cell r="CG26">
            <v>2</v>
          </cell>
          <cell r="CH26">
            <v>0</v>
          </cell>
          <cell r="CI26">
            <v>4</v>
          </cell>
          <cell r="CJ26">
            <v>3</v>
          </cell>
          <cell r="CK26">
            <v>3</v>
          </cell>
          <cell r="CL26">
            <v>1</v>
          </cell>
          <cell r="CM26">
            <v>0</v>
          </cell>
          <cell r="CN26">
            <v>4</v>
          </cell>
          <cell r="CO26">
            <v>6</v>
          </cell>
          <cell r="CP26">
            <v>14</v>
          </cell>
          <cell r="CQ26">
            <v>1</v>
          </cell>
          <cell r="CR26">
            <v>9</v>
          </cell>
          <cell r="CS26">
            <v>3</v>
          </cell>
          <cell r="CT26">
            <v>18</v>
          </cell>
          <cell r="CU26">
            <v>11</v>
          </cell>
          <cell r="CV26">
            <v>4</v>
          </cell>
          <cell r="CW26">
            <v>3</v>
          </cell>
          <cell r="CX26">
            <v>4</v>
          </cell>
          <cell r="CY26">
            <v>7</v>
          </cell>
          <cell r="CZ26">
            <v>2</v>
          </cell>
          <cell r="DA26">
            <v>8</v>
          </cell>
          <cell r="DB26">
            <v>1</v>
          </cell>
          <cell r="DC26">
            <v>3</v>
          </cell>
          <cell r="DD26">
            <v>8</v>
          </cell>
          <cell r="DE26">
            <v>6</v>
          </cell>
          <cell r="DF26">
            <v>9</v>
          </cell>
          <cell r="DG26">
            <v>4</v>
          </cell>
          <cell r="DH26">
            <v>5</v>
          </cell>
          <cell r="DI26">
            <v>7</v>
          </cell>
          <cell r="DJ26">
            <v>1</v>
          </cell>
          <cell r="DK26">
            <v>2</v>
          </cell>
          <cell r="DL26">
            <v>8</v>
          </cell>
          <cell r="DM26">
            <v>5</v>
          </cell>
          <cell r="DN26">
            <v>3</v>
          </cell>
          <cell r="DO26">
            <v>3</v>
          </cell>
          <cell r="DP26">
            <v>4</v>
          </cell>
          <cell r="DQ26">
            <v>1</v>
          </cell>
          <cell r="DR26">
            <v>2</v>
          </cell>
          <cell r="DS26">
            <v>7</v>
          </cell>
          <cell r="DT26">
            <v>4</v>
          </cell>
          <cell r="DU26">
            <v>2</v>
          </cell>
          <cell r="DV26">
            <v>2</v>
          </cell>
          <cell r="DW26">
            <v>5</v>
          </cell>
          <cell r="DX26">
            <v>3</v>
          </cell>
          <cell r="DY26">
            <v>10</v>
          </cell>
          <cell r="DZ26">
            <v>9</v>
          </cell>
          <cell r="EA26">
            <v>2</v>
          </cell>
          <cell r="EB26">
            <v>1</v>
          </cell>
          <cell r="EC26">
            <v>7</v>
          </cell>
          <cell r="ED26">
            <v>1</v>
          </cell>
          <cell r="EE26">
            <v>3</v>
          </cell>
          <cell r="EF26">
            <v>6</v>
          </cell>
          <cell r="EG26">
            <v>8</v>
          </cell>
          <cell r="EH26">
            <v>3</v>
          </cell>
          <cell r="EI26">
            <v>9</v>
          </cell>
          <cell r="EJ26">
            <v>3</v>
          </cell>
          <cell r="EK26">
            <v>1</v>
          </cell>
          <cell r="EL26">
            <v>18</v>
          </cell>
          <cell r="EM26">
            <v>3</v>
          </cell>
          <cell r="EN26">
            <v>7</v>
          </cell>
          <cell r="EO26">
            <v>3</v>
          </cell>
          <cell r="EP26">
            <v>16</v>
          </cell>
          <cell r="EQ26">
            <v>2</v>
          </cell>
          <cell r="ES26">
            <v>3</v>
          </cell>
          <cell r="ET26">
            <v>4</v>
          </cell>
          <cell r="EU26">
            <v>11</v>
          </cell>
          <cell r="EV26">
            <v>1</v>
          </cell>
          <cell r="EW26">
            <v>8</v>
          </cell>
          <cell r="EX26">
            <v>8</v>
          </cell>
          <cell r="EY26">
            <v>8</v>
          </cell>
          <cell r="EZ26">
            <v>2</v>
          </cell>
          <cell r="FA26">
            <v>5</v>
          </cell>
          <cell r="FB26">
            <v>9</v>
          </cell>
          <cell r="FC26">
            <v>3</v>
          </cell>
          <cell r="FD26">
            <v>8</v>
          </cell>
          <cell r="FE26">
            <v>3</v>
          </cell>
          <cell r="FF26">
            <v>11</v>
          </cell>
          <cell r="FG26">
            <v>15</v>
          </cell>
          <cell r="FH26">
            <v>4</v>
          </cell>
          <cell r="FI26">
            <v>3</v>
          </cell>
          <cell r="FJ26">
            <v>4</v>
          </cell>
          <cell r="FK26">
            <v>13</v>
          </cell>
          <cell r="FL26">
            <v>9</v>
          </cell>
          <cell r="FM26">
            <v>6</v>
          </cell>
          <cell r="FN26">
            <v>12</v>
          </cell>
          <cell r="FO26">
            <v>7</v>
          </cell>
          <cell r="FP26">
            <v>2</v>
          </cell>
          <cell r="FQ26">
            <v>5</v>
          </cell>
          <cell r="FR26">
            <v>3</v>
          </cell>
          <cell r="FS26">
            <v>3</v>
          </cell>
          <cell r="FT26">
            <v>7</v>
          </cell>
          <cell r="FU26">
            <v>7</v>
          </cell>
          <cell r="FV26">
            <v>7</v>
          </cell>
          <cell r="FW26">
            <v>13</v>
          </cell>
          <cell r="FX26">
            <v>15</v>
          </cell>
          <cell r="FY26">
            <v>25</v>
          </cell>
          <cell r="FZ26">
            <v>25</v>
          </cell>
          <cell r="GA26">
            <v>8</v>
          </cell>
          <cell r="GB26">
            <v>12</v>
          </cell>
          <cell r="GC26">
            <v>6</v>
          </cell>
          <cell r="GD26">
            <v>8</v>
          </cell>
          <cell r="GE26">
            <v>27</v>
          </cell>
          <cell r="GF26">
            <v>5</v>
          </cell>
          <cell r="GG26">
            <v>8</v>
          </cell>
          <cell r="GH26">
            <v>26</v>
          </cell>
          <cell r="GI26">
            <v>4</v>
          </cell>
          <cell r="GJ26">
            <v>7</v>
          </cell>
          <cell r="GK26">
            <v>7</v>
          </cell>
          <cell r="GL26">
            <v>11</v>
          </cell>
          <cell r="GM26">
            <v>5</v>
          </cell>
          <cell r="GN26">
            <v>6</v>
          </cell>
        </row>
        <row r="27">
          <cell r="B27" t="str">
            <v>CAMPATH</v>
          </cell>
          <cell r="C27" t="str">
            <v>BYH</v>
          </cell>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2</v>
          </cell>
          <cell r="AV27">
            <v>1</v>
          </cell>
          <cell r="AW27">
            <v>2</v>
          </cell>
          <cell r="AX27">
            <v>2</v>
          </cell>
          <cell r="AY27">
            <v>5</v>
          </cell>
          <cell r="AZ27">
            <v>4</v>
          </cell>
          <cell r="BA27">
            <v>5</v>
          </cell>
          <cell r="BB27">
            <v>4</v>
          </cell>
          <cell r="BC27">
            <v>5</v>
          </cell>
          <cell r="BD27">
            <v>5</v>
          </cell>
          <cell r="BE27">
            <v>2</v>
          </cell>
          <cell r="BF27">
            <v>1</v>
          </cell>
          <cell r="BG27">
            <v>2</v>
          </cell>
          <cell r="BH27">
            <v>21</v>
          </cell>
          <cell r="BI27">
            <v>3</v>
          </cell>
          <cell r="BJ27">
            <v>3</v>
          </cell>
          <cell r="BK27">
            <v>6</v>
          </cell>
          <cell r="BL27">
            <v>5</v>
          </cell>
          <cell r="BM27">
            <v>3</v>
          </cell>
          <cell r="BN27">
            <v>1</v>
          </cell>
          <cell r="BO27">
            <v>0</v>
          </cell>
          <cell r="BP27">
            <v>2</v>
          </cell>
          <cell r="BQ27">
            <v>3</v>
          </cell>
          <cell r="BR27">
            <v>8</v>
          </cell>
          <cell r="BS27">
            <v>4</v>
          </cell>
          <cell r="BT27">
            <v>0</v>
          </cell>
          <cell r="BU27">
            <v>2</v>
          </cell>
          <cell r="BV27">
            <v>3</v>
          </cell>
          <cell r="BW27">
            <v>9</v>
          </cell>
          <cell r="BX27">
            <v>1</v>
          </cell>
          <cell r="BY27">
            <v>3</v>
          </cell>
          <cell r="BZ27">
            <v>0</v>
          </cell>
          <cell r="CA27">
            <v>3</v>
          </cell>
          <cell r="CB27">
            <v>2</v>
          </cell>
          <cell r="CC27">
            <v>2</v>
          </cell>
          <cell r="CD27">
            <v>1</v>
          </cell>
          <cell r="CE27">
            <v>2</v>
          </cell>
          <cell r="CF27">
            <v>14</v>
          </cell>
          <cell r="CG27">
            <v>3</v>
          </cell>
          <cell r="CH27">
            <v>2</v>
          </cell>
          <cell r="CI27">
            <v>2</v>
          </cell>
          <cell r="CJ27">
            <v>1</v>
          </cell>
          <cell r="CK27">
            <v>0</v>
          </cell>
          <cell r="CL27">
            <v>3</v>
          </cell>
          <cell r="CM27">
            <v>1</v>
          </cell>
          <cell r="CN27">
            <v>0</v>
          </cell>
          <cell r="CO27">
            <v>0</v>
          </cell>
          <cell r="CP27">
            <v>3</v>
          </cell>
          <cell r="CQ27">
            <v>0</v>
          </cell>
          <cell r="CR27">
            <v>1</v>
          </cell>
          <cell r="CS27">
            <v>2</v>
          </cell>
          <cell r="CT27">
            <v>0</v>
          </cell>
          <cell r="CU27">
            <v>0</v>
          </cell>
          <cell r="CV27">
            <v>4</v>
          </cell>
          <cell r="CW27">
            <v>1</v>
          </cell>
          <cell r="CX27">
            <v>10</v>
          </cell>
          <cell r="CY27">
            <v>1</v>
          </cell>
          <cell r="CZ27">
            <v>3</v>
          </cell>
          <cell r="DA27">
            <v>2</v>
          </cell>
          <cell r="DB27">
            <v>3</v>
          </cell>
          <cell r="DC27">
            <v>17</v>
          </cell>
          <cell r="DD27">
            <v>5</v>
          </cell>
          <cell r="DE27">
            <v>2</v>
          </cell>
          <cell r="DF27">
            <v>4</v>
          </cell>
          <cell r="DG27">
            <v>5</v>
          </cell>
          <cell r="DH27">
            <v>3</v>
          </cell>
          <cell r="DI27">
            <v>4</v>
          </cell>
          <cell r="DJ27">
            <v>4</v>
          </cell>
          <cell r="DK27">
            <v>7</v>
          </cell>
          <cell r="DL27">
            <v>5</v>
          </cell>
          <cell r="DM27">
            <v>4</v>
          </cell>
          <cell r="DN27">
            <v>3</v>
          </cell>
          <cell r="DO27">
            <v>2</v>
          </cell>
          <cell r="DP27">
            <v>4</v>
          </cell>
          <cell r="DQ27">
            <v>2</v>
          </cell>
          <cell r="DR27">
            <v>2</v>
          </cell>
          <cell r="DS27">
            <v>2</v>
          </cell>
          <cell r="DT27">
            <v>1</v>
          </cell>
          <cell r="DU27">
            <v>3</v>
          </cell>
          <cell r="DV27">
            <v>0</v>
          </cell>
          <cell r="DW27">
            <v>2</v>
          </cell>
          <cell r="DX27">
            <v>9</v>
          </cell>
          <cell r="DY27">
            <v>5</v>
          </cell>
          <cell r="DZ27">
            <v>5</v>
          </cell>
          <cell r="EA27">
            <v>2</v>
          </cell>
          <cell r="EB27">
            <v>3</v>
          </cell>
          <cell r="EC27">
            <v>3</v>
          </cell>
          <cell r="ED27">
            <v>3</v>
          </cell>
          <cell r="EE27">
            <v>3</v>
          </cell>
          <cell r="EF27">
            <v>1</v>
          </cell>
          <cell r="EG27">
            <v>3</v>
          </cell>
          <cell r="EH27">
            <v>2</v>
          </cell>
          <cell r="EI27">
            <v>2</v>
          </cell>
          <cell r="EJ27">
            <v>3</v>
          </cell>
          <cell r="EK27">
            <v>6</v>
          </cell>
          <cell r="EL27">
            <v>3</v>
          </cell>
          <cell r="EM27">
            <v>3</v>
          </cell>
          <cell r="EN27">
            <v>8</v>
          </cell>
          <cell r="EP27">
            <v>6</v>
          </cell>
          <cell r="EQ27">
            <v>3</v>
          </cell>
          <cell r="ER27">
            <v>4</v>
          </cell>
          <cell r="ES27">
            <v>2</v>
          </cell>
          <cell r="EU27">
            <v>2</v>
          </cell>
          <cell r="EV27">
            <v>2</v>
          </cell>
          <cell r="EW27">
            <v>3</v>
          </cell>
          <cell r="EX27">
            <v>3</v>
          </cell>
          <cell r="EY27">
            <v>3</v>
          </cell>
          <cell r="EZ27">
            <v>1</v>
          </cell>
          <cell r="FB27">
            <v>1</v>
          </cell>
          <cell r="FC27">
            <v>4</v>
          </cell>
          <cell r="FD27">
            <v>4</v>
          </cell>
          <cell r="FE27">
            <v>1</v>
          </cell>
          <cell r="FF27">
            <v>1</v>
          </cell>
          <cell r="FG27">
            <v>2</v>
          </cell>
          <cell r="FH27">
            <v>3</v>
          </cell>
          <cell r="FI27">
            <v>4</v>
          </cell>
          <cell r="FJ27">
            <v>1</v>
          </cell>
          <cell r="FL27">
            <v>5</v>
          </cell>
          <cell r="FM27">
            <v>2</v>
          </cell>
          <cell r="FN27">
            <v>5</v>
          </cell>
          <cell r="FO27">
            <v>1</v>
          </cell>
          <cell r="FP27">
            <v>3</v>
          </cell>
          <cell r="FQ27">
            <v>1</v>
          </cell>
          <cell r="FR27">
            <v>3</v>
          </cell>
          <cell r="FS27">
            <v>17</v>
          </cell>
          <cell r="FT27">
            <v>1</v>
          </cell>
          <cell r="FU27">
            <v>2</v>
          </cell>
          <cell r="FV27">
            <v>3</v>
          </cell>
          <cell r="FW27">
            <v>1</v>
          </cell>
          <cell r="FX27">
            <v>1</v>
          </cell>
          <cell r="FY27">
            <v>2</v>
          </cell>
          <cell r="GA27">
            <v>4</v>
          </cell>
          <cell r="GB27">
            <v>1</v>
          </cell>
          <cell r="GC27">
            <v>1</v>
          </cell>
          <cell r="GE27">
            <v>3</v>
          </cell>
          <cell r="GH27">
            <v>1</v>
          </cell>
          <cell r="GI27">
            <v>3</v>
          </cell>
          <cell r="GJ27">
            <v>3</v>
          </cell>
          <cell r="GK27">
            <v>1</v>
          </cell>
          <cell r="GL27">
            <v>1</v>
          </cell>
          <cell r="GN27">
            <v>1</v>
          </cell>
        </row>
        <row r="28">
          <cell r="B28" t="str">
            <v>CEREZYME</v>
          </cell>
          <cell r="C28" t="str">
            <v>GZY</v>
          </cell>
          <cell r="D28">
            <v>34</v>
          </cell>
          <cell r="E28">
            <v>32</v>
          </cell>
          <cell r="F28">
            <v>50</v>
          </cell>
          <cell r="G28">
            <v>32</v>
          </cell>
          <cell r="H28">
            <v>27</v>
          </cell>
          <cell r="I28">
            <v>45</v>
          </cell>
          <cell r="J28">
            <v>30</v>
          </cell>
          <cell r="K28">
            <v>31</v>
          </cell>
          <cell r="L28">
            <v>47</v>
          </cell>
          <cell r="M28">
            <v>49</v>
          </cell>
          <cell r="N28">
            <v>19</v>
          </cell>
          <cell r="O28">
            <v>46</v>
          </cell>
          <cell r="P28">
            <v>45</v>
          </cell>
          <cell r="Q28">
            <v>52</v>
          </cell>
          <cell r="R28">
            <v>38</v>
          </cell>
          <cell r="S28">
            <v>45</v>
          </cell>
          <cell r="T28">
            <v>31</v>
          </cell>
          <cell r="U28">
            <v>54</v>
          </cell>
          <cell r="V28">
            <v>35</v>
          </cell>
          <cell r="W28">
            <v>48</v>
          </cell>
          <cell r="X28">
            <v>53</v>
          </cell>
          <cell r="Y28">
            <v>27</v>
          </cell>
          <cell r="Z28">
            <v>46</v>
          </cell>
          <cell r="AA28">
            <v>40</v>
          </cell>
          <cell r="AB28">
            <v>42</v>
          </cell>
          <cell r="AC28">
            <v>46</v>
          </cell>
          <cell r="AD28">
            <v>36</v>
          </cell>
          <cell r="AE28">
            <v>32</v>
          </cell>
          <cell r="AF28">
            <v>43</v>
          </cell>
          <cell r="AG28">
            <v>41</v>
          </cell>
          <cell r="AH28">
            <v>43</v>
          </cell>
          <cell r="AI28">
            <v>39</v>
          </cell>
          <cell r="AJ28">
            <v>59</v>
          </cell>
          <cell r="AK28">
            <v>39</v>
          </cell>
          <cell r="AL28">
            <v>39</v>
          </cell>
          <cell r="AM28">
            <v>45</v>
          </cell>
          <cell r="AN28">
            <v>43</v>
          </cell>
          <cell r="AO28">
            <v>32</v>
          </cell>
          <cell r="AP28">
            <v>43</v>
          </cell>
          <cell r="AQ28">
            <v>43</v>
          </cell>
          <cell r="AR28">
            <v>39</v>
          </cell>
          <cell r="AS28">
            <v>44</v>
          </cell>
          <cell r="AT28">
            <v>40</v>
          </cell>
          <cell r="AU28">
            <v>52</v>
          </cell>
          <cell r="AV28">
            <v>43</v>
          </cell>
          <cell r="AW28">
            <v>33</v>
          </cell>
          <cell r="AX28">
            <v>44</v>
          </cell>
          <cell r="AY28">
            <v>56</v>
          </cell>
          <cell r="AZ28">
            <v>29</v>
          </cell>
          <cell r="BA28">
            <v>42</v>
          </cell>
          <cell r="BB28">
            <v>40</v>
          </cell>
          <cell r="BC28">
            <v>44</v>
          </cell>
          <cell r="BD28">
            <v>52</v>
          </cell>
          <cell r="BE28">
            <v>26</v>
          </cell>
          <cell r="BF28">
            <v>46</v>
          </cell>
          <cell r="BG28">
            <v>48</v>
          </cell>
          <cell r="BH28">
            <v>40</v>
          </cell>
          <cell r="BI28">
            <v>27</v>
          </cell>
          <cell r="BJ28">
            <v>39</v>
          </cell>
          <cell r="BK28">
            <v>45</v>
          </cell>
          <cell r="BL28">
            <v>53</v>
          </cell>
          <cell r="BM28">
            <v>39</v>
          </cell>
          <cell r="BN28">
            <v>46</v>
          </cell>
          <cell r="BO28">
            <v>51</v>
          </cell>
          <cell r="BP28">
            <v>51</v>
          </cell>
          <cell r="BQ28">
            <v>35</v>
          </cell>
          <cell r="BR28">
            <v>53</v>
          </cell>
          <cell r="BS28">
            <v>44</v>
          </cell>
          <cell r="BT28">
            <v>43</v>
          </cell>
          <cell r="BU28">
            <v>48</v>
          </cell>
          <cell r="BV28">
            <v>79</v>
          </cell>
          <cell r="BW28">
            <v>29</v>
          </cell>
          <cell r="BX28">
            <v>52</v>
          </cell>
          <cell r="BY28">
            <v>37</v>
          </cell>
          <cell r="BZ28">
            <v>60</v>
          </cell>
          <cell r="CA28">
            <v>49</v>
          </cell>
          <cell r="CB28">
            <v>49</v>
          </cell>
          <cell r="CC28">
            <v>65</v>
          </cell>
          <cell r="CD28">
            <v>35</v>
          </cell>
          <cell r="CE28">
            <v>42</v>
          </cell>
          <cell r="CF28">
            <v>44</v>
          </cell>
          <cell r="CG28">
            <v>50</v>
          </cell>
          <cell r="CH28">
            <v>43</v>
          </cell>
          <cell r="CI28">
            <v>52</v>
          </cell>
          <cell r="CJ28">
            <v>39</v>
          </cell>
          <cell r="CK28">
            <v>39</v>
          </cell>
          <cell r="CL28">
            <v>28</v>
          </cell>
          <cell r="CM28">
            <v>62</v>
          </cell>
          <cell r="CN28">
            <v>39</v>
          </cell>
          <cell r="CO28">
            <v>43</v>
          </cell>
          <cell r="CP28">
            <v>36</v>
          </cell>
          <cell r="CQ28">
            <v>64</v>
          </cell>
          <cell r="CR28">
            <v>35</v>
          </cell>
          <cell r="CS28">
            <v>48</v>
          </cell>
          <cell r="CT28">
            <v>46</v>
          </cell>
          <cell r="CU28">
            <v>47</v>
          </cell>
          <cell r="CV28">
            <v>45</v>
          </cell>
          <cell r="CW28">
            <v>40</v>
          </cell>
          <cell r="CX28">
            <v>53</v>
          </cell>
          <cell r="CY28">
            <v>47</v>
          </cell>
          <cell r="CZ28">
            <v>42</v>
          </cell>
          <cell r="DA28">
            <v>44</v>
          </cell>
          <cell r="DB28">
            <v>45</v>
          </cell>
          <cell r="DC28">
            <v>45</v>
          </cell>
          <cell r="DD28">
            <v>34</v>
          </cell>
          <cell r="DE28">
            <v>42</v>
          </cell>
          <cell r="DF28">
            <v>52</v>
          </cell>
          <cell r="DG28">
            <v>43</v>
          </cell>
          <cell r="DH28">
            <v>40</v>
          </cell>
          <cell r="DI28">
            <v>45</v>
          </cell>
          <cell r="DJ28">
            <v>36</v>
          </cell>
          <cell r="DK28">
            <v>44</v>
          </cell>
          <cell r="DL28">
            <v>47</v>
          </cell>
          <cell r="DM28">
            <v>45</v>
          </cell>
          <cell r="DN28">
            <v>41</v>
          </cell>
          <cell r="DO28">
            <v>43</v>
          </cell>
          <cell r="DP28">
            <v>45</v>
          </cell>
          <cell r="DQ28">
            <v>40</v>
          </cell>
          <cell r="DR28">
            <v>51</v>
          </cell>
          <cell r="DS28">
            <v>54</v>
          </cell>
          <cell r="DT28">
            <v>37</v>
          </cell>
          <cell r="DU28">
            <v>50</v>
          </cell>
          <cell r="DV28">
            <v>36</v>
          </cell>
          <cell r="DW28">
            <v>54</v>
          </cell>
          <cell r="DX28">
            <v>42</v>
          </cell>
          <cell r="DY28">
            <v>46</v>
          </cell>
          <cell r="DZ28">
            <v>24</v>
          </cell>
          <cell r="EA28">
            <v>59</v>
          </cell>
          <cell r="EB28">
            <v>47</v>
          </cell>
          <cell r="EC28">
            <v>42</v>
          </cell>
          <cell r="ED28">
            <v>27</v>
          </cell>
          <cell r="EE28">
            <v>38</v>
          </cell>
          <cell r="EF28">
            <v>54</v>
          </cell>
          <cell r="EG28">
            <v>41</v>
          </cell>
          <cell r="EH28">
            <v>38</v>
          </cell>
          <cell r="EI28">
            <v>43</v>
          </cell>
          <cell r="EJ28">
            <v>46</v>
          </cell>
          <cell r="EK28">
            <v>40</v>
          </cell>
          <cell r="EL28">
            <v>42</v>
          </cell>
          <cell r="EM28">
            <v>58</v>
          </cell>
          <cell r="EN28">
            <v>31</v>
          </cell>
          <cell r="EO28">
            <v>64</v>
          </cell>
          <cell r="EP28">
            <v>31</v>
          </cell>
          <cell r="EQ28">
            <v>55</v>
          </cell>
          <cell r="ER28">
            <v>47</v>
          </cell>
          <cell r="ES28">
            <v>38</v>
          </cell>
          <cell r="ET28">
            <v>52</v>
          </cell>
          <cell r="EU28">
            <v>60</v>
          </cell>
          <cell r="EV28">
            <v>30</v>
          </cell>
          <cell r="EW28">
            <v>33</v>
          </cell>
          <cell r="EX28">
            <v>57</v>
          </cell>
          <cell r="EY28">
            <v>52</v>
          </cell>
          <cell r="EZ28">
            <v>29</v>
          </cell>
          <cell r="FA28">
            <v>53</v>
          </cell>
          <cell r="FB28">
            <v>45</v>
          </cell>
          <cell r="FC28">
            <v>44</v>
          </cell>
          <cell r="FD28">
            <v>63</v>
          </cell>
          <cell r="FE28">
            <v>35</v>
          </cell>
          <cell r="FF28">
            <v>46</v>
          </cell>
          <cell r="FG28">
            <v>63</v>
          </cell>
          <cell r="FH28">
            <v>52</v>
          </cell>
          <cell r="FI28">
            <v>59</v>
          </cell>
          <cell r="FJ28">
            <v>36</v>
          </cell>
          <cell r="FK28">
            <v>14</v>
          </cell>
          <cell r="FL28">
            <v>18</v>
          </cell>
          <cell r="FM28">
            <v>9</v>
          </cell>
          <cell r="FN28">
            <v>7</v>
          </cell>
          <cell r="FO28">
            <v>11</v>
          </cell>
          <cell r="FP28">
            <v>15</v>
          </cell>
          <cell r="FQ28">
            <v>9</v>
          </cell>
          <cell r="FR28">
            <v>13</v>
          </cell>
          <cell r="FS28">
            <v>9</v>
          </cell>
          <cell r="FT28">
            <v>12</v>
          </cell>
          <cell r="FU28">
            <v>17</v>
          </cell>
          <cell r="FV28">
            <v>9</v>
          </cell>
          <cell r="FW28">
            <v>7</v>
          </cell>
          <cell r="FX28">
            <v>22</v>
          </cell>
          <cell r="FY28">
            <v>10</v>
          </cell>
          <cell r="FZ28">
            <v>8</v>
          </cell>
          <cell r="GA28">
            <v>18</v>
          </cell>
          <cell r="GB28">
            <v>39</v>
          </cell>
          <cell r="GC28">
            <v>12</v>
          </cell>
          <cell r="GD28">
            <v>37</v>
          </cell>
          <cell r="GE28">
            <v>34</v>
          </cell>
          <cell r="GF28">
            <v>41</v>
          </cell>
          <cell r="GG28">
            <v>48</v>
          </cell>
          <cell r="GH28">
            <v>43</v>
          </cell>
          <cell r="GI28">
            <v>46</v>
          </cell>
          <cell r="GJ28">
            <v>14</v>
          </cell>
          <cell r="GK28">
            <v>5</v>
          </cell>
          <cell r="GL28">
            <v>100</v>
          </cell>
          <cell r="GM28">
            <v>12</v>
          </cell>
          <cell r="GN28">
            <v>57</v>
          </cell>
        </row>
        <row r="29">
          <cell r="B29" t="str">
            <v>COMBIVIR</v>
          </cell>
          <cell r="C29" t="str">
            <v>GSK</v>
          </cell>
          <cell r="D29">
            <v>13547</v>
          </cell>
          <cell r="E29">
            <v>12830</v>
          </cell>
          <cell r="F29">
            <v>13183</v>
          </cell>
          <cell r="G29">
            <v>12838</v>
          </cell>
          <cell r="H29">
            <v>12665</v>
          </cell>
          <cell r="I29">
            <v>13397</v>
          </cell>
          <cell r="J29">
            <v>12995</v>
          </cell>
          <cell r="K29">
            <v>12761</v>
          </cell>
          <cell r="L29">
            <v>12744</v>
          </cell>
          <cell r="M29">
            <v>12999</v>
          </cell>
          <cell r="N29">
            <v>12213</v>
          </cell>
          <cell r="O29">
            <v>12915</v>
          </cell>
          <cell r="P29">
            <v>12337</v>
          </cell>
          <cell r="Q29">
            <v>12544</v>
          </cell>
          <cell r="R29">
            <v>13055</v>
          </cell>
          <cell r="S29">
            <v>12404</v>
          </cell>
          <cell r="T29">
            <v>12220</v>
          </cell>
          <cell r="U29">
            <v>12909</v>
          </cell>
          <cell r="V29">
            <v>13440</v>
          </cell>
          <cell r="W29">
            <v>12078</v>
          </cell>
          <cell r="X29">
            <v>11773</v>
          </cell>
          <cell r="Y29">
            <v>10241</v>
          </cell>
          <cell r="Z29">
            <v>12757</v>
          </cell>
          <cell r="AA29">
            <v>12534</v>
          </cell>
          <cell r="AB29">
            <v>12084</v>
          </cell>
          <cell r="AC29">
            <v>12274</v>
          </cell>
          <cell r="AD29">
            <v>11154</v>
          </cell>
          <cell r="AE29">
            <v>11670</v>
          </cell>
          <cell r="AF29">
            <v>12378</v>
          </cell>
          <cell r="AG29">
            <v>11463</v>
          </cell>
          <cell r="AH29">
            <v>11567</v>
          </cell>
          <cell r="AI29">
            <v>12336</v>
          </cell>
          <cell r="AJ29">
            <v>11815</v>
          </cell>
          <cell r="AK29">
            <v>11272</v>
          </cell>
          <cell r="AL29">
            <v>11144</v>
          </cell>
          <cell r="AM29">
            <v>12424</v>
          </cell>
          <cell r="AN29">
            <v>12134</v>
          </cell>
          <cell r="AO29">
            <v>11353</v>
          </cell>
          <cell r="AP29">
            <v>11116</v>
          </cell>
          <cell r="AQ29">
            <v>11384</v>
          </cell>
          <cell r="AR29">
            <v>11951</v>
          </cell>
          <cell r="AS29">
            <v>11138</v>
          </cell>
          <cell r="AT29">
            <v>11034</v>
          </cell>
          <cell r="AU29">
            <v>10964</v>
          </cell>
          <cell r="AV29">
            <v>12002</v>
          </cell>
          <cell r="AW29">
            <v>11603</v>
          </cell>
          <cell r="AX29">
            <v>11147</v>
          </cell>
          <cell r="AY29">
            <v>11110</v>
          </cell>
          <cell r="AZ29">
            <v>11023</v>
          </cell>
          <cell r="BA29">
            <v>11776</v>
          </cell>
          <cell r="BB29">
            <v>10987</v>
          </cell>
          <cell r="BC29">
            <v>10813</v>
          </cell>
          <cell r="BD29">
            <v>11635</v>
          </cell>
          <cell r="BE29">
            <v>10884</v>
          </cell>
          <cell r="BF29">
            <v>11170</v>
          </cell>
          <cell r="BG29">
            <v>10738</v>
          </cell>
          <cell r="BH29">
            <v>10575</v>
          </cell>
          <cell r="BI29">
            <v>11494</v>
          </cell>
          <cell r="BJ29">
            <v>10898</v>
          </cell>
          <cell r="BK29">
            <v>10820</v>
          </cell>
          <cell r="BL29">
            <v>10094</v>
          </cell>
          <cell r="BM29">
            <v>11002</v>
          </cell>
          <cell r="BN29">
            <v>10508</v>
          </cell>
          <cell r="BO29">
            <v>10782</v>
          </cell>
          <cell r="BP29">
            <v>10534</v>
          </cell>
          <cell r="BQ29">
            <v>10717</v>
          </cell>
          <cell r="BR29">
            <v>11272</v>
          </cell>
          <cell r="BS29">
            <v>10502</v>
          </cell>
          <cell r="BT29">
            <v>10370</v>
          </cell>
          <cell r="BU29">
            <v>10119</v>
          </cell>
          <cell r="BV29">
            <v>10835</v>
          </cell>
          <cell r="BW29">
            <v>10598</v>
          </cell>
          <cell r="BX29">
            <v>10045</v>
          </cell>
          <cell r="BY29">
            <v>8728</v>
          </cell>
          <cell r="BZ29">
            <v>10501</v>
          </cell>
          <cell r="CA29">
            <v>10904</v>
          </cell>
          <cell r="CB29">
            <v>10493</v>
          </cell>
          <cell r="CC29">
            <v>10591</v>
          </cell>
          <cell r="CD29">
            <v>8939</v>
          </cell>
          <cell r="CE29">
            <v>9792</v>
          </cell>
          <cell r="CF29">
            <v>10363</v>
          </cell>
          <cell r="CG29">
            <v>9999</v>
          </cell>
          <cell r="CH29">
            <v>9708</v>
          </cell>
          <cell r="CI29">
            <v>10231</v>
          </cell>
          <cell r="CJ29">
            <v>10324</v>
          </cell>
          <cell r="CK29">
            <v>10090</v>
          </cell>
          <cell r="CL29">
            <v>9579</v>
          </cell>
          <cell r="CM29">
            <v>10152</v>
          </cell>
          <cell r="CN29">
            <v>10763</v>
          </cell>
          <cell r="CO29">
            <v>10107</v>
          </cell>
          <cell r="CP29">
            <v>9791</v>
          </cell>
          <cell r="CQ29">
            <v>9583</v>
          </cell>
          <cell r="CR29">
            <v>10247</v>
          </cell>
          <cell r="CS29">
            <v>9784</v>
          </cell>
          <cell r="CT29">
            <v>9596</v>
          </cell>
          <cell r="CU29">
            <v>9187</v>
          </cell>
          <cell r="CV29">
            <v>10082</v>
          </cell>
          <cell r="CW29">
            <v>9565</v>
          </cell>
          <cell r="CX29">
            <v>9631</v>
          </cell>
          <cell r="CY29">
            <v>9230</v>
          </cell>
          <cell r="CZ29">
            <v>8727</v>
          </cell>
          <cell r="DA29">
            <v>10264</v>
          </cell>
          <cell r="DB29">
            <v>9363</v>
          </cell>
          <cell r="DC29">
            <v>9155</v>
          </cell>
          <cell r="DD29">
            <v>8931</v>
          </cell>
          <cell r="DE29">
            <v>9172</v>
          </cell>
          <cell r="DF29">
            <v>9548</v>
          </cell>
          <cell r="DG29">
            <v>9378</v>
          </cell>
          <cell r="DH29">
            <v>8998</v>
          </cell>
          <cell r="DI29">
            <v>9393</v>
          </cell>
          <cell r="DJ29">
            <v>9775</v>
          </cell>
          <cell r="DK29">
            <v>9299</v>
          </cell>
          <cell r="DL29">
            <v>9053</v>
          </cell>
          <cell r="DM29">
            <v>9249</v>
          </cell>
          <cell r="DN29">
            <v>9254</v>
          </cell>
          <cell r="DO29">
            <v>9409</v>
          </cell>
          <cell r="DP29">
            <v>8666</v>
          </cell>
          <cell r="DQ29">
            <v>8720</v>
          </cell>
          <cell r="DR29">
            <v>9219</v>
          </cell>
          <cell r="DS29">
            <v>8929</v>
          </cell>
          <cell r="DT29">
            <v>8624</v>
          </cell>
          <cell r="DU29">
            <v>8982</v>
          </cell>
          <cell r="DV29">
            <v>8854</v>
          </cell>
          <cell r="DW29">
            <v>9187</v>
          </cell>
          <cell r="DX29">
            <v>8607</v>
          </cell>
          <cell r="DY29">
            <v>8976</v>
          </cell>
          <cell r="DZ29">
            <v>7545</v>
          </cell>
          <cell r="EA29">
            <v>9643</v>
          </cell>
          <cell r="EB29">
            <v>8756</v>
          </cell>
          <cell r="EC29">
            <v>8921</v>
          </cell>
          <cell r="ED29">
            <v>7359</v>
          </cell>
          <cell r="EE29">
            <v>8220</v>
          </cell>
          <cell r="EF29">
            <v>9000</v>
          </cell>
          <cell r="EG29">
            <v>8757</v>
          </cell>
          <cell r="EH29">
            <v>8363</v>
          </cell>
          <cell r="EI29">
            <v>8322</v>
          </cell>
          <cell r="EJ29">
            <v>8475</v>
          </cell>
          <cell r="EK29">
            <v>8101</v>
          </cell>
          <cell r="EL29">
            <v>8094</v>
          </cell>
          <cell r="EM29">
            <v>8374</v>
          </cell>
          <cell r="EN29">
            <v>8900</v>
          </cell>
          <cell r="EO29">
            <v>7881</v>
          </cell>
          <cell r="EP29">
            <v>8104</v>
          </cell>
          <cell r="EQ29">
            <v>7842</v>
          </cell>
          <cell r="ER29">
            <v>8190</v>
          </cell>
          <cell r="ES29">
            <v>8228</v>
          </cell>
          <cell r="ET29">
            <v>7731</v>
          </cell>
          <cell r="EU29">
            <v>8022</v>
          </cell>
          <cell r="EV29">
            <v>8401</v>
          </cell>
          <cell r="EW29">
            <v>8468</v>
          </cell>
          <cell r="EX29">
            <v>7729</v>
          </cell>
          <cell r="EY29">
            <v>7630</v>
          </cell>
          <cell r="EZ29">
            <v>7344</v>
          </cell>
          <cell r="FA29">
            <v>8648</v>
          </cell>
          <cell r="FB29">
            <v>7671</v>
          </cell>
          <cell r="FC29">
            <v>7519</v>
          </cell>
          <cell r="FD29">
            <v>7669</v>
          </cell>
          <cell r="FE29">
            <v>8240</v>
          </cell>
          <cell r="FF29">
            <v>8001</v>
          </cell>
          <cell r="FG29">
            <v>7680</v>
          </cell>
          <cell r="FH29">
            <v>7550</v>
          </cell>
          <cell r="FI29">
            <v>7666</v>
          </cell>
          <cell r="FJ29">
            <v>8087</v>
          </cell>
          <cell r="FK29">
            <v>7665</v>
          </cell>
          <cell r="FL29">
            <v>7497</v>
          </cell>
          <cell r="FM29">
            <v>7711</v>
          </cell>
          <cell r="FN29">
            <v>7998</v>
          </cell>
          <cell r="FO29">
            <v>7122</v>
          </cell>
          <cell r="FP29">
            <v>7668</v>
          </cell>
          <cell r="FQ29">
            <v>7542</v>
          </cell>
          <cell r="FR29">
            <v>7968</v>
          </cell>
          <cell r="FS29">
            <v>7584</v>
          </cell>
          <cell r="FT29">
            <v>7461</v>
          </cell>
          <cell r="FU29">
            <v>7446</v>
          </cell>
          <cell r="FV29">
            <v>7613</v>
          </cell>
          <cell r="FW29">
            <v>7956</v>
          </cell>
          <cell r="FX29">
            <v>7279</v>
          </cell>
          <cell r="FY29">
            <v>7439</v>
          </cell>
          <cell r="FZ29">
            <v>6744</v>
          </cell>
          <cell r="GA29">
            <v>8447</v>
          </cell>
          <cell r="GB29">
            <v>7560</v>
          </cell>
          <cell r="GC29">
            <v>7680</v>
          </cell>
          <cell r="GD29">
            <v>6438</v>
          </cell>
          <cell r="GE29">
            <v>7453</v>
          </cell>
          <cell r="GF29">
            <v>7834</v>
          </cell>
          <cell r="GG29">
            <v>7576</v>
          </cell>
          <cell r="GH29">
            <v>6898</v>
          </cell>
          <cell r="GI29">
            <v>7188</v>
          </cell>
          <cell r="GJ29">
            <v>7804</v>
          </cell>
          <cell r="GK29">
            <v>6917</v>
          </cell>
          <cell r="GL29">
            <v>7142</v>
          </cell>
          <cell r="GM29">
            <v>7156</v>
          </cell>
          <cell r="GN29">
            <v>7876</v>
          </cell>
        </row>
        <row r="30">
          <cell r="B30" t="str">
            <v>COPAXONE</v>
          </cell>
          <cell r="C30" t="str">
            <v>TVN</v>
          </cell>
          <cell r="D30">
            <v>10658</v>
          </cell>
          <cell r="E30">
            <v>8735</v>
          </cell>
          <cell r="F30">
            <v>10770</v>
          </cell>
          <cell r="G30">
            <v>10307</v>
          </cell>
          <cell r="H30">
            <v>10168</v>
          </cell>
          <cell r="I30">
            <v>10451</v>
          </cell>
          <cell r="J30">
            <v>9947</v>
          </cell>
          <cell r="K30">
            <v>10219</v>
          </cell>
          <cell r="L30">
            <v>10157</v>
          </cell>
          <cell r="M30">
            <v>10777</v>
          </cell>
          <cell r="N30">
            <v>9519</v>
          </cell>
          <cell r="O30">
            <v>10679</v>
          </cell>
          <cell r="P30">
            <v>10550</v>
          </cell>
          <cell r="Q30">
            <v>10820</v>
          </cell>
          <cell r="R30">
            <v>10733</v>
          </cell>
          <cell r="S30">
            <v>10740</v>
          </cell>
          <cell r="T30">
            <v>9978</v>
          </cell>
          <cell r="U30">
            <v>10725</v>
          </cell>
          <cell r="V30">
            <v>11007</v>
          </cell>
          <cell r="W30">
            <v>10743</v>
          </cell>
          <cell r="X30">
            <v>11106</v>
          </cell>
          <cell r="Y30">
            <v>8190</v>
          </cell>
          <cell r="Z30">
            <v>11911</v>
          </cell>
          <cell r="AA30">
            <v>11516</v>
          </cell>
          <cell r="AB30">
            <v>11203</v>
          </cell>
          <cell r="AC30">
            <v>11325</v>
          </cell>
          <cell r="AD30">
            <v>10119</v>
          </cell>
          <cell r="AE30">
            <v>9407</v>
          </cell>
          <cell r="AF30">
            <v>10812</v>
          </cell>
          <cell r="AG30">
            <v>11024</v>
          </cell>
          <cell r="AH30">
            <v>10955</v>
          </cell>
          <cell r="AI30">
            <v>11391</v>
          </cell>
          <cell r="AJ30">
            <v>10862</v>
          </cell>
          <cell r="AK30">
            <v>10265</v>
          </cell>
          <cell r="AL30">
            <v>10273</v>
          </cell>
          <cell r="AM30">
            <v>11063</v>
          </cell>
          <cell r="AN30">
            <v>10705</v>
          </cell>
          <cell r="AO30">
            <v>9649</v>
          </cell>
          <cell r="AP30">
            <v>10329</v>
          </cell>
          <cell r="AQ30">
            <v>10008</v>
          </cell>
          <cell r="AR30">
            <v>10108</v>
          </cell>
          <cell r="AS30">
            <v>10027</v>
          </cell>
          <cell r="AT30">
            <v>10081</v>
          </cell>
          <cell r="AU30">
            <v>10290</v>
          </cell>
          <cell r="AV30">
            <v>9748</v>
          </cell>
          <cell r="AW30">
            <v>9621</v>
          </cell>
          <cell r="AX30">
            <v>9514</v>
          </cell>
          <cell r="AY30">
            <v>10847</v>
          </cell>
          <cell r="AZ30">
            <v>9463</v>
          </cell>
          <cell r="BA30">
            <v>11937</v>
          </cell>
          <cell r="BB30">
            <v>11101</v>
          </cell>
          <cell r="BC30">
            <v>12207</v>
          </cell>
          <cell r="BD30">
            <v>12878</v>
          </cell>
          <cell r="BE30">
            <v>9806</v>
          </cell>
          <cell r="BF30">
            <v>13138</v>
          </cell>
          <cell r="BG30">
            <v>12470</v>
          </cell>
          <cell r="BH30">
            <v>12772</v>
          </cell>
          <cell r="BI30">
            <v>12639</v>
          </cell>
          <cell r="BJ30">
            <v>11846</v>
          </cell>
          <cell r="BK30">
            <v>11911</v>
          </cell>
          <cell r="BL30">
            <v>11913</v>
          </cell>
          <cell r="BM30">
            <v>12555</v>
          </cell>
          <cell r="BN30">
            <v>10083</v>
          </cell>
          <cell r="BO30">
            <v>11645</v>
          </cell>
          <cell r="BP30">
            <v>11669</v>
          </cell>
          <cell r="BQ30">
            <v>11089</v>
          </cell>
          <cell r="BR30">
            <v>11735</v>
          </cell>
          <cell r="BS30">
            <v>11379</v>
          </cell>
          <cell r="BT30">
            <v>11668</v>
          </cell>
          <cell r="BU30">
            <v>11254</v>
          </cell>
          <cell r="BV30">
            <v>11344</v>
          </cell>
          <cell r="BW30">
            <v>11662</v>
          </cell>
          <cell r="BX30">
            <v>11477</v>
          </cell>
          <cell r="BY30">
            <v>8696</v>
          </cell>
          <cell r="BZ30">
            <v>12394</v>
          </cell>
          <cell r="CA30">
            <v>11300</v>
          </cell>
          <cell r="CB30">
            <v>11135</v>
          </cell>
          <cell r="CC30">
            <v>11752</v>
          </cell>
          <cell r="CD30">
            <v>9095</v>
          </cell>
          <cell r="CE30">
            <v>8577</v>
          </cell>
          <cell r="CF30">
            <v>11004</v>
          </cell>
          <cell r="CG30">
            <v>10999</v>
          </cell>
          <cell r="CH30">
            <v>10648</v>
          </cell>
          <cell r="CI30">
            <v>10917</v>
          </cell>
          <cell r="CJ30">
            <v>10901</v>
          </cell>
          <cell r="CK30">
            <v>10758</v>
          </cell>
          <cell r="CL30">
            <v>11401</v>
          </cell>
          <cell r="CM30">
            <v>12417</v>
          </cell>
          <cell r="CN30">
            <v>12148</v>
          </cell>
          <cell r="CO30">
            <v>11448</v>
          </cell>
          <cell r="CP30">
            <v>11219</v>
          </cell>
          <cell r="CQ30">
            <v>11721</v>
          </cell>
          <cell r="CR30">
            <v>11863</v>
          </cell>
          <cell r="CS30">
            <v>11534</v>
          </cell>
          <cell r="CT30">
            <v>11210</v>
          </cell>
          <cell r="CU30">
            <v>11492</v>
          </cell>
          <cell r="CV30">
            <v>11971</v>
          </cell>
          <cell r="CW30">
            <v>11375</v>
          </cell>
          <cell r="CX30">
            <v>11139</v>
          </cell>
          <cell r="CY30">
            <v>9016</v>
          </cell>
          <cell r="CZ30">
            <v>8724</v>
          </cell>
          <cell r="DA30">
            <v>9858</v>
          </cell>
          <cell r="DB30">
            <v>9907</v>
          </cell>
          <cell r="DC30">
            <v>10815</v>
          </cell>
          <cell r="DD30">
            <v>11098</v>
          </cell>
          <cell r="DE30">
            <v>10135</v>
          </cell>
          <cell r="DF30">
            <v>12847</v>
          </cell>
          <cell r="DG30">
            <v>12396</v>
          </cell>
          <cell r="DH30">
            <v>12259</v>
          </cell>
          <cell r="DI30">
            <v>12954</v>
          </cell>
          <cell r="DJ30">
            <v>11936</v>
          </cell>
          <cell r="DK30">
            <v>12120</v>
          </cell>
          <cell r="DL30">
            <v>12101</v>
          </cell>
          <cell r="DM30">
            <v>12836</v>
          </cell>
          <cell r="DN30">
            <v>10955</v>
          </cell>
          <cell r="DO30">
            <v>12305</v>
          </cell>
          <cell r="DP30">
            <v>12292</v>
          </cell>
          <cell r="DQ30">
            <v>12561</v>
          </cell>
          <cell r="DR30">
            <v>12313</v>
          </cell>
          <cell r="DS30">
            <v>12424</v>
          </cell>
          <cell r="DT30">
            <v>12105</v>
          </cell>
          <cell r="DU30">
            <v>12283</v>
          </cell>
          <cell r="DV30">
            <v>12642</v>
          </cell>
          <cell r="DW30">
            <v>12442</v>
          </cell>
          <cell r="DX30">
            <v>12594</v>
          </cell>
          <cell r="DY30">
            <v>12868</v>
          </cell>
          <cell r="DZ30">
            <v>10207</v>
          </cell>
          <cell r="EA30">
            <v>14187</v>
          </cell>
          <cell r="EB30">
            <v>12887</v>
          </cell>
          <cell r="EC30">
            <v>13380</v>
          </cell>
          <cell r="ED30">
            <v>9176</v>
          </cell>
          <cell r="EE30">
            <v>11539</v>
          </cell>
          <cell r="EF30">
            <v>11930</v>
          </cell>
          <cell r="EG30">
            <v>12350</v>
          </cell>
          <cell r="EH30">
            <v>12019</v>
          </cell>
          <cell r="EI30">
            <v>11837</v>
          </cell>
          <cell r="EJ30">
            <v>12528</v>
          </cell>
          <cell r="EK30">
            <v>12175</v>
          </cell>
          <cell r="EL30">
            <v>12590</v>
          </cell>
          <cell r="EM30">
            <v>12957</v>
          </cell>
          <cell r="EN30">
            <v>12774</v>
          </cell>
          <cell r="EO30">
            <v>12497</v>
          </cell>
          <cell r="EP30">
            <v>13273</v>
          </cell>
          <cell r="EQ30">
            <v>13012</v>
          </cell>
          <cell r="ER30">
            <v>12398</v>
          </cell>
          <cell r="ES30">
            <v>13346</v>
          </cell>
          <cell r="ET30">
            <v>13326</v>
          </cell>
          <cell r="EU30">
            <v>13458</v>
          </cell>
          <cell r="EV30">
            <v>13795</v>
          </cell>
          <cell r="EW30">
            <v>13830</v>
          </cell>
          <cell r="EX30">
            <v>13375</v>
          </cell>
          <cell r="EY30">
            <v>13458</v>
          </cell>
          <cell r="EZ30">
            <v>12249</v>
          </cell>
          <cell r="FA30">
            <v>13754</v>
          </cell>
          <cell r="FB30">
            <v>13574</v>
          </cell>
          <cell r="FC30">
            <v>13844</v>
          </cell>
          <cell r="FD30">
            <v>13333</v>
          </cell>
          <cell r="FE30">
            <v>12993</v>
          </cell>
          <cell r="FF30">
            <v>13133</v>
          </cell>
          <cell r="FG30">
            <v>13632</v>
          </cell>
          <cell r="FH30">
            <v>13961</v>
          </cell>
          <cell r="FI30">
            <v>13933</v>
          </cell>
          <cell r="FJ30">
            <v>13260</v>
          </cell>
          <cell r="FK30">
            <v>12933</v>
          </cell>
          <cell r="FL30">
            <v>13333</v>
          </cell>
          <cell r="FM30">
            <v>14091</v>
          </cell>
          <cell r="FN30">
            <v>13711</v>
          </cell>
          <cell r="FO30">
            <v>11550</v>
          </cell>
          <cell r="FP30">
            <v>13951</v>
          </cell>
          <cell r="FQ30">
            <v>13975</v>
          </cell>
          <cell r="FR30">
            <v>13998</v>
          </cell>
          <cell r="FS30">
            <v>12988</v>
          </cell>
          <cell r="FT30">
            <v>13221</v>
          </cell>
          <cell r="FU30">
            <v>13178</v>
          </cell>
          <cell r="FV30">
            <v>14230</v>
          </cell>
          <cell r="FW30">
            <v>12989</v>
          </cell>
          <cell r="FX30">
            <v>13524</v>
          </cell>
          <cell r="FY30">
            <v>13806</v>
          </cell>
          <cell r="FZ30">
            <v>10307</v>
          </cell>
          <cell r="GA30">
            <v>14178</v>
          </cell>
          <cell r="GB30">
            <v>13662</v>
          </cell>
          <cell r="GC30">
            <v>14427</v>
          </cell>
          <cell r="GD30">
            <v>11120</v>
          </cell>
          <cell r="GE30">
            <v>12371</v>
          </cell>
          <cell r="GF30">
            <v>11494</v>
          </cell>
          <cell r="GG30">
            <v>12851</v>
          </cell>
          <cell r="GH30">
            <v>12726</v>
          </cell>
          <cell r="GI30">
            <v>13526</v>
          </cell>
          <cell r="GJ30">
            <v>12528</v>
          </cell>
          <cell r="GK30">
            <v>11918</v>
          </cell>
          <cell r="GL30">
            <v>13164</v>
          </cell>
          <cell r="GM30">
            <v>13965</v>
          </cell>
          <cell r="GN30">
            <v>13556</v>
          </cell>
        </row>
        <row r="31">
          <cell r="B31" t="str">
            <v>CRIXIVAN</v>
          </cell>
          <cell r="C31" t="str">
            <v>MSD</v>
          </cell>
          <cell r="D31">
            <v>1291</v>
          </cell>
          <cell r="E31">
            <v>1228</v>
          </cell>
          <cell r="F31">
            <v>1271</v>
          </cell>
          <cell r="G31">
            <v>1167</v>
          </cell>
          <cell r="H31">
            <v>1244</v>
          </cell>
          <cell r="I31">
            <v>1345</v>
          </cell>
          <cell r="J31">
            <v>1215</v>
          </cell>
          <cell r="K31">
            <v>1220</v>
          </cell>
          <cell r="L31">
            <v>1169</v>
          </cell>
          <cell r="M31">
            <v>1298</v>
          </cell>
          <cell r="N31">
            <v>1184</v>
          </cell>
          <cell r="O31">
            <v>1136</v>
          </cell>
          <cell r="P31">
            <v>1131</v>
          </cell>
          <cell r="Q31">
            <v>1147</v>
          </cell>
          <cell r="R31">
            <v>1227</v>
          </cell>
          <cell r="S31">
            <v>1084</v>
          </cell>
          <cell r="T31">
            <v>1018</v>
          </cell>
          <cell r="U31">
            <v>1077</v>
          </cell>
          <cell r="V31">
            <v>1243</v>
          </cell>
          <cell r="W31">
            <v>1169</v>
          </cell>
          <cell r="X31">
            <v>1104</v>
          </cell>
          <cell r="Y31">
            <v>925</v>
          </cell>
          <cell r="Z31">
            <v>1254</v>
          </cell>
          <cell r="AA31">
            <v>1140</v>
          </cell>
          <cell r="AB31">
            <v>1099</v>
          </cell>
          <cell r="AC31">
            <v>1060</v>
          </cell>
          <cell r="AD31">
            <v>1012</v>
          </cell>
          <cell r="AE31">
            <v>1023</v>
          </cell>
          <cell r="AF31">
            <v>1029</v>
          </cell>
          <cell r="AG31">
            <v>1045</v>
          </cell>
          <cell r="AH31">
            <v>1053</v>
          </cell>
          <cell r="AI31">
            <v>1171</v>
          </cell>
          <cell r="AJ31">
            <v>1010</v>
          </cell>
          <cell r="AK31">
            <v>979</v>
          </cell>
          <cell r="AL31">
            <v>952</v>
          </cell>
          <cell r="AM31">
            <v>1170</v>
          </cell>
          <cell r="AN31">
            <v>1057</v>
          </cell>
          <cell r="AO31">
            <v>976</v>
          </cell>
          <cell r="AP31">
            <v>930</v>
          </cell>
          <cell r="AQ31">
            <v>938</v>
          </cell>
          <cell r="AR31">
            <v>1022</v>
          </cell>
          <cell r="AS31">
            <v>900</v>
          </cell>
          <cell r="AT31">
            <v>887</v>
          </cell>
          <cell r="AU31">
            <v>923</v>
          </cell>
          <cell r="AV31">
            <v>1062</v>
          </cell>
          <cell r="AW31">
            <v>903</v>
          </cell>
          <cell r="AX31">
            <v>859</v>
          </cell>
          <cell r="AY31">
            <v>896</v>
          </cell>
          <cell r="AZ31">
            <v>924</v>
          </cell>
          <cell r="BA31">
            <v>1032</v>
          </cell>
          <cell r="BB31">
            <v>847</v>
          </cell>
          <cell r="BC31">
            <v>831</v>
          </cell>
          <cell r="BD31">
            <v>973</v>
          </cell>
          <cell r="BE31">
            <v>894</v>
          </cell>
          <cell r="BF31">
            <v>840</v>
          </cell>
          <cell r="BG31">
            <v>837</v>
          </cell>
          <cell r="BH31">
            <v>839</v>
          </cell>
          <cell r="BI31">
            <v>980</v>
          </cell>
          <cell r="BJ31">
            <v>876</v>
          </cell>
          <cell r="BK31">
            <v>841</v>
          </cell>
          <cell r="BL31">
            <v>795</v>
          </cell>
          <cell r="BM31">
            <v>917</v>
          </cell>
          <cell r="BN31">
            <v>840</v>
          </cell>
          <cell r="BO31">
            <v>802</v>
          </cell>
          <cell r="BP31">
            <v>833</v>
          </cell>
          <cell r="BQ31">
            <v>853</v>
          </cell>
          <cell r="BR31">
            <v>858</v>
          </cell>
          <cell r="BS31">
            <v>775</v>
          </cell>
          <cell r="BT31">
            <v>763</v>
          </cell>
          <cell r="BU31">
            <v>832</v>
          </cell>
          <cell r="BV31">
            <v>802</v>
          </cell>
          <cell r="BW31">
            <v>739</v>
          </cell>
          <cell r="BX31">
            <v>749</v>
          </cell>
          <cell r="BY31">
            <v>611</v>
          </cell>
          <cell r="BZ31">
            <v>906</v>
          </cell>
          <cell r="CA31">
            <v>748</v>
          </cell>
          <cell r="CB31">
            <v>712</v>
          </cell>
          <cell r="CC31">
            <v>695</v>
          </cell>
          <cell r="CD31">
            <v>724</v>
          </cell>
          <cell r="CE31">
            <v>733</v>
          </cell>
          <cell r="CF31">
            <v>765</v>
          </cell>
          <cell r="CG31">
            <v>698</v>
          </cell>
          <cell r="CH31">
            <v>680</v>
          </cell>
          <cell r="CI31">
            <v>804</v>
          </cell>
          <cell r="CJ31">
            <v>713</v>
          </cell>
          <cell r="CK31">
            <v>750</v>
          </cell>
          <cell r="CL31">
            <v>651</v>
          </cell>
          <cell r="CM31">
            <v>728</v>
          </cell>
          <cell r="CN31">
            <v>771</v>
          </cell>
          <cell r="CO31">
            <v>713</v>
          </cell>
          <cell r="CP31">
            <v>674</v>
          </cell>
          <cell r="CQ31">
            <v>676</v>
          </cell>
          <cell r="CR31">
            <v>758</v>
          </cell>
          <cell r="CS31">
            <v>681</v>
          </cell>
          <cell r="CT31">
            <v>646</v>
          </cell>
          <cell r="CU31">
            <v>661</v>
          </cell>
          <cell r="CV31">
            <v>705</v>
          </cell>
          <cell r="CW31">
            <v>690</v>
          </cell>
          <cell r="CX31">
            <v>647</v>
          </cell>
          <cell r="CY31">
            <v>662</v>
          </cell>
          <cell r="CZ31">
            <v>654</v>
          </cell>
          <cell r="DA31">
            <v>684</v>
          </cell>
          <cell r="DB31">
            <v>612</v>
          </cell>
          <cell r="DC31">
            <v>575</v>
          </cell>
          <cell r="DD31">
            <v>679</v>
          </cell>
          <cell r="DE31">
            <v>582</v>
          </cell>
          <cell r="DF31">
            <v>702</v>
          </cell>
          <cell r="DG31">
            <v>579</v>
          </cell>
          <cell r="DH31">
            <v>548</v>
          </cell>
          <cell r="DI31">
            <v>663</v>
          </cell>
          <cell r="DJ31">
            <v>672</v>
          </cell>
          <cell r="DK31">
            <v>575</v>
          </cell>
          <cell r="DL31">
            <v>546</v>
          </cell>
          <cell r="DM31">
            <v>585</v>
          </cell>
          <cell r="DN31">
            <v>640</v>
          </cell>
          <cell r="DO31">
            <v>633</v>
          </cell>
          <cell r="DP31">
            <v>527</v>
          </cell>
          <cell r="DQ31">
            <v>554</v>
          </cell>
          <cell r="DR31">
            <v>641</v>
          </cell>
          <cell r="DS31">
            <v>577</v>
          </cell>
          <cell r="DT31">
            <v>553</v>
          </cell>
          <cell r="DU31">
            <v>576</v>
          </cell>
          <cell r="DV31">
            <v>576</v>
          </cell>
          <cell r="DW31">
            <v>606</v>
          </cell>
          <cell r="DX31">
            <v>529</v>
          </cell>
          <cell r="DY31">
            <v>526</v>
          </cell>
          <cell r="DZ31">
            <v>495</v>
          </cell>
          <cell r="EA31">
            <v>650</v>
          </cell>
          <cell r="EB31">
            <v>616</v>
          </cell>
          <cell r="EC31">
            <v>575</v>
          </cell>
          <cell r="ED31">
            <v>451</v>
          </cell>
          <cell r="EE31">
            <v>520</v>
          </cell>
          <cell r="EF31">
            <v>592</v>
          </cell>
          <cell r="EG31">
            <v>494</v>
          </cell>
          <cell r="EH31">
            <v>539</v>
          </cell>
          <cell r="EI31">
            <v>590</v>
          </cell>
          <cell r="EJ31">
            <v>541</v>
          </cell>
          <cell r="EK31">
            <v>524</v>
          </cell>
          <cell r="EL31">
            <v>489</v>
          </cell>
          <cell r="EM31">
            <v>547</v>
          </cell>
          <cell r="EN31">
            <v>597</v>
          </cell>
          <cell r="EO31">
            <v>547</v>
          </cell>
          <cell r="EP31">
            <v>477</v>
          </cell>
          <cell r="EQ31">
            <v>510</v>
          </cell>
          <cell r="ER31">
            <v>536</v>
          </cell>
          <cell r="ES31">
            <v>474</v>
          </cell>
          <cell r="ET31">
            <v>443</v>
          </cell>
          <cell r="EU31">
            <v>504</v>
          </cell>
          <cell r="EV31">
            <v>535</v>
          </cell>
          <cell r="EW31">
            <v>513</v>
          </cell>
          <cell r="EX31">
            <v>449</v>
          </cell>
          <cell r="EY31">
            <v>485</v>
          </cell>
          <cell r="EZ31">
            <v>424</v>
          </cell>
          <cell r="FA31">
            <v>535</v>
          </cell>
          <cell r="FB31">
            <v>445</v>
          </cell>
          <cell r="FC31">
            <v>468</v>
          </cell>
          <cell r="FD31">
            <v>524</v>
          </cell>
          <cell r="FE31">
            <v>512</v>
          </cell>
          <cell r="FF31">
            <v>447</v>
          </cell>
          <cell r="FG31">
            <v>418</v>
          </cell>
          <cell r="FH31">
            <v>455</v>
          </cell>
          <cell r="FI31">
            <v>503</v>
          </cell>
          <cell r="FJ31">
            <v>496</v>
          </cell>
          <cell r="FK31">
            <v>419</v>
          </cell>
          <cell r="FL31">
            <v>444</v>
          </cell>
          <cell r="FM31">
            <v>454</v>
          </cell>
          <cell r="FN31">
            <v>451</v>
          </cell>
          <cell r="FO31">
            <v>440</v>
          </cell>
          <cell r="FP31">
            <v>453</v>
          </cell>
          <cell r="FQ31">
            <v>409</v>
          </cell>
          <cell r="FR31">
            <v>493</v>
          </cell>
          <cell r="FS31">
            <v>461</v>
          </cell>
          <cell r="FT31">
            <v>427</v>
          </cell>
          <cell r="FU31">
            <v>406</v>
          </cell>
          <cell r="FV31">
            <v>450</v>
          </cell>
          <cell r="FW31">
            <v>482</v>
          </cell>
          <cell r="FX31">
            <v>358</v>
          </cell>
          <cell r="FY31">
            <v>450</v>
          </cell>
          <cell r="FZ31">
            <v>427</v>
          </cell>
          <cell r="GA31">
            <v>491</v>
          </cell>
          <cell r="GB31">
            <v>378</v>
          </cell>
          <cell r="GC31">
            <v>416</v>
          </cell>
          <cell r="GD31">
            <v>387</v>
          </cell>
          <cell r="GE31">
            <v>422</v>
          </cell>
          <cell r="GF31">
            <v>480</v>
          </cell>
          <cell r="GG31">
            <v>377</v>
          </cell>
          <cell r="GH31">
            <v>356</v>
          </cell>
          <cell r="GI31">
            <v>421</v>
          </cell>
          <cell r="GJ31">
            <v>470</v>
          </cell>
          <cell r="GK31">
            <v>356</v>
          </cell>
          <cell r="GL31">
            <v>429</v>
          </cell>
          <cell r="GM31">
            <v>401</v>
          </cell>
          <cell r="GN31">
            <v>458</v>
          </cell>
        </row>
        <row r="32">
          <cell r="B32" t="str">
            <v>DIDANOSINE</v>
          </cell>
          <cell r="C32" t="str">
            <v>BRR</v>
          </cell>
          <cell r="D32">
            <v>4326</v>
          </cell>
          <cell r="E32">
            <v>3969</v>
          </cell>
          <cell r="F32">
            <v>4354</v>
          </cell>
          <cell r="G32">
            <v>4104</v>
          </cell>
          <cell r="H32">
            <v>4157</v>
          </cell>
          <cell r="I32">
            <v>4355</v>
          </cell>
          <cell r="J32">
            <v>4210</v>
          </cell>
          <cell r="K32">
            <v>4164</v>
          </cell>
          <cell r="L32">
            <v>4187</v>
          </cell>
          <cell r="M32">
            <v>4247</v>
          </cell>
          <cell r="N32">
            <v>4077</v>
          </cell>
          <cell r="O32">
            <v>4175</v>
          </cell>
          <cell r="P32">
            <v>4085</v>
          </cell>
          <cell r="Q32">
            <v>3968</v>
          </cell>
          <cell r="R32">
            <v>4292</v>
          </cell>
          <cell r="S32">
            <v>4101</v>
          </cell>
          <cell r="T32">
            <v>4004</v>
          </cell>
          <cell r="U32">
            <v>4115</v>
          </cell>
          <cell r="V32">
            <v>4180</v>
          </cell>
          <cell r="W32">
            <v>3980</v>
          </cell>
          <cell r="X32">
            <v>3909</v>
          </cell>
          <cell r="Y32">
            <v>3401</v>
          </cell>
          <cell r="Z32">
            <v>4354</v>
          </cell>
          <cell r="AA32">
            <v>4095</v>
          </cell>
          <cell r="AB32">
            <v>4072</v>
          </cell>
          <cell r="AC32">
            <v>4006</v>
          </cell>
          <cell r="AD32">
            <v>3609</v>
          </cell>
          <cell r="AE32">
            <v>3721</v>
          </cell>
          <cell r="AF32">
            <v>4169</v>
          </cell>
          <cell r="AG32">
            <v>3834</v>
          </cell>
          <cell r="AH32">
            <v>3904</v>
          </cell>
          <cell r="AI32">
            <v>3941</v>
          </cell>
          <cell r="AJ32">
            <v>3914</v>
          </cell>
          <cell r="AK32">
            <v>3870</v>
          </cell>
          <cell r="AL32">
            <v>3608</v>
          </cell>
          <cell r="AM32">
            <v>4118</v>
          </cell>
          <cell r="AN32">
            <v>3940</v>
          </cell>
          <cell r="AO32">
            <v>3760</v>
          </cell>
          <cell r="AP32">
            <v>3701</v>
          </cell>
          <cell r="AQ32">
            <v>3739</v>
          </cell>
          <cell r="AR32">
            <v>3805</v>
          </cell>
          <cell r="AS32">
            <v>3682</v>
          </cell>
          <cell r="AT32">
            <v>3657</v>
          </cell>
          <cell r="AU32">
            <v>3652</v>
          </cell>
          <cell r="AV32">
            <v>3805</v>
          </cell>
          <cell r="AW32">
            <v>3829</v>
          </cell>
          <cell r="AX32">
            <v>3613</v>
          </cell>
          <cell r="AY32">
            <v>3593</v>
          </cell>
          <cell r="AZ32">
            <v>3511</v>
          </cell>
          <cell r="BA32">
            <v>3944</v>
          </cell>
          <cell r="BB32">
            <v>3654</v>
          </cell>
          <cell r="BC32">
            <v>3523</v>
          </cell>
          <cell r="BD32">
            <v>3617</v>
          </cell>
          <cell r="BE32">
            <v>3433</v>
          </cell>
          <cell r="BF32">
            <v>3649</v>
          </cell>
          <cell r="BG32">
            <v>3475</v>
          </cell>
          <cell r="BH32">
            <v>3591</v>
          </cell>
          <cell r="BI32">
            <v>3574</v>
          </cell>
          <cell r="BJ32">
            <v>3583</v>
          </cell>
          <cell r="BK32">
            <v>3427</v>
          </cell>
          <cell r="BL32">
            <v>3379</v>
          </cell>
          <cell r="BM32">
            <v>3511</v>
          </cell>
          <cell r="BN32">
            <v>3206</v>
          </cell>
          <cell r="BO32">
            <v>3610</v>
          </cell>
          <cell r="BP32">
            <v>3407</v>
          </cell>
          <cell r="BQ32">
            <v>3421</v>
          </cell>
          <cell r="BR32">
            <v>3590</v>
          </cell>
          <cell r="BS32">
            <v>3440</v>
          </cell>
          <cell r="BT32">
            <v>3406</v>
          </cell>
          <cell r="BU32">
            <v>3301</v>
          </cell>
          <cell r="BV32">
            <v>3564</v>
          </cell>
          <cell r="BW32">
            <v>3378</v>
          </cell>
          <cell r="BX32">
            <v>3263</v>
          </cell>
          <cell r="BY32">
            <v>2909</v>
          </cell>
          <cell r="BZ32">
            <v>3481</v>
          </cell>
          <cell r="CA32">
            <v>3496</v>
          </cell>
          <cell r="CB32">
            <v>3249</v>
          </cell>
          <cell r="CC32">
            <v>3366</v>
          </cell>
          <cell r="CD32">
            <v>2915</v>
          </cell>
          <cell r="CE32">
            <v>3177</v>
          </cell>
          <cell r="CF32">
            <v>3266</v>
          </cell>
          <cell r="CG32">
            <v>3292</v>
          </cell>
          <cell r="CH32">
            <v>3068</v>
          </cell>
          <cell r="CI32">
            <v>3340</v>
          </cell>
          <cell r="CJ32">
            <v>3234</v>
          </cell>
          <cell r="CK32">
            <v>3122</v>
          </cell>
          <cell r="CL32">
            <v>3056</v>
          </cell>
          <cell r="CM32">
            <v>3173</v>
          </cell>
          <cell r="CN32">
            <v>3364</v>
          </cell>
          <cell r="CO32">
            <v>3095</v>
          </cell>
          <cell r="CP32">
            <v>3129</v>
          </cell>
          <cell r="CQ32">
            <v>3071</v>
          </cell>
          <cell r="CR32">
            <v>3252</v>
          </cell>
          <cell r="CS32">
            <v>2986</v>
          </cell>
          <cell r="CT32">
            <v>2947</v>
          </cell>
          <cell r="CU32">
            <v>3000</v>
          </cell>
          <cell r="CV32">
            <v>3110</v>
          </cell>
          <cell r="CW32">
            <v>2948</v>
          </cell>
          <cell r="CX32">
            <v>2795</v>
          </cell>
          <cell r="CY32">
            <v>3036</v>
          </cell>
          <cell r="CZ32">
            <v>2765</v>
          </cell>
          <cell r="DA32">
            <v>3050</v>
          </cell>
          <cell r="DB32">
            <v>2755</v>
          </cell>
          <cell r="DC32">
            <v>2870</v>
          </cell>
          <cell r="DD32">
            <v>2881</v>
          </cell>
          <cell r="DE32">
            <v>2814</v>
          </cell>
          <cell r="DF32">
            <v>2858</v>
          </cell>
          <cell r="DG32">
            <v>2800</v>
          </cell>
          <cell r="DH32">
            <v>2686</v>
          </cell>
          <cell r="DI32">
            <v>2754</v>
          </cell>
          <cell r="DJ32">
            <v>2884</v>
          </cell>
          <cell r="DK32">
            <v>2726</v>
          </cell>
          <cell r="DL32">
            <v>2625</v>
          </cell>
          <cell r="DM32">
            <v>2676</v>
          </cell>
          <cell r="DN32">
            <v>2711</v>
          </cell>
          <cell r="DO32">
            <v>2876</v>
          </cell>
          <cell r="DP32">
            <v>2694</v>
          </cell>
          <cell r="DQ32">
            <v>2703</v>
          </cell>
          <cell r="DR32">
            <v>2843</v>
          </cell>
          <cell r="DS32">
            <v>2748</v>
          </cell>
          <cell r="DT32">
            <v>2551</v>
          </cell>
          <cell r="DU32">
            <v>2743</v>
          </cell>
          <cell r="DV32">
            <v>2560</v>
          </cell>
          <cell r="DW32">
            <v>2762</v>
          </cell>
          <cell r="DX32">
            <v>2494</v>
          </cell>
          <cell r="DY32">
            <v>2663</v>
          </cell>
          <cell r="DZ32">
            <v>2285</v>
          </cell>
          <cell r="EA32">
            <v>2875</v>
          </cell>
          <cell r="EB32">
            <v>2727</v>
          </cell>
          <cell r="EC32">
            <v>2799</v>
          </cell>
          <cell r="ED32">
            <v>2085</v>
          </cell>
          <cell r="EE32">
            <v>2484</v>
          </cell>
          <cell r="EF32">
            <v>2771</v>
          </cell>
          <cell r="EG32">
            <v>2595</v>
          </cell>
          <cell r="EH32">
            <v>2406</v>
          </cell>
          <cell r="EI32">
            <v>2425</v>
          </cell>
          <cell r="EJ32">
            <v>2673</v>
          </cell>
          <cell r="EK32">
            <v>2320</v>
          </cell>
          <cell r="EL32">
            <v>2467</v>
          </cell>
          <cell r="EM32">
            <v>2381</v>
          </cell>
          <cell r="EN32">
            <v>2669</v>
          </cell>
          <cell r="EO32">
            <v>2335</v>
          </cell>
          <cell r="EP32">
            <v>2345</v>
          </cell>
          <cell r="EQ32">
            <v>2208</v>
          </cell>
          <cell r="ER32">
            <v>2158</v>
          </cell>
          <cell r="ES32">
            <v>1981</v>
          </cell>
          <cell r="ET32">
            <v>1968</v>
          </cell>
          <cell r="EU32">
            <v>1927</v>
          </cell>
          <cell r="EV32">
            <v>1939</v>
          </cell>
          <cell r="EW32">
            <v>1928</v>
          </cell>
          <cell r="EX32">
            <v>1802</v>
          </cell>
          <cell r="EY32">
            <v>1802</v>
          </cell>
          <cell r="EZ32">
            <v>1604</v>
          </cell>
          <cell r="FA32">
            <v>1855</v>
          </cell>
          <cell r="FB32">
            <v>1701</v>
          </cell>
          <cell r="FC32">
            <v>1698</v>
          </cell>
          <cell r="FD32">
            <v>1743</v>
          </cell>
          <cell r="FE32">
            <v>1687</v>
          </cell>
          <cell r="FF32">
            <v>1649</v>
          </cell>
          <cell r="FG32">
            <v>1641</v>
          </cell>
          <cell r="FH32">
            <v>1522</v>
          </cell>
          <cell r="FI32">
            <v>1532</v>
          </cell>
          <cell r="FJ32">
            <v>1634</v>
          </cell>
          <cell r="FK32">
            <v>1545</v>
          </cell>
          <cell r="FL32">
            <v>1493</v>
          </cell>
          <cell r="FM32">
            <v>1466</v>
          </cell>
          <cell r="FN32">
            <v>1599</v>
          </cell>
          <cell r="FO32">
            <v>1455</v>
          </cell>
          <cell r="FP32">
            <v>1509</v>
          </cell>
          <cell r="FQ32">
            <v>1495</v>
          </cell>
          <cell r="FR32">
            <v>1570</v>
          </cell>
          <cell r="FS32">
            <v>1560</v>
          </cell>
          <cell r="FT32">
            <v>1451</v>
          </cell>
          <cell r="FU32">
            <v>1447</v>
          </cell>
          <cell r="FV32">
            <v>1488</v>
          </cell>
          <cell r="FW32">
            <v>1517</v>
          </cell>
          <cell r="FX32">
            <v>1431</v>
          </cell>
          <cell r="FY32">
            <v>1514</v>
          </cell>
          <cell r="FZ32">
            <v>1239</v>
          </cell>
          <cell r="GA32">
            <v>1610</v>
          </cell>
          <cell r="GB32">
            <v>1493</v>
          </cell>
          <cell r="GC32">
            <v>1470</v>
          </cell>
          <cell r="GD32">
            <v>1205</v>
          </cell>
          <cell r="GE32">
            <v>1308</v>
          </cell>
          <cell r="GF32">
            <v>1570</v>
          </cell>
          <cell r="GG32">
            <v>1465</v>
          </cell>
          <cell r="GH32">
            <v>1326</v>
          </cell>
          <cell r="GI32">
            <v>1376</v>
          </cell>
          <cell r="GJ32">
            <v>1385</v>
          </cell>
          <cell r="GK32">
            <v>1307</v>
          </cell>
          <cell r="GL32">
            <v>1310</v>
          </cell>
          <cell r="GM32">
            <v>1369</v>
          </cell>
          <cell r="GN32">
            <v>1418</v>
          </cell>
        </row>
        <row r="33">
          <cell r="B33" t="str">
            <v>RETROVIR</v>
          </cell>
          <cell r="C33" t="str">
            <v>GSK</v>
          </cell>
          <cell r="D33">
            <v>687</v>
          </cell>
          <cell r="E33">
            <v>563</v>
          </cell>
          <cell r="F33">
            <v>534</v>
          </cell>
          <cell r="G33">
            <v>538</v>
          </cell>
          <cell r="H33">
            <v>548</v>
          </cell>
          <cell r="I33">
            <v>569</v>
          </cell>
          <cell r="J33">
            <v>517</v>
          </cell>
          <cell r="K33">
            <v>520</v>
          </cell>
          <cell r="L33">
            <v>498</v>
          </cell>
          <cell r="M33">
            <v>550</v>
          </cell>
          <cell r="N33">
            <v>462</v>
          </cell>
          <cell r="O33">
            <v>496</v>
          </cell>
          <cell r="P33">
            <v>515</v>
          </cell>
          <cell r="Q33">
            <v>494</v>
          </cell>
          <cell r="R33">
            <v>516</v>
          </cell>
          <cell r="S33">
            <v>436</v>
          </cell>
          <cell r="T33">
            <v>402</v>
          </cell>
          <cell r="U33">
            <v>432</v>
          </cell>
          <cell r="V33">
            <v>409</v>
          </cell>
          <cell r="W33">
            <v>404</v>
          </cell>
          <cell r="X33">
            <v>388</v>
          </cell>
          <cell r="Y33">
            <v>367</v>
          </cell>
          <cell r="Z33">
            <v>466</v>
          </cell>
          <cell r="AA33">
            <v>420</v>
          </cell>
          <cell r="AB33">
            <v>384</v>
          </cell>
          <cell r="AC33">
            <v>355</v>
          </cell>
          <cell r="AD33">
            <v>359</v>
          </cell>
          <cell r="AE33">
            <v>373</v>
          </cell>
          <cell r="AF33">
            <v>357</v>
          </cell>
          <cell r="AG33">
            <v>334</v>
          </cell>
          <cell r="AH33">
            <v>362</v>
          </cell>
          <cell r="AI33">
            <v>347</v>
          </cell>
          <cell r="AJ33">
            <v>347</v>
          </cell>
          <cell r="AK33">
            <v>319</v>
          </cell>
          <cell r="AL33">
            <v>333</v>
          </cell>
          <cell r="AM33">
            <v>405</v>
          </cell>
          <cell r="AN33">
            <v>335</v>
          </cell>
          <cell r="AO33">
            <v>256</v>
          </cell>
          <cell r="AP33">
            <v>278</v>
          </cell>
          <cell r="AQ33">
            <v>251</v>
          </cell>
          <cell r="AR33">
            <v>269</v>
          </cell>
          <cell r="AS33">
            <v>265</v>
          </cell>
          <cell r="AT33">
            <v>238</v>
          </cell>
          <cell r="AU33">
            <v>247</v>
          </cell>
          <cell r="AV33">
            <v>284</v>
          </cell>
          <cell r="AW33">
            <v>241</v>
          </cell>
          <cell r="AX33">
            <v>287</v>
          </cell>
          <cell r="AY33">
            <v>248</v>
          </cell>
          <cell r="AZ33">
            <v>206</v>
          </cell>
          <cell r="BA33">
            <v>327</v>
          </cell>
          <cell r="BB33">
            <v>249</v>
          </cell>
          <cell r="BC33">
            <v>245</v>
          </cell>
          <cell r="BD33">
            <v>241</v>
          </cell>
          <cell r="BE33">
            <v>233</v>
          </cell>
          <cell r="BF33">
            <v>235</v>
          </cell>
          <cell r="BG33">
            <v>237</v>
          </cell>
          <cell r="BH33">
            <v>229</v>
          </cell>
          <cell r="BI33">
            <v>252</v>
          </cell>
          <cell r="BJ33">
            <v>201</v>
          </cell>
          <cell r="BK33">
            <v>183</v>
          </cell>
          <cell r="BL33">
            <v>214</v>
          </cell>
          <cell r="BM33">
            <v>233</v>
          </cell>
          <cell r="BN33">
            <v>212</v>
          </cell>
          <cell r="BO33">
            <v>207</v>
          </cell>
          <cell r="BP33">
            <v>226</v>
          </cell>
          <cell r="BQ33">
            <v>196</v>
          </cell>
          <cell r="BR33">
            <v>209</v>
          </cell>
          <cell r="BS33">
            <v>212</v>
          </cell>
          <cell r="BT33">
            <v>212</v>
          </cell>
          <cell r="BU33">
            <v>214</v>
          </cell>
          <cell r="BV33">
            <v>174</v>
          </cell>
          <cell r="BW33">
            <v>212</v>
          </cell>
          <cell r="BX33">
            <v>191</v>
          </cell>
          <cell r="BY33">
            <v>197</v>
          </cell>
          <cell r="BZ33">
            <v>180</v>
          </cell>
          <cell r="CA33">
            <v>209</v>
          </cell>
          <cell r="CB33">
            <v>208</v>
          </cell>
          <cell r="CC33">
            <v>261</v>
          </cell>
          <cell r="CD33">
            <v>184</v>
          </cell>
          <cell r="CE33">
            <v>144</v>
          </cell>
          <cell r="CF33">
            <v>171</v>
          </cell>
          <cell r="CG33">
            <v>191</v>
          </cell>
          <cell r="CH33">
            <v>167</v>
          </cell>
          <cell r="CI33">
            <v>156</v>
          </cell>
          <cell r="CJ33">
            <v>182</v>
          </cell>
          <cell r="CK33">
            <v>189</v>
          </cell>
          <cell r="CL33">
            <v>145</v>
          </cell>
          <cell r="CM33">
            <v>151</v>
          </cell>
          <cell r="CN33">
            <v>175</v>
          </cell>
          <cell r="CO33">
            <v>159</v>
          </cell>
          <cell r="CP33">
            <v>175</v>
          </cell>
          <cell r="CQ33">
            <v>142</v>
          </cell>
          <cell r="CR33">
            <v>138</v>
          </cell>
          <cell r="CS33">
            <v>146</v>
          </cell>
          <cell r="CT33">
            <v>158</v>
          </cell>
          <cell r="CU33">
            <v>136</v>
          </cell>
          <cell r="CV33">
            <v>154</v>
          </cell>
          <cell r="CW33">
            <v>166</v>
          </cell>
          <cell r="CX33">
            <v>177</v>
          </cell>
          <cell r="CY33">
            <v>133</v>
          </cell>
          <cell r="CZ33">
            <v>138</v>
          </cell>
          <cell r="DA33">
            <v>152</v>
          </cell>
          <cell r="DB33">
            <v>147</v>
          </cell>
          <cell r="DC33">
            <v>97</v>
          </cell>
          <cell r="DD33">
            <v>115</v>
          </cell>
          <cell r="DE33">
            <v>150</v>
          </cell>
          <cell r="DF33">
            <v>118</v>
          </cell>
          <cell r="DG33">
            <v>124</v>
          </cell>
          <cell r="DH33">
            <v>138</v>
          </cell>
          <cell r="DI33">
            <v>159</v>
          </cell>
          <cell r="DJ33">
            <v>115</v>
          </cell>
          <cell r="DK33">
            <v>123</v>
          </cell>
          <cell r="DL33">
            <v>145</v>
          </cell>
          <cell r="DM33">
            <v>133</v>
          </cell>
          <cell r="DN33">
            <v>155</v>
          </cell>
          <cell r="DO33">
            <v>142</v>
          </cell>
          <cell r="DP33">
            <v>96</v>
          </cell>
          <cell r="DQ33">
            <v>133</v>
          </cell>
          <cell r="DR33">
            <v>134</v>
          </cell>
          <cell r="DS33">
            <v>118</v>
          </cell>
          <cell r="DT33">
            <v>109</v>
          </cell>
          <cell r="DU33">
            <v>106</v>
          </cell>
          <cell r="DV33">
            <v>140</v>
          </cell>
          <cell r="DW33">
            <v>110</v>
          </cell>
          <cell r="DX33">
            <v>128</v>
          </cell>
          <cell r="DY33">
            <v>128</v>
          </cell>
          <cell r="DZ33">
            <v>113</v>
          </cell>
          <cell r="EA33">
            <v>132</v>
          </cell>
          <cell r="EB33">
            <v>105</v>
          </cell>
          <cell r="EC33">
            <v>84</v>
          </cell>
          <cell r="ED33">
            <v>89</v>
          </cell>
          <cell r="EE33">
            <v>96</v>
          </cell>
          <cell r="EF33">
            <v>118</v>
          </cell>
          <cell r="EG33">
            <v>100</v>
          </cell>
          <cell r="EH33">
            <v>86</v>
          </cell>
          <cell r="EI33">
            <v>95</v>
          </cell>
          <cell r="EJ33">
            <v>105</v>
          </cell>
          <cell r="EK33">
            <v>102</v>
          </cell>
          <cell r="EL33">
            <v>91</v>
          </cell>
          <cell r="EM33">
            <v>85</v>
          </cell>
          <cell r="EN33">
            <v>91</v>
          </cell>
          <cell r="EO33">
            <v>84</v>
          </cell>
          <cell r="EP33">
            <v>97</v>
          </cell>
          <cell r="EQ33">
            <v>90</v>
          </cell>
          <cell r="ER33">
            <v>97</v>
          </cell>
          <cell r="ES33">
            <v>76</v>
          </cell>
          <cell r="ET33">
            <v>89</v>
          </cell>
          <cell r="EU33">
            <v>113</v>
          </cell>
          <cell r="EV33">
            <v>89</v>
          </cell>
          <cell r="EW33">
            <v>90</v>
          </cell>
          <cell r="EX33">
            <v>89</v>
          </cell>
          <cell r="EY33">
            <v>98</v>
          </cell>
          <cell r="EZ33">
            <v>61</v>
          </cell>
          <cell r="FA33">
            <v>94</v>
          </cell>
          <cell r="FB33">
            <v>91</v>
          </cell>
          <cell r="FC33">
            <v>84</v>
          </cell>
          <cell r="FD33">
            <v>58</v>
          </cell>
          <cell r="FE33">
            <v>81</v>
          </cell>
          <cell r="FF33">
            <v>80</v>
          </cell>
          <cell r="FG33">
            <v>87</v>
          </cell>
          <cell r="FH33">
            <v>85</v>
          </cell>
          <cell r="FI33">
            <v>82</v>
          </cell>
          <cell r="FJ33">
            <v>78</v>
          </cell>
          <cell r="FK33">
            <v>84</v>
          </cell>
          <cell r="FL33">
            <v>68</v>
          </cell>
          <cell r="FM33">
            <v>83</v>
          </cell>
          <cell r="FN33">
            <v>70</v>
          </cell>
          <cell r="FO33">
            <v>56</v>
          </cell>
          <cell r="FP33">
            <v>90</v>
          </cell>
          <cell r="FQ33">
            <v>68</v>
          </cell>
          <cell r="FR33">
            <v>101</v>
          </cell>
          <cell r="FS33">
            <v>67</v>
          </cell>
          <cell r="FT33">
            <v>89</v>
          </cell>
          <cell r="FU33">
            <v>72</v>
          </cell>
          <cell r="FV33">
            <v>85</v>
          </cell>
          <cell r="FW33">
            <v>76</v>
          </cell>
          <cell r="FX33">
            <v>75</v>
          </cell>
          <cell r="FY33">
            <v>69</v>
          </cell>
          <cell r="FZ33">
            <v>71</v>
          </cell>
          <cell r="GA33">
            <v>66</v>
          </cell>
          <cell r="GB33">
            <v>78</v>
          </cell>
          <cell r="GC33">
            <v>67</v>
          </cell>
          <cell r="GD33">
            <v>63</v>
          </cell>
          <cell r="GE33">
            <v>58</v>
          </cell>
          <cell r="GF33">
            <v>67</v>
          </cell>
          <cell r="GG33">
            <v>67</v>
          </cell>
          <cell r="GH33">
            <v>85</v>
          </cell>
          <cell r="GI33">
            <v>68</v>
          </cell>
          <cell r="GJ33">
            <v>63</v>
          </cell>
          <cell r="GK33">
            <v>75</v>
          </cell>
          <cell r="GL33">
            <v>93</v>
          </cell>
          <cell r="GM33">
            <v>58</v>
          </cell>
          <cell r="GN33">
            <v>88</v>
          </cell>
        </row>
        <row r="34">
          <cell r="B34" t="str">
            <v>EMTRIVA</v>
          </cell>
          <cell r="C34" t="str">
            <v>GS-</v>
          </cell>
          <cell r="D34">
            <v>952</v>
          </cell>
          <cell r="E34">
            <v>928</v>
          </cell>
          <cell r="F34">
            <v>981</v>
          </cell>
          <cell r="G34">
            <v>908</v>
          </cell>
          <cell r="H34">
            <v>859</v>
          </cell>
          <cell r="I34">
            <v>1007</v>
          </cell>
          <cell r="J34">
            <v>919</v>
          </cell>
          <cell r="K34">
            <v>851</v>
          </cell>
          <cell r="L34">
            <v>845</v>
          </cell>
          <cell r="M34">
            <v>987</v>
          </cell>
          <cell r="N34">
            <v>865</v>
          </cell>
          <cell r="O34">
            <v>901</v>
          </cell>
          <cell r="P34">
            <v>872</v>
          </cell>
          <cell r="Q34">
            <v>863</v>
          </cell>
          <cell r="R34">
            <v>974</v>
          </cell>
          <cell r="S34">
            <v>860</v>
          </cell>
          <cell r="T34">
            <v>880</v>
          </cell>
          <cell r="U34">
            <v>847</v>
          </cell>
          <cell r="V34">
            <v>933</v>
          </cell>
          <cell r="W34">
            <v>798</v>
          </cell>
          <cell r="X34">
            <v>847</v>
          </cell>
          <cell r="Y34">
            <v>827</v>
          </cell>
          <cell r="Z34">
            <v>956</v>
          </cell>
          <cell r="AA34">
            <v>897</v>
          </cell>
          <cell r="AB34">
            <v>834</v>
          </cell>
          <cell r="AC34">
            <v>948</v>
          </cell>
          <cell r="AD34">
            <v>816</v>
          </cell>
          <cell r="AE34">
            <v>767</v>
          </cell>
          <cell r="AF34">
            <v>862</v>
          </cell>
          <cell r="AG34">
            <v>923</v>
          </cell>
          <cell r="AH34">
            <v>782</v>
          </cell>
          <cell r="AI34">
            <v>830</v>
          </cell>
          <cell r="AJ34">
            <v>835</v>
          </cell>
          <cell r="AK34">
            <v>905</v>
          </cell>
          <cell r="AL34">
            <v>823</v>
          </cell>
          <cell r="AM34">
            <v>876</v>
          </cell>
          <cell r="AN34">
            <v>800</v>
          </cell>
          <cell r="AO34">
            <v>816</v>
          </cell>
          <cell r="AP34">
            <v>844</v>
          </cell>
          <cell r="AQ34">
            <v>787</v>
          </cell>
          <cell r="AR34">
            <v>807</v>
          </cell>
          <cell r="AS34">
            <v>753</v>
          </cell>
          <cell r="AT34">
            <v>820</v>
          </cell>
          <cell r="AU34">
            <v>831</v>
          </cell>
          <cell r="AV34">
            <v>854</v>
          </cell>
          <cell r="AW34">
            <v>854</v>
          </cell>
          <cell r="AX34">
            <v>785</v>
          </cell>
          <cell r="AY34">
            <v>867</v>
          </cell>
          <cell r="AZ34">
            <v>768</v>
          </cell>
          <cell r="BA34">
            <v>865</v>
          </cell>
          <cell r="BB34">
            <v>751</v>
          </cell>
          <cell r="BC34">
            <v>804</v>
          </cell>
          <cell r="BD34">
            <v>823</v>
          </cell>
          <cell r="BE34">
            <v>754</v>
          </cell>
          <cell r="BF34">
            <v>819</v>
          </cell>
          <cell r="BG34">
            <v>767</v>
          </cell>
          <cell r="BH34">
            <v>823</v>
          </cell>
          <cell r="BI34">
            <v>797</v>
          </cell>
          <cell r="BJ34">
            <v>786</v>
          </cell>
          <cell r="BK34">
            <v>770</v>
          </cell>
          <cell r="BL34">
            <v>748</v>
          </cell>
          <cell r="BM34">
            <v>810</v>
          </cell>
          <cell r="BN34">
            <v>734</v>
          </cell>
          <cell r="BO34">
            <v>836</v>
          </cell>
          <cell r="BP34">
            <v>760</v>
          </cell>
          <cell r="BQ34">
            <v>815</v>
          </cell>
          <cell r="BR34">
            <v>843</v>
          </cell>
          <cell r="BS34">
            <v>778</v>
          </cell>
          <cell r="BT34">
            <v>776</v>
          </cell>
          <cell r="BU34">
            <v>759</v>
          </cell>
          <cell r="BV34">
            <v>788</v>
          </cell>
          <cell r="BW34">
            <v>783</v>
          </cell>
          <cell r="BX34">
            <v>874</v>
          </cell>
          <cell r="BY34">
            <v>651</v>
          </cell>
          <cell r="BZ34">
            <v>843</v>
          </cell>
          <cell r="CA34">
            <v>861</v>
          </cell>
          <cell r="CB34">
            <v>804</v>
          </cell>
          <cell r="CC34">
            <v>755</v>
          </cell>
          <cell r="CD34">
            <v>746</v>
          </cell>
          <cell r="CE34">
            <v>691</v>
          </cell>
          <cell r="CF34">
            <v>828</v>
          </cell>
          <cell r="CG34">
            <v>747</v>
          </cell>
          <cell r="CH34">
            <v>665</v>
          </cell>
          <cell r="CI34">
            <v>807</v>
          </cell>
          <cell r="CJ34">
            <v>791</v>
          </cell>
          <cell r="CK34">
            <v>751</v>
          </cell>
          <cell r="CL34">
            <v>717</v>
          </cell>
          <cell r="CM34">
            <v>840</v>
          </cell>
          <cell r="CN34">
            <v>876</v>
          </cell>
          <cell r="CO34">
            <v>798</v>
          </cell>
          <cell r="CP34">
            <v>745</v>
          </cell>
          <cell r="CQ34">
            <v>771</v>
          </cell>
          <cell r="CR34">
            <v>811</v>
          </cell>
          <cell r="CS34">
            <v>844</v>
          </cell>
          <cell r="CT34">
            <v>782</v>
          </cell>
          <cell r="CU34">
            <v>719</v>
          </cell>
          <cell r="CV34">
            <v>851</v>
          </cell>
          <cell r="CW34">
            <v>805</v>
          </cell>
          <cell r="CX34">
            <v>796</v>
          </cell>
          <cell r="CY34">
            <v>746</v>
          </cell>
          <cell r="CZ34">
            <v>711</v>
          </cell>
          <cell r="DA34">
            <v>832</v>
          </cell>
          <cell r="DB34">
            <v>721</v>
          </cell>
          <cell r="DC34">
            <v>756</v>
          </cell>
          <cell r="DD34">
            <v>757</v>
          </cell>
          <cell r="DE34">
            <v>779</v>
          </cell>
          <cell r="DF34">
            <v>815</v>
          </cell>
          <cell r="DG34">
            <v>772</v>
          </cell>
          <cell r="DH34">
            <v>748</v>
          </cell>
          <cell r="DI34">
            <v>783</v>
          </cell>
          <cell r="DJ34">
            <v>791</v>
          </cell>
          <cell r="DK34">
            <v>785</v>
          </cell>
          <cell r="DL34">
            <v>706</v>
          </cell>
          <cell r="DM34">
            <v>784</v>
          </cell>
          <cell r="DN34">
            <v>863</v>
          </cell>
          <cell r="DO34">
            <v>829</v>
          </cell>
          <cell r="DP34">
            <v>787</v>
          </cell>
          <cell r="DQ34">
            <v>756</v>
          </cell>
          <cell r="DR34">
            <v>825</v>
          </cell>
          <cell r="DS34">
            <v>828</v>
          </cell>
          <cell r="DT34">
            <v>715</v>
          </cell>
          <cell r="DU34">
            <v>746</v>
          </cell>
          <cell r="DV34">
            <v>807</v>
          </cell>
          <cell r="DW34">
            <v>862</v>
          </cell>
          <cell r="DX34">
            <v>802</v>
          </cell>
          <cell r="DY34">
            <v>743</v>
          </cell>
          <cell r="DZ34">
            <v>694</v>
          </cell>
          <cell r="EA34">
            <v>1024</v>
          </cell>
          <cell r="EB34">
            <v>888</v>
          </cell>
          <cell r="EC34">
            <v>791</v>
          </cell>
          <cell r="ED34">
            <v>698</v>
          </cell>
          <cell r="EE34">
            <v>777</v>
          </cell>
          <cell r="EF34">
            <v>888</v>
          </cell>
          <cell r="EG34">
            <v>806</v>
          </cell>
          <cell r="EH34">
            <v>762</v>
          </cell>
          <cell r="EI34">
            <v>807</v>
          </cell>
          <cell r="EJ34">
            <v>864</v>
          </cell>
          <cell r="EK34">
            <v>766</v>
          </cell>
          <cell r="EL34">
            <v>804</v>
          </cell>
          <cell r="EM34">
            <v>818</v>
          </cell>
          <cell r="EN34">
            <v>866</v>
          </cell>
          <cell r="EO34">
            <v>871</v>
          </cell>
          <cell r="EP34">
            <v>830</v>
          </cell>
          <cell r="EQ34">
            <v>838</v>
          </cell>
          <cell r="ER34">
            <v>866</v>
          </cell>
          <cell r="ES34">
            <v>831</v>
          </cell>
          <cell r="ET34">
            <v>890</v>
          </cell>
          <cell r="EU34">
            <v>813</v>
          </cell>
          <cell r="EV34">
            <v>847</v>
          </cell>
          <cell r="EW34">
            <v>907</v>
          </cell>
          <cell r="EX34">
            <v>843</v>
          </cell>
          <cell r="EY34">
            <v>823</v>
          </cell>
          <cell r="EZ34">
            <v>803</v>
          </cell>
          <cell r="FA34">
            <v>913</v>
          </cell>
          <cell r="FB34">
            <v>796</v>
          </cell>
          <cell r="FC34">
            <v>768</v>
          </cell>
          <cell r="FD34">
            <v>775</v>
          </cell>
          <cell r="FE34">
            <v>911</v>
          </cell>
          <cell r="FF34">
            <v>847</v>
          </cell>
          <cell r="FG34">
            <v>850</v>
          </cell>
          <cell r="FH34">
            <v>799</v>
          </cell>
          <cell r="FI34">
            <v>875</v>
          </cell>
          <cell r="FJ34">
            <v>865</v>
          </cell>
          <cell r="FK34">
            <v>857</v>
          </cell>
          <cell r="FL34">
            <v>831</v>
          </cell>
          <cell r="FM34">
            <v>891</v>
          </cell>
          <cell r="FN34">
            <v>833</v>
          </cell>
          <cell r="FO34">
            <v>803</v>
          </cell>
          <cell r="FP34">
            <v>847</v>
          </cell>
          <cell r="FQ34">
            <v>822</v>
          </cell>
          <cell r="FR34">
            <v>833</v>
          </cell>
          <cell r="FS34">
            <v>858</v>
          </cell>
          <cell r="FT34">
            <v>817</v>
          </cell>
          <cell r="FU34">
            <v>863</v>
          </cell>
          <cell r="FV34">
            <v>848</v>
          </cell>
          <cell r="FW34">
            <v>866</v>
          </cell>
          <cell r="FX34">
            <v>819</v>
          </cell>
          <cell r="FY34">
            <v>851</v>
          </cell>
          <cell r="FZ34">
            <v>772</v>
          </cell>
          <cell r="GA34">
            <v>964</v>
          </cell>
          <cell r="GB34">
            <v>858</v>
          </cell>
          <cell r="GC34">
            <v>845</v>
          </cell>
          <cell r="GD34">
            <v>704</v>
          </cell>
          <cell r="GE34">
            <v>838</v>
          </cell>
          <cell r="GF34">
            <v>888</v>
          </cell>
          <cell r="GG34">
            <v>884</v>
          </cell>
          <cell r="GH34">
            <v>810</v>
          </cell>
          <cell r="GI34">
            <v>940</v>
          </cell>
          <cell r="GJ34">
            <v>860</v>
          </cell>
          <cell r="GK34">
            <v>771</v>
          </cell>
          <cell r="GL34">
            <v>902</v>
          </cell>
          <cell r="GM34">
            <v>893</v>
          </cell>
          <cell r="GN34">
            <v>917</v>
          </cell>
        </row>
        <row r="35">
          <cell r="B35" t="str">
            <v>ENBREL</v>
          </cell>
          <cell r="C35" t="str">
            <v>AAI</v>
          </cell>
          <cell r="D35">
            <v>35638</v>
          </cell>
          <cell r="E35">
            <v>29597</v>
          </cell>
          <cell r="F35">
            <v>36054</v>
          </cell>
          <cell r="G35">
            <v>34054</v>
          </cell>
          <cell r="H35">
            <v>34981</v>
          </cell>
          <cell r="I35">
            <v>35242</v>
          </cell>
          <cell r="J35">
            <v>34674</v>
          </cell>
          <cell r="K35">
            <v>34790</v>
          </cell>
          <cell r="L35">
            <v>35147</v>
          </cell>
          <cell r="M35">
            <v>36475</v>
          </cell>
          <cell r="N35">
            <v>32744</v>
          </cell>
          <cell r="O35">
            <v>35725</v>
          </cell>
          <cell r="P35">
            <v>36509</v>
          </cell>
          <cell r="Q35">
            <v>36286</v>
          </cell>
          <cell r="R35">
            <v>37355</v>
          </cell>
          <cell r="S35">
            <v>36790</v>
          </cell>
          <cell r="T35">
            <v>36426</v>
          </cell>
          <cell r="U35">
            <v>37073</v>
          </cell>
          <cell r="V35">
            <v>37846</v>
          </cell>
          <cell r="W35">
            <v>37082</v>
          </cell>
          <cell r="X35">
            <v>37671</v>
          </cell>
          <cell r="Y35">
            <v>29324</v>
          </cell>
          <cell r="Z35">
            <v>42151</v>
          </cell>
          <cell r="AA35">
            <v>39605</v>
          </cell>
          <cell r="AB35">
            <v>38574</v>
          </cell>
          <cell r="AC35">
            <v>38957</v>
          </cell>
          <cell r="AD35">
            <v>34915</v>
          </cell>
          <cell r="AE35">
            <v>32905</v>
          </cell>
          <cell r="AF35">
            <v>37983</v>
          </cell>
          <cell r="AG35">
            <v>35499</v>
          </cell>
          <cell r="AH35">
            <v>38080</v>
          </cell>
          <cell r="AI35">
            <v>38994</v>
          </cell>
          <cell r="AJ35">
            <v>38995</v>
          </cell>
          <cell r="AK35">
            <v>36920</v>
          </cell>
          <cell r="AL35">
            <v>38158</v>
          </cell>
          <cell r="AM35">
            <v>38629</v>
          </cell>
          <cell r="AN35">
            <v>38337</v>
          </cell>
          <cell r="AO35">
            <v>35640</v>
          </cell>
          <cell r="AP35">
            <v>36829</v>
          </cell>
          <cell r="AQ35">
            <v>36711</v>
          </cell>
          <cell r="AR35">
            <v>35962</v>
          </cell>
          <cell r="AS35">
            <v>35596</v>
          </cell>
          <cell r="AT35">
            <v>35870</v>
          </cell>
          <cell r="AU35">
            <v>37065</v>
          </cell>
          <cell r="AV35">
            <v>36582</v>
          </cell>
          <cell r="AW35">
            <v>35721</v>
          </cell>
          <cell r="AX35">
            <v>35289</v>
          </cell>
          <cell r="AY35">
            <v>38247</v>
          </cell>
          <cell r="AZ35">
            <v>33797</v>
          </cell>
          <cell r="BA35">
            <v>41110</v>
          </cell>
          <cell r="BB35">
            <v>39434</v>
          </cell>
          <cell r="BC35">
            <v>44676</v>
          </cell>
          <cell r="BD35">
            <v>46887</v>
          </cell>
          <cell r="BE35">
            <v>35842</v>
          </cell>
          <cell r="BF35">
            <v>43496</v>
          </cell>
          <cell r="BG35">
            <v>40871</v>
          </cell>
          <cell r="BH35">
            <v>41511</v>
          </cell>
          <cell r="BI35">
            <v>40932</v>
          </cell>
          <cell r="BJ35">
            <v>40846</v>
          </cell>
          <cell r="BK35">
            <v>40064</v>
          </cell>
          <cell r="BL35">
            <v>40408</v>
          </cell>
          <cell r="BM35">
            <v>42878</v>
          </cell>
          <cell r="BN35">
            <v>35192</v>
          </cell>
          <cell r="BO35">
            <v>40366</v>
          </cell>
          <cell r="BP35">
            <v>38310</v>
          </cell>
          <cell r="BQ35">
            <v>38263</v>
          </cell>
          <cell r="BR35">
            <v>38734</v>
          </cell>
          <cell r="BS35">
            <v>38170</v>
          </cell>
          <cell r="BT35">
            <v>39306</v>
          </cell>
          <cell r="BU35">
            <v>38138</v>
          </cell>
          <cell r="BV35">
            <v>39234</v>
          </cell>
          <cell r="BW35">
            <v>39558</v>
          </cell>
          <cell r="BX35">
            <v>40697</v>
          </cell>
          <cell r="BY35">
            <v>31170</v>
          </cell>
          <cell r="BZ35">
            <v>43521</v>
          </cell>
          <cell r="CA35">
            <v>40176</v>
          </cell>
          <cell r="CB35">
            <v>41284</v>
          </cell>
          <cell r="CC35">
            <v>41860</v>
          </cell>
          <cell r="CD35">
            <v>32548</v>
          </cell>
          <cell r="CE35">
            <v>32059</v>
          </cell>
          <cell r="CF35">
            <v>39003</v>
          </cell>
          <cell r="CG35">
            <v>38633</v>
          </cell>
          <cell r="CH35">
            <v>37822</v>
          </cell>
          <cell r="CI35">
            <v>39104</v>
          </cell>
          <cell r="CJ35">
            <v>39741</v>
          </cell>
          <cell r="CK35">
            <v>38493</v>
          </cell>
          <cell r="CL35">
            <v>33853</v>
          </cell>
          <cell r="CM35">
            <v>35236</v>
          </cell>
          <cell r="CN35">
            <v>35474</v>
          </cell>
          <cell r="CO35">
            <v>34008</v>
          </cell>
          <cell r="CP35">
            <v>33807</v>
          </cell>
          <cell r="CQ35">
            <v>35346</v>
          </cell>
          <cell r="CR35">
            <v>36132</v>
          </cell>
          <cell r="CS35">
            <v>33893</v>
          </cell>
          <cell r="CT35">
            <v>34030</v>
          </cell>
          <cell r="CU35">
            <v>34861</v>
          </cell>
          <cell r="CV35">
            <v>38011</v>
          </cell>
          <cell r="CW35">
            <v>36186</v>
          </cell>
          <cell r="CX35">
            <v>35509</v>
          </cell>
          <cell r="CY35">
            <v>37832</v>
          </cell>
          <cell r="CZ35">
            <v>34080</v>
          </cell>
          <cell r="DA35">
            <v>37425</v>
          </cell>
          <cell r="DB35">
            <v>36179</v>
          </cell>
          <cell r="DC35">
            <v>35783</v>
          </cell>
          <cell r="DD35">
            <v>37479</v>
          </cell>
          <cell r="DE35">
            <v>32124</v>
          </cell>
          <cell r="DF35">
            <v>38025</v>
          </cell>
          <cell r="DG35">
            <v>37523</v>
          </cell>
          <cell r="DH35">
            <v>36880</v>
          </cell>
          <cell r="DI35">
            <v>37653</v>
          </cell>
          <cell r="DJ35">
            <v>36317</v>
          </cell>
          <cell r="DK35">
            <v>35536</v>
          </cell>
          <cell r="DL35">
            <v>35984</v>
          </cell>
          <cell r="DM35">
            <v>38439</v>
          </cell>
          <cell r="DN35">
            <v>33124</v>
          </cell>
          <cell r="DO35">
            <v>37136</v>
          </cell>
          <cell r="DP35">
            <v>36591</v>
          </cell>
          <cell r="DQ35">
            <v>36950</v>
          </cell>
          <cell r="DR35">
            <v>37389</v>
          </cell>
          <cell r="DS35">
            <v>35877</v>
          </cell>
          <cell r="DT35">
            <v>36211</v>
          </cell>
          <cell r="DU35">
            <v>37361</v>
          </cell>
          <cell r="DV35">
            <v>37267</v>
          </cell>
          <cell r="DW35">
            <v>35788</v>
          </cell>
          <cell r="DX35">
            <v>36295</v>
          </cell>
          <cell r="DY35">
            <v>38129</v>
          </cell>
          <cell r="DZ35">
            <v>29010</v>
          </cell>
          <cell r="EA35">
            <v>40319</v>
          </cell>
          <cell r="EB35">
            <v>37761</v>
          </cell>
          <cell r="EC35">
            <v>39003</v>
          </cell>
          <cell r="ED35">
            <v>27121</v>
          </cell>
          <cell r="EE35">
            <v>32520</v>
          </cell>
          <cell r="EF35">
            <v>36081</v>
          </cell>
          <cell r="EG35">
            <v>33790</v>
          </cell>
          <cell r="EH35">
            <v>32520</v>
          </cell>
          <cell r="EI35">
            <v>33716</v>
          </cell>
          <cell r="EJ35">
            <v>34701</v>
          </cell>
          <cell r="EK35">
            <v>34342</v>
          </cell>
          <cell r="EL35">
            <v>33767</v>
          </cell>
          <cell r="EM35">
            <v>35065</v>
          </cell>
          <cell r="EN35">
            <v>35861</v>
          </cell>
          <cell r="EO35">
            <v>34072</v>
          </cell>
          <cell r="EP35">
            <v>34474</v>
          </cell>
          <cell r="EQ35">
            <v>35310</v>
          </cell>
          <cell r="ER35">
            <v>35678</v>
          </cell>
          <cell r="ES35">
            <v>34117</v>
          </cell>
          <cell r="ET35">
            <v>34013</v>
          </cell>
          <cell r="EU35">
            <v>36372</v>
          </cell>
          <cell r="EV35">
            <v>37003</v>
          </cell>
          <cell r="EW35">
            <v>35530</v>
          </cell>
          <cell r="EX35">
            <v>35303</v>
          </cell>
          <cell r="EY35">
            <v>36815</v>
          </cell>
          <cell r="EZ35">
            <v>33141</v>
          </cell>
          <cell r="FA35">
            <v>37063</v>
          </cell>
          <cell r="FB35">
            <v>36778</v>
          </cell>
          <cell r="FC35">
            <v>36351</v>
          </cell>
          <cell r="FD35">
            <v>36915</v>
          </cell>
          <cell r="FE35">
            <v>34047</v>
          </cell>
          <cell r="FF35">
            <v>35513</v>
          </cell>
          <cell r="FG35">
            <v>36675</v>
          </cell>
          <cell r="FH35">
            <v>36758</v>
          </cell>
          <cell r="FI35">
            <v>36637</v>
          </cell>
          <cell r="FJ35">
            <v>33934</v>
          </cell>
          <cell r="FK35">
            <v>34757</v>
          </cell>
          <cell r="FL35">
            <v>35136</v>
          </cell>
          <cell r="FM35">
            <v>35687</v>
          </cell>
          <cell r="FN35">
            <v>36486</v>
          </cell>
          <cell r="FO35">
            <v>30829</v>
          </cell>
          <cell r="FP35">
            <v>36168</v>
          </cell>
          <cell r="FQ35">
            <v>36144</v>
          </cell>
          <cell r="FR35">
            <v>36239</v>
          </cell>
          <cell r="FS35">
            <v>34281</v>
          </cell>
          <cell r="FT35">
            <v>34093</v>
          </cell>
          <cell r="FU35">
            <v>34203</v>
          </cell>
          <cell r="FV35">
            <v>35057</v>
          </cell>
          <cell r="FW35">
            <v>34333</v>
          </cell>
          <cell r="FX35">
            <v>34689</v>
          </cell>
          <cell r="FY35">
            <v>34787</v>
          </cell>
          <cell r="FZ35">
            <v>27614</v>
          </cell>
          <cell r="GA35">
            <v>38154</v>
          </cell>
          <cell r="GB35">
            <v>35766</v>
          </cell>
          <cell r="GC35">
            <v>36669</v>
          </cell>
          <cell r="GD35">
            <v>27854</v>
          </cell>
          <cell r="GE35">
            <v>32714</v>
          </cell>
          <cell r="GF35">
            <v>34964</v>
          </cell>
          <cell r="GG35">
            <v>34911</v>
          </cell>
          <cell r="GH35">
            <v>31436</v>
          </cell>
          <cell r="GI35">
            <v>34080</v>
          </cell>
          <cell r="GJ35">
            <v>34100</v>
          </cell>
          <cell r="GK35">
            <v>31319</v>
          </cell>
          <cell r="GL35">
            <v>34341</v>
          </cell>
          <cell r="GM35">
            <v>35636</v>
          </cell>
          <cell r="GN35">
            <v>36365</v>
          </cell>
        </row>
        <row r="36">
          <cell r="B36" t="str">
            <v>EPIVIR</v>
          </cell>
          <cell r="C36" t="str">
            <v>GSK</v>
          </cell>
          <cell r="D36">
            <v>8352</v>
          </cell>
          <cell r="E36">
            <v>8023</v>
          </cell>
          <cell r="F36">
            <v>8318</v>
          </cell>
          <cell r="G36">
            <v>7520</v>
          </cell>
          <cell r="H36">
            <v>7837</v>
          </cell>
          <cell r="I36">
            <v>8472</v>
          </cell>
          <cell r="J36">
            <v>8000</v>
          </cell>
          <cell r="K36">
            <v>7614</v>
          </cell>
          <cell r="L36">
            <v>7499</v>
          </cell>
          <cell r="M36">
            <v>8230</v>
          </cell>
          <cell r="N36">
            <v>7497</v>
          </cell>
          <cell r="O36">
            <v>7724</v>
          </cell>
          <cell r="P36">
            <v>7454</v>
          </cell>
          <cell r="Q36">
            <v>7474</v>
          </cell>
          <cell r="R36">
            <v>7923</v>
          </cell>
          <cell r="S36">
            <v>7368</v>
          </cell>
          <cell r="T36">
            <v>6949</v>
          </cell>
          <cell r="U36">
            <v>7166</v>
          </cell>
          <cell r="V36">
            <v>7589</v>
          </cell>
          <cell r="W36">
            <v>7278</v>
          </cell>
          <cell r="X36">
            <v>6808</v>
          </cell>
          <cell r="Y36">
            <v>6344</v>
          </cell>
          <cell r="Z36">
            <v>7645</v>
          </cell>
          <cell r="AA36">
            <v>7537</v>
          </cell>
          <cell r="AB36">
            <v>6970</v>
          </cell>
          <cell r="AC36">
            <v>7024</v>
          </cell>
          <cell r="AD36">
            <v>6552</v>
          </cell>
          <cell r="AE36">
            <v>6877</v>
          </cell>
          <cell r="AF36">
            <v>6948</v>
          </cell>
          <cell r="AG36">
            <v>6543</v>
          </cell>
          <cell r="AH36">
            <v>6684</v>
          </cell>
          <cell r="AI36">
            <v>7114</v>
          </cell>
          <cell r="AJ36">
            <v>6825</v>
          </cell>
          <cell r="AK36">
            <v>6380</v>
          </cell>
          <cell r="AL36">
            <v>6467</v>
          </cell>
          <cell r="AM36">
            <v>7158</v>
          </cell>
          <cell r="AN36">
            <v>6968</v>
          </cell>
          <cell r="AO36">
            <v>6504</v>
          </cell>
          <cell r="AP36">
            <v>6433</v>
          </cell>
          <cell r="AQ36">
            <v>6224</v>
          </cell>
          <cell r="AR36">
            <v>6756</v>
          </cell>
          <cell r="AS36">
            <v>6279</v>
          </cell>
          <cell r="AT36">
            <v>6203</v>
          </cell>
          <cell r="AU36">
            <v>6155</v>
          </cell>
          <cell r="AV36">
            <v>6984</v>
          </cell>
          <cell r="AW36">
            <v>6178</v>
          </cell>
          <cell r="AX36">
            <v>6056</v>
          </cell>
          <cell r="AY36">
            <v>6310</v>
          </cell>
          <cell r="AZ36">
            <v>5969</v>
          </cell>
          <cell r="BA36">
            <v>6781</v>
          </cell>
          <cell r="BB36">
            <v>6049</v>
          </cell>
          <cell r="BC36">
            <v>5956</v>
          </cell>
          <cell r="BD36">
            <v>6244</v>
          </cell>
          <cell r="BE36">
            <v>6145</v>
          </cell>
          <cell r="BF36">
            <v>6109</v>
          </cell>
          <cell r="BG36">
            <v>5988</v>
          </cell>
          <cell r="BH36">
            <v>6035</v>
          </cell>
          <cell r="BI36">
            <v>6260</v>
          </cell>
          <cell r="BJ36">
            <v>6112</v>
          </cell>
          <cell r="BK36">
            <v>5591</v>
          </cell>
          <cell r="BL36">
            <v>5814</v>
          </cell>
          <cell r="BM36">
            <v>5962</v>
          </cell>
          <cell r="BN36">
            <v>5622</v>
          </cell>
          <cell r="BO36">
            <v>5845</v>
          </cell>
          <cell r="BP36">
            <v>5862</v>
          </cell>
          <cell r="BQ36">
            <v>5774</v>
          </cell>
          <cell r="BR36">
            <v>6423</v>
          </cell>
          <cell r="BS36">
            <v>5695</v>
          </cell>
          <cell r="BT36">
            <v>5917</v>
          </cell>
          <cell r="BU36">
            <v>5788</v>
          </cell>
          <cell r="BV36">
            <v>5976</v>
          </cell>
          <cell r="BW36">
            <v>5946</v>
          </cell>
          <cell r="BX36">
            <v>5623</v>
          </cell>
          <cell r="BY36">
            <v>5081</v>
          </cell>
          <cell r="BZ36">
            <v>6089</v>
          </cell>
          <cell r="CA36">
            <v>5928</v>
          </cell>
          <cell r="CB36">
            <v>5626</v>
          </cell>
          <cell r="CC36">
            <v>5845</v>
          </cell>
          <cell r="CD36">
            <v>4972</v>
          </cell>
          <cell r="CE36">
            <v>5470</v>
          </cell>
          <cell r="CF36">
            <v>5623</v>
          </cell>
          <cell r="CG36">
            <v>5703</v>
          </cell>
          <cell r="CH36">
            <v>5272</v>
          </cell>
          <cell r="CI36">
            <v>5612</v>
          </cell>
          <cell r="CJ36">
            <v>5538</v>
          </cell>
          <cell r="CK36">
            <v>5464</v>
          </cell>
          <cell r="CL36">
            <v>5263</v>
          </cell>
          <cell r="CM36">
            <v>5461</v>
          </cell>
          <cell r="CN36">
            <v>5926</v>
          </cell>
          <cell r="CO36">
            <v>5310</v>
          </cell>
          <cell r="CP36">
            <v>5126</v>
          </cell>
          <cell r="CQ36">
            <v>5275</v>
          </cell>
          <cell r="CR36">
            <v>5496</v>
          </cell>
          <cell r="CS36">
            <v>5367</v>
          </cell>
          <cell r="CT36">
            <v>5080</v>
          </cell>
          <cell r="CU36">
            <v>4958</v>
          </cell>
          <cell r="CV36">
            <v>5553</v>
          </cell>
          <cell r="CW36">
            <v>5167</v>
          </cell>
          <cell r="CX36">
            <v>4976</v>
          </cell>
          <cell r="CY36">
            <v>5107</v>
          </cell>
          <cell r="CZ36">
            <v>4830</v>
          </cell>
          <cell r="DA36">
            <v>5452</v>
          </cell>
          <cell r="DB36">
            <v>5062</v>
          </cell>
          <cell r="DC36">
            <v>4955</v>
          </cell>
          <cell r="DD36">
            <v>5061</v>
          </cell>
          <cell r="DE36">
            <v>5162</v>
          </cell>
          <cell r="DF36">
            <v>5159</v>
          </cell>
          <cell r="DG36">
            <v>5127</v>
          </cell>
          <cell r="DH36">
            <v>5034</v>
          </cell>
          <cell r="DI36">
            <v>5137</v>
          </cell>
          <cell r="DJ36">
            <v>5336</v>
          </cell>
          <cell r="DK36">
            <v>5126</v>
          </cell>
          <cell r="DL36">
            <v>5072</v>
          </cell>
          <cell r="DM36">
            <v>5049</v>
          </cell>
          <cell r="DN36">
            <v>5100</v>
          </cell>
          <cell r="DO36">
            <v>5371</v>
          </cell>
          <cell r="DP36">
            <v>5097</v>
          </cell>
          <cell r="DQ36">
            <v>5188</v>
          </cell>
          <cell r="DR36">
            <v>5328</v>
          </cell>
          <cell r="DS36">
            <v>5242</v>
          </cell>
          <cell r="DT36">
            <v>4818</v>
          </cell>
          <cell r="DU36">
            <v>4986</v>
          </cell>
          <cell r="DV36">
            <v>4846</v>
          </cell>
          <cell r="DW36">
            <v>5287</v>
          </cell>
          <cell r="DX36">
            <v>4922</v>
          </cell>
          <cell r="DY36">
            <v>4946</v>
          </cell>
          <cell r="DZ36">
            <v>4324</v>
          </cell>
          <cell r="EA36">
            <v>5431</v>
          </cell>
          <cell r="EB36">
            <v>4973</v>
          </cell>
          <cell r="EC36">
            <v>5227</v>
          </cell>
          <cell r="ED36">
            <v>4121</v>
          </cell>
          <cell r="EE36">
            <v>4719</v>
          </cell>
          <cell r="EF36">
            <v>5071</v>
          </cell>
          <cell r="EG36">
            <v>4740</v>
          </cell>
          <cell r="EH36">
            <v>4489</v>
          </cell>
          <cell r="EI36">
            <v>4703</v>
          </cell>
          <cell r="EJ36">
            <v>5132</v>
          </cell>
          <cell r="EK36">
            <v>4601</v>
          </cell>
          <cell r="EL36">
            <v>4428</v>
          </cell>
          <cell r="EM36">
            <v>4651</v>
          </cell>
          <cell r="EN36">
            <v>5040</v>
          </cell>
          <cell r="EO36">
            <v>4695</v>
          </cell>
          <cell r="EP36">
            <v>4580</v>
          </cell>
          <cell r="EQ36">
            <v>4534</v>
          </cell>
          <cell r="ER36">
            <v>4807</v>
          </cell>
          <cell r="ES36">
            <v>4514</v>
          </cell>
          <cell r="ET36">
            <v>4509</v>
          </cell>
          <cell r="EU36">
            <v>4494</v>
          </cell>
          <cell r="EV36">
            <v>4824</v>
          </cell>
          <cell r="EW36">
            <v>4610</v>
          </cell>
          <cell r="EX36">
            <v>4537</v>
          </cell>
          <cell r="EY36">
            <v>4359</v>
          </cell>
          <cell r="EZ36">
            <v>4371</v>
          </cell>
          <cell r="FA36">
            <v>4708</v>
          </cell>
          <cell r="FB36">
            <v>4546</v>
          </cell>
          <cell r="FC36">
            <v>4413</v>
          </cell>
          <cell r="FD36">
            <v>4477</v>
          </cell>
          <cell r="FE36">
            <v>4706</v>
          </cell>
          <cell r="FF36">
            <v>4514</v>
          </cell>
          <cell r="FG36">
            <v>4615</v>
          </cell>
          <cell r="FH36">
            <v>4309</v>
          </cell>
          <cell r="FI36">
            <v>4330</v>
          </cell>
          <cell r="FJ36">
            <v>4661</v>
          </cell>
          <cell r="FK36">
            <v>4507</v>
          </cell>
          <cell r="FL36">
            <v>4164</v>
          </cell>
          <cell r="FM36">
            <v>4430</v>
          </cell>
          <cell r="FN36">
            <v>4594</v>
          </cell>
          <cell r="FO36">
            <v>4175</v>
          </cell>
          <cell r="FP36">
            <v>4456</v>
          </cell>
          <cell r="FQ36">
            <v>4281</v>
          </cell>
          <cell r="FR36">
            <v>4563</v>
          </cell>
          <cell r="FS36">
            <v>4397</v>
          </cell>
          <cell r="FT36">
            <v>4230</v>
          </cell>
          <cell r="FU36">
            <v>4116</v>
          </cell>
          <cell r="FV36">
            <v>4101</v>
          </cell>
          <cell r="FW36">
            <v>4436</v>
          </cell>
          <cell r="FX36">
            <v>4403</v>
          </cell>
          <cell r="FY36">
            <v>4315</v>
          </cell>
          <cell r="FZ36">
            <v>3812</v>
          </cell>
          <cell r="GA36">
            <v>4820</v>
          </cell>
          <cell r="GB36">
            <v>4483</v>
          </cell>
          <cell r="GC36">
            <v>4463</v>
          </cell>
          <cell r="GD36">
            <v>3600</v>
          </cell>
          <cell r="GE36">
            <v>4132</v>
          </cell>
          <cell r="GF36">
            <v>4598</v>
          </cell>
          <cell r="GG36">
            <v>4542</v>
          </cell>
          <cell r="GH36">
            <v>3865</v>
          </cell>
          <cell r="GI36">
            <v>4126</v>
          </cell>
          <cell r="GJ36">
            <v>4490</v>
          </cell>
          <cell r="GK36">
            <v>4127</v>
          </cell>
          <cell r="GL36">
            <v>4014</v>
          </cell>
          <cell r="GM36">
            <v>4128</v>
          </cell>
          <cell r="GN36">
            <v>4598</v>
          </cell>
        </row>
        <row r="37">
          <cell r="B37" t="str">
            <v>EPIVIR HBV</v>
          </cell>
          <cell r="C37" t="str">
            <v>GSK</v>
          </cell>
          <cell r="D37">
            <v>1768</v>
          </cell>
          <cell r="E37">
            <v>1608</v>
          </cell>
          <cell r="F37">
            <v>1765</v>
          </cell>
          <cell r="G37">
            <v>1571</v>
          </cell>
          <cell r="H37">
            <v>1659</v>
          </cell>
          <cell r="I37">
            <v>1662</v>
          </cell>
          <cell r="J37">
            <v>1653</v>
          </cell>
          <cell r="K37">
            <v>1719</v>
          </cell>
          <cell r="L37">
            <v>1691</v>
          </cell>
          <cell r="M37">
            <v>1695</v>
          </cell>
          <cell r="N37">
            <v>1616</v>
          </cell>
          <cell r="O37">
            <v>1705</v>
          </cell>
          <cell r="P37">
            <v>1767</v>
          </cell>
          <cell r="Q37">
            <v>1657</v>
          </cell>
          <cell r="R37">
            <v>1727</v>
          </cell>
          <cell r="S37">
            <v>1690</v>
          </cell>
          <cell r="T37">
            <v>1646</v>
          </cell>
          <cell r="U37">
            <v>1717</v>
          </cell>
          <cell r="V37">
            <v>1686</v>
          </cell>
          <cell r="W37">
            <v>1659</v>
          </cell>
          <cell r="X37">
            <v>1644</v>
          </cell>
          <cell r="Y37">
            <v>1533</v>
          </cell>
          <cell r="Z37">
            <v>1746</v>
          </cell>
          <cell r="AA37">
            <v>1739</v>
          </cell>
          <cell r="AB37">
            <v>1668</v>
          </cell>
          <cell r="AC37">
            <v>1675</v>
          </cell>
          <cell r="AD37">
            <v>1537</v>
          </cell>
          <cell r="AE37">
            <v>1647</v>
          </cell>
          <cell r="AF37">
            <v>1810</v>
          </cell>
          <cell r="AG37">
            <v>1573</v>
          </cell>
          <cell r="AH37">
            <v>1640</v>
          </cell>
          <cell r="AI37">
            <v>1654</v>
          </cell>
          <cell r="AJ37">
            <v>1639</v>
          </cell>
          <cell r="AK37">
            <v>1669</v>
          </cell>
          <cell r="AL37">
            <v>1537</v>
          </cell>
          <cell r="AM37">
            <v>1804</v>
          </cell>
          <cell r="AN37">
            <v>1779</v>
          </cell>
          <cell r="AO37">
            <v>1654</v>
          </cell>
          <cell r="AP37">
            <v>1681</v>
          </cell>
          <cell r="AQ37">
            <v>1651</v>
          </cell>
          <cell r="AR37">
            <v>1760</v>
          </cell>
          <cell r="AS37">
            <v>1601</v>
          </cell>
          <cell r="AT37">
            <v>1610</v>
          </cell>
          <cell r="AU37">
            <v>1602</v>
          </cell>
          <cell r="AV37">
            <v>1712</v>
          </cell>
          <cell r="AW37">
            <v>1624</v>
          </cell>
          <cell r="AX37">
            <v>1537</v>
          </cell>
          <cell r="AY37">
            <v>1589</v>
          </cell>
          <cell r="AZ37">
            <v>1481</v>
          </cell>
          <cell r="BA37">
            <v>1749</v>
          </cell>
          <cell r="BB37">
            <v>1558</v>
          </cell>
          <cell r="BC37">
            <v>1578</v>
          </cell>
          <cell r="BD37">
            <v>1630</v>
          </cell>
          <cell r="BE37">
            <v>1581</v>
          </cell>
          <cell r="BF37">
            <v>1628</v>
          </cell>
          <cell r="BG37">
            <v>1578</v>
          </cell>
          <cell r="BH37">
            <v>1627</v>
          </cell>
          <cell r="BI37">
            <v>1648</v>
          </cell>
          <cell r="BJ37">
            <v>1644</v>
          </cell>
          <cell r="BK37">
            <v>1590</v>
          </cell>
          <cell r="BL37">
            <v>1599</v>
          </cell>
          <cell r="BM37">
            <v>1672</v>
          </cell>
          <cell r="BN37">
            <v>1593</v>
          </cell>
          <cell r="BO37">
            <v>1569</v>
          </cell>
          <cell r="BP37">
            <v>1624</v>
          </cell>
          <cell r="BQ37">
            <v>1639</v>
          </cell>
          <cell r="BR37">
            <v>1608</v>
          </cell>
          <cell r="BS37">
            <v>1565</v>
          </cell>
          <cell r="BT37">
            <v>1603</v>
          </cell>
          <cell r="BU37">
            <v>1564</v>
          </cell>
          <cell r="BV37">
            <v>1593</v>
          </cell>
          <cell r="BW37">
            <v>1615</v>
          </cell>
          <cell r="BX37">
            <v>1575</v>
          </cell>
          <cell r="BY37">
            <v>1362</v>
          </cell>
          <cell r="BZ37">
            <v>1673</v>
          </cell>
          <cell r="CA37">
            <v>1662</v>
          </cell>
          <cell r="CB37">
            <v>1596</v>
          </cell>
          <cell r="CC37">
            <v>1587</v>
          </cell>
          <cell r="CD37">
            <v>1401</v>
          </cell>
          <cell r="CE37">
            <v>1530</v>
          </cell>
          <cell r="CF37">
            <v>1686</v>
          </cell>
          <cell r="CG37">
            <v>1549</v>
          </cell>
          <cell r="CH37">
            <v>1375</v>
          </cell>
          <cell r="CI37">
            <v>1554</v>
          </cell>
          <cell r="CJ37">
            <v>1585</v>
          </cell>
          <cell r="CK37">
            <v>1579</v>
          </cell>
          <cell r="CL37">
            <v>1543</v>
          </cell>
          <cell r="CM37">
            <v>1724</v>
          </cell>
          <cell r="CN37">
            <v>1662</v>
          </cell>
          <cell r="CO37">
            <v>1677</v>
          </cell>
          <cell r="CP37">
            <v>1641</v>
          </cell>
          <cell r="CQ37">
            <v>1572</v>
          </cell>
          <cell r="CR37">
            <v>1573</v>
          </cell>
          <cell r="CS37">
            <v>1645</v>
          </cell>
          <cell r="CT37">
            <v>1537</v>
          </cell>
          <cell r="CU37">
            <v>1465</v>
          </cell>
          <cell r="CV37">
            <v>1580</v>
          </cell>
          <cell r="CW37">
            <v>1544</v>
          </cell>
          <cell r="CX37">
            <v>1605</v>
          </cell>
          <cell r="CY37">
            <v>1455</v>
          </cell>
          <cell r="CZ37">
            <v>1439</v>
          </cell>
          <cell r="DA37">
            <v>1550</v>
          </cell>
          <cell r="DB37">
            <v>1547</v>
          </cell>
          <cell r="DC37">
            <v>1472</v>
          </cell>
          <cell r="DD37">
            <v>1566</v>
          </cell>
          <cell r="DE37">
            <v>1471</v>
          </cell>
          <cell r="DF37">
            <v>1563</v>
          </cell>
          <cell r="DG37">
            <v>1476</v>
          </cell>
          <cell r="DH37">
            <v>1375</v>
          </cell>
          <cell r="DI37">
            <v>1532</v>
          </cell>
          <cell r="DJ37">
            <v>1536</v>
          </cell>
          <cell r="DK37">
            <v>1461</v>
          </cell>
          <cell r="DL37">
            <v>1438</v>
          </cell>
          <cell r="DM37">
            <v>1579</v>
          </cell>
          <cell r="DN37">
            <v>1409</v>
          </cell>
          <cell r="DO37">
            <v>1588</v>
          </cell>
          <cell r="DP37">
            <v>1491</v>
          </cell>
          <cell r="DQ37">
            <v>1436</v>
          </cell>
          <cell r="DR37">
            <v>1590</v>
          </cell>
          <cell r="DS37">
            <v>1516</v>
          </cell>
          <cell r="DT37">
            <v>1413</v>
          </cell>
          <cell r="DU37">
            <v>1432</v>
          </cell>
          <cell r="DV37">
            <v>1366</v>
          </cell>
          <cell r="DW37">
            <v>1517</v>
          </cell>
          <cell r="DX37">
            <v>1482</v>
          </cell>
          <cell r="DY37">
            <v>1371</v>
          </cell>
          <cell r="DZ37">
            <v>1315</v>
          </cell>
          <cell r="EA37">
            <v>1671</v>
          </cell>
          <cell r="EB37">
            <v>1593</v>
          </cell>
          <cell r="EC37">
            <v>1554</v>
          </cell>
          <cell r="ED37">
            <v>1270</v>
          </cell>
          <cell r="EE37">
            <v>1452</v>
          </cell>
          <cell r="EF37">
            <v>1634</v>
          </cell>
          <cell r="EG37">
            <v>1555</v>
          </cell>
          <cell r="EH37">
            <v>1374</v>
          </cell>
          <cell r="EI37">
            <v>1368</v>
          </cell>
          <cell r="EJ37">
            <v>1466</v>
          </cell>
          <cell r="EK37">
            <v>1565</v>
          </cell>
          <cell r="EL37">
            <v>1368</v>
          </cell>
          <cell r="EM37">
            <v>1474</v>
          </cell>
          <cell r="EN37">
            <v>1476</v>
          </cell>
          <cell r="EO37">
            <v>1514</v>
          </cell>
          <cell r="EP37">
            <v>1402</v>
          </cell>
          <cell r="EQ37">
            <v>1354</v>
          </cell>
          <cell r="ER37">
            <v>1377</v>
          </cell>
          <cell r="ES37">
            <v>1447</v>
          </cell>
          <cell r="ET37">
            <v>1281</v>
          </cell>
          <cell r="EU37">
            <v>1451</v>
          </cell>
          <cell r="EV37">
            <v>1480</v>
          </cell>
          <cell r="EW37">
            <v>1497</v>
          </cell>
          <cell r="EX37">
            <v>1392</v>
          </cell>
          <cell r="EY37">
            <v>1344</v>
          </cell>
          <cell r="EZ37">
            <v>1336</v>
          </cell>
          <cell r="FA37">
            <v>1430</v>
          </cell>
          <cell r="FB37">
            <v>1388</v>
          </cell>
          <cell r="FC37">
            <v>1341</v>
          </cell>
          <cell r="FD37">
            <v>1311</v>
          </cell>
          <cell r="FE37">
            <v>1365</v>
          </cell>
          <cell r="FF37">
            <v>1372</v>
          </cell>
          <cell r="FG37">
            <v>1334</v>
          </cell>
          <cell r="FH37">
            <v>1269</v>
          </cell>
          <cell r="FI37">
            <v>1331</v>
          </cell>
          <cell r="FJ37">
            <v>1404</v>
          </cell>
          <cell r="FK37">
            <v>1326</v>
          </cell>
          <cell r="FL37">
            <v>1294</v>
          </cell>
          <cell r="FM37">
            <v>1257</v>
          </cell>
          <cell r="FN37">
            <v>1338</v>
          </cell>
          <cell r="FO37">
            <v>1234</v>
          </cell>
          <cell r="FP37">
            <v>1342</v>
          </cell>
          <cell r="FQ37">
            <v>1307</v>
          </cell>
          <cell r="FR37">
            <v>1370</v>
          </cell>
          <cell r="FS37">
            <v>1307</v>
          </cell>
          <cell r="FT37">
            <v>1329</v>
          </cell>
          <cell r="FU37">
            <v>1298</v>
          </cell>
          <cell r="FV37">
            <v>1274</v>
          </cell>
          <cell r="FW37">
            <v>1340</v>
          </cell>
          <cell r="FX37">
            <v>1282</v>
          </cell>
          <cell r="FY37">
            <v>1186</v>
          </cell>
          <cell r="FZ37">
            <v>1090</v>
          </cell>
          <cell r="GA37">
            <v>1411</v>
          </cell>
          <cell r="GB37">
            <v>1335</v>
          </cell>
          <cell r="GC37">
            <v>1251</v>
          </cell>
          <cell r="GD37">
            <v>1077</v>
          </cell>
          <cell r="GE37">
            <v>1161</v>
          </cell>
          <cell r="GF37">
            <v>1437</v>
          </cell>
          <cell r="GG37">
            <v>1272</v>
          </cell>
          <cell r="GH37">
            <v>1182</v>
          </cell>
          <cell r="GI37">
            <v>1216</v>
          </cell>
          <cell r="GJ37">
            <v>1307</v>
          </cell>
          <cell r="GK37">
            <v>1274</v>
          </cell>
          <cell r="GL37">
            <v>1109</v>
          </cell>
          <cell r="GM37">
            <v>1189</v>
          </cell>
          <cell r="GN37">
            <v>1408</v>
          </cell>
        </row>
        <row r="38">
          <cell r="B38" t="str">
            <v>EPOGEN</v>
          </cell>
          <cell r="C38" t="str">
            <v>AAI</v>
          </cell>
          <cell r="D38">
            <v>1827</v>
          </cell>
          <cell r="E38">
            <v>1473</v>
          </cell>
          <cell r="F38">
            <v>1784</v>
          </cell>
          <cell r="G38">
            <v>1675</v>
          </cell>
          <cell r="H38">
            <v>1730</v>
          </cell>
          <cell r="I38">
            <v>1641</v>
          </cell>
          <cell r="J38">
            <v>1633</v>
          </cell>
          <cell r="K38">
            <v>1741</v>
          </cell>
          <cell r="L38">
            <v>1776</v>
          </cell>
          <cell r="M38">
            <v>1638</v>
          </cell>
          <cell r="N38">
            <v>1445</v>
          </cell>
          <cell r="O38">
            <v>1669</v>
          </cell>
          <cell r="P38">
            <v>1733</v>
          </cell>
          <cell r="Q38">
            <v>1642</v>
          </cell>
          <cell r="R38">
            <v>1717</v>
          </cell>
          <cell r="S38">
            <v>1666</v>
          </cell>
          <cell r="T38">
            <v>1607</v>
          </cell>
          <cell r="U38">
            <v>1614</v>
          </cell>
          <cell r="V38">
            <v>1556</v>
          </cell>
          <cell r="W38">
            <v>1671</v>
          </cell>
          <cell r="X38">
            <v>1755</v>
          </cell>
          <cell r="Y38">
            <v>1334</v>
          </cell>
          <cell r="Z38">
            <v>1635</v>
          </cell>
          <cell r="AA38">
            <v>1732</v>
          </cell>
          <cell r="AB38">
            <v>1741</v>
          </cell>
          <cell r="AC38">
            <v>1662</v>
          </cell>
          <cell r="AD38">
            <v>1537</v>
          </cell>
          <cell r="AE38">
            <v>1443</v>
          </cell>
          <cell r="AF38">
            <v>1680</v>
          </cell>
          <cell r="AG38">
            <v>1529</v>
          </cell>
          <cell r="AH38">
            <v>1607</v>
          </cell>
          <cell r="AI38">
            <v>1551</v>
          </cell>
          <cell r="AJ38">
            <v>1529</v>
          </cell>
          <cell r="AK38">
            <v>1554</v>
          </cell>
          <cell r="AL38">
            <v>1535</v>
          </cell>
          <cell r="AM38">
            <v>1586</v>
          </cell>
          <cell r="AN38">
            <v>1644</v>
          </cell>
          <cell r="AO38">
            <v>1455</v>
          </cell>
          <cell r="AP38">
            <v>1491</v>
          </cell>
          <cell r="AQ38">
            <v>1446</v>
          </cell>
          <cell r="AR38">
            <v>1463</v>
          </cell>
          <cell r="AS38">
            <v>1434</v>
          </cell>
          <cell r="AT38">
            <v>1304</v>
          </cell>
          <cell r="AU38">
            <v>1369</v>
          </cell>
          <cell r="AV38">
            <v>1397</v>
          </cell>
          <cell r="AW38">
            <v>1283</v>
          </cell>
          <cell r="AX38">
            <v>1380</v>
          </cell>
          <cell r="AY38">
            <v>1342</v>
          </cell>
          <cell r="AZ38">
            <v>1125</v>
          </cell>
          <cell r="BA38">
            <v>1299</v>
          </cell>
          <cell r="BB38">
            <v>1314</v>
          </cell>
          <cell r="BC38">
            <v>1347</v>
          </cell>
          <cell r="BD38">
            <v>1304</v>
          </cell>
          <cell r="BE38">
            <v>1164</v>
          </cell>
          <cell r="BF38">
            <v>1332</v>
          </cell>
          <cell r="BG38">
            <v>1272</v>
          </cell>
          <cell r="BH38">
            <v>1278</v>
          </cell>
          <cell r="BI38">
            <v>1384</v>
          </cell>
          <cell r="BJ38">
            <v>1339</v>
          </cell>
          <cell r="BK38">
            <v>1275</v>
          </cell>
          <cell r="BL38">
            <v>1288</v>
          </cell>
          <cell r="BM38">
            <v>1251</v>
          </cell>
          <cell r="BN38">
            <v>1102</v>
          </cell>
          <cell r="BO38">
            <v>1219</v>
          </cell>
          <cell r="BP38">
            <v>1262</v>
          </cell>
          <cell r="BQ38">
            <v>1196</v>
          </cell>
          <cell r="BR38">
            <v>1178</v>
          </cell>
          <cell r="BS38">
            <v>1113</v>
          </cell>
          <cell r="BT38">
            <v>1222</v>
          </cell>
          <cell r="BU38">
            <v>1213</v>
          </cell>
          <cell r="BV38">
            <v>1228</v>
          </cell>
          <cell r="BW38">
            <v>1217</v>
          </cell>
          <cell r="BX38">
            <v>1132</v>
          </cell>
          <cell r="BY38">
            <v>982</v>
          </cell>
          <cell r="BZ38">
            <v>1235</v>
          </cell>
          <cell r="CA38">
            <v>1171</v>
          </cell>
          <cell r="CB38">
            <v>1118</v>
          </cell>
          <cell r="CC38">
            <v>1210</v>
          </cell>
          <cell r="CD38">
            <v>921</v>
          </cell>
          <cell r="CE38">
            <v>986</v>
          </cell>
          <cell r="CF38">
            <v>1137</v>
          </cell>
          <cell r="CG38">
            <v>1102</v>
          </cell>
          <cell r="CH38">
            <v>1096</v>
          </cell>
          <cell r="CI38">
            <v>1092</v>
          </cell>
          <cell r="CJ38">
            <v>1085</v>
          </cell>
          <cell r="CK38">
            <v>962</v>
          </cell>
          <cell r="CL38">
            <v>1044</v>
          </cell>
          <cell r="CM38">
            <v>1140</v>
          </cell>
          <cell r="CN38">
            <v>1163</v>
          </cell>
          <cell r="CO38">
            <v>1034</v>
          </cell>
          <cell r="CP38">
            <v>1139</v>
          </cell>
          <cell r="CQ38">
            <v>1046</v>
          </cell>
          <cell r="CR38">
            <v>1046</v>
          </cell>
          <cell r="CS38">
            <v>1041</v>
          </cell>
          <cell r="CT38">
            <v>1024</v>
          </cell>
          <cell r="CU38">
            <v>1077</v>
          </cell>
          <cell r="CV38">
            <v>1082</v>
          </cell>
          <cell r="CW38">
            <v>988</v>
          </cell>
          <cell r="CX38">
            <v>963</v>
          </cell>
          <cell r="CY38">
            <v>1043</v>
          </cell>
          <cell r="CZ38">
            <v>833</v>
          </cell>
          <cell r="DA38">
            <v>935</v>
          </cell>
          <cell r="DB38">
            <v>993</v>
          </cell>
          <cell r="DC38">
            <v>965</v>
          </cell>
          <cell r="DD38">
            <v>990</v>
          </cell>
          <cell r="DE38">
            <v>818</v>
          </cell>
          <cell r="DF38">
            <v>1029</v>
          </cell>
          <cell r="DG38">
            <v>1023</v>
          </cell>
          <cell r="DH38">
            <v>967</v>
          </cell>
          <cell r="DI38">
            <v>976</v>
          </cell>
          <cell r="DJ38">
            <v>956</v>
          </cell>
          <cell r="DK38">
            <v>941</v>
          </cell>
          <cell r="DL38">
            <v>1024</v>
          </cell>
          <cell r="DM38">
            <v>900</v>
          </cell>
          <cell r="DN38">
            <v>868</v>
          </cell>
          <cell r="DO38">
            <v>1043</v>
          </cell>
          <cell r="DP38">
            <v>910</v>
          </cell>
          <cell r="DQ38">
            <v>928</v>
          </cell>
          <cell r="DR38">
            <v>996</v>
          </cell>
          <cell r="DS38">
            <v>951</v>
          </cell>
          <cell r="DT38">
            <v>850</v>
          </cell>
          <cell r="DU38">
            <v>970</v>
          </cell>
          <cell r="DV38">
            <v>925</v>
          </cell>
          <cell r="DW38">
            <v>897</v>
          </cell>
          <cell r="DX38">
            <v>910</v>
          </cell>
          <cell r="DY38">
            <v>872</v>
          </cell>
          <cell r="DZ38">
            <v>758</v>
          </cell>
          <cell r="EA38">
            <v>928</v>
          </cell>
          <cell r="EB38">
            <v>867</v>
          </cell>
          <cell r="EC38">
            <v>883</v>
          </cell>
          <cell r="ED38">
            <v>709</v>
          </cell>
          <cell r="EE38">
            <v>724</v>
          </cell>
          <cell r="EF38">
            <v>817</v>
          </cell>
          <cell r="EG38">
            <v>810</v>
          </cell>
          <cell r="EH38">
            <v>828</v>
          </cell>
          <cell r="EI38">
            <v>883</v>
          </cell>
          <cell r="EJ38">
            <v>863</v>
          </cell>
          <cell r="EK38">
            <v>852</v>
          </cell>
          <cell r="EL38">
            <v>860</v>
          </cell>
          <cell r="EM38">
            <v>813</v>
          </cell>
          <cell r="EN38">
            <v>828</v>
          </cell>
          <cell r="EO38">
            <v>914</v>
          </cell>
          <cell r="EP38">
            <v>811</v>
          </cell>
          <cell r="EQ38">
            <v>816</v>
          </cell>
          <cell r="ER38">
            <v>839</v>
          </cell>
          <cell r="ES38">
            <v>898</v>
          </cell>
          <cell r="ET38">
            <v>836</v>
          </cell>
          <cell r="EU38">
            <v>825</v>
          </cell>
          <cell r="EV38">
            <v>814</v>
          </cell>
          <cell r="EW38">
            <v>848</v>
          </cell>
          <cell r="EX38">
            <v>908</v>
          </cell>
          <cell r="EY38">
            <v>932</v>
          </cell>
          <cell r="EZ38">
            <v>713</v>
          </cell>
          <cell r="FA38">
            <v>840</v>
          </cell>
          <cell r="FB38">
            <v>802</v>
          </cell>
          <cell r="FC38">
            <v>801</v>
          </cell>
          <cell r="FD38">
            <v>807</v>
          </cell>
          <cell r="FE38">
            <v>785</v>
          </cell>
          <cell r="FF38">
            <v>814</v>
          </cell>
          <cell r="FG38">
            <v>851</v>
          </cell>
          <cell r="FH38">
            <v>765</v>
          </cell>
          <cell r="FI38">
            <v>867</v>
          </cell>
          <cell r="FJ38">
            <v>816</v>
          </cell>
          <cell r="FK38">
            <v>861</v>
          </cell>
          <cell r="FL38">
            <v>776</v>
          </cell>
          <cell r="FM38">
            <v>827</v>
          </cell>
          <cell r="FN38">
            <v>852</v>
          </cell>
          <cell r="FO38">
            <v>707</v>
          </cell>
          <cell r="FP38">
            <v>815</v>
          </cell>
          <cell r="FQ38">
            <v>774</v>
          </cell>
          <cell r="FR38">
            <v>798</v>
          </cell>
          <cell r="FS38">
            <v>733</v>
          </cell>
          <cell r="FT38">
            <v>707</v>
          </cell>
          <cell r="FU38">
            <v>752</v>
          </cell>
          <cell r="FV38">
            <v>701</v>
          </cell>
          <cell r="FW38">
            <v>845</v>
          </cell>
          <cell r="FX38">
            <v>704</v>
          </cell>
          <cell r="FY38">
            <v>804</v>
          </cell>
          <cell r="FZ38">
            <v>654</v>
          </cell>
          <cell r="GA38">
            <v>798</v>
          </cell>
          <cell r="GB38">
            <v>763</v>
          </cell>
          <cell r="GC38">
            <v>840</v>
          </cell>
          <cell r="GD38">
            <v>655</v>
          </cell>
          <cell r="GE38">
            <v>724</v>
          </cell>
          <cell r="GF38">
            <v>828</v>
          </cell>
          <cell r="GG38">
            <v>823</v>
          </cell>
          <cell r="GH38">
            <v>755</v>
          </cell>
          <cell r="GI38">
            <v>785</v>
          </cell>
          <cell r="GJ38">
            <v>761</v>
          </cell>
          <cell r="GK38">
            <v>722</v>
          </cell>
          <cell r="GL38">
            <v>648</v>
          </cell>
          <cell r="GM38">
            <v>717</v>
          </cell>
          <cell r="GN38">
            <v>745</v>
          </cell>
        </row>
        <row r="39">
          <cell r="B39" t="str">
            <v>EPZICOM</v>
          </cell>
          <cell r="C39" t="str">
            <v>GSK</v>
          </cell>
          <cell r="D39">
            <v>5984</v>
          </cell>
          <cell r="E39">
            <v>5405</v>
          </cell>
          <cell r="F39">
            <v>5875</v>
          </cell>
          <cell r="G39">
            <v>5805</v>
          </cell>
          <cell r="H39">
            <v>5763</v>
          </cell>
          <cell r="I39">
            <v>5884</v>
          </cell>
          <cell r="J39">
            <v>6114</v>
          </cell>
          <cell r="K39">
            <v>5863</v>
          </cell>
          <cell r="L39">
            <v>6092</v>
          </cell>
          <cell r="M39">
            <v>6208</v>
          </cell>
          <cell r="N39">
            <v>5799</v>
          </cell>
          <cell r="O39">
            <v>6064</v>
          </cell>
          <cell r="P39">
            <v>5980</v>
          </cell>
          <cell r="Q39">
            <v>6135</v>
          </cell>
          <cell r="R39">
            <v>6411</v>
          </cell>
          <cell r="S39">
            <v>6301</v>
          </cell>
          <cell r="T39">
            <v>6153</v>
          </cell>
          <cell r="U39">
            <v>6524</v>
          </cell>
          <cell r="V39">
            <v>6709</v>
          </cell>
          <cell r="W39">
            <v>5960</v>
          </cell>
          <cell r="X39">
            <v>5880</v>
          </cell>
          <cell r="Y39">
            <v>5217</v>
          </cell>
          <cell r="Z39">
            <v>6604</v>
          </cell>
          <cell r="AA39">
            <v>6411</v>
          </cell>
          <cell r="AB39">
            <v>6333</v>
          </cell>
          <cell r="AC39">
            <v>6439</v>
          </cell>
          <cell r="AD39">
            <v>5914</v>
          </cell>
          <cell r="AE39">
            <v>6025</v>
          </cell>
          <cell r="AF39">
            <v>6704</v>
          </cell>
          <cell r="AG39">
            <v>6222</v>
          </cell>
          <cell r="AH39">
            <v>6184</v>
          </cell>
          <cell r="AI39">
            <v>6589</v>
          </cell>
          <cell r="AJ39">
            <v>6433</v>
          </cell>
          <cell r="AK39">
            <v>6416</v>
          </cell>
          <cell r="AL39">
            <v>6257</v>
          </cell>
          <cell r="AM39">
            <v>6821</v>
          </cell>
          <cell r="AN39">
            <v>6839</v>
          </cell>
          <cell r="AO39">
            <v>6452</v>
          </cell>
          <cell r="AP39">
            <v>6394</v>
          </cell>
          <cell r="AQ39">
            <v>6417</v>
          </cell>
          <cell r="AR39">
            <v>6761</v>
          </cell>
          <cell r="AS39">
            <v>6417</v>
          </cell>
          <cell r="AT39">
            <v>6403</v>
          </cell>
          <cell r="AU39">
            <v>6483</v>
          </cell>
          <cell r="AV39">
            <v>7107</v>
          </cell>
          <cell r="AW39">
            <v>6642</v>
          </cell>
          <cell r="AX39">
            <v>6287</v>
          </cell>
          <cell r="AY39">
            <v>6851</v>
          </cell>
          <cell r="AZ39">
            <v>6543</v>
          </cell>
          <cell r="BA39">
            <v>7051</v>
          </cell>
          <cell r="BB39">
            <v>6619</v>
          </cell>
          <cell r="BC39">
            <v>6674</v>
          </cell>
          <cell r="BD39">
            <v>7016</v>
          </cell>
          <cell r="BE39">
            <v>6554</v>
          </cell>
          <cell r="BF39">
            <v>7020</v>
          </cell>
          <cell r="BG39">
            <v>6858</v>
          </cell>
          <cell r="BH39">
            <v>6908</v>
          </cell>
          <cell r="BI39">
            <v>7171</v>
          </cell>
          <cell r="BJ39">
            <v>6750</v>
          </cell>
          <cell r="BK39">
            <v>6854</v>
          </cell>
          <cell r="BL39">
            <v>6723</v>
          </cell>
          <cell r="BM39">
            <v>7029</v>
          </cell>
          <cell r="BN39">
            <v>6569</v>
          </cell>
          <cell r="BO39">
            <v>7137</v>
          </cell>
          <cell r="BP39">
            <v>7000</v>
          </cell>
          <cell r="BQ39">
            <v>7189</v>
          </cell>
          <cell r="BR39">
            <v>7412</v>
          </cell>
          <cell r="BS39">
            <v>6973</v>
          </cell>
          <cell r="BT39">
            <v>7048</v>
          </cell>
          <cell r="BU39">
            <v>7051</v>
          </cell>
          <cell r="BV39">
            <v>7249</v>
          </cell>
          <cell r="BW39">
            <v>7162</v>
          </cell>
          <cell r="BX39">
            <v>7258</v>
          </cell>
          <cell r="BY39">
            <v>6228</v>
          </cell>
          <cell r="BZ39">
            <v>7829</v>
          </cell>
          <cell r="CA39">
            <v>7525</v>
          </cell>
          <cell r="CB39">
            <v>7282</v>
          </cell>
          <cell r="CC39">
            <v>7653</v>
          </cell>
          <cell r="CD39">
            <v>6596</v>
          </cell>
          <cell r="CE39">
            <v>6682</v>
          </cell>
          <cell r="CF39">
            <v>7687</v>
          </cell>
          <cell r="CG39">
            <v>7409</v>
          </cell>
          <cell r="CH39">
            <v>7032</v>
          </cell>
          <cell r="CI39">
            <v>7591</v>
          </cell>
          <cell r="CJ39">
            <v>7591</v>
          </cell>
          <cell r="CK39">
            <v>7416</v>
          </cell>
          <cell r="CL39">
            <v>7300</v>
          </cell>
          <cell r="CM39">
            <v>7734</v>
          </cell>
          <cell r="CN39">
            <v>8097</v>
          </cell>
          <cell r="CO39">
            <v>7579</v>
          </cell>
          <cell r="CP39">
            <v>7404</v>
          </cell>
          <cell r="CQ39">
            <v>7507</v>
          </cell>
          <cell r="CR39">
            <v>7781</v>
          </cell>
          <cell r="CS39">
            <v>7568</v>
          </cell>
          <cell r="CT39">
            <v>7310</v>
          </cell>
          <cell r="CU39">
            <v>7267</v>
          </cell>
          <cell r="CV39">
            <v>7855</v>
          </cell>
          <cell r="CW39">
            <v>7691</v>
          </cell>
          <cell r="CX39">
            <v>7534</v>
          </cell>
          <cell r="CY39">
            <v>7681</v>
          </cell>
          <cell r="CZ39">
            <v>7084</v>
          </cell>
          <cell r="DA39">
            <v>8110</v>
          </cell>
          <cell r="DB39">
            <v>7707</v>
          </cell>
          <cell r="DC39">
            <v>7439</v>
          </cell>
          <cell r="DD39">
            <v>7675</v>
          </cell>
          <cell r="DE39">
            <v>7387</v>
          </cell>
          <cell r="DF39">
            <v>7942</v>
          </cell>
          <cell r="DG39">
            <v>7760</v>
          </cell>
          <cell r="DH39">
            <v>7713</v>
          </cell>
          <cell r="DI39">
            <v>7965</v>
          </cell>
          <cell r="DJ39">
            <v>8222</v>
          </cell>
          <cell r="DK39">
            <v>7759</v>
          </cell>
          <cell r="DL39">
            <v>7853</v>
          </cell>
          <cell r="DM39">
            <v>8089</v>
          </cell>
          <cell r="DN39">
            <v>7779</v>
          </cell>
          <cell r="DO39">
            <v>8449</v>
          </cell>
          <cell r="DP39">
            <v>8028</v>
          </cell>
          <cell r="DQ39">
            <v>7937</v>
          </cell>
          <cell r="DR39">
            <v>8401</v>
          </cell>
          <cell r="DS39">
            <v>8417</v>
          </cell>
          <cell r="DT39">
            <v>7827</v>
          </cell>
          <cell r="DU39">
            <v>8200</v>
          </cell>
          <cell r="DV39">
            <v>8038</v>
          </cell>
          <cell r="DW39">
            <v>8476</v>
          </cell>
          <cell r="DX39">
            <v>7838</v>
          </cell>
          <cell r="DY39">
            <v>8033</v>
          </cell>
          <cell r="DZ39">
            <v>7220</v>
          </cell>
          <cell r="EA39">
            <v>9014</v>
          </cell>
          <cell r="EB39">
            <v>8183</v>
          </cell>
          <cell r="EC39">
            <v>8417</v>
          </cell>
          <cell r="ED39">
            <v>6751</v>
          </cell>
          <cell r="EE39">
            <v>7828</v>
          </cell>
          <cell r="EF39">
            <v>8661</v>
          </cell>
          <cell r="EG39">
            <v>8185</v>
          </cell>
          <cell r="EH39">
            <v>7765</v>
          </cell>
          <cell r="EI39">
            <v>7684</v>
          </cell>
          <cell r="EJ39">
            <v>8075</v>
          </cell>
          <cell r="EK39">
            <v>7679</v>
          </cell>
          <cell r="EL39">
            <v>7818</v>
          </cell>
          <cell r="EM39">
            <v>8003</v>
          </cell>
          <cell r="EN39">
            <v>8609</v>
          </cell>
          <cell r="EO39">
            <v>7820</v>
          </cell>
          <cell r="EP39">
            <v>7809</v>
          </cell>
          <cell r="EQ39">
            <v>7750</v>
          </cell>
          <cell r="ER39">
            <v>8177</v>
          </cell>
          <cell r="ES39">
            <v>7673</v>
          </cell>
          <cell r="ET39">
            <v>7658</v>
          </cell>
          <cell r="EU39">
            <v>7625</v>
          </cell>
          <cell r="EV39">
            <v>8131</v>
          </cell>
          <cell r="EW39">
            <v>8278</v>
          </cell>
          <cell r="EX39">
            <v>7691</v>
          </cell>
          <cell r="EY39">
            <v>7720</v>
          </cell>
          <cell r="EZ39">
            <v>7169</v>
          </cell>
          <cell r="FA39">
            <v>8401</v>
          </cell>
          <cell r="FB39">
            <v>7821</v>
          </cell>
          <cell r="FC39">
            <v>7707</v>
          </cell>
          <cell r="FD39">
            <v>7631</v>
          </cell>
          <cell r="FE39">
            <v>8437</v>
          </cell>
          <cell r="FF39">
            <v>7663</v>
          </cell>
          <cell r="FG39">
            <v>7796</v>
          </cell>
          <cell r="FH39">
            <v>7759</v>
          </cell>
          <cell r="FI39">
            <v>7854</v>
          </cell>
          <cell r="FJ39">
            <v>8303</v>
          </cell>
          <cell r="FK39">
            <v>7620</v>
          </cell>
          <cell r="FL39">
            <v>7882</v>
          </cell>
          <cell r="FM39">
            <v>7820</v>
          </cell>
          <cell r="FN39">
            <v>8326</v>
          </cell>
          <cell r="FO39">
            <v>7114</v>
          </cell>
          <cell r="FP39">
            <v>8254</v>
          </cell>
          <cell r="FQ39">
            <v>8049</v>
          </cell>
          <cell r="FR39">
            <v>8389</v>
          </cell>
          <cell r="FS39">
            <v>7849</v>
          </cell>
          <cell r="FT39">
            <v>8110</v>
          </cell>
          <cell r="FU39">
            <v>7992</v>
          </cell>
          <cell r="FV39">
            <v>8133</v>
          </cell>
          <cell r="FW39">
            <v>8128</v>
          </cell>
          <cell r="FX39">
            <v>8142</v>
          </cell>
          <cell r="FY39">
            <v>8110</v>
          </cell>
          <cell r="FZ39">
            <v>7196</v>
          </cell>
          <cell r="GA39">
            <v>9273</v>
          </cell>
          <cell r="GB39">
            <v>8346</v>
          </cell>
          <cell r="GC39">
            <v>8511</v>
          </cell>
          <cell r="GD39">
            <v>7004</v>
          </cell>
          <cell r="GE39">
            <v>8021</v>
          </cell>
          <cell r="GF39">
            <v>8801</v>
          </cell>
          <cell r="GG39">
            <v>8564</v>
          </cell>
          <cell r="GH39">
            <v>7654</v>
          </cell>
          <cell r="GI39">
            <v>8131</v>
          </cell>
          <cell r="GJ39">
            <v>8435</v>
          </cell>
          <cell r="GK39">
            <v>7817</v>
          </cell>
          <cell r="GL39">
            <v>8073</v>
          </cell>
          <cell r="GM39">
            <v>8032</v>
          </cell>
          <cell r="GN39">
            <v>9023</v>
          </cell>
        </row>
        <row r="40">
          <cell r="B40" t="str">
            <v>ERBITUX</v>
          </cell>
          <cell r="C40" t="str">
            <v>ISY</v>
          </cell>
          <cell r="D40">
            <v>22</v>
          </cell>
          <cell r="E40">
            <v>12</v>
          </cell>
          <cell r="F40">
            <v>28</v>
          </cell>
          <cell r="G40">
            <v>20</v>
          </cell>
          <cell r="H40">
            <v>21</v>
          </cell>
          <cell r="I40">
            <v>16</v>
          </cell>
          <cell r="J40">
            <v>20</v>
          </cell>
          <cell r="K40">
            <v>19</v>
          </cell>
          <cell r="L40">
            <v>17</v>
          </cell>
          <cell r="M40">
            <v>22</v>
          </cell>
          <cell r="N40">
            <v>19</v>
          </cell>
          <cell r="O40">
            <v>21</v>
          </cell>
          <cell r="P40">
            <v>17</v>
          </cell>
          <cell r="Q40">
            <v>23</v>
          </cell>
          <cell r="R40">
            <v>14</v>
          </cell>
          <cell r="S40">
            <v>20</v>
          </cell>
          <cell r="T40">
            <v>17</v>
          </cell>
          <cell r="U40">
            <v>18</v>
          </cell>
          <cell r="V40">
            <v>22</v>
          </cell>
          <cell r="W40">
            <v>34</v>
          </cell>
          <cell r="X40">
            <v>18</v>
          </cell>
          <cell r="Y40">
            <v>13</v>
          </cell>
          <cell r="Z40">
            <v>20</v>
          </cell>
          <cell r="AA40">
            <v>23</v>
          </cell>
          <cell r="AB40">
            <v>16</v>
          </cell>
          <cell r="AC40">
            <v>17</v>
          </cell>
          <cell r="AD40">
            <v>7</v>
          </cell>
          <cell r="AE40">
            <v>18</v>
          </cell>
          <cell r="AF40">
            <v>16</v>
          </cell>
          <cell r="AG40">
            <v>17</v>
          </cell>
          <cell r="AH40">
            <v>20</v>
          </cell>
          <cell r="AI40">
            <v>34</v>
          </cell>
          <cell r="AJ40">
            <v>19</v>
          </cell>
          <cell r="AK40">
            <v>8</v>
          </cell>
          <cell r="AL40">
            <v>15</v>
          </cell>
          <cell r="AM40">
            <v>21</v>
          </cell>
          <cell r="AN40">
            <v>9</v>
          </cell>
          <cell r="AO40">
            <v>15</v>
          </cell>
          <cell r="AP40">
            <v>19</v>
          </cell>
          <cell r="AQ40">
            <v>8</v>
          </cell>
          <cell r="AR40">
            <v>13</v>
          </cell>
          <cell r="AS40">
            <v>19</v>
          </cell>
          <cell r="AT40">
            <v>15</v>
          </cell>
          <cell r="AU40">
            <v>15</v>
          </cell>
          <cell r="AV40">
            <v>13</v>
          </cell>
          <cell r="AW40">
            <v>20</v>
          </cell>
          <cell r="AX40">
            <v>16</v>
          </cell>
          <cell r="AY40">
            <v>4</v>
          </cell>
          <cell r="AZ40">
            <v>15</v>
          </cell>
          <cell r="BA40">
            <v>24</v>
          </cell>
          <cell r="BB40">
            <v>16</v>
          </cell>
          <cell r="BC40">
            <v>14</v>
          </cell>
          <cell r="BD40">
            <v>15</v>
          </cell>
          <cell r="BE40">
            <v>17</v>
          </cell>
          <cell r="BF40">
            <v>13</v>
          </cell>
          <cell r="BG40">
            <v>10</v>
          </cell>
          <cell r="BH40">
            <v>17</v>
          </cell>
          <cell r="BI40">
            <v>17</v>
          </cell>
          <cell r="BJ40">
            <v>14</v>
          </cell>
          <cell r="BK40">
            <v>25</v>
          </cell>
          <cell r="BL40">
            <v>20</v>
          </cell>
          <cell r="BM40">
            <v>18</v>
          </cell>
          <cell r="BN40">
            <v>15</v>
          </cell>
          <cell r="BO40">
            <v>22</v>
          </cell>
          <cell r="BP40">
            <v>17</v>
          </cell>
          <cell r="BQ40">
            <v>23</v>
          </cell>
          <cell r="BR40">
            <v>23</v>
          </cell>
          <cell r="BS40">
            <v>25</v>
          </cell>
          <cell r="BT40">
            <v>28</v>
          </cell>
          <cell r="BU40">
            <v>32</v>
          </cell>
          <cell r="BV40">
            <v>24</v>
          </cell>
          <cell r="BW40">
            <v>17</v>
          </cell>
          <cell r="BX40">
            <v>25</v>
          </cell>
          <cell r="BY40">
            <v>19</v>
          </cell>
          <cell r="BZ40">
            <v>19</v>
          </cell>
          <cell r="CA40">
            <v>29</v>
          </cell>
          <cell r="CB40">
            <v>23</v>
          </cell>
          <cell r="CC40">
            <v>27</v>
          </cell>
          <cell r="CD40">
            <v>16</v>
          </cell>
          <cell r="CE40">
            <v>12</v>
          </cell>
          <cell r="CF40">
            <v>35</v>
          </cell>
          <cell r="CG40">
            <v>26</v>
          </cell>
          <cell r="CH40">
            <v>20</v>
          </cell>
          <cell r="CI40">
            <v>27</v>
          </cell>
          <cell r="CJ40">
            <v>32</v>
          </cell>
          <cell r="CK40">
            <v>21</v>
          </cell>
          <cell r="CL40">
            <v>23</v>
          </cell>
          <cell r="CM40">
            <v>29</v>
          </cell>
          <cell r="CN40">
            <v>17</v>
          </cell>
          <cell r="CO40">
            <v>14</v>
          </cell>
          <cell r="CP40">
            <v>23</v>
          </cell>
          <cell r="CQ40">
            <v>19</v>
          </cell>
          <cell r="CR40">
            <v>21</v>
          </cell>
          <cell r="CS40">
            <v>23</v>
          </cell>
          <cell r="CT40">
            <v>22</v>
          </cell>
          <cell r="CU40">
            <v>10</v>
          </cell>
          <cell r="CV40">
            <v>14</v>
          </cell>
          <cell r="CW40">
            <v>33</v>
          </cell>
          <cell r="CX40">
            <v>23</v>
          </cell>
          <cell r="CY40">
            <v>27</v>
          </cell>
          <cell r="CZ40">
            <v>34</v>
          </cell>
          <cell r="DA40">
            <v>26</v>
          </cell>
          <cell r="DB40">
            <v>41</v>
          </cell>
          <cell r="DC40">
            <v>45</v>
          </cell>
          <cell r="DD40">
            <v>32</v>
          </cell>
          <cell r="DE40">
            <v>33</v>
          </cell>
          <cell r="DF40">
            <v>56</v>
          </cell>
          <cell r="DG40">
            <v>28</v>
          </cell>
          <cell r="DH40">
            <v>30</v>
          </cell>
          <cell r="DI40">
            <v>36</v>
          </cell>
          <cell r="DJ40">
            <v>47</v>
          </cell>
          <cell r="DK40">
            <v>30</v>
          </cell>
          <cell r="DL40">
            <v>39</v>
          </cell>
          <cell r="DM40">
            <v>32</v>
          </cell>
          <cell r="DN40">
            <v>26</v>
          </cell>
          <cell r="DO40">
            <v>26</v>
          </cell>
          <cell r="DP40">
            <v>41</v>
          </cell>
          <cell r="DQ40">
            <v>36</v>
          </cell>
          <cell r="DR40">
            <v>36</v>
          </cell>
          <cell r="DS40">
            <v>36</v>
          </cell>
          <cell r="DT40">
            <v>34</v>
          </cell>
          <cell r="DU40">
            <v>18</v>
          </cell>
          <cell r="DV40">
            <v>29</v>
          </cell>
          <cell r="DW40">
            <v>24</v>
          </cell>
          <cell r="DX40">
            <v>17</v>
          </cell>
          <cell r="DY40">
            <v>31</v>
          </cell>
          <cell r="DZ40">
            <v>15</v>
          </cell>
          <cell r="EA40">
            <v>42</v>
          </cell>
          <cell r="EB40">
            <v>32</v>
          </cell>
          <cell r="EC40">
            <v>21</v>
          </cell>
          <cell r="ED40">
            <v>14</v>
          </cell>
          <cell r="EE40">
            <v>16</v>
          </cell>
          <cell r="EF40">
            <v>21</v>
          </cell>
          <cell r="EG40">
            <v>24</v>
          </cell>
          <cell r="EH40">
            <v>16</v>
          </cell>
          <cell r="EI40">
            <v>35</v>
          </cell>
          <cell r="EJ40">
            <v>30</v>
          </cell>
          <cell r="EK40">
            <v>35</v>
          </cell>
          <cell r="EL40">
            <v>31</v>
          </cell>
          <cell r="EM40">
            <v>26</v>
          </cell>
          <cell r="EN40">
            <v>34</v>
          </cell>
          <cell r="EO40">
            <v>34</v>
          </cell>
          <cell r="EP40">
            <v>36</v>
          </cell>
          <cell r="EQ40">
            <v>23</v>
          </cell>
          <cell r="ER40">
            <v>28</v>
          </cell>
          <cell r="ES40">
            <v>49</v>
          </cell>
          <cell r="ET40">
            <v>28</v>
          </cell>
          <cell r="EU40">
            <v>31</v>
          </cell>
          <cell r="EV40">
            <v>29</v>
          </cell>
          <cell r="EW40">
            <v>38</v>
          </cell>
          <cell r="EX40">
            <v>30</v>
          </cell>
          <cell r="EY40">
            <v>31</v>
          </cell>
          <cell r="EZ40">
            <v>27</v>
          </cell>
          <cell r="FA40">
            <v>24</v>
          </cell>
          <cell r="FB40">
            <v>26</v>
          </cell>
          <cell r="FC40">
            <v>26</v>
          </cell>
          <cell r="FD40">
            <v>30</v>
          </cell>
          <cell r="FE40">
            <v>28</v>
          </cell>
          <cell r="FF40">
            <v>25</v>
          </cell>
          <cell r="FG40">
            <v>28</v>
          </cell>
          <cell r="FH40">
            <v>34</v>
          </cell>
          <cell r="FI40">
            <v>33</v>
          </cell>
          <cell r="FJ40">
            <v>11</v>
          </cell>
          <cell r="FK40">
            <v>42</v>
          </cell>
          <cell r="FL40">
            <v>15</v>
          </cell>
          <cell r="FM40">
            <v>21</v>
          </cell>
          <cell r="FN40">
            <v>37</v>
          </cell>
          <cell r="FO40">
            <v>25</v>
          </cell>
          <cell r="FP40">
            <v>73</v>
          </cell>
          <cell r="FQ40">
            <v>54</v>
          </cell>
          <cell r="FR40">
            <v>34</v>
          </cell>
          <cell r="FS40">
            <v>20</v>
          </cell>
          <cell r="FT40">
            <v>34</v>
          </cell>
          <cell r="FU40">
            <v>24</v>
          </cell>
          <cell r="FV40">
            <v>35</v>
          </cell>
          <cell r="FW40">
            <v>18</v>
          </cell>
          <cell r="FX40">
            <v>30</v>
          </cell>
          <cell r="FY40">
            <v>19</v>
          </cell>
          <cell r="FZ40">
            <v>30</v>
          </cell>
          <cell r="GA40">
            <v>33</v>
          </cell>
          <cell r="GB40">
            <v>30</v>
          </cell>
          <cell r="GC40">
            <v>26</v>
          </cell>
          <cell r="GD40">
            <v>27</v>
          </cell>
          <cell r="GE40">
            <v>19</v>
          </cell>
          <cell r="GF40">
            <v>30</v>
          </cell>
          <cell r="GG40">
            <v>35</v>
          </cell>
          <cell r="GH40">
            <v>30</v>
          </cell>
          <cell r="GI40">
            <v>20</v>
          </cell>
          <cell r="GJ40">
            <v>30</v>
          </cell>
          <cell r="GK40">
            <v>21</v>
          </cell>
          <cell r="GL40">
            <v>32</v>
          </cell>
          <cell r="GM40">
            <v>33</v>
          </cell>
          <cell r="GN40">
            <v>34</v>
          </cell>
        </row>
        <row r="41">
          <cell r="B41" t="str">
            <v>EUFLEXXA</v>
          </cell>
          <cell r="C41" t="str">
            <v>FER</v>
          </cell>
          <cell r="D41">
            <v>134</v>
          </cell>
          <cell r="E41">
            <v>86</v>
          </cell>
          <cell r="F41">
            <v>161</v>
          </cell>
          <cell r="G41">
            <v>131</v>
          </cell>
          <cell r="H41">
            <v>156</v>
          </cell>
          <cell r="I41">
            <v>157</v>
          </cell>
          <cell r="J41">
            <v>197</v>
          </cell>
          <cell r="K41">
            <v>175</v>
          </cell>
          <cell r="L41">
            <v>175</v>
          </cell>
          <cell r="M41">
            <v>161</v>
          </cell>
          <cell r="N41">
            <v>169</v>
          </cell>
          <cell r="O41">
            <v>216</v>
          </cell>
          <cell r="P41">
            <v>232</v>
          </cell>
          <cell r="Q41">
            <v>226</v>
          </cell>
          <cell r="R41">
            <v>186</v>
          </cell>
          <cell r="S41">
            <v>221</v>
          </cell>
          <cell r="T41">
            <v>206</v>
          </cell>
          <cell r="U41">
            <v>238</v>
          </cell>
          <cell r="V41">
            <v>256</v>
          </cell>
          <cell r="W41">
            <v>249</v>
          </cell>
          <cell r="X41">
            <v>258</v>
          </cell>
          <cell r="Y41">
            <v>211</v>
          </cell>
          <cell r="Z41">
            <v>329</v>
          </cell>
          <cell r="AA41">
            <v>361</v>
          </cell>
          <cell r="AB41">
            <v>326</v>
          </cell>
          <cell r="AC41">
            <v>313</v>
          </cell>
          <cell r="AD41">
            <v>215</v>
          </cell>
          <cell r="AE41">
            <v>210</v>
          </cell>
          <cell r="AF41">
            <v>308</v>
          </cell>
          <cell r="AG41">
            <v>218</v>
          </cell>
          <cell r="AH41">
            <v>290</v>
          </cell>
          <cell r="AI41">
            <v>264</v>
          </cell>
          <cell r="AJ41">
            <v>244</v>
          </cell>
          <cell r="AK41">
            <v>222</v>
          </cell>
          <cell r="AL41">
            <v>277</v>
          </cell>
          <cell r="AM41">
            <v>300</v>
          </cell>
          <cell r="AN41">
            <v>221</v>
          </cell>
          <cell r="AO41">
            <v>285</v>
          </cell>
          <cell r="AP41">
            <v>268</v>
          </cell>
          <cell r="AQ41">
            <v>309</v>
          </cell>
          <cell r="AR41">
            <v>251</v>
          </cell>
          <cell r="AS41">
            <v>317</v>
          </cell>
          <cell r="AT41">
            <v>332</v>
          </cell>
          <cell r="AU41">
            <v>311</v>
          </cell>
          <cell r="AV41">
            <v>340</v>
          </cell>
          <cell r="AW41">
            <v>320</v>
          </cell>
          <cell r="AX41">
            <v>364</v>
          </cell>
          <cell r="AY41">
            <v>318</v>
          </cell>
          <cell r="AZ41">
            <v>252</v>
          </cell>
          <cell r="BA41">
            <v>336</v>
          </cell>
          <cell r="BB41">
            <v>364</v>
          </cell>
          <cell r="BC41">
            <v>335</v>
          </cell>
          <cell r="BD41">
            <v>306</v>
          </cell>
          <cell r="BE41">
            <v>252</v>
          </cell>
          <cell r="BF41">
            <v>290</v>
          </cell>
          <cell r="BG41">
            <v>374</v>
          </cell>
          <cell r="BH41">
            <v>385</v>
          </cell>
          <cell r="BI41">
            <v>347</v>
          </cell>
          <cell r="BJ41">
            <v>346</v>
          </cell>
          <cell r="BK41">
            <v>390</v>
          </cell>
          <cell r="BL41">
            <v>388</v>
          </cell>
          <cell r="BM41">
            <v>373</v>
          </cell>
          <cell r="BN41">
            <v>353</v>
          </cell>
          <cell r="BO41">
            <v>377</v>
          </cell>
          <cell r="BP41">
            <v>407</v>
          </cell>
          <cell r="BQ41">
            <v>415</v>
          </cell>
          <cell r="BR41">
            <v>376</v>
          </cell>
          <cell r="BS41">
            <v>373</v>
          </cell>
          <cell r="BT41">
            <v>351</v>
          </cell>
          <cell r="BU41">
            <v>443</v>
          </cell>
          <cell r="BV41">
            <v>347</v>
          </cell>
          <cell r="BW41">
            <v>371</v>
          </cell>
          <cell r="BX41">
            <v>380</v>
          </cell>
          <cell r="BY41">
            <v>280</v>
          </cell>
          <cell r="BZ41">
            <v>364</v>
          </cell>
          <cell r="CA41">
            <v>388</v>
          </cell>
          <cell r="CB41">
            <v>414</v>
          </cell>
          <cell r="CC41">
            <v>338</v>
          </cell>
          <cell r="CD41">
            <v>241</v>
          </cell>
          <cell r="CE41">
            <v>244</v>
          </cell>
          <cell r="CF41">
            <v>411</v>
          </cell>
          <cell r="CG41">
            <v>363</v>
          </cell>
          <cell r="CH41">
            <v>379</v>
          </cell>
          <cell r="CI41">
            <v>397</v>
          </cell>
          <cell r="CJ41">
            <v>396</v>
          </cell>
          <cell r="CK41">
            <v>398</v>
          </cell>
          <cell r="CL41">
            <v>409</v>
          </cell>
          <cell r="CM41">
            <v>428</v>
          </cell>
          <cell r="CN41">
            <v>444</v>
          </cell>
          <cell r="CO41">
            <v>461</v>
          </cell>
          <cell r="CP41">
            <v>479</v>
          </cell>
          <cell r="CQ41">
            <v>466</v>
          </cell>
          <cell r="CR41">
            <v>502</v>
          </cell>
          <cell r="CS41">
            <v>488</v>
          </cell>
          <cell r="CT41">
            <v>402</v>
          </cell>
          <cell r="CU41">
            <v>492</v>
          </cell>
          <cell r="CV41">
            <v>508</v>
          </cell>
          <cell r="CW41">
            <v>467</v>
          </cell>
          <cell r="CX41">
            <v>450</v>
          </cell>
          <cell r="CY41">
            <v>416</v>
          </cell>
          <cell r="CZ41">
            <v>342</v>
          </cell>
          <cell r="DA41">
            <v>437</v>
          </cell>
          <cell r="DB41">
            <v>429</v>
          </cell>
          <cell r="DC41">
            <v>464</v>
          </cell>
          <cell r="DD41">
            <v>490</v>
          </cell>
          <cell r="DE41">
            <v>370</v>
          </cell>
          <cell r="DF41">
            <v>526</v>
          </cell>
          <cell r="DG41">
            <v>502</v>
          </cell>
          <cell r="DH41">
            <v>495</v>
          </cell>
          <cell r="DI41">
            <v>511</v>
          </cell>
          <cell r="DJ41">
            <v>542</v>
          </cell>
          <cell r="DK41">
            <v>474</v>
          </cell>
          <cell r="DL41">
            <v>500</v>
          </cell>
          <cell r="DM41">
            <v>515</v>
          </cell>
          <cell r="DN41">
            <v>394</v>
          </cell>
          <cell r="DO41">
            <v>580</v>
          </cell>
          <cell r="DP41">
            <v>521</v>
          </cell>
          <cell r="DQ41">
            <v>570</v>
          </cell>
          <cell r="DR41">
            <v>594</v>
          </cell>
          <cell r="DS41">
            <v>533</v>
          </cell>
          <cell r="DT41">
            <v>593</v>
          </cell>
          <cell r="DU41">
            <v>573</v>
          </cell>
          <cell r="DV41">
            <v>573</v>
          </cell>
          <cell r="DW41">
            <v>500</v>
          </cell>
          <cell r="DX41">
            <v>522</v>
          </cell>
          <cell r="DY41">
            <v>554</v>
          </cell>
          <cell r="DZ41">
            <v>325</v>
          </cell>
          <cell r="EA41">
            <v>535</v>
          </cell>
          <cell r="EB41">
            <v>526</v>
          </cell>
          <cell r="EC41">
            <v>535</v>
          </cell>
          <cell r="ED41">
            <v>307</v>
          </cell>
          <cell r="EE41">
            <v>304</v>
          </cell>
          <cell r="EF41">
            <v>389</v>
          </cell>
          <cell r="EG41">
            <v>405</v>
          </cell>
          <cell r="EH41">
            <v>369</v>
          </cell>
          <cell r="EI41">
            <v>374</v>
          </cell>
          <cell r="EJ41">
            <v>416</v>
          </cell>
          <cell r="EK41">
            <v>446</v>
          </cell>
          <cell r="EL41">
            <v>423</v>
          </cell>
          <cell r="EM41">
            <v>420</v>
          </cell>
          <cell r="EN41">
            <v>417</v>
          </cell>
          <cell r="EO41">
            <v>501</v>
          </cell>
          <cell r="EP41">
            <v>457</v>
          </cell>
          <cell r="EQ41">
            <v>536</v>
          </cell>
          <cell r="ER41">
            <v>483</v>
          </cell>
          <cell r="ES41">
            <v>435</v>
          </cell>
          <cell r="ET41">
            <v>510</v>
          </cell>
          <cell r="EU41">
            <v>523</v>
          </cell>
          <cell r="EV41">
            <v>535</v>
          </cell>
          <cell r="EW41">
            <v>537</v>
          </cell>
          <cell r="EX41">
            <v>542</v>
          </cell>
          <cell r="EY41">
            <v>502</v>
          </cell>
          <cell r="EZ41">
            <v>391</v>
          </cell>
          <cell r="FA41">
            <v>540</v>
          </cell>
          <cell r="FB41">
            <v>641</v>
          </cell>
          <cell r="FC41">
            <v>546</v>
          </cell>
          <cell r="FD41">
            <v>573</v>
          </cell>
          <cell r="FE41">
            <v>429</v>
          </cell>
          <cell r="FF41">
            <v>591</v>
          </cell>
          <cell r="FG41">
            <v>521</v>
          </cell>
          <cell r="FH41">
            <v>597</v>
          </cell>
          <cell r="FI41">
            <v>521</v>
          </cell>
          <cell r="FJ41">
            <v>549</v>
          </cell>
          <cell r="FK41">
            <v>572</v>
          </cell>
          <cell r="FL41">
            <v>476</v>
          </cell>
          <cell r="FM41">
            <v>538</v>
          </cell>
          <cell r="FN41">
            <v>491</v>
          </cell>
          <cell r="FO41">
            <v>388</v>
          </cell>
          <cell r="FP41">
            <v>545</v>
          </cell>
          <cell r="FQ41">
            <v>592</v>
          </cell>
          <cell r="FR41">
            <v>544</v>
          </cell>
          <cell r="FS41">
            <v>570</v>
          </cell>
          <cell r="FT41">
            <v>623</v>
          </cell>
          <cell r="FU41">
            <v>603</v>
          </cell>
          <cell r="FV41">
            <v>645</v>
          </cell>
          <cell r="FW41">
            <v>546</v>
          </cell>
          <cell r="FX41">
            <v>554</v>
          </cell>
          <cell r="FY41">
            <v>607</v>
          </cell>
          <cell r="FZ41">
            <v>307</v>
          </cell>
          <cell r="GA41">
            <v>579</v>
          </cell>
          <cell r="GB41">
            <v>551</v>
          </cell>
          <cell r="GC41">
            <v>522</v>
          </cell>
          <cell r="GD41">
            <v>362</v>
          </cell>
          <cell r="GE41">
            <v>321</v>
          </cell>
          <cell r="GF41">
            <v>494</v>
          </cell>
          <cell r="GG41">
            <v>507</v>
          </cell>
          <cell r="GH41">
            <v>528</v>
          </cell>
          <cell r="GI41">
            <v>647</v>
          </cell>
          <cell r="GJ41">
            <v>558</v>
          </cell>
          <cell r="GK41">
            <v>404</v>
          </cell>
          <cell r="GL41">
            <v>709</v>
          </cell>
          <cell r="GM41">
            <v>569</v>
          </cell>
          <cell r="GN41">
            <v>611</v>
          </cell>
        </row>
        <row r="42">
          <cell r="B42" t="str">
            <v>FABRAZYME</v>
          </cell>
          <cell r="C42" t="str">
            <v>GZY</v>
          </cell>
          <cell r="D42">
            <v>11</v>
          </cell>
          <cell r="E42">
            <v>7</v>
          </cell>
          <cell r="F42">
            <v>19</v>
          </cell>
          <cell r="G42">
            <v>5</v>
          </cell>
          <cell r="H42">
            <v>14</v>
          </cell>
          <cell r="I42">
            <v>11</v>
          </cell>
          <cell r="J42">
            <v>18</v>
          </cell>
          <cell r="K42">
            <v>17</v>
          </cell>
          <cell r="L42">
            <v>16</v>
          </cell>
          <cell r="M42">
            <v>13</v>
          </cell>
          <cell r="N42">
            <v>8</v>
          </cell>
          <cell r="O42">
            <v>6</v>
          </cell>
          <cell r="P42">
            <v>10</v>
          </cell>
          <cell r="Q42">
            <v>14</v>
          </cell>
          <cell r="R42">
            <v>7</v>
          </cell>
          <cell r="S42">
            <v>11</v>
          </cell>
          <cell r="T42">
            <v>10</v>
          </cell>
          <cell r="U42">
            <v>22</v>
          </cell>
          <cell r="V42">
            <v>5</v>
          </cell>
          <cell r="W42">
            <v>13</v>
          </cell>
          <cell r="X42">
            <v>9</v>
          </cell>
          <cell r="Y42">
            <v>11</v>
          </cell>
          <cell r="Z42">
            <v>13</v>
          </cell>
          <cell r="AA42">
            <v>15</v>
          </cell>
          <cell r="AB42">
            <v>16</v>
          </cell>
          <cell r="AC42">
            <v>15</v>
          </cell>
          <cell r="AD42">
            <v>8</v>
          </cell>
          <cell r="AE42">
            <v>10</v>
          </cell>
          <cell r="AF42">
            <v>9</v>
          </cell>
          <cell r="AG42">
            <v>14</v>
          </cell>
          <cell r="AH42">
            <v>14</v>
          </cell>
          <cell r="AI42">
            <v>7</v>
          </cell>
          <cell r="AJ42">
            <v>14</v>
          </cell>
          <cell r="AK42">
            <v>8</v>
          </cell>
          <cell r="AL42">
            <v>17</v>
          </cell>
          <cell r="AM42">
            <v>9</v>
          </cell>
          <cell r="AN42">
            <v>11</v>
          </cell>
          <cell r="AO42">
            <v>13</v>
          </cell>
          <cell r="AP42">
            <v>14</v>
          </cell>
          <cell r="AQ42">
            <v>10</v>
          </cell>
          <cell r="AR42">
            <v>19</v>
          </cell>
          <cell r="AS42">
            <v>13</v>
          </cell>
          <cell r="AT42">
            <v>18</v>
          </cell>
          <cell r="AU42">
            <v>7</v>
          </cell>
          <cell r="AV42">
            <v>12</v>
          </cell>
          <cell r="AW42">
            <v>17</v>
          </cell>
          <cell r="AX42">
            <v>15</v>
          </cell>
          <cell r="AY42">
            <v>6</v>
          </cell>
          <cell r="AZ42">
            <v>12</v>
          </cell>
          <cell r="BA42">
            <v>23</v>
          </cell>
          <cell r="BB42">
            <v>9</v>
          </cell>
          <cell r="BC42">
            <v>13</v>
          </cell>
          <cell r="BD42">
            <v>14</v>
          </cell>
          <cell r="BE42">
            <v>12</v>
          </cell>
          <cell r="BF42">
            <v>10</v>
          </cell>
          <cell r="BG42">
            <v>29</v>
          </cell>
          <cell r="BH42">
            <v>15</v>
          </cell>
          <cell r="BI42">
            <v>14</v>
          </cell>
          <cell r="BJ42">
            <v>14</v>
          </cell>
          <cell r="BK42">
            <v>21</v>
          </cell>
          <cell r="BL42">
            <v>23</v>
          </cell>
          <cell r="BM42">
            <v>8</v>
          </cell>
          <cell r="BN42">
            <v>17</v>
          </cell>
          <cell r="BO42">
            <v>23</v>
          </cell>
          <cell r="BP42">
            <v>17</v>
          </cell>
          <cell r="BQ42">
            <v>11</v>
          </cell>
          <cell r="BR42">
            <v>28</v>
          </cell>
          <cell r="BS42">
            <v>12</v>
          </cell>
          <cell r="BT42">
            <v>16</v>
          </cell>
          <cell r="BU42">
            <v>10</v>
          </cell>
          <cell r="BV42">
            <v>3</v>
          </cell>
          <cell r="BW42">
            <v>22</v>
          </cell>
          <cell r="BX42">
            <v>19</v>
          </cell>
          <cell r="BY42">
            <v>9</v>
          </cell>
          <cell r="BZ42">
            <v>9</v>
          </cell>
          <cell r="CA42">
            <v>16</v>
          </cell>
          <cell r="CB42">
            <v>26</v>
          </cell>
          <cell r="CC42">
            <v>17</v>
          </cell>
          <cell r="CD42">
            <v>6</v>
          </cell>
          <cell r="CE42">
            <v>4</v>
          </cell>
          <cell r="CF42">
            <v>26</v>
          </cell>
          <cell r="CG42">
            <v>18</v>
          </cell>
          <cell r="CH42">
            <v>16</v>
          </cell>
          <cell r="CI42">
            <v>12</v>
          </cell>
          <cell r="CJ42">
            <v>16</v>
          </cell>
          <cell r="CK42">
            <v>7</v>
          </cell>
          <cell r="CL42">
            <v>13</v>
          </cell>
          <cell r="CM42">
            <v>5</v>
          </cell>
          <cell r="CN42">
            <v>21</v>
          </cell>
          <cell r="CO42">
            <v>12</v>
          </cell>
          <cell r="CP42">
            <v>18</v>
          </cell>
          <cell r="CQ42">
            <v>19</v>
          </cell>
          <cell r="CR42">
            <v>21</v>
          </cell>
          <cell r="CS42">
            <v>14</v>
          </cell>
          <cell r="CT42">
            <v>17</v>
          </cell>
          <cell r="CU42">
            <v>17</v>
          </cell>
          <cell r="CV42">
            <v>18</v>
          </cell>
          <cell r="CW42">
            <v>17</v>
          </cell>
          <cell r="CX42">
            <v>18</v>
          </cell>
          <cell r="CY42">
            <v>13</v>
          </cell>
          <cell r="CZ42">
            <v>19</v>
          </cell>
          <cell r="DA42">
            <v>17</v>
          </cell>
          <cell r="DB42">
            <v>17</v>
          </cell>
          <cell r="DC42">
            <v>16</v>
          </cell>
          <cell r="DD42">
            <v>22</v>
          </cell>
          <cell r="DE42">
            <v>14</v>
          </cell>
          <cell r="DF42">
            <v>18</v>
          </cell>
          <cell r="DG42">
            <v>12</v>
          </cell>
          <cell r="DH42">
            <v>20</v>
          </cell>
          <cell r="DI42">
            <v>17</v>
          </cell>
          <cell r="DJ42">
            <v>8</v>
          </cell>
          <cell r="DK42">
            <v>14</v>
          </cell>
          <cell r="DL42">
            <v>23</v>
          </cell>
          <cell r="DM42">
            <v>20</v>
          </cell>
          <cell r="DN42">
            <v>14</v>
          </cell>
          <cell r="DO42">
            <v>13</v>
          </cell>
          <cell r="DP42">
            <v>23</v>
          </cell>
          <cell r="DQ42">
            <v>15</v>
          </cell>
          <cell r="DR42">
            <v>18</v>
          </cell>
          <cell r="DS42">
            <v>19</v>
          </cell>
          <cell r="DT42">
            <v>19</v>
          </cell>
          <cell r="DU42">
            <v>16</v>
          </cell>
          <cell r="DV42">
            <v>23</v>
          </cell>
          <cell r="DW42">
            <v>16</v>
          </cell>
          <cell r="DX42">
            <v>21</v>
          </cell>
          <cell r="DY42">
            <v>13</v>
          </cell>
          <cell r="DZ42">
            <v>14</v>
          </cell>
          <cell r="EA42">
            <v>18</v>
          </cell>
          <cell r="EB42">
            <v>18</v>
          </cell>
          <cell r="EC42">
            <v>13</v>
          </cell>
          <cell r="ED42">
            <v>10</v>
          </cell>
          <cell r="EE42">
            <v>21</v>
          </cell>
          <cell r="EF42">
            <v>16</v>
          </cell>
          <cell r="EG42">
            <v>17</v>
          </cell>
          <cell r="EH42">
            <v>10</v>
          </cell>
          <cell r="EI42">
            <v>23</v>
          </cell>
          <cell r="EJ42">
            <v>12</v>
          </cell>
          <cell r="EK42">
            <v>15</v>
          </cell>
          <cell r="EL42">
            <v>14</v>
          </cell>
          <cell r="EM42">
            <v>19</v>
          </cell>
          <cell r="EN42">
            <v>10</v>
          </cell>
          <cell r="EO42">
            <v>17</v>
          </cell>
          <cell r="EP42">
            <v>14</v>
          </cell>
          <cell r="EQ42">
            <v>15</v>
          </cell>
          <cell r="ER42">
            <v>11</v>
          </cell>
          <cell r="ES42">
            <v>12</v>
          </cell>
          <cell r="ET42">
            <v>23</v>
          </cell>
          <cell r="EU42">
            <v>17</v>
          </cell>
          <cell r="EV42">
            <v>5</v>
          </cell>
          <cell r="EW42">
            <v>18</v>
          </cell>
          <cell r="EX42">
            <v>15</v>
          </cell>
          <cell r="EY42">
            <v>16</v>
          </cell>
          <cell r="EZ42">
            <v>3</v>
          </cell>
          <cell r="FA42">
            <v>17</v>
          </cell>
          <cell r="FB42">
            <v>20</v>
          </cell>
          <cell r="FC42">
            <v>16</v>
          </cell>
          <cell r="FD42">
            <v>3</v>
          </cell>
          <cell r="FE42">
            <v>12</v>
          </cell>
          <cell r="FF42">
            <v>20</v>
          </cell>
          <cell r="FG42">
            <v>20</v>
          </cell>
          <cell r="FH42">
            <v>17</v>
          </cell>
          <cell r="FI42">
            <v>18</v>
          </cell>
          <cell r="FJ42">
            <v>17</v>
          </cell>
          <cell r="FK42">
            <v>20</v>
          </cell>
          <cell r="FL42">
            <v>18</v>
          </cell>
          <cell r="FM42">
            <v>21</v>
          </cell>
          <cell r="FN42">
            <v>24</v>
          </cell>
          <cell r="FO42">
            <v>19</v>
          </cell>
          <cell r="FP42">
            <v>16</v>
          </cell>
          <cell r="FQ42">
            <v>22</v>
          </cell>
          <cell r="FR42">
            <v>15</v>
          </cell>
          <cell r="FS42">
            <v>14</v>
          </cell>
          <cell r="FT42">
            <v>14</v>
          </cell>
          <cell r="FU42">
            <v>11</v>
          </cell>
          <cell r="FV42">
            <v>8</v>
          </cell>
          <cell r="FW42">
            <v>11</v>
          </cell>
          <cell r="FX42">
            <v>3</v>
          </cell>
          <cell r="FY42">
            <v>4</v>
          </cell>
          <cell r="GA42">
            <v>7</v>
          </cell>
          <cell r="GB42">
            <v>4</v>
          </cell>
          <cell r="GC42">
            <v>6</v>
          </cell>
          <cell r="GD42">
            <v>2</v>
          </cell>
          <cell r="GE42">
            <v>7</v>
          </cell>
          <cell r="GF42">
            <v>13</v>
          </cell>
          <cell r="GG42">
            <v>26</v>
          </cell>
          <cell r="GH42">
            <v>11</v>
          </cell>
          <cell r="GI42">
            <v>30</v>
          </cell>
          <cell r="GJ42">
            <v>22</v>
          </cell>
          <cell r="GK42">
            <v>9</v>
          </cell>
          <cell r="GL42">
            <v>29</v>
          </cell>
          <cell r="GM42">
            <v>30</v>
          </cell>
          <cell r="GN42">
            <v>17</v>
          </cell>
        </row>
        <row r="43">
          <cell r="B43" t="str">
            <v>FORTOVASE</v>
          </cell>
          <cell r="C43" t="str">
            <v>ROC</v>
          </cell>
          <cell r="D43">
            <v>48</v>
          </cell>
          <cell r="E43">
            <v>38</v>
          </cell>
          <cell r="F43">
            <v>41</v>
          </cell>
          <cell r="G43">
            <v>39</v>
          </cell>
          <cell r="H43">
            <v>30</v>
          </cell>
          <cell r="I43">
            <v>16</v>
          </cell>
          <cell r="J43">
            <v>26</v>
          </cell>
          <cell r="K43">
            <v>23</v>
          </cell>
          <cell r="L43">
            <v>14</v>
          </cell>
          <cell r="M43">
            <v>14</v>
          </cell>
          <cell r="N43">
            <v>21</v>
          </cell>
          <cell r="O43">
            <v>19</v>
          </cell>
          <cell r="P43">
            <v>7</v>
          </cell>
          <cell r="Q43">
            <v>16</v>
          </cell>
          <cell r="R43">
            <v>9</v>
          </cell>
          <cell r="S43">
            <v>10</v>
          </cell>
          <cell r="T43">
            <v>1</v>
          </cell>
          <cell r="U43">
            <v>6</v>
          </cell>
          <cell r="V43">
            <v>5</v>
          </cell>
          <cell r="W43">
            <v>8</v>
          </cell>
          <cell r="X43">
            <v>2</v>
          </cell>
          <cell r="Y43">
            <v>6</v>
          </cell>
          <cell r="Z43">
            <v>4</v>
          </cell>
          <cell r="AA43">
            <v>4</v>
          </cell>
          <cell r="AB43">
            <v>0</v>
          </cell>
          <cell r="AC43">
            <v>7</v>
          </cell>
          <cell r="AD43">
            <v>1</v>
          </cell>
          <cell r="AE43">
            <v>3</v>
          </cell>
          <cell r="AF43">
            <v>2</v>
          </cell>
          <cell r="AG43">
            <v>1</v>
          </cell>
          <cell r="AH43">
            <v>6</v>
          </cell>
          <cell r="AI43">
            <v>6</v>
          </cell>
          <cell r="AJ43">
            <v>1</v>
          </cell>
          <cell r="AK43">
            <v>2</v>
          </cell>
          <cell r="AL43">
            <v>1</v>
          </cell>
          <cell r="AM43">
            <v>2</v>
          </cell>
          <cell r="AN43">
            <v>1</v>
          </cell>
          <cell r="AO43">
            <v>1</v>
          </cell>
          <cell r="AP43">
            <v>0</v>
          </cell>
          <cell r="AQ43">
            <v>1</v>
          </cell>
          <cell r="AR43">
            <v>0</v>
          </cell>
          <cell r="AS43">
            <v>0</v>
          </cell>
          <cell r="AT43">
            <v>1</v>
          </cell>
          <cell r="AU43">
            <v>0</v>
          </cell>
          <cell r="AV43">
            <v>0</v>
          </cell>
          <cell r="AW43">
            <v>0</v>
          </cell>
          <cell r="AX43">
            <v>0</v>
          </cell>
          <cell r="AY43">
            <v>0</v>
          </cell>
          <cell r="AZ43">
            <v>1</v>
          </cell>
          <cell r="BA43">
            <v>0</v>
          </cell>
          <cell r="BB43">
            <v>0</v>
          </cell>
          <cell r="BC43">
            <v>1</v>
          </cell>
          <cell r="BD43">
            <v>0</v>
          </cell>
          <cell r="BE43">
            <v>0</v>
          </cell>
          <cell r="BF43">
            <v>1</v>
          </cell>
          <cell r="BG43">
            <v>0</v>
          </cell>
          <cell r="BH43">
            <v>2</v>
          </cell>
          <cell r="BI43">
            <v>0</v>
          </cell>
          <cell r="BJ43">
            <v>1</v>
          </cell>
          <cell r="BK43">
            <v>3</v>
          </cell>
          <cell r="BL43">
            <v>0</v>
          </cell>
          <cell r="BM43">
            <v>0</v>
          </cell>
          <cell r="BN43">
            <v>0</v>
          </cell>
          <cell r="BO43">
            <v>0</v>
          </cell>
          <cell r="BP43">
            <v>0</v>
          </cell>
          <cell r="BQ43">
            <v>1</v>
          </cell>
          <cell r="BR43">
            <v>0</v>
          </cell>
          <cell r="BS43">
            <v>1</v>
          </cell>
          <cell r="BT43">
            <v>0</v>
          </cell>
          <cell r="BU43">
            <v>0</v>
          </cell>
          <cell r="BV43">
            <v>2</v>
          </cell>
          <cell r="BW43">
            <v>0</v>
          </cell>
          <cell r="BX43">
            <v>0</v>
          </cell>
          <cell r="BY43">
            <v>0</v>
          </cell>
          <cell r="BZ43">
            <v>0</v>
          </cell>
          <cell r="CA43">
            <v>0</v>
          </cell>
          <cell r="CB43">
            <v>0</v>
          </cell>
          <cell r="CC43">
            <v>0</v>
          </cell>
          <cell r="CD43">
            <v>0</v>
          </cell>
          <cell r="CE43">
            <v>1</v>
          </cell>
          <cell r="CF43">
            <v>1</v>
          </cell>
          <cell r="CG43">
            <v>0</v>
          </cell>
          <cell r="CH43">
            <v>0</v>
          </cell>
          <cell r="CI43">
            <v>1</v>
          </cell>
          <cell r="CJ43">
            <v>0</v>
          </cell>
          <cell r="CK43">
            <v>0</v>
          </cell>
          <cell r="CL43">
            <v>0</v>
          </cell>
          <cell r="CM43">
            <v>0</v>
          </cell>
          <cell r="CN43">
            <v>0</v>
          </cell>
          <cell r="CO43">
            <v>0</v>
          </cell>
          <cell r="CP43">
            <v>0</v>
          </cell>
          <cell r="CQ43">
            <v>0</v>
          </cell>
          <cell r="CR43">
            <v>1</v>
          </cell>
          <cell r="CS43">
            <v>0</v>
          </cell>
          <cell r="CT43">
            <v>0</v>
          </cell>
          <cell r="CU43">
            <v>0</v>
          </cell>
          <cell r="CV43">
            <v>0</v>
          </cell>
          <cell r="CW43">
            <v>0</v>
          </cell>
          <cell r="CX43">
            <v>0</v>
          </cell>
          <cell r="CY43">
            <v>0</v>
          </cell>
          <cell r="CZ43">
            <v>0</v>
          </cell>
          <cell r="DA43">
            <v>0</v>
          </cell>
          <cell r="DB43">
            <v>0</v>
          </cell>
          <cell r="DC43">
            <v>1</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row>
        <row r="44">
          <cell r="B44" t="str">
            <v>FOSRENOL</v>
          </cell>
          <cell r="C44" t="str">
            <v>SHI</v>
          </cell>
          <cell r="D44">
            <v>3322</v>
          </cell>
          <cell r="E44">
            <v>3279</v>
          </cell>
          <cell r="F44">
            <v>3596</v>
          </cell>
          <cell r="G44">
            <v>3507</v>
          </cell>
          <cell r="H44">
            <v>3260</v>
          </cell>
          <cell r="I44">
            <v>3463</v>
          </cell>
          <cell r="J44">
            <v>3419</v>
          </cell>
          <cell r="K44">
            <v>3300</v>
          </cell>
          <cell r="L44">
            <v>3450</v>
          </cell>
          <cell r="M44">
            <v>3485</v>
          </cell>
          <cell r="N44">
            <v>3432</v>
          </cell>
          <cell r="O44">
            <v>3594</v>
          </cell>
          <cell r="P44">
            <v>3482</v>
          </cell>
          <cell r="Q44">
            <v>3599</v>
          </cell>
          <cell r="R44">
            <v>3833</v>
          </cell>
          <cell r="S44">
            <v>3561</v>
          </cell>
          <cell r="T44">
            <v>3508</v>
          </cell>
          <cell r="U44">
            <v>3376</v>
          </cell>
          <cell r="V44">
            <v>3515</v>
          </cell>
          <cell r="W44">
            <v>3569</v>
          </cell>
          <cell r="X44">
            <v>3541</v>
          </cell>
          <cell r="Y44">
            <v>3105</v>
          </cell>
          <cell r="Z44">
            <v>3643</v>
          </cell>
          <cell r="AA44">
            <v>3758</v>
          </cell>
          <cell r="AB44">
            <v>3533</v>
          </cell>
          <cell r="AC44">
            <v>3593</v>
          </cell>
          <cell r="AD44">
            <v>3281</v>
          </cell>
          <cell r="AE44">
            <v>3568</v>
          </cell>
          <cell r="AF44">
            <v>3712</v>
          </cell>
          <cell r="AG44">
            <v>3562</v>
          </cell>
          <cell r="AH44">
            <v>3591</v>
          </cell>
          <cell r="AI44">
            <v>3636</v>
          </cell>
          <cell r="AJ44">
            <v>3460</v>
          </cell>
          <cell r="AK44">
            <v>3444</v>
          </cell>
          <cell r="AL44">
            <v>3502</v>
          </cell>
          <cell r="AM44">
            <v>3696</v>
          </cell>
          <cell r="AN44">
            <v>3475</v>
          </cell>
          <cell r="AO44">
            <v>3615</v>
          </cell>
          <cell r="AP44">
            <v>3592</v>
          </cell>
          <cell r="AQ44">
            <v>3301</v>
          </cell>
          <cell r="AR44">
            <v>3548</v>
          </cell>
          <cell r="AS44">
            <v>3372</v>
          </cell>
          <cell r="AT44">
            <v>3560</v>
          </cell>
          <cell r="AU44">
            <v>3611</v>
          </cell>
          <cell r="AV44">
            <v>3615</v>
          </cell>
          <cell r="AW44">
            <v>3364</v>
          </cell>
          <cell r="AX44">
            <v>3391</v>
          </cell>
          <cell r="AY44">
            <v>3570</v>
          </cell>
          <cell r="AZ44">
            <v>3346</v>
          </cell>
          <cell r="BA44">
            <v>3610</v>
          </cell>
          <cell r="BB44">
            <v>3579</v>
          </cell>
          <cell r="BC44">
            <v>3584</v>
          </cell>
          <cell r="BD44">
            <v>3584</v>
          </cell>
          <cell r="BE44">
            <v>3320</v>
          </cell>
          <cell r="BF44">
            <v>3472</v>
          </cell>
          <cell r="BG44">
            <v>3656</v>
          </cell>
          <cell r="BH44">
            <v>3447</v>
          </cell>
          <cell r="BI44">
            <v>3533</v>
          </cell>
          <cell r="BJ44">
            <v>3363</v>
          </cell>
          <cell r="BK44">
            <v>3523</v>
          </cell>
          <cell r="BL44">
            <v>3356</v>
          </cell>
          <cell r="BM44">
            <v>3580</v>
          </cell>
          <cell r="BN44">
            <v>3374</v>
          </cell>
          <cell r="BO44">
            <v>3691</v>
          </cell>
          <cell r="BP44">
            <v>3493</v>
          </cell>
          <cell r="BQ44">
            <v>3413</v>
          </cell>
          <cell r="BR44">
            <v>3697</v>
          </cell>
          <cell r="BS44">
            <v>3419</v>
          </cell>
          <cell r="BT44">
            <v>3412</v>
          </cell>
          <cell r="BU44">
            <v>3315</v>
          </cell>
          <cell r="BV44">
            <v>3425</v>
          </cell>
          <cell r="BW44">
            <v>3469</v>
          </cell>
          <cell r="BX44">
            <v>3557</v>
          </cell>
          <cell r="BY44">
            <v>2959</v>
          </cell>
          <cell r="BZ44">
            <v>3652</v>
          </cell>
          <cell r="CA44">
            <v>3594</v>
          </cell>
          <cell r="CB44">
            <v>3415</v>
          </cell>
          <cell r="CC44">
            <v>3594</v>
          </cell>
          <cell r="CD44">
            <v>2962</v>
          </cell>
          <cell r="CE44">
            <v>3172</v>
          </cell>
          <cell r="CF44">
            <v>3420</v>
          </cell>
          <cell r="CG44">
            <v>3449</v>
          </cell>
          <cell r="CH44">
            <v>3238</v>
          </cell>
          <cell r="CI44">
            <v>3386</v>
          </cell>
          <cell r="CJ44">
            <v>3364</v>
          </cell>
          <cell r="CK44">
            <v>3315</v>
          </cell>
          <cell r="CL44">
            <v>3381</v>
          </cell>
          <cell r="CM44">
            <v>3179</v>
          </cell>
          <cell r="CN44">
            <v>3403</v>
          </cell>
          <cell r="CO44">
            <v>3497</v>
          </cell>
          <cell r="CP44">
            <v>3374</v>
          </cell>
          <cell r="CQ44">
            <v>3288</v>
          </cell>
          <cell r="CR44">
            <v>3486</v>
          </cell>
          <cell r="CS44">
            <v>3256</v>
          </cell>
          <cell r="CT44">
            <v>3286</v>
          </cell>
          <cell r="CU44">
            <v>3302</v>
          </cell>
          <cell r="CV44">
            <v>3508</v>
          </cell>
          <cell r="CW44">
            <v>3429</v>
          </cell>
          <cell r="CX44">
            <v>3553</v>
          </cell>
          <cell r="CY44">
            <v>3369</v>
          </cell>
          <cell r="CZ44">
            <v>3151</v>
          </cell>
          <cell r="DA44">
            <v>3349</v>
          </cell>
          <cell r="DB44">
            <v>3481</v>
          </cell>
          <cell r="DC44">
            <v>3382</v>
          </cell>
          <cell r="DD44">
            <v>3364</v>
          </cell>
          <cell r="DE44">
            <v>3267</v>
          </cell>
          <cell r="DF44">
            <v>3552</v>
          </cell>
          <cell r="DG44">
            <v>3338</v>
          </cell>
          <cell r="DH44">
            <v>3351</v>
          </cell>
          <cell r="DI44">
            <v>3539</v>
          </cell>
          <cell r="DJ44">
            <v>3319</v>
          </cell>
          <cell r="DK44">
            <v>3317</v>
          </cell>
          <cell r="DL44">
            <v>3632</v>
          </cell>
          <cell r="DM44">
            <v>3351</v>
          </cell>
          <cell r="DN44">
            <v>3286</v>
          </cell>
          <cell r="DO44">
            <v>3389</v>
          </cell>
          <cell r="DP44">
            <v>3454</v>
          </cell>
          <cell r="DQ44">
            <v>3347</v>
          </cell>
          <cell r="DR44">
            <v>3407</v>
          </cell>
          <cell r="DS44">
            <v>3322</v>
          </cell>
          <cell r="DT44">
            <v>3365</v>
          </cell>
          <cell r="DU44">
            <v>3358</v>
          </cell>
          <cell r="DV44">
            <v>3149</v>
          </cell>
          <cell r="DW44">
            <v>3487</v>
          </cell>
          <cell r="DX44">
            <v>3379</v>
          </cell>
          <cell r="DY44">
            <v>3495</v>
          </cell>
          <cell r="DZ44">
            <v>2776</v>
          </cell>
          <cell r="EA44">
            <v>3520</v>
          </cell>
          <cell r="EB44">
            <v>3310</v>
          </cell>
          <cell r="EC44">
            <v>3279</v>
          </cell>
          <cell r="ED44">
            <v>2653</v>
          </cell>
          <cell r="EE44">
            <v>3109</v>
          </cell>
          <cell r="EF44">
            <v>3328</v>
          </cell>
          <cell r="EG44">
            <v>3405</v>
          </cell>
          <cell r="EH44">
            <v>3093</v>
          </cell>
          <cell r="EI44">
            <v>3179</v>
          </cell>
          <cell r="EJ44">
            <v>3408</v>
          </cell>
          <cell r="EK44">
            <v>3372</v>
          </cell>
          <cell r="EL44">
            <v>3271</v>
          </cell>
          <cell r="EM44">
            <v>3282</v>
          </cell>
          <cell r="EN44">
            <v>3565</v>
          </cell>
          <cell r="EO44">
            <v>3434</v>
          </cell>
          <cell r="EP44">
            <v>3317</v>
          </cell>
          <cell r="EQ44">
            <v>3388</v>
          </cell>
          <cell r="ER44">
            <v>3258</v>
          </cell>
          <cell r="ES44">
            <v>3362</v>
          </cell>
          <cell r="ET44">
            <v>3050</v>
          </cell>
          <cell r="EU44">
            <v>3253</v>
          </cell>
          <cell r="EV44">
            <v>3329</v>
          </cell>
          <cell r="EW44">
            <v>3340</v>
          </cell>
          <cell r="EX44">
            <v>3343</v>
          </cell>
          <cell r="EY44">
            <v>3412</v>
          </cell>
          <cell r="EZ44">
            <v>3094</v>
          </cell>
          <cell r="FA44">
            <v>3407</v>
          </cell>
          <cell r="FB44">
            <v>3238</v>
          </cell>
          <cell r="FC44">
            <v>3431</v>
          </cell>
          <cell r="FD44">
            <v>3322</v>
          </cell>
          <cell r="FE44">
            <v>3176</v>
          </cell>
          <cell r="FF44">
            <v>3122</v>
          </cell>
          <cell r="FG44">
            <v>3243</v>
          </cell>
          <cell r="FH44">
            <v>3357</v>
          </cell>
          <cell r="FI44">
            <v>3317</v>
          </cell>
          <cell r="FJ44">
            <v>3330</v>
          </cell>
          <cell r="FK44">
            <v>3359</v>
          </cell>
          <cell r="FL44">
            <v>3246</v>
          </cell>
          <cell r="FM44">
            <v>3230</v>
          </cell>
          <cell r="FN44">
            <v>3421</v>
          </cell>
          <cell r="FO44">
            <v>3182</v>
          </cell>
          <cell r="FP44">
            <v>3357</v>
          </cell>
          <cell r="FQ44">
            <v>3286</v>
          </cell>
          <cell r="FR44">
            <v>3380</v>
          </cell>
          <cell r="FS44">
            <v>3263</v>
          </cell>
          <cell r="FT44">
            <v>3280</v>
          </cell>
          <cell r="FU44">
            <v>3286</v>
          </cell>
          <cell r="FV44">
            <v>3231</v>
          </cell>
          <cell r="FW44">
            <v>3303</v>
          </cell>
          <cell r="FX44">
            <v>3381</v>
          </cell>
          <cell r="FY44">
            <v>3144</v>
          </cell>
          <cell r="FZ44">
            <v>2878</v>
          </cell>
          <cell r="GA44">
            <v>3580</v>
          </cell>
          <cell r="GB44">
            <v>3232</v>
          </cell>
          <cell r="GC44">
            <v>3092</v>
          </cell>
          <cell r="GD44">
            <v>2784</v>
          </cell>
          <cell r="GE44">
            <v>2962</v>
          </cell>
          <cell r="GF44">
            <v>2995</v>
          </cell>
          <cell r="GG44">
            <v>2960</v>
          </cell>
          <cell r="GH44">
            <v>2953</v>
          </cell>
          <cell r="GI44">
            <v>2946</v>
          </cell>
          <cell r="GJ44">
            <v>2983</v>
          </cell>
          <cell r="GK44">
            <v>2855</v>
          </cell>
          <cell r="GL44">
            <v>2900</v>
          </cell>
          <cell r="GM44">
            <v>2942</v>
          </cell>
          <cell r="GN44">
            <v>3096</v>
          </cell>
        </row>
        <row r="45">
          <cell r="B45" t="str">
            <v>FUZEON</v>
          </cell>
          <cell r="C45" t="str">
            <v>ROC</v>
          </cell>
          <cell r="D45">
            <v>1083</v>
          </cell>
          <cell r="E45">
            <v>1066</v>
          </cell>
          <cell r="F45">
            <v>1164</v>
          </cell>
          <cell r="G45">
            <v>1161</v>
          </cell>
          <cell r="H45">
            <v>1160</v>
          </cell>
          <cell r="I45">
            <v>1196</v>
          </cell>
          <cell r="J45">
            <v>1167</v>
          </cell>
          <cell r="K45">
            <v>1112</v>
          </cell>
          <cell r="L45">
            <v>1115</v>
          </cell>
          <cell r="M45">
            <v>1129</v>
          </cell>
          <cell r="N45">
            <v>1084</v>
          </cell>
          <cell r="O45">
            <v>1131</v>
          </cell>
          <cell r="P45">
            <v>1091</v>
          </cell>
          <cell r="Q45">
            <v>1155</v>
          </cell>
          <cell r="R45">
            <v>1192</v>
          </cell>
          <cell r="S45">
            <v>1150</v>
          </cell>
          <cell r="T45">
            <v>1051</v>
          </cell>
          <cell r="U45">
            <v>1139</v>
          </cell>
          <cell r="V45">
            <v>1256</v>
          </cell>
          <cell r="W45">
            <v>1130</v>
          </cell>
          <cell r="X45">
            <v>1074</v>
          </cell>
          <cell r="Y45">
            <v>900</v>
          </cell>
          <cell r="Z45">
            <v>1220</v>
          </cell>
          <cell r="AA45">
            <v>1280</v>
          </cell>
          <cell r="AB45">
            <v>1113</v>
          </cell>
          <cell r="AC45">
            <v>1115</v>
          </cell>
          <cell r="AD45">
            <v>1062</v>
          </cell>
          <cell r="AE45">
            <v>1060</v>
          </cell>
          <cell r="AF45">
            <v>1138</v>
          </cell>
          <cell r="AG45">
            <v>1015</v>
          </cell>
          <cell r="AH45">
            <v>1208</v>
          </cell>
          <cell r="AI45">
            <v>1100</v>
          </cell>
          <cell r="AJ45">
            <v>1149</v>
          </cell>
          <cell r="AK45">
            <v>1060</v>
          </cell>
          <cell r="AL45">
            <v>1019</v>
          </cell>
          <cell r="AM45">
            <v>1162</v>
          </cell>
          <cell r="AN45">
            <v>1128</v>
          </cell>
          <cell r="AO45">
            <v>1055</v>
          </cell>
          <cell r="AP45">
            <v>1086</v>
          </cell>
          <cell r="AQ45">
            <v>1033</v>
          </cell>
          <cell r="AR45">
            <v>1077</v>
          </cell>
          <cell r="AS45">
            <v>1116</v>
          </cell>
          <cell r="AT45">
            <v>1082</v>
          </cell>
          <cell r="AU45">
            <v>1068</v>
          </cell>
          <cell r="AV45">
            <v>1086</v>
          </cell>
          <cell r="AW45">
            <v>950</v>
          </cell>
          <cell r="AX45">
            <v>1076</v>
          </cell>
          <cell r="AY45">
            <v>1070</v>
          </cell>
          <cell r="AZ45">
            <v>962</v>
          </cell>
          <cell r="BA45">
            <v>1032</v>
          </cell>
          <cell r="BB45">
            <v>1030</v>
          </cell>
          <cell r="BC45">
            <v>988</v>
          </cell>
          <cell r="BD45">
            <v>1097</v>
          </cell>
          <cell r="BE45">
            <v>955</v>
          </cell>
          <cell r="BF45">
            <v>1072</v>
          </cell>
          <cell r="BG45">
            <v>929</v>
          </cell>
          <cell r="BH45">
            <v>1046</v>
          </cell>
          <cell r="BI45">
            <v>994</v>
          </cell>
          <cell r="BJ45">
            <v>952</v>
          </cell>
          <cell r="BK45">
            <v>1030</v>
          </cell>
          <cell r="BL45">
            <v>989</v>
          </cell>
          <cell r="BM45">
            <v>1029</v>
          </cell>
          <cell r="BN45">
            <v>942</v>
          </cell>
          <cell r="BO45">
            <v>991</v>
          </cell>
          <cell r="BP45">
            <v>1051</v>
          </cell>
          <cell r="BQ45">
            <v>1003</v>
          </cell>
          <cell r="BR45">
            <v>1004</v>
          </cell>
          <cell r="BS45">
            <v>942</v>
          </cell>
          <cell r="BT45">
            <v>975</v>
          </cell>
          <cell r="BU45">
            <v>917</v>
          </cell>
          <cell r="BV45">
            <v>936</v>
          </cell>
          <cell r="BW45">
            <v>884</v>
          </cell>
          <cell r="BX45">
            <v>894</v>
          </cell>
          <cell r="BY45">
            <v>682</v>
          </cell>
          <cell r="BZ45">
            <v>969</v>
          </cell>
          <cell r="CA45">
            <v>846</v>
          </cell>
          <cell r="CB45">
            <v>786</v>
          </cell>
          <cell r="CC45">
            <v>720</v>
          </cell>
          <cell r="CD45">
            <v>703</v>
          </cell>
          <cell r="CE45">
            <v>644</v>
          </cell>
          <cell r="CF45">
            <v>708</v>
          </cell>
          <cell r="CG45">
            <v>683</v>
          </cell>
          <cell r="CH45">
            <v>700</v>
          </cell>
          <cell r="CI45">
            <v>694</v>
          </cell>
          <cell r="CJ45">
            <v>719</v>
          </cell>
          <cell r="CK45">
            <v>645</v>
          </cell>
          <cell r="CL45">
            <v>634</v>
          </cell>
          <cell r="CM45">
            <v>670</v>
          </cell>
          <cell r="CN45">
            <v>677</v>
          </cell>
          <cell r="CO45">
            <v>642</v>
          </cell>
          <cell r="CP45">
            <v>572</v>
          </cell>
          <cell r="CQ45">
            <v>632</v>
          </cell>
          <cell r="CR45">
            <v>610</v>
          </cell>
          <cell r="CS45">
            <v>545</v>
          </cell>
          <cell r="CT45">
            <v>550</v>
          </cell>
          <cell r="CU45">
            <v>544</v>
          </cell>
          <cell r="CV45">
            <v>511</v>
          </cell>
          <cell r="CW45">
            <v>580</v>
          </cell>
          <cell r="CX45">
            <v>476</v>
          </cell>
          <cell r="CY45">
            <v>532</v>
          </cell>
          <cell r="CZ45">
            <v>452</v>
          </cell>
          <cell r="DA45">
            <v>557</v>
          </cell>
          <cell r="DB45">
            <v>502</v>
          </cell>
          <cell r="DC45">
            <v>480</v>
          </cell>
          <cell r="DD45">
            <v>497</v>
          </cell>
          <cell r="DE45">
            <v>408</v>
          </cell>
          <cell r="DF45">
            <v>461</v>
          </cell>
          <cell r="DG45">
            <v>487</v>
          </cell>
          <cell r="DH45">
            <v>410</v>
          </cell>
          <cell r="DI45">
            <v>516</v>
          </cell>
          <cell r="DJ45">
            <v>395</v>
          </cell>
          <cell r="DK45">
            <v>458</v>
          </cell>
          <cell r="DL45">
            <v>436</v>
          </cell>
          <cell r="DM45">
            <v>504</v>
          </cell>
          <cell r="DN45">
            <v>388</v>
          </cell>
          <cell r="DO45">
            <v>403</v>
          </cell>
          <cell r="DP45">
            <v>457</v>
          </cell>
          <cell r="DQ45">
            <v>418</v>
          </cell>
          <cell r="DR45">
            <v>446</v>
          </cell>
          <cell r="DS45">
            <v>386</v>
          </cell>
          <cell r="DT45">
            <v>390</v>
          </cell>
          <cell r="DU45">
            <v>422</v>
          </cell>
          <cell r="DV45">
            <v>410</v>
          </cell>
          <cell r="DW45">
            <v>385</v>
          </cell>
          <cell r="DX45">
            <v>365</v>
          </cell>
          <cell r="DY45">
            <v>443</v>
          </cell>
          <cell r="DZ45">
            <v>298</v>
          </cell>
          <cell r="EA45">
            <v>434</v>
          </cell>
          <cell r="EB45">
            <v>370</v>
          </cell>
          <cell r="EC45">
            <v>395</v>
          </cell>
          <cell r="ED45">
            <v>335</v>
          </cell>
          <cell r="EE45">
            <v>358</v>
          </cell>
          <cell r="EF45">
            <v>352</v>
          </cell>
          <cell r="EG45">
            <v>338</v>
          </cell>
          <cell r="EH45">
            <v>383</v>
          </cell>
          <cell r="EI45">
            <v>328</v>
          </cell>
          <cell r="EJ45">
            <v>339</v>
          </cell>
          <cell r="EK45">
            <v>323</v>
          </cell>
          <cell r="EL45">
            <v>347</v>
          </cell>
          <cell r="EM45">
            <v>358</v>
          </cell>
          <cell r="EN45">
            <v>389</v>
          </cell>
          <cell r="EO45">
            <v>314</v>
          </cell>
          <cell r="EP45">
            <v>327</v>
          </cell>
          <cell r="EQ45">
            <v>358</v>
          </cell>
          <cell r="ER45">
            <v>345</v>
          </cell>
          <cell r="ES45">
            <v>309</v>
          </cell>
          <cell r="ET45">
            <v>310</v>
          </cell>
          <cell r="EU45">
            <v>285</v>
          </cell>
          <cell r="EV45">
            <v>374</v>
          </cell>
          <cell r="EW45">
            <v>337</v>
          </cell>
          <cell r="EX45">
            <v>350</v>
          </cell>
          <cell r="EY45">
            <v>270</v>
          </cell>
          <cell r="EZ45">
            <v>264</v>
          </cell>
          <cell r="FA45">
            <v>355</v>
          </cell>
          <cell r="FB45">
            <v>302</v>
          </cell>
          <cell r="FC45">
            <v>289</v>
          </cell>
          <cell r="FD45">
            <v>298</v>
          </cell>
          <cell r="FE45">
            <v>280</v>
          </cell>
          <cell r="FF45">
            <v>267</v>
          </cell>
          <cell r="FG45">
            <v>297</v>
          </cell>
          <cell r="FH45">
            <v>265</v>
          </cell>
          <cell r="FI45">
            <v>265</v>
          </cell>
          <cell r="FJ45">
            <v>266</v>
          </cell>
          <cell r="FK45">
            <v>237</v>
          </cell>
          <cell r="FL45">
            <v>260</v>
          </cell>
          <cell r="FM45">
            <v>257</v>
          </cell>
          <cell r="FN45">
            <v>275</v>
          </cell>
          <cell r="FO45">
            <v>218</v>
          </cell>
          <cell r="FP45">
            <v>261</v>
          </cell>
          <cell r="FQ45">
            <v>327</v>
          </cell>
          <cell r="FR45">
            <v>270</v>
          </cell>
          <cell r="FS45">
            <v>266</v>
          </cell>
          <cell r="FT45">
            <v>233</v>
          </cell>
          <cell r="FU45">
            <v>260</v>
          </cell>
          <cell r="FV45">
            <v>275</v>
          </cell>
          <cell r="FW45">
            <v>251</v>
          </cell>
          <cell r="FX45">
            <v>234</v>
          </cell>
          <cell r="FY45">
            <v>247</v>
          </cell>
          <cell r="FZ45">
            <v>218</v>
          </cell>
          <cell r="GA45">
            <v>295</v>
          </cell>
          <cell r="GB45">
            <v>262</v>
          </cell>
          <cell r="GC45">
            <v>255</v>
          </cell>
          <cell r="GD45">
            <v>197</v>
          </cell>
          <cell r="GE45">
            <v>248</v>
          </cell>
          <cell r="GF45">
            <v>251</v>
          </cell>
          <cell r="GG45">
            <v>256</v>
          </cell>
          <cell r="GH45">
            <v>221</v>
          </cell>
          <cell r="GI45">
            <v>233</v>
          </cell>
          <cell r="GJ45">
            <v>202</v>
          </cell>
          <cell r="GK45">
            <v>238</v>
          </cell>
          <cell r="GL45">
            <v>221</v>
          </cell>
          <cell r="GM45">
            <v>204</v>
          </cell>
          <cell r="GN45">
            <v>209</v>
          </cell>
        </row>
        <row r="46">
          <cell r="B46" t="str">
            <v>HECTOROL</v>
          </cell>
          <cell r="C46" t="str">
            <v>GZY</v>
          </cell>
          <cell r="D46">
            <v>3959</v>
          </cell>
          <cell r="E46">
            <v>3737</v>
          </cell>
          <cell r="F46">
            <v>3971</v>
          </cell>
          <cell r="G46">
            <v>3645</v>
          </cell>
          <cell r="H46">
            <v>3733</v>
          </cell>
          <cell r="I46">
            <v>3964</v>
          </cell>
          <cell r="J46">
            <v>3875</v>
          </cell>
          <cell r="K46">
            <v>3782</v>
          </cell>
          <cell r="L46">
            <v>3707</v>
          </cell>
          <cell r="M46">
            <v>3914</v>
          </cell>
          <cell r="N46">
            <v>3731</v>
          </cell>
          <cell r="O46">
            <v>3773</v>
          </cell>
          <cell r="P46">
            <v>4004</v>
          </cell>
          <cell r="Q46">
            <v>4057</v>
          </cell>
          <cell r="R46">
            <v>4180</v>
          </cell>
          <cell r="S46">
            <v>3789</v>
          </cell>
          <cell r="T46">
            <v>3859</v>
          </cell>
          <cell r="U46">
            <v>3856</v>
          </cell>
          <cell r="V46">
            <v>4028</v>
          </cell>
          <cell r="W46">
            <v>3934</v>
          </cell>
          <cell r="X46">
            <v>3987</v>
          </cell>
          <cell r="Y46">
            <v>3489</v>
          </cell>
          <cell r="Z46">
            <v>4298</v>
          </cell>
          <cell r="AA46">
            <v>4170</v>
          </cell>
          <cell r="AB46">
            <v>3878</v>
          </cell>
          <cell r="AC46">
            <v>4046</v>
          </cell>
          <cell r="AD46">
            <v>3575</v>
          </cell>
          <cell r="AE46">
            <v>3954</v>
          </cell>
          <cell r="AF46">
            <v>4015</v>
          </cell>
          <cell r="AG46">
            <v>3999</v>
          </cell>
          <cell r="AH46">
            <v>3993</v>
          </cell>
          <cell r="AI46">
            <v>4187</v>
          </cell>
          <cell r="AJ46">
            <v>4185</v>
          </cell>
          <cell r="AK46">
            <v>4116</v>
          </cell>
          <cell r="AL46">
            <v>4111</v>
          </cell>
          <cell r="AM46">
            <v>4347</v>
          </cell>
          <cell r="AN46">
            <v>4318</v>
          </cell>
          <cell r="AO46">
            <v>3919</v>
          </cell>
          <cell r="AP46">
            <v>4091</v>
          </cell>
          <cell r="AQ46">
            <v>4202</v>
          </cell>
          <cell r="AR46">
            <v>4157</v>
          </cell>
          <cell r="AS46">
            <v>3994</v>
          </cell>
          <cell r="AT46">
            <v>4099</v>
          </cell>
          <cell r="AU46">
            <v>4146</v>
          </cell>
          <cell r="AV46">
            <v>4298</v>
          </cell>
          <cell r="AW46">
            <v>4079</v>
          </cell>
          <cell r="AX46">
            <v>4089</v>
          </cell>
          <cell r="AY46">
            <v>3950</v>
          </cell>
          <cell r="AZ46">
            <v>4071</v>
          </cell>
          <cell r="BA46">
            <v>4315</v>
          </cell>
          <cell r="BB46">
            <v>4135</v>
          </cell>
          <cell r="BC46">
            <v>4014</v>
          </cell>
          <cell r="BD46">
            <v>4114</v>
          </cell>
          <cell r="BE46">
            <v>4221</v>
          </cell>
          <cell r="BF46">
            <v>4225</v>
          </cell>
          <cell r="BG46">
            <v>4115</v>
          </cell>
          <cell r="BH46">
            <v>4258</v>
          </cell>
          <cell r="BI46">
            <v>4231</v>
          </cell>
          <cell r="BJ46">
            <v>4091</v>
          </cell>
          <cell r="BK46">
            <v>3933</v>
          </cell>
          <cell r="BL46">
            <v>4119</v>
          </cell>
          <cell r="BM46">
            <v>4055</v>
          </cell>
          <cell r="BN46">
            <v>3984</v>
          </cell>
          <cell r="BO46">
            <v>3945</v>
          </cell>
          <cell r="BP46">
            <v>4008</v>
          </cell>
          <cell r="BQ46">
            <v>4037</v>
          </cell>
          <cell r="BR46">
            <v>4038</v>
          </cell>
          <cell r="BS46">
            <v>3923</v>
          </cell>
          <cell r="BT46">
            <v>4122</v>
          </cell>
          <cell r="BU46">
            <v>4096</v>
          </cell>
          <cell r="BV46">
            <v>3982</v>
          </cell>
          <cell r="BW46">
            <v>4022</v>
          </cell>
          <cell r="BX46">
            <v>4160</v>
          </cell>
          <cell r="BY46">
            <v>3411</v>
          </cell>
          <cell r="BZ46">
            <v>4288</v>
          </cell>
          <cell r="CA46">
            <v>4207</v>
          </cell>
          <cell r="CB46">
            <v>4047</v>
          </cell>
          <cell r="CC46">
            <v>3993</v>
          </cell>
          <cell r="CD46">
            <v>3522</v>
          </cell>
          <cell r="CE46">
            <v>3972</v>
          </cell>
          <cell r="CF46">
            <v>4109</v>
          </cell>
          <cell r="CG46">
            <v>4191</v>
          </cell>
          <cell r="CH46">
            <v>3892</v>
          </cell>
          <cell r="CI46">
            <v>4083</v>
          </cell>
          <cell r="CJ46">
            <v>4212</v>
          </cell>
          <cell r="CK46">
            <v>4067</v>
          </cell>
          <cell r="CL46">
            <v>3954</v>
          </cell>
          <cell r="CM46">
            <v>4013</v>
          </cell>
          <cell r="CN46">
            <v>4430</v>
          </cell>
          <cell r="CO46">
            <v>3964</v>
          </cell>
          <cell r="CP46">
            <v>3817</v>
          </cell>
          <cell r="CQ46">
            <v>3962</v>
          </cell>
          <cell r="CR46">
            <v>4262</v>
          </cell>
          <cell r="CS46">
            <v>4055</v>
          </cell>
          <cell r="CT46">
            <v>3886</v>
          </cell>
          <cell r="CU46">
            <v>4006</v>
          </cell>
          <cell r="CV46">
            <v>4325</v>
          </cell>
          <cell r="CW46">
            <v>4228</v>
          </cell>
          <cell r="CX46">
            <v>4097</v>
          </cell>
          <cell r="CY46">
            <v>4023</v>
          </cell>
          <cell r="CZ46">
            <v>3864</v>
          </cell>
          <cell r="DA46">
            <v>4535</v>
          </cell>
          <cell r="DB46">
            <v>4190</v>
          </cell>
          <cell r="DC46">
            <v>4079</v>
          </cell>
          <cell r="DD46">
            <v>4093</v>
          </cell>
          <cell r="DE46">
            <v>4129</v>
          </cell>
          <cell r="DF46">
            <v>4340</v>
          </cell>
          <cell r="DG46">
            <v>4084</v>
          </cell>
          <cell r="DH46">
            <v>4134</v>
          </cell>
          <cell r="DI46">
            <v>4146</v>
          </cell>
          <cell r="DJ46">
            <v>4357</v>
          </cell>
          <cell r="DK46">
            <v>4076</v>
          </cell>
          <cell r="DL46">
            <v>4018</v>
          </cell>
          <cell r="DM46">
            <v>4309</v>
          </cell>
          <cell r="DN46">
            <v>4013</v>
          </cell>
          <cell r="DO46">
            <v>4021</v>
          </cell>
          <cell r="DP46">
            <v>3888</v>
          </cell>
          <cell r="DQ46">
            <v>4166</v>
          </cell>
          <cell r="DR46">
            <v>4102</v>
          </cell>
          <cell r="DS46">
            <v>3979</v>
          </cell>
          <cell r="DT46">
            <v>3789</v>
          </cell>
          <cell r="DU46">
            <v>4126</v>
          </cell>
          <cell r="DV46">
            <v>4041</v>
          </cell>
          <cell r="DW46">
            <v>4079</v>
          </cell>
          <cell r="DX46">
            <v>4073</v>
          </cell>
          <cell r="DY46">
            <v>4008</v>
          </cell>
          <cell r="DZ46">
            <v>3432</v>
          </cell>
          <cell r="EA46">
            <v>4442</v>
          </cell>
          <cell r="EB46">
            <v>3985</v>
          </cell>
          <cell r="EC46">
            <v>4059</v>
          </cell>
          <cell r="ED46">
            <v>3239</v>
          </cell>
          <cell r="EE46">
            <v>3890</v>
          </cell>
          <cell r="EF46">
            <v>4194</v>
          </cell>
          <cell r="EG46">
            <v>3955</v>
          </cell>
          <cell r="EH46">
            <v>4097</v>
          </cell>
          <cell r="EI46">
            <v>4054</v>
          </cell>
          <cell r="EJ46">
            <v>4307</v>
          </cell>
          <cell r="EK46">
            <v>3975</v>
          </cell>
          <cell r="EL46">
            <v>3862</v>
          </cell>
          <cell r="EM46">
            <v>3890</v>
          </cell>
          <cell r="EN46">
            <v>4382</v>
          </cell>
          <cell r="EO46">
            <v>3972</v>
          </cell>
          <cell r="EP46">
            <v>3984</v>
          </cell>
          <cell r="EQ46">
            <v>4095</v>
          </cell>
          <cell r="ER46">
            <v>4055</v>
          </cell>
          <cell r="ES46">
            <v>3941</v>
          </cell>
          <cell r="ET46">
            <v>3889</v>
          </cell>
          <cell r="EU46">
            <v>3829</v>
          </cell>
          <cell r="EV46">
            <v>4244</v>
          </cell>
          <cell r="EW46">
            <v>4222</v>
          </cell>
          <cell r="EX46">
            <v>4044</v>
          </cell>
          <cell r="EY46">
            <v>4151</v>
          </cell>
          <cell r="EZ46">
            <v>3873</v>
          </cell>
          <cell r="FA46">
            <v>4343</v>
          </cell>
          <cell r="FB46">
            <v>4116</v>
          </cell>
          <cell r="FC46">
            <v>4144</v>
          </cell>
          <cell r="FD46">
            <v>3841</v>
          </cell>
          <cell r="FE46">
            <v>4235</v>
          </cell>
          <cell r="FF46">
            <v>4151</v>
          </cell>
          <cell r="FG46">
            <v>4282</v>
          </cell>
          <cell r="FH46">
            <v>3898</v>
          </cell>
          <cell r="FI46">
            <v>3972</v>
          </cell>
          <cell r="FJ46">
            <v>4348</v>
          </cell>
          <cell r="FK46">
            <v>4101</v>
          </cell>
          <cell r="FL46">
            <v>3891</v>
          </cell>
          <cell r="FM46">
            <v>3890</v>
          </cell>
          <cell r="FN46">
            <v>4329</v>
          </cell>
          <cell r="FO46">
            <v>3969</v>
          </cell>
          <cell r="FP46">
            <v>4100</v>
          </cell>
          <cell r="FQ46">
            <v>4062</v>
          </cell>
          <cell r="FR46">
            <v>4306</v>
          </cell>
          <cell r="FS46">
            <v>4198</v>
          </cell>
          <cell r="FT46">
            <v>4024</v>
          </cell>
          <cell r="FU46">
            <v>4128</v>
          </cell>
          <cell r="FV46">
            <v>4160</v>
          </cell>
          <cell r="FW46">
            <v>4422</v>
          </cell>
          <cell r="FX46">
            <v>4221</v>
          </cell>
          <cell r="FY46">
            <v>4158</v>
          </cell>
          <cell r="FZ46">
            <v>3498</v>
          </cell>
          <cell r="GA46">
            <v>4926</v>
          </cell>
          <cell r="GB46">
            <v>4290</v>
          </cell>
          <cell r="GC46">
            <v>4391</v>
          </cell>
          <cell r="GD46">
            <v>3465</v>
          </cell>
          <cell r="GE46">
            <v>4003</v>
          </cell>
          <cell r="GF46">
            <v>4647</v>
          </cell>
          <cell r="GG46">
            <v>4478</v>
          </cell>
          <cell r="GH46">
            <v>4287</v>
          </cell>
          <cell r="GI46">
            <v>4103</v>
          </cell>
          <cell r="GJ46">
            <v>4683</v>
          </cell>
          <cell r="GK46">
            <v>4418</v>
          </cell>
          <cell r="GL46">
            <v>4315</v>
          </cell>
          <cell r="GM46">
            <v>4129</v>
          </cell>
          <cell r="GN46">
            <v>4747</v>
          </cell>
        </row>
        <row r="47">
          <cell r="B47" t="str">
            <v>IRESSA</v>
          </cell>
          <cell r="C47" t="str">
            <v>AZN</v>
          </cell>
          <cell r="D47">
            <v>196</v>
          </cell>
          <cell r="E47">
            <v>8</v>
          </cell>
          <cell r="F47">
            <v>192</v>
          </cell>
          <cell r="G47">
            <v>163</v>
          </cell>
          <cell r="H47">
            <v>175</v>
          </cell>
          <cell r="I47">
            <v>193</v>
          </cell>
          <cell r="J47">
            <v>191</v>
          </cell>
          <cell r="K47">
            <v>163</v>
          </cell>
          <cell r="L47">
            <v>182</v>
          </cell>
          <cell r="M47">
            <v>127</v>
          </cell>
          <cell r="N47">
            <v>198</v>
          </cell>
          <cell r="O47">
            <v>186</v>
          </cell>
          <cell r="P47">
            <v>157</v>
          </cell>
          <cell r="Q47">
            <v>153</v>
          </cell>
          <cell r="R47">
            <v>167</v>
          </cell>
          <cell r="S47">
            <v>174</v>
          </cell>
          <cell r="T47">
            <v>155</v>
          </cell>
          <cell r="U47">
            <v>157</v>
          </cell>
          <cell r="V47">
            <v>149</v>
          </cell>
          <cell r="W47">
            <v>62</v>
          </cell>
          <cell r="X47">
            <v>1</v>
          </cell>
          <cell r="Y47">
            <v>78</v>
          </cell>
          <cell r="Z47">
            <v>2</v>
          </cell>
          <cell r="AA47">
            <v>119</v>
          </cell>
          <cell r="AB47">
            <v>138</v>
          </cell>
          <cell r="AC47">
            <v>252</v>
          </cell>
          <cell r="AD47">
            <v>127</v>
          </cell>
          <cell r="AE47">
            <v>138</v>
          </cell>
          <cell r="AF47">
            <v>125</v>
          </cell>
          <cell r="AG47">
            <v>156</v>
          </cell>
          <cell r="AH47">
            <v>154</v>
          </cell>
          <cell r="AI47">
            <v>135</v>
          </cell>
          <cell r="AJ47">
            <v>157</v>
          </cell>
          <cell r="AK47">
            <v>144</v>
          </cell>
          <cell r="AL47">
            <v>150</v>
          </cell>
          <cell r="AM47">
            <v>145</v>
          </cell>
          <cell r="AN47">
            <v>142</v>
          </cell>
          <cell r="AO47">
            <v>121</v>
          </cell>
          <cell r="AP47">
            <v>129</v>
          </cell>
          <cell r="AQ47">
            <v>110</v>
          </cell>
          <cell r="AR47">
            <v>144</v>
          </cell>
          <cell r="AS47">
            <v>123</v>
          </cell>
          <cell r="AT47">
            <v>113</v>
          </cell>
          <cell r="AU47">
            <v>116</v>
          </cell>
          <cell r="AV47">
            <v>101</v>
          </cell>
          <cell r="AW47">
            <v>118</v>
          </cell>
          <cell r="AX47">
            <v>123</v>
          </cell>
          <cell r="AY47">
            <v>90</v>
          </cell>
          <cell r="AZ47">
            <v>109</v>
          </cell>
          <cell r="BA47">
            <v>123</v>
          </cell>
          <cell r="BB47">
            <v>104</v>
          </cell>
          <cell r="BC47">
            <v>88</v>
          </cell>
          <cell r="BD47">
            <v>125</v>
          </cell>
          <cell r="BE47">
            <v>79</v>
          </cell>
          <cell r="BF47">
            <v>109</v>
          </cell>
          <cell r="BG47">
            <v>63</v>
          </cell>
          <cell r="BH47">
            <v>100</v>
          </cell>
          <cell r="BI47">
            <v>103</v>
          </cell>
          <cell r="BJ47">
            <v>119</v>
          </cell>
          <cell r="BK47">
            <v>85</v>
          </cell>
          <cell r="BL47">
            <v>83</v>
          </cell>
          <cell r="BM47">
            <v>108</v>
          </cell>
          <cell r="BN47">
            <v>125</v>
          </cell>
          <cell r="BO47">
            <v>66</v>
          </cell>
          <cell r="BP47">
            <v>75</v>
          </cell>
          <cell r="BQ47">
            <v>134</v>
          </cell>
          <cell r="BR47">
            <v>94</v>
          </cell>
          <cell r="BS47">
            <v>100</v>
          </cell>
          <cell r="BT47">
            <v>91</v>
          </cell>
          <cell r="BU47">
            <v>93</v>
          </cell>
          <cell r="BV47">
            <v>91</v>
          </cell>
          <cell r="BW47">
            <v>102</v>
          </cell>
          <cell r="BX47">
            <v>91</v>
          </cell>
          <cell r="BY47">
            <v>59</v>
          </cell>
          <cell r="BZ47">
            <v>90</v>
          </cell>
          <cell r="CA47">
            <v>86</v>
          </cell>
          <cell r="CB47">
            <v>91</v>
          </cell>
          <cell r="CC47">
            <v>89</v>
          </cell>
          <cell r="CD47">
            <v>97</v>
          </cell>
          <cell r="CE47">
            <v>76</v>
          </cell>
          <cell r="CF47">
            <v>80</v>
          </cell>
          <cell r="CG47">
            <v>71</v>
          </cell>
          <cell r="CH47">
            <v>84</v>
          </cell>
          <cell r="CI47">
            <v>71</v>
          </cell>
          <cell r="CJ47">
            <v>81</v>
          </cell>
          <cell r="CK47">
            <v>83</v>
          </cell>
          <cell r="CL47">
            <v>83</v>
          </cell>
          <cell r="CM47">
            <v>69</v>
          </cell>
          <cell r="CN47">
            <v>79</v>
          </cell>
          <cell r="CO47">
            <v>86</v>
          </cell>
          <cell r="CP47">
            <v>84</v>
          </cell>
          <cell r="CQ47">
            <v>77</v>
          </cell>
          <cell r="CR47">
            <v>73</v>
          </cell>
          <cell r="CS47">
            <v>95</v>
          </cell>
          <cell r="CT47">
            <v>65</v>
          </cell>
          <cell r="CU47">
            <v>91</v>
          </cell>
          <cell r="CV47">
            <v>91</v>
          </cell>
          <cell r="CW47">
            <v>69</v>
          </cell>
          <cell r="CX47">
            <v>79</v>
          </cell>
          <cell r="CY47">
            <v>97</v>
          </cell>
          <cell r="CZ47">
            <v>61</v>
          </cell>
          <cell r="DA47">
            <v>78</v>
          </cell>
          <cell r="DB47">
            <v>67</v>
          </cell>
          <cell r="DC47">
            <v>82</v>
          </cell>
          <cell r="DD47">
            <v>82</v>
          </cell>
          <cell r="DE47">
            <v>67</v>
          </cell>
          <cell r="DF47">
            <v>72</v>
          </cell>
          <cell r="DG47">
            <v>76</v>
          </cell>
          <cell r="DH47">
            <v>77</v>
          </cell>
          <cell r="DI47">
            <v>60</v>
          </cell>
          <cell r="DJ47">
            <v>67</v>
          </cell>
          <cell r="DK47">
            <v>84</v>
          </cell>
          <cell r="DL47">
            <v>68</v>
          </cell>
          <cell r="DM47">
            <v>57</v>
          </cell>
          <cell r="DN47">
            <v>56</v>
          </cell>
          <cell r="DO47">
            <v>86</v>
          </cell>
          <cell r="DP47">
            <v>70</v>
          </cell>
          <cell r="DQ47">
            <v>63</v>
          </cell>
          <cell r="DR47">
            <v>56</v>
          </cell>
          <cell r="DS47">
            <v>77</v>
          </cell>
          <cell r="DT47">
            <v>61</v>
          </cell>
          <cell r="DU47">
            <v>69</v>
          </cell>
          <cell r="DV47">
            <v>53</v>
          </cell>
          <cell r="DW47">
            <v>80</v>
          </cell>
          <cell r="DX47">
            <v>54</v>
          </cell>
          <cell r="DY47">
            <v>56</v>
          </cell>
          <cell r="DZ47">
            <v>60</v>
          </cell>
          <cell r="EA47">
            <v>81</v>
          </cell>
          <cell r="EB47">
            <v>63</v>
          </cell>
          <cell r="EC47">
            <v>74</v>
          </cell>
          <cell r="ED47">
            <v>45</v>
          </cell>
          <cell r="EE47">
            <v>58</v>
          </cell>
          <cell r="EF47">
            <v>59</v>
          </cell>
          <cell r="EG47">
            <v>65</v>
          </cell>
          <cell r="EH47">
            <v>56</v>
          </cell>
          <cell r="EI47">
            <v>56</v>
          </cell>
          <cell r="EJ47">
            <v>63</v>
          </cell>
          <cell r="EK47">
            <v>57</v>
          </cell>
          <cell r="EL47">
            <v>53</v>
          </cell>
          <cell r="EM47">
            <v>68</v>
          </cell>
          <cell r="EN47">
            <v>62</v>
          </cell>
          <cell r="EO47">
            <v>44</v>
          </cell>
          <cell r="EP47">
            <v>53</v>
          </cell>
          <cell r="EQ47">
            <v>70</v>
          </cell>
          <cell r="ER47">
            <v>67</v>
          </cell>
          <cell r="ES47">
            <v>50</v>
          </cell>
          <cell r="ET47">
            <v>52</v>
          </cell>
          <cell r="EU47">
            <v>62</v>
          </cell>
          <cell r="EV47">
            <v>65</v>
          </cell>
          <cell r="EW47">
            <v>46</v>
          </cell>
          <cell r="EX47">
            <v>59</v>
          </cell>
          <cell r="EY47">
            <v>45</v>
          </cell>
          <cell r="EZ47">
            <v>63</v>
          </cell>
          <cell r="FA47">
            <v>53</v>
          </cell>
          <cell r="FB47">
            <v>64</v>
          </cell>
          <cell r="FC47">
            <v>40</v>
          </cell>
          <cell r="FD47">
            <v>57</v>
          </cell>
          <cell r="FE47">
            <v>40</v>
          </cell>
          <cell r="FF47">
            <v>51</v>
          </cell>
          <cell r="FG47">
            <v>55</v>
          </cell>
          <cell r="FH47">
            <v>59</v>
          </cell>
          <cell r="FI47">
            <v>48</v>
          </cell>
          <cell r="FJ47">
            <v>65</v>
          </cell>
          <cell r="FK47">
            <v>43</v>
          </cell>
          <cell r="FL47">
            <v>52</v>
          </cell>
          <cell r="FM47">
            <v>42</v>
          </cell>
          <cell r="FN47">
            <v>59</v>
          </cell>
          <cell r="FO47">
            <v>49</v>
          </cell>
          <cell r="FP47">
            <v>48</v>
          </cell>
          <cell r="FQ47">
            <v>45</v>
          </cell>
          <cell r="FR47">
            <v>59</v>
          </cell>
          <cell r="FS47">
            <v>54</v>
          </cell>
          <cell r="FT47">
            <v>48</v>
          </cell>
          <cell r="FU47">
            <v>40</v>
          </cell>
          <cell r="FV47">
            <v>53</v>
          </cell>
          <cell r="FW47">
            <v>62</v>
          </cell>
          <cell r="FX47">
            <v>50</v>
          </cell>
          <cell r="FY47">
            <v>54</v>
          </cell>
          <cell r="FZ47">
            <v>37</v>
          </cell>
          <cell r="GA47">
            <v>58</v>
          </cell>
          <cell r="GB47">
            <v>44</v>
          </cell>
          <cell r="GC47">
            <v>52</v>
          </cell>
          <cell r="GD47">
            <v>19</v>
          </cell>
          <cell r="GE47">
            <v>64</v>
          </cell>
          <cell r="GF47">
            <v>45</v>
          </cell>
          <cell r="GG47">
            <v>51</v>
          </cell>
          <cell r="GH47">
            <v>31</v>
          </cell>
          <cell r="GI47">
            <v>60</v>
          </cell>
          <cell r="GJ47">
            <v>49</v>
          </cell>
          <cell r="GK47">
            <v>41</v>
          </cell>
          <cell r="GL47">
            <v>36</v>
          </cell>
          <cell r="GM47">
            <v>54</v>
          </cell>
          <cell r="GN47">
            <v>51</v>
          </cell>
        </row>
        <row r="48">
          <cell r="B48" t="str">
            <v>HUMIRA</v>
          </cell>
          <cell r="C48" t="str">
            <v>ABT</v>
          </cell>
          <cell r="D48">
            <v>13853</v>
          </cell>
          <cell r="E48">
            <v>11008</v>
          </cell>
          <cell r="F48">
            <v>13063</v>
          </cell>
          <cell r="G48">
            <v>12798</v>
          </cell>
          <cell r="H48">
            <v>13061</v>
          </cell>
          <cell r="I48">
            <v>13452</v>
          </cell>
          <cell r="J48">
            <v>12925</v>
          </cell>
          <cell r="K48">
            <v>13382</v>
          </cell>
          <cell r="L48">
            <v>13586</v>
          </cell>
          <cell r="M48">
            <v>14074</v>
          </cell>
          <cell r="N48">
            <v>12946</v>
          </cell>
          <cell r="O48">
            <v>14244</v>
          </cell>
          <cell r="P48">
            <v>14733</v>
          </cell>
          <cell r="Q48">
            <v>14336</v>
          </cell>
          <cell r="R48">
            <v>14957</v>
          </cell>
          <cell r="S48">
            <v>14258</v>
          </cell>
          <cell r="T48">
            <v>14251</v>
          </cell>
          <cell r="U48">
            <v>14327</v>
          </cell>
          <cell r="V48">
            <v>14961</v>
          </cell>
          <cell r="W48">
            <v>14697</v>
          </cell>
          <cell r="X48">
            <v>15079</v>
          </cell>
          <cell r="Y48">
            <v>11223</v>
          </cell>
          <cell r="Z48">
            <v>16384</v>
          </cell>
          <cell r="AA48">
            <v>15970</v>
          </cell>
          <cell r="AB48">
            <v>15370</v>
          </cell>
          <cell r="AC48">
            <v>15268</v>
          </cell>
          <cell r="AD48">
            <v>14077</v>
          </cell>
          <cell r="AE48">
            <v>13247</v>
          </cell>
          <cell r="AF48">
            <v>15528</v>
          </cell>
          <cell r="AG48">
            <v>14607</v>
          </cell>
          <cell r="AH48">
            <v>14827</v>
          </cell>
          <cell r="AI48">
            <v>15591</v>
          </cell>
          <cell r="AJ48">
            <v>15923</v>
          </cell>
          <cell r="AK48">
            <v>14717</v>
          </cell>
          <cell r="AL48">
            <v>15268</v>
          </cell>
          <cell r="AM48">
            <v>15964</v>
          </cell>
          <cell r="AN48">
            <v>15878</v>
          </cell>
          <cell r="AO48">
            <v>14585</v>
          </cell>
          <cell r="AP48">
            <v>15272</v>
          </cell>
          <cell r="AQ48">
            <v>15696</v>
          </cell>
          <cell r="AR48">
            <v>16156</v>
          </cell>
          <cell r="AS48">
            <v>15286</v>
          </cell>
          <cell r="AT48">
            <v>15439</v>
          </cell>
          <cell r="AU48">
            <v>16085</v>
          </cell>
          <cell r="AV48">
            <v>16112</v>
          </cell>
          <cell r="AW48">
            <v>16301</v>
          </cell>
          <cell r="AX48">
            <v>16570</v>
          </cell>
          <cell r="AY48">
            <v>17639</v>
          </cell>
          <cell r="AZ48">
            <v>16031</v>
          </cell>
          <cell r="BA48">
            <v>18212</v>
          </cell>
          <cell r="BB48">
            <v>17916</v>
          </cell>
          <cell r="BC48">
            <v>18456</v>
          </cell>
          <cell r="BD48">
            <v>20263</v>
          </cell>
          <cell r="BE48">
            <v>15373</v>
          </cell>
          <cell r="BF48">
            <v>20239</v>
          </cell>
          <cell r="BG48">
            <v>19469</v>
          </cell>
          <cell r="BH48">
            <v>19562</v>
          </cell>
          <cell r="BI48">
            <v>20310</v>
          </cell>
          <cell r="BJ48">
            <v>19900</v>
          </cell>
          <cell r="BK48">
            <v>19077</v>
          </cell>
          <cell r="BL48">
            <v>19238</v>
          </cell>
          <cell r="BM48">
            <v>20444</v>
          </cell>
          <cell r="BN48">
            <v>16883</v>
          </cell>
          <cell r="BO48">
            <v>18883</v>
          </cell>
          <cell r="BP48">
            <v>18493</v>
          </cell>
          <cell r="BQ48">
            <v>18452</v>
          </cell>
          <cell r="BR48">
            <v>19085</v>
          </cell>
          <cell r="BS48">
            <v>18253</v>
          </cell>
          <cell r="BT48">
            <v>18598</v>
          </cell>
          <cell r="BU48">
            <v>18242</v>
          </cell>
          <cell r="BV48">
            <v>19210</v>
          </cell>
          <cell r="BW48">
            <v>19227</v>
          </cell>
          <cell r="BX48">
            <v>19608</v>
          </cell>
          <cell r="BY48">
            <v>14665</v>
          </cell>
          <cell r="BZ48">
            <v>20405</v>
          </cell>
          <cell r="CA48">
            <v>18938</v>
          </cell>
          <cell r="CB48">
            <v>19726</v>
          </cell>
          <cell r="CC48">
            <v>20302</v>
          </cell>
          <cell r="CD48">
            <v>15994</v>
          </cell>
          <cell r="CE48">
            <v>18867</v>
          </cell>
          <cell r="CF48">
            <v>22329</v>
          </cell>
          <cell r="CG48">
            <v>20933</v>
          </cell>
          <cell r="CH48">
            <v>20371</v>
          </cell>
          <cell r="CI48">
            <v>20946</v>
          </cell>
          <cell r="CJ48">
            <v>20358</v>
          </cell>
          <cell r="CK48">
            <v>19882</v>
          </cell>
          <cell r="CL48">
            <v>18752</v>
          </cell>
          <cell r="CM48">
            <v>20215</v>
          </cell>
          <cell r="CN48">
            <v>21157</v>
          </cell>
          <cell r="CO48">
            <v>20813</v>
          </cell>
          <cell r="CP48">
            <v>20676</v>
          </cell>
          <cell r="CQ48">
            <v>21781</v>
          </cell>
          <cell r="CR48">
            <v>22544</v>
          </cell>
          <cell r="CS48">
            <v>21736</v>
          </cell>
          <cell r="CT48">
            <v>21688</v>
          </cell>
          <cell r="CU48">
            <v>21970</v>
          </cell>
          <cell r="CV48">
            <v>23209</v>
          </cell>
          <cell r="CW48">
            <v>22268</v>
          </cell>
          <cell r="CX48">
            <v>22050</v>
          </cell>
          <cell r="CY48">
            <v>22648</v>
          </cell>
          <cell r="CZ48">
            <v>20870</v>
          </cell>
          <cell r="DA48">
            <v>23821</v>
          </cell>
          <cell r="DB48">
            <v>22364</v>
          </cell>
          <cell r="DC48">
            <v>22542</v>
          </cell>
          <cell r="DD48">
            <v>23762</v>
          </cell>
          <cell r="DE48">
            <v>20454</v>
          </cell>
          <cell r="DF48">
            <v>23930</v>
          </cell>
          <cell r="DG48">
            <v>23809</v>
          </cell>
          <cell r="DH48">
            <v>23909</v>
          </cell>
          <cell r="DI48">
            <v>24150</v>
          </cell>
          <cell r="DJ48">
            <v>23967</v>
          </cell>
          <cell r="DK48">
            <v>23804</v>
          </cell>
          <cell r="DL48">
            <v>24309</v>
          </cell>
          <cell r="DM48">
            <v>25852</v>
          </cell>
          <cell r="DN48">
            <v>22104</v>
          </cell>
          <cell r="DO48">
            <v>25445</v>
          </cell>
          <cell r="DP48">
            <v>25157</v>
          </cell>
          <cell r="DQ48">
            <v>24860</v>
          </cell>
          <cell r="DR48">
            <v>25507</v>
          </cell>
          <cell r="DS48">
            <v>24340</v>
          </cell>
          <cell r="DT48">
            <v>24930</v>
          </cell>
          <cell r="DU48">
            <v>24799</v>
          </cell>
          <cell r="DV48">
            <v>25405</v>
          </cell>
          <cell r="DW48">
            <v>25399</v>
          </cell>
          <cell r="DX48">
            <v>25811</v>
          </cell>
          <cell r="DY48">
            <v>26336</v>
          </cell>
          <cell r="DZ48">
            <v>19698</v>
          </cell>
          <cell r="EA48">
            <v>28873</v>
          </cell>
          <cell r="EB48">
            <v>26779</v>
          </cell>
          <cell r="EC48">
            <v>27604</v>
          </cell>
          <cell r="ED48">
            <v>18453</v>
          </cell>
          <cell r="EE48">
            <v>23733</v>
          </cell>
          <cell r="EF48">
            <v>26546</v>
          </cell>
          <cell r="EG48">
            <v>24877</v>
          </cell>
          <cell r="EH48">
            <v>22787</v>
          </cell>
          <cell r="EI48">
            <v>24484</v>
          </cell>
          <cell r="EJ48">
            <v>25609</v>
          </cell>
          <cell r="EK48">
            <v>25552</v>
          </cell>
          <cell r="EL48">
            <v>24071</v>
          </cell>
          <cell r="EM48">
            <v>25157</v>
          </cell>
          <cell r="EN48">
            <v>26473</v>
          </cell>
          <cell r="EO48">
            <v>25474</v>
          </cell>
          <cell r="EP48">
            <v>24997</v>
          </cell>
          <cell r="EQ48">
            <v>25564</v>
          </cell>
          <cell r="ER48">
            <v>26391</v>
          </cell>
          <cell r="ES48">
            <v>25559</v>
          </cell>
          <cell r="ET48">
            <v>25079</v>
          </cell>
          <cell r="EU48">
            <v>26373</v>
          </cell>
          <cell r="EV48">
            <v>28053</v>
          </cell>
          <cell r="EW48">
            <v>27221</v>
          </cell>
          <cell r="EX48">
            <v>27281</v>
          </cell>
          <cell r="EY48">
            <v>27664</v>
          </cell>
          <cell r="EZ48">
            <v>24917</v>
          </cell>
          <cell r="FA48">
            <v>28391</v>
          </cell>
          <cell r="FB48">
            <v>27246</v>
          </cell>
          <cell r="FC48">
            <v>26976</v>
          </cell>
          <cell r="FD48">
            <v>27701</v>
          </cell>
          <cell r="FE48">
            <v>25883</v>
          </cell>
          <cell r="FF48">
            <v>27381</v>
          </cell>
          <cell r="FG48">
            <v>27808</v>
          </cell>
          <cell r="FH48">
            <v>27637</v>
          </cell>
          <cell r="FI48">
            <v>27727</v>
          </cell>
          <cell r="FJ48">
            <v>26780</v>
          </cell>
          <cell r="FK48">
            <v>27592</v>
          </cell>
          <cell r="FL48">
            <v>26711</v>
          </cell>
          <cell r="FM48">
            <v>27665</v>
          </cell>
          <cell r="FN48">
            <v>28374</v>
          </cell>
          <cell r="FO48">
            <v>24131</v>
          </cell>
          <cell r="FP48">
            <v>28423</v>
          </cell>
          <cell r="FQ48">
            <v>28288</v>
          </cell>
          <cell r="FR48">
            <v>28395</v>
          </cell>
          <cell r="FS48">
            <v>27505</v>
          </cell>
          <cell r="FT48">
            <v>27495</v>
          </cell>
          <cell r="FU48">
            <v>27765</v>
          </cell>
          <cell r="FV48">
            <v>28353</v>
          </cell>
          <cell r="FW48">
            <v>27245</v>
          </cell>
          <cell r="FX48">
            <v>27440</v>
          </cell>
          <cell r="FY48">
            <v>28364</v>
          </cell>
          <cell r="FZ48">
            <v>21833</v>
          </cell>
          <cell r="GA48">
            <v>30534</v>
          </cell>
          <cell r="GB48">
            <v>28746</v>
          </cell>
          <cell r="GC48">
            <v>29898</v>
          </cell>
          <cell r="GD48">
            <v>22233</v>
          </cell>
          <cell r="GE48">
            <v>26762</v>
          </cell>
          <cell r="GF48">
            <v>28343</v>
          </cell>
          <cell r="GG48">
            <v>28680</v>
          </cell>
          <cell r="GH48">
            <v>25951</v>
          </cell>
          <cell r="GI48">
            <v>27531</v>
          </cell>
          <cell r="GJ48">
            <v>27355</v>
          </cell>
          <cell r="GK48">
            <v>25676</v>
          </cell>
          <cell r="GL48">
            <v>28176</v>
          </cell>
          <cell r="GM48">
            <v>28412</v>
          </cell>
          <cell r="GN48">
            <v>29658</v>
          </cell>
        </row>
        <row r="49">
          <cell r="B49" t="str">
            <v>HEPSERA</v>
          </cell>
          <cell r="C49" t="str">
            <v>GS-</v>
          </cell>
          <cell r="D49">
            <v>3278</v>
          </cell>
          <cell r="E49">
            <v>3062</v>
          </cell>
          <cell r="F49">
            <v>3270</v>
          </cell>
          <cell r="G49">
            <v>3116</v>
          </cell>
          <cell r="H49">
            <v>3089</v>
          </cell>
          <cell r="I49">
            <v>3225</v>
          </cell>
          <cell r="J49">
            <v>3272</v>
          </cell>
          <cell r="K49">
            <v>3228</v>
          </cell>
          <cell r="L49">
            <v>3158</v>
          </cell>
          <cell r="M49">
            <v>3214</v>
          </cell>
          <cell r="N49">
            <v>3309</v>
          </cell>
          <cell r="O49">
            <v>3499</v>
          </cell>
          <cell r="P49">
            <v>3334</v>
          </cell>
          <cell r="Q49">
            <v>3251</v>
          </cell>
          <cell r="R49">
            <v>3513</v>
          </cell>
          <cell r="S49">
            <v>3420</v>
          </cell>
          <cell r="T49">
            <v>3332</v>
          </cell>
          <cell r="U49">
            <v>3285</v>
          </cell>
          <cell r="V49">
            <v>3416</v>
          </cell>
          <cell r="W49">
            <v>3523</v>
          </cell>
          <cell r="X49">
            <v>3457</v>
          </cell>
          <cell r="Y49">
            <v>3130</v>
          </cell>
          <cell r="Z49">
            <v>3662</v>
          </cell>
          <cell r="AA49">
            <v>3728</v>
          </cell>
          <cell r="AB49">
            <v>3517</v>
          </cell>
          <cell r="AC49">
            <v>3618</v>
          </cell>
          <cell r="AD49">
            <v>3119</v>
          </cell>
          <cell r="AE49">
            <v>3410</v>
          </cell>
          <cell r="AF49">
            <v>3677</v>
          </cell>
          <cell r="AG49">
            <v>3403</v>
          </cell>
          <cell r="AH49">
            <v>3406</v>
          </cell>
          <cell r="AI49">
            <v>3491</v>
          </cell>
          <cell r="AJ49">
            <v>3578</v>
          </cell>
          <cell r="AK49">
            <v>3448</v>
          </cell>
          <cell r="AL49">
            <v>3336</v>
          </cell>
          <cell r="AM49">
            <v>3707</v>
          </cell>
          <cell r="AN49">
            <v>3787</v>
          </cell>
          <cell r="AO49">
            <v>3574</v>
          </cell>
          <cell r="AP49">
            <v>3420</v>
          </cell>
          <cell r="AQ49">
            <v>3543</v>
          </cell>
          <cell r="AR49">
            <v>3482</v>
          </cell>
          <cell r="AS49">
            <v>3557</v>
          </cell>
          <cell r="AT49">
            <v>3457</v>
          </cell>
          <cell r="AU49">
            <v>3549</v>
          </cell>
          <cell r="AV49">
            <v>3701</v>
          </cell>
          <cell r="AW49">
            <v>3533</v>
          </cell>
          <cell r="AX49">
            <v>3536</v>
          </cell>
          <cell r="AY49">
            <v>3677</v>
          </cell>
          <cell r="AZ49">
            <v>3379</v>
          </cell>
          <cell r="BA49">
            <v>3788</v>
          </cell>
          <cell r="BB49">
            <v>3716</v>
          </cell>
          <cell r="BC49">
            <v>3538</v>
          </cell>
          <cell r="BD49">
            <v>3717</v>
          </cell>
          <cell r="BE49">
            <v>3564</v>
          </cell>
          <cell r="BF49">
            <v>3759</v>
          </cell>
          <cell r="BG49">
            <v>3574</v>
          </cell>
          <cell r="BH49">
            <v>3672</v>
          </cell>
          <cell r="BI49">
            <v>3642</v>
          </cell>
          <cell r="BJ49">
            <v>3654</v>
          </cell>
          <cell r="BK49">
            <v>3732</v>
          </cell>
          <cell r="BL49">
            <v>3675</v>
          </cell>
          <cell r="BM49">
            <v>3724</v>
          </cell>
          <cell r="BN49">
            <v>3738</v>
          </cell>
          <cell r="BO49">
            <v>3895</v>
          </cell>
          <cell r="BP49">
            <v>3707</v>
          </cell>
          <cell r="BQ49">
            <v>3796</v>
          </cell>
          <cell r="BR49">
            <v>3761</v>
          </cell>
          <cell r="BS49">
            <v>3790</v>
          </cell>
          <cell r="BT49">
            <v>3530</v>
          </cell>
          <cell r="BU49">
            <v>3820</v>
          </cell>
          <cell r="BV49">
            <v>3701</v>
          </cell>
          <cell r="BW49">
            <v>3747</v>
          </cell>
          <cell r="BX49">
            <v>3624</v>
          </cell>
          <cell r="BY49">
            <v>3260</v>
          </cell>
          <cell r="BZ49">
            <v>3960</v>
          </cell>
          <cell r="CA49">
            <v>3896</v>
          </cell>
          <cell r="CB49">
            <v>3760</v>
          </cell>
          <cell r="CC49">
            <v>3670</v>
          </cell>
          <cell r="CD49">
            <v>3430</v>
          </cell>
          <cell r="CE49">
            <v>3546</v>
          </cell>
          <cell r="CF49">
            <v>3936</v>
          </cell>
          <cell r="CG49">
            <v>3541</v>
          </cell>
          <cell r="CH49">
            <v>3621</v>
          </cell>
          <cell r="CI49">
            <v>3737</v>
          </cell>
          <cell r="CJ49">
            <v>3870</v>
          </cell>
          <cell r="CK49">
            <v>3671</v>
          </cell>
          <cell r="CL49">
            <v>3680</v>
          </cell>
          <cell r="CM49">
            <v>3737</v>
          </cell>
          <cell r="CN49">
            <v>4002</v>
          </cell>
          <cell r="CO49">
            <v>3778</v>
          </cell>
          <cell r="CP49">
            <v>3752</v>
          </cell>
          <cell r="CQ49">
            <v>3723</v>
          </cell>
          <cell r="CR49">
            <v>3787</v>
          </cell>
          <cell r="CS49">
            <v>3719</v>
          </cell>
          <cell r="CT49">
            <v>3654</v>
          </cell>
          <cell r="CU49">
            <v>3798</v>
          </cell>
          <cell r="CV49">
            <v>4049</v>
          </cell>
          <cell r="CW49">
            <v>3971</v>
          </cell>
          <cell r="CX49">
            <v>3676</v>
          </cell>
          <cell r="CY49">
            <v>3933</v>
          </cell>
          <cell r="CZ49">
            <v>3761</v>
          </cell>
          <cell r="DA49">
            <v>4159</v>
          </cell>
          <cell r="DB49">
            <v>3790</v>
          </cell>
          <cell r="DC49">
            <v>3647</v>
          </cell>
          <cell r="DD49">
            <v>3885</v>
          </cell>
          <cell r="DE49">
            <v>3744</v>
          </cell>
          <cell r="DF49">
            <v>3879</v>
          </cell>
          <cell r="DG49">
            <v>3808</v>
          </cell>
          <cell r="DH49">
            <v>3846</v>
          </cell>
          <cell r="DI49">
            <v>3910</v>
          </cell>
          <cell r="DJ49">
            <v>3900</v>
          </cell>
          <cell r="DK49">
            <v>3572</v>
          </cell>
          <cell r="DL49">
            <v>3737</v>
          </cell>
          <cell r="DM49">
            <v>3952</v>
          </cell>
          <cell r="DN49">
            <v>3672</v>
          </cell>
          <cell r="DO49">
            <v>3787</v>
          </cell>
          <cell r="DP49">
            <v>3578</v>
          </cell>
          <cell r="DQ49">
            <v>3673</v>
          </cell>
          <cell r="DR49">
            <v>3619</v>
          </cell>
          <cell r="DS49">
            <v>3678</v>
          </cell>
          <cell r="DT49">
            <v>3315</v>
          </cell>
          <cell r="DU49">
            <v>3333</v>
          </cell>
          <cell r="DV49">
            <v>3449</v>
          </cell>
          <cell r="DW49">
            <v>3429</v>
          </cell>
          <cell r="DX49">
            <v>3173</v>
          </cell>
          <cell r="DY49">
            <v>3259</v>
          </cell>
          <cell r="DZ49">
            <v>2999</v>
          </cell>
          <cell r="EA49">
            <v>3801</v>
          </cell>
          <cell r="EB49">
            <v>3139</v>
          </cell>
          <cell r="EC49">
            <v>3139</v>
          </cell>
          <cell r="ED49">
            <v>2749</v>
          </cell>
          <cell r="EE49">
            <v>2955</v>
          </cell>
          <cell r="EF49">
            <v>3329</v>
          </cell>
          <cell r="EG49">
            <v>3050</v>
          </cell>
          <cell r="EH49">
            <v>3045</v>
          </cell>
          <cell r="EI49">
            <v>2950</v>
          </cell>
          <cell r="EJ49">
            <v>3083</v>
          </cell>
          <cell r="EK49">
            <v>3065</v>
          </cell>
          <cell r="EL49">
            <v>2900</v>
          </cell>
          <cell r="EM49">
            <v>3009</v>
          </cell>
          <cell r="EN49">
            <v>3229</v>
          </cell>
          <cell r="EO49">
            <v>2889</v>
          </cell>
          <cell r="EP49">
            <v>2784</v>
          </cell>
          <cell r="EQ49">
            <v>2747</v>
          </cell>
          <cell r="ER49">
            <v>2865</v>
          </cell>
          <cell r="ES49">
            <v>2847</v>
          </cell>
          <cell r="ET49">
            <v>2674</v>
          </cell>
          <cell r="EU49">
            <v>2666</v>
          </cell>
          <cell r="EV49">
            <v>2780</v>
          </cell>
          <cell r="EW49">
            <v>2718</v>
          </cell>
          <cell r="EX49">
            <v>2571</v>
          </cell>
          <cell r="EY49">
            <v>2586</v>
          </cell>
          <cell r="EZ49">
            <v>2473</v>
          </cell>
          <cell r="FA49">
            <v>2649</v>
          </cell>
          <cell r="FB49">
            <v>2629</v>
          </cell>
          <cell r="FC49">
            <v>2506</v>
          </cell>
          <cell r="FD49">
            <v>2571</v>
          </cell>
          <cell r="FE49">
            <v>2504</v>
          </cell>
          <cell r="FF49">
            <v>2426</v>
          </cell>
          <cell r="FG49">
            <v>2453</v>
          </cell>
          <cell r="FH49">
            <v>2170</v>
          </cell>
          <cell r="FI49">
            <v>2462</v>
          </cell>
          <cell r="FJ49">
            <v>2381</v>
          </cell>
          <cell r="FK49">
            <v>2582</v>
          </cell>
          <cell r="FL49">
            <v>2159</v>
          </cell>
          <cell r="FM49">
            <v>2362</v>
          </cell>
          <cell r="FN49">
            <v>2484</v>
          </cell>
          <cell r="FO49">
            <v>2153</v>
          </cell>
          <cell r="FP49">
            <v>2290</v>
          </cell>
          <cell r="FQ49">
            <v>2233</v>
          </cell>
          <cell r="FR49">
            <v>2394</v>
          </cell>
          <cell r="FS49">
            <v>2258</v>
          </cell>
          <cell r="FT49">
            <v>2272</v>
          </cell>
          <cell r="FU49">
            <v>2076</v>
          </cell>
          <cell r="FV49">
            <v>2186</v>
          </cell>
          <cell r="FW49">
            <v>2285</v>
          </cell>
          <cell r="FX49">
            <v>2148</v>
          </cell>
          <cell r="FY49">
            <v>2246</v>
          </cell>
          <cell r="FZ49">
            <v>1895</v>
          </cell>
          <cell r="GA49">
            <v>2484</v>
          </cell>
          <cell r="GB49">
            <v>2225</v>
          </cell>
          <cell r="GC49">
            <v>2177</v>
          </cell>
          <cell r="GD49">
            <v>1880</v>
          </cell>
          <cell r="GE49">
            <v>1920</v>
          </cell>
          <cell r="GF49">
            <v>2332</v>
          </cell>
          <cell r="GG49">
            <v>2120</v>
          </cell>
          <cell r="GH49">
            <v>2012</v>
          </cell>
          <cell r="GI49">
            <v>1935</v>
          </cell>
          <cell r="GJ49">
            <v>2160</v>
          </cell>
          <cell r="GK49">
            <v>1942</v>
          </cell>
          <cell r="GL49">
            <v>1838</v>
          </cell>
          <cell r="GM49">
            <v>2091</v>
          </cell>
          <cell r="GN49">
            <v>2145</v>
          </cell>
        </row>
        <row r="50">
          <cell r="B50" t="str">
            <v>HERCEPTIN</v>
          </cell>
          <cell r="C50" t="str">
            <v>GTC</v>
          </cell>
          <cell r="D50">
            <v>67</v>
          </cell>
          <cell r="E50">
            <v>54</v>
          </cell>
          <cell r="F50">
            <v>69</v>
          </cell>
          <cell r="G50">
            <v>59</v>
          </cell>
          <cell r="H50">
            <v>62</v>
          </cell>
          <cell r="I50">
            <v>61</v>
          </cell>
          <cell r="J50">
            <v>71</v>
          </cell>
          <cell r="K50">
            <v>56</v>
          </cell>
          <cell r="L50">
            <v>65</v>
          </cell>
          <cell r="M50">
            <v>57</v>
          </cell>
          <cell r="N50">
            <v>65</v>
          </cell>
          <cell r="O50">
            <v>81</v>
          </cell>
          <cell r="P50">
            <v>65</v>
          </cell>
          <cell r="Q50">
            <v>71</v>
          </cell>
          <cell r="R50">
            <v>75</v>
          </cell>
          <cell r="S50">
            <v>67</v>
          </cell>
          <cell r="T50">
            <v>60</v>
          </cell>
          <cell r="U50">
            <v>52</v>
          </cell>
          <cell r="V50">
            <v>83</v>
          </cell>
          <cell r="W50">
            <v>82</v>
          </cell>
          <cell r="X50">
            <v>59</v>
          </cell>
          <cell r="Y50">
            <v>54</v>
          </cell>
          <cell r="Z50">
            <v>69</v>
          </cell>
          <cell r="AA50">
            <v>72</v>
          </cell>
          <cell r="AB50">
            <v>53</v>
          </cell>
          <cell r="AC50">
            <v>54</v>
          </cell>
          <cell r="AD50">
            <v>50</v>
          </cell>
          <cell r="AE50">
            <v>47</v>
          </cell>
          <cell r="AF50">
            <v>63</v>
          </cell>
          <cell r="AG50">
            <v>57</v>
          </cell>
          <cell r="AH50">
            <v>56</v>
          </cell>
          <cell r="AI50">
            <v>73</v>
          </cell>
          <cell r="AJ50">
            <v>68</v>
          </cell>
          <cell r="AK50">
            <v>78</v>
          </cell>
          <cell r="AL50">
            <v>70</v>
          </cell>
          <cell r="AM50">
            <v>55</v>
          </cell>
          <cell r="AN50">
            <v>67</v>
          </cell>
          <cell r="AO50">
            <v>84</v>
          </cell>
          <cell r="AP50">
            <v>61</v>
          </cell>
          <cell r="AQ50">
            <v>82</v>
          </cell>
          <cell r="AR50">
            <v>77</v>
          </cell>
          <cell r="AS50">
            <v>59</v>
          </cell>
          <cell r="AT50">
            <v>64</v>
          </cell>
          <cell r="AU50">
            <v>69</v>
          </cell>
          <cell r="AV50">
            <v>66</v>
          </cell>
          <cell r="AW50">
            <v>75</v>
          </cell>
          <cell r="AX50">
            <v>95</v>
          </cell>
          <cell r="AY50">
            <v>74</v>
          </cell>
          <cell r="AZ50">
            <v>57</v>
          </cell>
          <cell r="BA50">
            <v>73</v>
          </cell>
          <cell r="BB50">
            <v>73</v>
          </cell>
          <cell r="BC50">
            <v>68</v>
          </cell>
          <cell r="BD50">
            <v>70</v>
          </cell>
          <cell r="BE50">
            <v>52</v>
          </cell>
          <cell r="BF50">
            <v>73</v>
          </cell>
          <cell r="BG50">
            <v>88</v>
          </cell>
          <cell r="BH50">
            <v>57</v>
          </cell>
          <cell r="BI50">
            <v>95</v>
          </cell>
          <cell r="BJ50">
            <v>83</v>
          </cell>
          <cell r="BK50">
            <v>79</v>
          </cell>
          <cell r="BL50">
            <v>85</v>
          </cell>
          <cell r="BM50">
            <v>86</v>
          </cell>
          <cell r="BN50">
            <v>73</v>
          </cell>
          <cell r="BO50">
            <v>76</v>
          </cell>
          <cell r="BP50">
            <v>88</v>
          </cell>
          <cell r="BQ50">
            <v>76</v>
          </cell>
          <cell r="BR50">
            <v>83</v>
          </cell>
          <cell r="BS50">
            <v>90</v>
          </cell>
          <cell r="BT50">
            <v>75</v>
          </cell>
          <cell r="BU50">
            <v>77</v>
          </cell>
          <cell r="BV50">
            <v>87</v>
          </cell>
          <cell r="BW50">
            <v>63</v>
          </cell>
          <cell r="BX50">
            <v>79</v>
          </cell>
          <cell r="BY50">
            <v>66</v>
          </cell>
          <cell r="BZ50">
            <v>69</v>
          </cell>
          <cell r="CA50">
            <v>68</v>
          </cell>
          <cell r="CB50">
            <v>73</v>
          </cell>
          <cell r="CC50">
            <v>90</v>
          </cell>
          <cell r="CD50">
            <v>68</v>
          </cell>
          <cell r="CE50">
            <v>48</v>
          </cell>
          <cell r="CF50">
            <v>74</v>
          </cell>
          <cell r="CG50">
            <v>65</v>
          </cell>
          <cell r="CH50">
            <v>76</v>
          </cell>
          <cell r="CI50">
            <v>82</v>
          </cell>
          <cell r="CJ50">
            <v>86</v>
          </cell>
          <cell r="CK50">
            <v>59</v>
          </cell>
          <cell r="CL50">
            <v>62</v>
          </cell>
          <cell r="CM50">
            <v>68</v>
          </cell>
          <cell r="CN50">
            <v>57</v>
          </cell>
          <cell r="CO50">
            <v>64</v>
          </cell>
          <cell r="CP50">
            <v>48</v>
          </cell>
          <cell r="CQ50">
            <v>71</v>
          </cell>
          <cell r="CR50">
            <v>98</v>
          </cell>
          <cell r="CS50">
            <v>95</v>
          </cell>
          <cell r="CT50">
            <v>58</v>
          </cell>
          <cell r="CU50">
            <v>68</v>
          </cell>
          <cell r="CV50">
            <v>54</v>
          </cell>
          <cell r="CW50">
            <v>44</v>
          </cell>
          <cell r="CX50">
            <v>87</v>
          </cell>
          <cell r="CY50">
            <v>47</v>
          </cell>
          <cell r="CZ50">
            <v>51</v>
          </cell>
          <cell r="DA50">
            <v>94</v>
          </cell>
          <cell r="DB50">
            <v>85</v>
          </cell>
          <cell r="DC50">
            <v>76</v>
          </cell>
          <cell r="DD50">
            <v>82</v>
          </cell>
          <cell r="DE50">
            <v>54</v>
          </cell>
          <cell r="DF50">
            <v>64</v>
          </cell>
          <cell r="DG50">
            <v>94</v>
          </cell>
          <cell r="DH50">
            <v>70</v>
          </cell>
          <cell r="DI50">
            <v>54</v>
          </cell>
          <cell r="DJ50">
            <v>59</v>
          </cell>
          <cell r="DK50">
            <v>58</v>
          </cell>
          <cell r="DL50">
            <v>62</v>
          </cell>
          <cell r="DM50">
            <v>63</v>
          </cell>
          <cell r="DN50">
            <v>72</v>
          </cell>
          <cell r="DO50">
            <v>55</v>
          </cell>
          <cell r="DP50">
            <v>64</v>
          </cell>
          <cell r="DQ50">
            <v>73</v>
          </cell>
          <cell r="DR50">
            <v>54</v>
          </cell>
          <cell r="DS50">
            <v>54</v>
          </cell>
          <cell r="DT50">
            <v>68</v>
          </cell>
          <cell r="DU50">
            <v>52</v>
          </cell>
          <cell r="DV50">
            <v>49</v>
          </cell>
          <cell r="DW50">
            <v>63</v>
          </cell>
          <cell r="DX50">
            <v>54</v>
          </cell>
          <cell r="DY50">
            <v>74</v>
          </cell>
          <cell r="DZ50">
            <v>48</v>
          </cell>
          <cell r="EA50">
            <v>69</v>
          </cell>
          <cell r="EB50">
            <v>65</v>
          </cell>
          <cell r="EC50">
            <v>74</v>
          </cell>
          <cell r="ED50">
            <v>43</v>
          </cell>
          <cell r="EE50">
            <v>39</v>
          </cell>
          <cell r="EF50">
            <v>81</v>
          </cell>
          <cell r="EG50">
            <v>57</v>
          </cell>
          <cell r="EH50">
            <v>53</v>
          </cell>
          <cell r="EI50">
            <v>60</v>
          </cell>
          <cell r="EJ50">
            <v>76</v>
          </cell>
          <cell r="EK50">
            <v>69</v>
          </cell>
          <cell r="EL50">
            <v>67</v>
          </cell>
          <cell r="EM50">
            <v>57</v>
          </cell>
          <cell r="EN50">
            <v>75</v>
          </cell>
          <cell r="EO50">
            <v>63</v>
          </cell>
          <cell r="EP50">
            <v>69</v>
          </cell>
          <cell r="EQ50">
            <v>70</v>
          </cell>
          <cell r="ER50">
            <v>55</v>
          </cell>
          <cell r="ES50">
            <v>80</v>
          </cell>
          <cell r="ET50">
            <v>71</v>
          </cell>
          <cell r="EU50">
            <v>68</v>
          </cell>
          <cell r="EV50">
            <v>69</v>
          </cell>
          <cell r="EW50">
            <v>73</v>
          </cell>
          <cell r="EX50">
            <v>65</v>
          </cell>
          <cell r="EY50">
            <v>75</v>
          </cell>
          <cell r="EZ50">
            <v>65</v>
          </cell>
          <cell r="FA50">
            <v>69</v>
          </cell>
          <cell r="FB50">
            <v>71</v>
          </cell>
          <cell r="FC50">
            <v>71</v>
          </cell>
          <cell r="FD50">
            <v>86</v>
          </cell>
          <cell r="FE50">
            <v>53</v>
          </cell>
          <cell r="FF50">
            <v>74</v>
          </cell>
          <cell r="FG50">
            <v>79</v>
          </cell>
          <cell r="FH50">
            <v>69</v>
          </cell>
          <cell r="FI50">
            <v>53</v>
          </cell>
          <cell r="FJ50">
            <v>57</v>
          </cell>
          <cell r="FK50">
            <v>63</v>
          </cell>
          <cell r="FL50">
            <v>64</v>
          </cell>
          <cell r="FM50">
            <v>68</v>
          </cell>
          <cell r="FN50">
            <v>77</v>
          </cell>
          <cell r="FO50">
            <v>65</v>
          </cell>
          <cell r="FP50">
            <v>67</v>
          </cell>
          <cell r="FQ50">
            <v>56</v>
          </cell>
          <cell r="FR50">
            <v>63</v>
          </cell>
          <cell r="FS50">
            <v>63</v>
          </cell>
          <cell r="FT50">
            <v>64</v>
          </cell>
          <cell r="FU50">
            <v>58</v>
          </cell>
          <cell r="FV50">
            <v>60</v>
          </cell>
          <cell r="FW50">
            <v>66</v>
          </cell>
          <cell r="FX50">
            <v>64</v>
          </cell>
          <cell r="FY50">
            <v>66</v>
          </cell>
          <cell r="FZ50">
            <v>39</v>
          </cell>
          <cell r="GA50">
            <v>67</v>
          </cell>
          <cell r="GB50">
            <v>64</v>
          </cell>
          <cell r="GC50">
            <v>54</v>
          </cell>
          <cell r="GD50">
            <v>41</v>
          </cell>
          <cell r="GE50">
            <v>42</v>
          </cell>
          <cell r="GF50">
            <v>80</v>
          </cell>
          <cell r="GG50">
            <v>63</v>
          </cell>
          <cell r="GH50">
            <v>59</v>
          </cell>
          <cell r="GI50">
            <v>61</v>
          </cell>
          <cell r="GJ50">
            <v>55</v>
          </cell>
          <cell r="GK50">
            <v>70</v>
          </cell>
          <cell r="GL50">
            <v>61</v>
          </cell>
          <cell r="GM50">
            <v>73</v>
          </cell>
          <cell r="GN50">
            <v>65</v>
          </cell>
        </row>
        <row r="51">
          <cell r="B51" t="str">
            <v>HIVID</v>
          </cell>
          <cell r="C51" t="str">
            <v>ROC</v>
          </cell>
          <cell r="D51">
            <v>82</v>
          </cell>
          <cell r="E51">
            <v>83</v>
          </cell>
          <cell r="F51">
            <v>56</v>
          </cell>
          <cell r="G51">
            <v>67</v>
          </cell>
          <cell r="H51">
            <v>84</v>
          </cell>
          <cell r="I51">
            <v>86</v>
          </cell>
          <cell r="J51">
            <v>75</v>
          </cell>
          <cell r="K51">
            <v>54</v>
          </cell>
          <cell r="L51">
            <v>64</v>
          </cell>
          <cell r="M51">
            <v>57</v>
          </cell>
          <cell r="N51">
            <v>75</v>
          </cell>
          <cell r="O51">
            <v>65</v>
          </cell>
          <cell r="P51">
            <v>58</v>
          </cell>
          <cell r="Q51">
            <v>57</v>
          </cell>
          <cell r="R51">
            <v>71</v>
          </cell>
          <cell r="S51">
            <v>47</v>
          </cell>
          <cell r="T51">
            <v>66</v>
          </cell>
          <cell r="U51">
            <v>56</v>
          </cell>
          <cell r="V51">
            <v>54</v>
          </cell>
          <cell r="W51">
            <v>56</v>
          </cell>
          <cell r="X51">
            <v>59</v>
          </cell>
          <cell r="Y51">
            <v>48</v>
          </cell>
          <cell r="Z51">
            <v>57</v>
          </cell>
          <cell r="AA51">
            <v>76</v>
          </cell>
          <cell r="AB51">
            <v>45</v>
          </cell>
          <cell r="AC51">
            <v>50</v>
          </cell>
          <cell r="AD51">
            <v>47</v>
          </cell>
          <cell r="AE51">
            <v>62</v>
          </cell>
          <cell r="AF51">
            <v>45</v>
          </cell>
          <cell r="AG51">
            <v>63</v>
          </cell>
          <cell r="AH51">
            <v>48</v>
          </cell>
          <cell r="AI51">
            <v>53</v>
          </cell>
          <cell r="AJ51">
            <v>45</v>
          </cell>
          <cell r="AK51">
            <v>53</v>
          </cell>
          <cell r="AL51">
            <v>40</v>
          </cell>
          <cell r="AM51">
            <v>47</v>
          </cell>
          <cell r="AN51">
            <v>33</v>
          </cell>
          <cell r="AO51">
            <v>43</v>
          </cell>
          <cell r="AP51">
            <v>36</v>
          </cell>
          <cell r="AQ51">
            <v>36</v>
          </cell>
          <cell r="AR51">
            <v>26</v>
          </cell>
          <cell r="AS51">
            <v>33</v>
          </cell>
          <cell r="AT51">
            <v>20</v>
          </cell>
          <cell r="AU51">
            <v>27</v>
          </cell>
          <cell r="AV51">
            <v>20</v>
          </cell>
          <cell r="AW51">
            <v>19</v>
          </cell>
          <cell r="AX51">
            <v>27</v>
          </cell>
          <cell r="AY51">
            <v>17</v>
          </cell>
          <cell r="AZ51">
            <v>23</v>
          </cell>
          <cell r="BA51">
            <v>17</v>
          </cell>
          <cell r="BB51">
            <v>19</v>
          </cell>
          <cell r="BC51">
            <v>7</v>
          </cell>
          <cell r="BD51">
            <v>6</v>
          </cell>
          <cell r="BE51">
            <v>12</v>
          </cell>
          <cell r="BF51">
            <v>12</v>
          </cell>
          <cell r="BG51">
            <v>7</v>
          </cell>
          <cell r="BH51">
            <v>6</v>
          </cell>
          <cell r="BI51">
            <v>7</v>
          </cell>
          <cell r="BJ51">
            <v>5</v>
          </cell>
          <cell r="BK51">
            <v>6</v>
          </cell>
          <cell r="BL51">
            <v>3</v>
          </cell>
          <cell r="BM51">
            <v>4</v>
          </cell>
          <cell r="BN51">
            <v>2</v>
          </cell>
          <cell r="BO51">
            <v>6</v>
          </cell>
          <cell r="BP51">
            <v>5</v>
          </cell>
          <cell r="BQ51">
            <v>4</v>
          </cell>
          <cell r="BR51">
            <v>2</v>
          </cell>
          <cell r="BS51">
            <v>1</v>
          </cell>
          <cell r="BT51">
            <v>2</v>
          </cell>
          <cell r="BU51">
            <v>2</v>
          </cell>
          <cell r="BV51">
            <v>1</v>
          </cell>
          <cell r="BW51">
            <v>3</v>
          </cell>
          <cell r="BX51">
            <v>1</v>
          </cell>
          <cell r="BY51">
            <v>1</v>
          </cell>
          <cell r="BZ51">
            <v>0</v>
          </cell>
          <cell r="CA51">
            <v>1</v>
          </cell>
          <cell r="CB51">
            <v>0</v>
          </cell>
          <cell r="CC51">
            <v>1</v>
          </cell>
          <cell r="CD51">
            <v>0</v>
          </cell>
          <cell r="CE51">
            <v>1</v>
          </cell>
          <cell r="CF51">
            <v>0</v>
          </cell>
          <cell r="CG51">
            <v>0</v>
          </cell>
          <cell r="CH51">
            <v>1</v>
          </cell>
          <cell r="CI51">
            <v>0</v>
          </cell>
          <cell r="CJ51">
            <v>0</v>
          </cell>
          <cell r="CK51">
            <v>1</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1</v>
          </cell>
          <cell r="DC51">
            <v>0</v>
          </cell>
          <cell r="DD51">
            <v>0</v>
          </cell>
          <cell r="DE51">
            <v>1</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C51">
            <v>1</v>
          </cell>
          <cell r="EF51">
            <v>0</v>
          </cell>
          <cell r="FZ51">
            <v>1</v>
          </cell>
        </row>
        <row r="52">
          <cell r="B52" t="str">
            <v>INTEGRILIN</v>
          </cell>
          <cell r="C52" t="str">
            <v>SHC</v>
          </cell>
          <cell r="D52">
            <v>2</v>
          </cell>
          <cell r="E52">
            <v>0</v>
          </cell>
          <cell r="F52">
            <v>0</v>
          </cell>
          <cell r="G52">
            <v>0</v>
          </cell>
          <cell r="H52">
            <v>0</v>
          </cell>
          <cell r="I52">
            <v>0</v>
          </cell>
          <cell r="J52">
            <v>0</v>
          </cell>
          <cell r="K52">
            <v>0</v>
          </cell>
          <cell r="L52">
            <v>0</v>
          </cell>
          <cell r="M52">
            <v>0</v>
          </cell>
          <cell r="N52">
            <v>0</v>
          </cell>
          <cell r="O52">
            <v>2</v>
          </cell>
          <cell r="P52">
            <v>0</v>
          </cell>
          <cell r="Q52">
            <v>0</v>
          </cell>
          <cell r="R52">
            <v>1</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1</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2</v>
          </cell>
          <cell r="BJ52">
            <v>0</v>
          </cell>
          <cell r="BK52">
            <v>0</v>
          </cell>
          <cell r="BL52">
            <v>0</v>
          </cell>
          <cell r="BM52">
            <v>0</v>
          </cell>
          <cell r="BN52">
            <v>1</v>
          </cell>
          <cell r="BO52">
            <v>0</v>
          </cell>
          <cell r="BP52">
            <v>0</v>
          </cell>
          <cell r="BQ52">
            <v>0</v>
          </cell>
          <cell r="BR52">
            <v>0</v>
          </cell>
          <cell r="BS52">
            <v>0</v>
          </cell>
          <cell r="BT52">
            <v>0</v>
          </cell>
          <cell r="BU52">
            <v>0</v>
          </cell>
          <cell r="BV52">
            <v>0</v>
          </cell>
          <cell r="BW52">
            <v>1</v>
          </cell>
          <cell r="BX52">
            <v>0</v>
          </cell>
          <cell r="BY52">
            <v>0</v>
          </cell>
          <cell r="BZ52">
            <v>1</v>
          </cell>
          <cell r="CA52">
            <v>1</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2</v>
          </cell>
          <cell r="DB52">
            <v>0</v>
          </cell>
          <cell r="DC52">
            <v>0</v>
          </cell>
          <cell r="DD52">
            <v>0</v>
          </cell>
          <cell r="DE52">
            <v>0</v>
          </cell>
          <cell r="DF52">
            <v>0</v>
          </cell>
          <cell r="DG52">
            <v>0</v>
          </cell>
          <cell r="DH52">
            <v>0</v>
          </cell>
          <cell r="DI52">
            <v>0</v>
          </cell>
          <cell r="DJ52">
            <v>0</v>
          </cell>
          <cell r="DK52">
            <v>0</v>
          </cell>
          <cell r="DL52">
            <v>0</v>
          </cell>
          <cell r="DM52">
            <v>0</v>
          </cell>
          <cell r="DN52">
            <v>0</v>
          </cell>
          <cell r="DO52">
            <v>1</v>
          </cell>
          <cell r="DP52">
            <v>0</v>
          </cell>
          <cell r="DQ52">
            <v>0</v>
          </cell>
          <cell r="DR52">
            <v>0</v>
          </cell>
          <cell r="DS52">
            <v>0</v>
          </cell>
          <cell r="DT52">
            <v>0</v>
          </cell>
          <cell r="DU52">
            <v>1</v>
          </cell>
          <cell r="DV52">
            <v>0</v>
          </cell>
          <cell r="DW52">
            <v>0</v>
          </cell>
          <cell r="DX52">
            <v>0</v>
          </cell>
          <cell r="DY52">
            <v>0</v>
          </cell>
          <cell r="DZ52">
            <v>0</v>
          </cell>
          <cell r="EN52">
            <v>1</v>
          </cell>
          <cell r="GK52">
            <v>1</v>
          </cell>
        </row>
        <row r="53">
          <cell r="B53" t="str">
            <v>INVIRASE</v>
          </cell>
          <cell r="C53" t="str">
            <v>ROC</v>
          </cell>
          <cell r="D53">
            <v>1565</v>
          </cell>
          <cell r="E53">
            <v>1576</v>
          </cell>
          <cell r="F53">
            <v>1517</v>
          </cell>
          <cell r="G53">
            <v>1485</v>
          </cell>
          <cell r="H53">
            <v>1486</v>
          </cell>
          <cell r="I53">
            <v>1671</v>
          </cell>
          <cell r="J53">
            <v>1573</v>
          </cell>
          <cell r="K53">
            <v>1572</v>
          </cell>
          <cell r="L53">
            <v>1513</v>
          </cell>
          <cell r="M53">
            <v>1651</v>
          </cell>
          <cell r="N53">
            <v>1451</v>
          </cell>
          <cell r="O53">
            <v>1551</v>
          </cell>
          <cell r="P53">
            <v>1474</v>
          </cell>
          <cell r="Q53">
            <v>1559</v>
          </cell>
          <cell r="R53">
            <v>1639</v>
          </cell>
          <cell r="S53">
            <v>1428</v>
          </cell>
          <cell r="T53">
            <v>1551</v>
          </cell>
          <cell r="U53">
            <v>1532</v>
          </cell>
          <cell r="V53">
            <v>1517</v>
          </cell>
          <cell r="W53">
            <v>1462</v>
          </cell>
          <cell r="X53">
            <v>1374</v>
          </cell>
          <cell r="Y53">
            <v>1334</v>
          </cell>
          <cell r="Z53">
            <v>1796</v>
          </cell>
          <cell r="AA53">
            <v>1593</v>
          </cell>
          <cell r="AB53">
            <v>1485</v>
          </cell>
          <cell r="AC53">
            <v>1577</v>
          </cell>
          <cell r="AD53">
            <v>1474</v>
          </cell>
          <cell r="AE53">
            <v>1371</v>
          </cell>
          <cell r="AF53">
            <v>1508</v>
          </cell>
          <cell r="AG53">
            <v>1449</v>
          </cell>
          <cell r="AH53">
            <v>1523</v>
          </cell>
          <cell r="AI53">
            <v>1539</v>
          </cell>
          <cell r="AJ53">
            <v>1449</v>
          </cell>
          <cell r="AK53">
            <v>1446</v>
          </cell>
          <cell r="AL53">
            <v>1445</v>
          </cell>
          <cell r="AM53">
            <v>1594</v>
          </cell>
          <cell r="AN53">
            <v>1576</v>
          </cell>
          <cell r="AO53">
            <v>1476</v>
          </cell>
          <cell r="AP53">
            <v>1422</v>
          </cell>
          <cell r="AQ53">
            <v>1457</v>
          </cell>
          <cell r="AR53">
            <v>1511</v>
          </cell>
          <cell r="AS53">
            <v>1500</v>
          </cell>
          <cell r="AT53">
            <v>1392</v>
          </cell>
          <cell r="AU53">
            <v>1439</v>
          </cell>
          <cell r="AV53">
            <v>1532</v>
          </cell>
          <cell r="AW53">
            <v>1408</v>
          </cell>
          <cell r="AX53">
            <v>1406</v>
          </cell>
          <cell r="AY53">
            <v>1397</v>
          </cell>
          <cell r="AZ53">
            <v>1386</v>
          </cell>
          <cell r="BA53">
            <v>1512</v>
          </cell>
          <cell r="BB53">
            <v>1396</v>
          </cell>
          <cell r="BC53">
            <v>1387</v>
          </cell>
          <cell r="BD53">
            <v>1489</v>
          </cell>
          <cell r="BE53">
            <v>1407</v>
          </cell>
          <cell r="BF53">
            <v>1450</v>
          </cell>
          <cell r="BG53">
            <v>1337</v>
          </cell>
          <cell r="BH53">
            <v>1485</v>
          </cell>
          <cell r="BI53">
            <v>1561</v>
          </cell>
          <cell r="BJ53">
            <v>1435</v>
          </cell>
          <cell r="BK53">
            <v>1335</v>
          </cell>
          <cell r="BL53">
            <v>1329</v>
          </cell>
          <cell r="BM53">
            <v>1429</v>
          </cell>
          <cell r="BN53">
            <v>1256</v>
          </cell>
          <cell r="BO53">
            <v>1391</v>
          </cell>
          <cell r="BP53">
            <v>1339</v>
          </cell>
          <cell r="BQ53">
            <v>1498</v>
          </cell>
          <cell r="BR53">
            <v>1462</v>
          </cell>
          <cell r="BS53">
            <v>1292</v>
          </cell>
          <cell r="BT53">
            <v>1350</v>
          </cell>
          <cell r="BU53">
            <v>1403</v>
          </cell>
          <cell r="BV53">
            <v>1442</v>
          </cell>
          <cell r="BW53">
            <v>1377</v>
          </cell>
          <cell r="BX53">
            <v>1294</v>
          </cell>
          <cell r="BY53">
            <v>1214</v>
          </cell>
          <cell r="BZ53">
            <v>1500</v>
          </cell>
          <cell r="CA53">
            <v>1351</v>
          </cell>
          <cell r="CB53">
            <v>1388</v>
          </cell>
          <cell r="CC53">
            <v>1359</v>
          </cell>
          <cell r="CD53">
            <v>1156</v>
          </cell>
          <cell r="CE53">
            <v>1269</v>
          </cell>
          <cell r="CF53">
            <v>1346</v>
          </cell>
          <cell r="CG53">
            <v>1349</v>
          </cell>
          <cell r="CH53">
            <v>1285</v>
          </cell>
          <cell r="CI53">
            <v>1297</v>
          </cell>
          <cell r="CJ53">
            <v>1273</v>
          </cell>
          <cell r="CK53">
            <v>1229</v>
          </cell>
          <cell r="CL53">
            <v>1283</v>
          </cell>
          <cell r="CM53">
            <v>1319</v>
          </cell>
          <cell r="CN53">
            <v>1364</v>
          </cell>
          <cell r="CO53">
            <v>1261</v>
          </cell>
          <cell r="CP53">
            <v>1189</v>
          </cell>
          <cell r="CQ53">
            <v>1247</v>
          </cell>
          <cell r="CR53">
            <v>1333</v>
          </cell>
          <cell r="CS53">
            <v>1264</v>
          </cell>
          <cell r="CT53">
            <v>1171</v>
          </cell>
          <cell r="CU53">
            <v>1154</v>
          </cell>
          <cell r="CV53">
            <v>1292</v>
          </cell>
          <cell r="CW53">
            <v>1220</v>
          </cell>
          <cell r="CX53">
            <v>1089</v>
          </cell>
          <cell r="CY53">
            <v>1163</v>
          </cell>
          <cell r="CZ53">
            <v>1054</v>
          </cell>
          <cell r="DA53">
            <v>1238</v>
          </cell>
          <cell r="DB53">
            <v>1064</v>
          </cell>
          <cell r="DC53">
            <v>1099</v>
          </cell>
          <cell r="DD53">
            <v>1084</v>
          </cell>
          <cell r="DE53">
            <v>1179</v>
          </cell>
          <cell r="DF53">
            <v>1137</v>
          </cell>
          <cell r="DG53">
            <v>1133</v>
          </cell>
          <cell r="DH53">
            <v>1049</v>
          </cell>
          <cell r="DI53">
            <v>1076</v>
          </cell>
          <cell r="DJ53">
            <v>1121</v>
          </cell>
          <cell r="DK53">
            <v>1103</v>
          </cell>
          <cell r="DL53">
            <v>1039</v>
          </cell>
          <cell r="DM53">
            <v>1127</v>
          </cell>
          <cell r="DN53">
            <v>1066</v>
          </cell>
          <cell r="DO53">
            <v>1101</v>
          </cell>
          <cell r="DP53">
            <v>1082</v>
          </cell>
          <cell r="DQ53">
            <v>1102</v>
          </cell>
          <cell r="DR53">
            <v>1194</v>
          </cell>
          <cell r="DS53">
            <v>1115</v>
          </cell>
          <cell r="DT53">
            <v>1068</v>
          </cell>
          <cell r="DU53">
            <v>1058</v>
          </cell>
          <cell r="DV53">
            <v>1117</v>
          </cell>
          <cell r="DW53">
            <v>1094</v>
          </cell>
          <cell r="DX53">
            <v>1061</v>
          </cell>
          <cell r="DY53">
            <v>1008</v>
          </cell>
          <cell r="DZ53">
            <v>912</v>
          </cell>
          <cell r="EA53">
            <v>1215</v>
          </cell>
          <cell r="EB53">
            <v>1126</v>
          </cell>
          <cell r="EC53">
            <v>1121</v>
          </cell>
          <cell r="ED53">
            <v>870</v>
          </cell>
          <cell r="EE53">
            <v>1046</v>
          </cell>
          <cell r="EF53">
            <v>1094</v>
          </cell>
          <cell r="EG53">
            <v>1089</v>
          </cell>
          <cell r="EH53">
            <v>936</v>
          </cell>
          <cell r="EI53">
            <v>1037</v>
          </cell>
          <cell r="EJ53">
            <v>1102</v>
          </cell>
          <cell r="EK53">
            <v>1045</v>
          </cell>
          <cell r="EL53">
            <v>1000</v>
          </cell>
          <cell r="EM53">
            <v>975</v>
          </cell>
          <cell r="EN53">
            <v>1095</v>
          </cell>
          <cell r="EO53">
            <v>985</v>
          </cell>
          <cell r="EP53">
            <v>973</v>
          </cell>
          <cell r="EQ53">
            <v>874</v>
          </cell>
          <cell r="ER53">
            <v>1074</v>
          </cell>
          <cell r="ES53">
            <v>900</v>
          </cell>
          <cell r="ET53">
            <v>954</v>
          </cell>
          <cell r="EU53">
            <v>853</v>
          </cell>
          <cell r="EV53">
            <v>1010</v>
          </cell>
          <cell r="EW53">
            <v>1073</v>
          </cell>
          <cell r="EX53">
            <v>940</v>
          </cell>
          <cell r="EY53">
            <v>882</v>
          </cell>
          <cell r="EZ53">
            <v>907</v>
          </cell>
          <cell r="FA53">
            <v>1086</v>
          </cell>
          <cell r="FB53">
            <v>916</v>
          </cell>
          <cell r="FC53">
            <v>914</v>
          </cell>
          <cell r="FD53">
            <v>888</v>
          </cell>
          <cell r="FE53">
            <v>1054</v>
          </cell>
          <cell r="FF53">
            <v>964</v>
          </cell>
          <cell r="FG53">
            <v>933</v>
          </cell>
          <cell r="FH53">
            <v>845</v>
          </cell>
          <cell r="FI53">
            <v>974</v>
          </cell>
          <cell r="FJ53">
            <v>1001</v>
          </cell>
          <cell r="FK53">
            <v>909</v>
          </cell>
          <cell r="FL53">
            <v>913</v>
          </cell>
          <cell r="FM53">
            <v>879</v>
          </cell>
          <cell r="FN53">
            <v>966</v>
          </cell>
          <cell r="FO53">
            <v>874</v>
          </cell>
          <cell r="FP53">
            <v>879</v>
          </cell>
          <cell r="FQ53">
            <v>865</v>
          </cell>
          <cell r="FR53">
            <v>1035</v>
          </cell>
          <cell r="FS53">
            <v>905</v>
          </cell>
          <cell r="FT53">
            <v>810</v>
          </cell>
          <cell r="FU53">
            <v>917</v>
          </cell>
          <cell r="FV53">
            <v>905</v>
          </cell>
          <cell r="FW53">
            <v>917</v>
          </cell>
          <cell r="FX53">
            <v>850</v>
          </cell>
          <cell r="FY53">
            <v>895</v>
          </cell>
          <cell r="FZ53">
            <v>784</v>
          </cell>
          <cell r="GA53">
            <v>1033</v>
          </cell>
          <cell r="GB53">
            <v>906</v>
          </cell>
          <cell r="GC53">
            <v>890</v>
          </cell>
          <cell r="GD53">
            <v>777</v>
          </cell>
          <cell r="GE53">
            <v>870</v>
          </cell>
          <cell r="GF53">
            <v>948</v>
          </cell>
          <cell r="GG53">
            <v>931</v>
          </cell>
          <cell r="GH53">
            <v>829</v>
          </cell>
          <cell r="GI53">
            <v>864</v>
          </cell>
          <cell r="GJ53">
            <v>878</v>
          </cell>
          <cell r="GK53">
            <v>799</v>
          </cell>
          <cell r="GL53">
            <v>948</v>
          </cell>
          <cell r="GM53">
            <v>817</v>
          </cell>
          <cell r="GN53">
            <v>967</v>
          </cell>
        </row>
        <row r="54">
          <cell r="B54" t="str">
            <v>KALETRA</v>
          </cell>
          <cell r="C54" t="str">
            <v>ABT</v>
          </cell>
          <cell r="D54">
            <v>12827</v>
          </cell>
          <cell r="E54">
            <v>11863</v>
          </cell>
          <cell r="F54">
            <v>12749</v>
          </cell>
          <cell r="G54">
            <v>12248</v>
          </cell>
          <cell r="H54">
            <v>12102</v>
          </cell>
          <cell r="I54">
            <v>12724</v>
          </cell>
          <cell r="J54">
            <v>12853</v>
          </cell>
          <cell r="K54">
            <v>12657</v>
          </cell>
          <cell r="L54">
            <v>12480</v>
          </cell>
          <cell r="M54">
            <v>13245</v>
          </cell>
          <cell r="N54">
            <v>12007</v>
          </cell>
          <cell r="O54">
            <v>12582</v>
          </cell>
          <cell r="P54">
            <v>12409</v>
          </cell>
          <cell r="Q54">
            <v>12720</v>
          </cell>
          <cell r="R54">
            <v>13318</v>
          </cell>
          <cell r="S54">
            <v>12636</v>
          </cell>
          <cell r="T54">
            <v>12446</v>
          </cell>
          <cell r="U54">
            <v>13520</v>
          </cell>
          <cell r="V54">
            <v>14172</v>
          </cell>
          <cell r="W54">
            <v>12433</v>
          </cell>
          <cell r="X54">
            <v>11837</v>
          </cell>
          <cell r="Y54">
            <v>10540</v>
          </cell>
          <cell r="Z54">
            <v>13244</v>
          </cell>
          <cell r="AA54">
            <v>12742</v>
          </cell>
          <cell r="AB54">
            <v>12610</v>
          </cell>
          <cell r="AC54">
            <v>12805</v>
          </cell>
          <cell r="AD54">
            <v>11672</v>
          </cell>
          <cell r="AE54">
            <v>12066</v>
          </cell>
          <cell r="AF54">
            <v>13191</v>
          </cell>
          <cell r="AG54">
            <v>12207</v>
          </cell>
          <cell r="AH54">
            <v>12384</v>
          </cell>
          <cell r="AI54">
            <v>13064</v>
          </cell>
          <cell r="AJ54">
            <v>12716</v>
          </cell>
          <cell r="AK54">
            <v>12488</v>
          </cell>
          <cell r="AL54">
            <v>11971</v>
          </cell>
          <cell r="AM54">
            <v>13616</v>
          </cell>
          <cell r="AN54">
            <v>13467</v>
          </cell>
          <cell r="AO54">
            <v>12508</v>
          </cell>
          <cell r="AP54">
            <v>12121</v>
          </cell>
          <cell r="AQ54">
            <v>12270</v>
          </cell>
          <cell r="AR54">
            <v>13031</v>
          </cell>
          <cell r="AS54">
            <v>12655</v>
          </cell>
          <cell r="AT54">
            <v>12076</v>
          </cell>
          <cell r="AU54">
            <v>12281</v>
          </cell>
          <cell r="AV54">
            <v>13395</v>
          </cell>
          <cell r="AW54">
            <v>12818</v>
          </cell>
          <cell r="AX54">
            <v>12381</v>
          </cell>
          <cell r="AY54">
            <v>12644</v>
          </cell>
          <cell r="AZ54">
            <v>12337</v>
          </cell>
          <cell r="BA54">
            <v>13305</v>
          </cell>
          <cell r="BB54">
            <v>12503</v>
          </cell>
          <cell r="BC54">
            <v>12089</v>
          </cell>
          <cell r="BD54">
            <v>12595</v>
          </cell>
          <cell r="BE54">
            <v>12028</v>
          </cell>
          <cell r="BF54">
            <v>12722</v>
          </cell>
          <cell r="BG54">
            <v>12447</v>
          </cell>
          <cell r="BH54">
            <v>12139</v>
          </cell>
          <cell r="BI54">
            <v>13010</v>
          </cell>
          <cell r="BJ54">
            <v>12397</v>
          </cell>
          <cell r="BK54">
            <v>12042</v>
          </cell>
          <cell r="BL54">
            <v>11905</v>
          </cell>
          <cell r="BM54">
            <v>12473</v>
          </cell>
          <cell r="BN54">
            <v>11887</v>
          </cell>
          <cell r="BO54">
            <v>12931</v>
          </cell>
          <cell r="BP54">
            <v>12482</v>
          </cell>
          <cell r="BQ54">
            <v>12687</v>
          </cell>
          <cell r="BR54">
            <v>13086</v>
          </cell>
          <cell r="BS54">
            <v>12330</v>
          </cell>
          <cell r="BT54">
            <v>12762</v>
          </cell>
          <cell r="BU54">
            <v>12307</v>
          </cell>
          <cell r="BV54">
            <v>12651</v>
          </cell>
          <cell r="BW54">
            <v>12694</v>
          </cell>
          <cell r="BX54">
            <v>12530</v>
          </cell>
          <cell r="BY54">
            <v>10894</v>
          </cell>
          <cell r="BZ54">
            <v>13459</v>
          </cell>
          <cell r="CA54">
            <v>13025</v>
          </cell>
          <cell r="CB54">
            <v>12694</v>
          </cell>
          <cell r="CC54">
            <v>13002</v>
          </cell>
          <cell r="CD54">
            <v>11131</v>
          </cell>
          <cell r="CE54">
            <v>11771</v>
          </cell>
          <cell r="CF54">
            <v>12909</v>
          </cell>
          <cell r="CG54">
            <v>12666</v>
          </cell>
          <cell r="CH54">
            <v>11936</v>
          </cell>
          <cell r="CI54">
            <v>12838</v>
          </cell>
          <cell r="CJ54">
            <v>12652</v>
          </cell>
          <cell r="CK54">
            <v>12577</v>
          </cell>
          <cell r="CL54">
            <v>11966</v>
          </cell>
          <cell r="CM54">
            <v>12787</v>
          </cell>
          <cell r="CN54">
            <v>13464</v>
          </cell>
          <cell r="CO54">
            <v>12626</v>
          </cell>
          <cell r="CP54">
            <v>12435</v>
          </cell>
          <cell r="CQ54">
            <v>11858</v>
          </cell>
          <cell r="CR54">
            <v>12826</v>
          </cell>
          <cell r="CS54">
            <v>12391</v>
          </cell>
          <cell r="CT54">
            <v>12163</v>
          </cell>
          <cell r="CU54">
            <v>11681</v>
          </cell>
          <cell r="CV54">
            <v>12720</v>
          </cell>
          <cell r="CW54">
            <v>12328</v>
          </cell>
          <cell r="CX54">
            <v>12190</v>
          </cell>
          <cell r="CY54">
            <v>11846</v>
          </cell>
          <cell r="CZ54">
            <v>11240</v>
          </cell>
          <cell r="DA54">
            <v>13090</v>
          </cell>
          <cell r="DB54">
            <v>11951</v>
          </cell>
          <cell r="DC54">
            <v>11730</v>
          </cell>
          <cell r="DD54">
            <v>11946</v>
          </cell>
          <cell r="DE54">
            <v>11310</v>
          </cell>
          <cell r="DF54">
            <v>12823</v>
          </cell>
          <cell r="DG54">
            <v>12006</v>
          </cell>
          <cell r="DH54">
            <v>12094</v>
          </cell>
          <cell r="DI54">
            <v>12366</v>
          </cell>
          <cell r="DJ54">
            <v>12314</v>
          </cell>
          <cell r="DK54">
            <v>12234</v>
          </cell>
          <cell r="DL54">
            <v>12502</v>
          </cell>
          <cell r="DM54">
            <v>12420</v>
          </cell>
          <cell r="DN54">
            <v>11922</v>
          </cell>
          <cell r="DO54">
            <v>12964</v>
          </cell>
          <cell r="DP54">
            <v>12462</v>
          </cell>
          <cell r="DQ54">
            <v>12374</v>
          </cell>
          <cell r="DR54">
            <v>13012</v>
          </cell>
          <cell r="DS54">
            <v>12329</v>
          </cell>
          <cell r="DT54">
            <v>11924</v>
          </cell>
          <cell r="DU54">
            <v>12285</v>
          </cell>
          <cell r="DV54">
            <v>11941</v>
          </cell>
          <cell r="DW54">
            <v>12743</v>
          </cell>
          <cell r="DX54">
            <v>11980</v>
          </cell>
          <cell r="DY54">
            <v>12338</v>
          </cell>
          <cell r="DZ54">
            <v>10556</v>
          </cell>
          <cell r="EA54">
            <v>13483</v>
          </cell>
          <cell r="EB54">
            <v>12231</v>
          </cell>
          <cell r="EC54">
            <v>12824</v>
          </cell>
          <cell r="ED54">
            <v>10061</v>
          </cell>
          <cell r="EE54">
            <v>11481</v>
          </cell>
          <cell r="EF54">
            <v>12701</v>
          </cell>
          <cell r="EG54">
            <v>12485</v>
          </cell>
          <cell r="EH54">
            <v>11289</v>
          </cell>
          <cell r="EI54">
            <v>11346</v>
          </cell>
          <cell r="EJ54">
            <v>12408</v>
          </cell>
          <cell r="EK54">
            <v>11590</v>
          </cell>
          <cell r="EL54">
            <v>11558</v>
          </cell>
          <cell r="EM54">
            <v>11838</v>
          </cell>
          <cell r="EN54">
            <v>12565</v>
          </cell>
          <cell r="EO54">
            <v>11677</v>
          </cell>
          <cell r="EP54">
            <v>11626</v>
          </cell>
          <cell r="EQ54">
            <v>11419</v>
          </cell>
          <cell r="ER54">
            <v>11797</v>
          </cell>
          <cell r="ES54">
            <v>11408</v>
          </cell>
          <cell r="ET54">
            <v>11115</v>
          </cell>
          <cell r="EU54">
            <v>11182</v>
          </cell>
          <cell r="EV54">
            <v>11990</v>
          </cell>
          <cell r="EW54">
            <v>11884</v>
          </cell>
          <cell r="EX54">
            <v>11233</v>
          </cell>
          <cell r="EY54">
            <v>11280</v>
          </cell>
          <cell r="EZ54">
            <v>10634</v>
          </cell>
          <cell r="FA54">
            <v>12393</v>
          </cell>
          <cell r="FB54">
            <v>11382</v>
          </cell>
          <cell r="FC54">
            <v>11182</v>
          </cell>
          <cell r="FD54">
            <v>11267</v>
          </cell>
          <cell r="FE54">
            <v>11844</v>
          </cell>
          <cell r="FF54">
            <v>11208</v>
          </cell>
          <cell r="FG54">
            <v>11287</v>
          </cell>
          <cell r="FH54">
            <v>11054</v>
          </cell>
          <cell r="FI54">
            <v>11407</v>
          </cell>
          <cell r="FJ54">
            <v>11775</v>
          </cell>
          <cell r="FK54">
            <v>11305</v>
          </cell>
          <cell r="FL54">
            <v>11057</v>
          </cell>
          <cell r="FM54">
            <v>11252</v>
          </cell>
          <cell r="FN54">
            <v>11896</v>
          </cell>
          <cell r="FO54">
            <v>10306</v>
          </cell>
          <cell r="FP54">
            <v>11395</v>
          </cell>
          <cell r="FQ54">
            <v>11089</v>
          </cell>
          <cell r="FR54">
            <v>11660</v>
          </cell>
          <cell r="FS54">
            <v>11251</v>
          </cell>
          <cell r="FT54">
            <v>11094</v>
          </cell>
          <cell r="FU54">
            <v>11018</v>
          </cell>
          <cell r="FV54">
            <v>10921</v>
          </cell>
          <cell r="FW54">
            <v>11535</v>
          </cell>
          <cell r="FX54">
            <v>11000</v>
          </cell>
          <cell r="FY54">
            <v>10802</v>
          </cell>
          <cell r="FZ54">
            <v>9875</v>
          </cell>
          <cell r="GA54">
            <v>12098</v>
          </cell>
          <cell r="GB54">
            <v>11646</v>
          </cell>
          <cell r="GC54">
            <v>11122</v>
          </cell>
          <cell r="GD54">
            <v>9271</v>
          </cell>
          <cell r="GE54">
            <v>10679</v>
          </cell>
          <cell r="GF54">
            <v>11680</v>
          </cell>
          <cell r="GG54">
            <v>11309</v>
          </cell>
          <cell r="GH54">
            <v>10249</v>
          </cell>
          <cell r="GI54">
            <v>10712</v>
          </cell>
          <cell r="GJ54">
            <v>11343</v>
          </cell>
          <cell r="GK54">
            <v>10270</v>
          </cell>
          <cell r="GL54">
            <v>10689</v>
          </cell>
          <cell r="GM54">
            <v>10636</v>
          </cell>
          <cell r="GN54">
            <v>11360</v>
          </cell>
        </row>
        <row r="55">
          <cell r="B55" t="str">
            <v>KEPIVANCE</v>
          </cell>
          <cell r="C55" t="str">
            <v>AAI</v>
          </cell>
          <cell r="D55">
            <v>0</v>
          </cell>
          <cell r="E55">
            <v>0</v>
          </cell>
          <cell r="F55">
            <v>0</v>
          </cell>
          <cell r="G55">
            <v>0</v>
          </cell>
          <cell r="H55">
            <v>0</v>
          </cell>
          <cell r="I55">
            <v>2</v>
          </cell>
          <cell r="J55">
            <v>3</v>
          </cell>
          <cell r="K55">
            <v>2</v>
          </cell>
          <cell r="L55">
            <v>0</v>
          </cell>
          <cell r="M55">
            <v>0</v>
          </cell>
          <cell r="N55">
            <v>0</v>
          </cell>
          <cell r="O55">
            <v>2</v>
          </cell>
          <cell r="P55">
            <v>1</v>
          </cell>
          <cell r="Q55">
            <v>0</v>
          </cell>
          <cell r="R55">
            <v>1</v>
          </cell>
          <cell r="S55">
            <v>1</v>
          </cell>
          <cell r="T55">
            <v>0</v>
          </cell>
          <cell r="U55">
            <v>0</v>
          </cell>
          <cell r="V55">
            <v>0</v>
          </cell>
          <cell r="W55">
            <v>0</v>
          </cell>
          <cell r="X55">
            <v>0</v>
          </cell>
          <cell r="Y55">
            <v>1</v>
          </cell>
          <cell r="Z55">
            <v>2</v>
          </cell>
          <cell r="AA55">
            <v>0</v>
          </cell>
          <cell r="AB55">
            <v>0</v>
          </cell>
          <cell r="AC55">
            <v>0</v>
          </cell>
          <cell r="AD55">
            <v>0</v>
          </cell>
          <cell r="AE55">
            <v>0</v>
          </cell>
          <cell r="AF55">
            <v>0</v>
          </cell>
          <cell r="AG55">
            <v>0</v>
          </cell>
          <cell r="AH55">
            <v>0</v>
          </cell>
          <cell r="AI55">
            <v>0</v>
          </cell>
          <cell r="AJ55">
            <v>0</v>
          </cell>
          <cell r="AK55">
            <v>0</v>
          </cell>
          <cell r="AL55">
            <v>1</v>
          </cell>
          <cell r="AM55">
            <v>0</v>
          </cell>
          <cell r="AN55">
            <v>0</v>
          </cell>
          <cell r="AO55">
            <v>0</v>
          </cell>
          <cell r="AP55">
            <v>0</v>
          </cell>
          <cell r="AQ55">
            <v>0</v>
          </cell>
          <cell r="AR55">
            <v>0</v>
          </cell>
          <cell r="AS55">
            <v>0</v>
          </cell>
          <cell r="AT55">
            <v>0</v>
          </cell>
          <cell r="AU55">
            <v>1</v>
          </cell>
          <cell r="AV55">
            <v>0</v>
          </cell>
          <cell r="AW55">
            <v>0</v>
          </cell>
          <cell r="AX55">
            <v>0</v>
          </cell>
          <cell r="AY55">
            <v>0</v>
          </cell>
          <cell r="AZ55">
            <v>0</v>
          </cell>
          <cell r="BA55">
            <v>0</v>
          </cell>
          <cell r="BB55">
            <v>1</v>
          </cell>
          <cell r="BC55">
            <v>1</v>
          </cell>
          <cell r="BD55">
            <v>0</v>
          </cell>
          <cell r="BE55">
            <v>1</v>
          </cell>
          <cell r="BF55">
            <v>0</v>
          </cell>
          <cell r="BG55">
            <v>0</v>
          </cell>
          <cell r="BH55">
            <v>0</v>
          </cell>
          <cell r="BI55">
            <v>0</v>
          </cell>
          <cell r="BJ55">
            <v>1</v>
          </cell>
          <cell r="BK55">
            <v>1</v>
          </cell>
          <cell r="BL55">
            <v>0</v>
          </cell>
          <cell r="BM55">
            <v>0</v>
          </cell>
          <cell r="BN55">
            <v>0</v>
          </cell>
          <cell r="BO55">
            <v>0</v>
          </cell>
          <cell r="BP55">
            <v>2</v>
          </cell>
          <cell r="BQ55">
            <v>0</v>
          </cell>
          <cell r="BR55">
            <v>0</v>
          </cell>
          <cell r="BS55">
            <v>0</v>
          </cell>
          <cell r="BT55">
            <v>2</v>
          </cell>
          <cell r="BU55">
            <v>0</v>
          </cell>
          <cell r="BV55">
            <v>0</v>
          </cell>
          <cell r="BW55">
            <v>0</v>
          </cell>
          <cell r="BX55">
            <v>0</v>
          </cell>
          <cell r="BY55">
            <v>0</v>
          </cell>
          <cell r="BZ55">
            <v>0</v>
          </cell>
          <cell r="CA55">
            <v>0</v>
          </cell>
          <cell r="CB55">
            <v>0</v>
          </cell>
          <cell r="CC55">
            <v>0</v>
          </cell>
          <cell r="CD55">
            <v>0</v>
          </cell>
          <cell r="CE55">
            <v>1</v>
          </cell>
          <cell r="CF55">
            <v>0</v>
          </cell>
          <cell r="CG55">
            <v>0</v>
          </cell>
          <cell r="CH55">
            <v>0</v>
          </cell>
          <cell r="CI55">
            <v>1</v>
          </cell>
          <cell r="CJ55">
            <v>0</v>
          </cell>
          <cell r="CK55">
            <v>0</v>
          </cell>
          <cell r="CL55">
            <v>0</v>
          </cell>
          <cell r="CM55">
            <v>0</v>
          </cell>
          <cell r="CN55">
            <v>0</v>
          </cell>
          <cell r="CO55">
            <v>0</v>
          </cell>
          <cell r="CP55">
            <v>0</v>
          </cell>
          <cell r="CQ55">
            <v>0</v>
          </cell>
          <cell r="CR55">
            <v>0</v>
          </cell>
          <cell r="CS55">
            <v>0</v>
          </cell>
          <cell r="CT55">
            <v>0</v>
          </cell>
          <cell r="CU55">
            <v>1</v>
          </cell>
          <cell r="CV55">
            <v>0</v>
          </cell>
          <cell r="CW55">
            <v>0</v>
          </cell>
          <cell r="CX55">
            <v>0</v>
          </cell>
          <cell r="CY55">
            <v>0</v>
          </cell>
          <cell r="CZ55">
            <v>0</v>
          </cell>
          <cell r="DA55">
            <v>0</v>
          </cell>
          <cell r="DB55">
            <v>0</v>
          </cell>
          <cell r="DC55">
            <v>0</v>
          </cell>
          <cell r="DD55">
            <v>0</v>
          </cell>
          <cell r="DE55">
            <v>0</v>
          </cell>
          <cell r="DF55">
            <v>1</v>
          </cell>
          <cell r="DG55">
            <v>0</v>
          </cell>
          <cell r="DH55">
            <v>0</v>
          </cell>
          <cell r="DI55">
            <v>0</v>
          </cell>
          <cell r="DJ55">
            <v>0</v>
          </cell>
          <cell r="DK55">
            <v>0</v>
          </cell>
          <cell r="DL55">
            <v>0</v>
          </cell>
          <cell r="DM55">
            <v>0</v>
          </cell>
          <cell r="DN55">
            <v>0</v>
          </cell>
          <cell r="DO55">
            <v>0</v>
          </cell>
          <cell r="DP55">
            <v>0</v>
          </cell>
          <cell r="DQ55">
            <v>0</v>
          </cell>
          <cell r="DR55">
            <v>0</v>
          </cell>
          <cell r="DS55">
            <v>0</v>
          </cell>
          <cell r="DT55">
            <v>0</v>
          </cell>
          <cell r="DU55">
            <v>0</v>
          </cell>
          <cell r="DV55">
            <v>0</v>
          </cell>
          <cell r="DW55">
            <v>0</v>
          </cell>
          <cell r="DX55">
            <v>0</v>
          </cell>
          <cell r="DY55">
            <v>0</v>
          </cell>
          <cell r="DZ55">
            <v>0</v>
          </cell>
          <cell r="FE55">
            <v>4044</v>
          </cell>
          <cell r="FF55">
            <v>3912</v>
          </cell>
          <cell r="FG55">
            <v>3913</v>
          </cell>
          <cell r="FH55">
            <v>3847</v>
          </cell>
          <cell r="FI55">
            <v>3942</v>
          </cell>
          <cell r="FJ55">
            <v>1</v>
          </cell>
          <cell r="FN55">
            <v>1</v>
          </cell>
          <cell r="FQ55">
            <v>1</v>
          </cell>
        </row>
        <row r="56">
          <cell r="B56" t="str">
            <v>LEXIVA</v>
          </cell>
          <cell r="C56" t="str">
            <v>GSK</v>
          </cell>
          <cell r="D56">
            <v>3772</v>
          </cell>
          <cell r="E56">
            <v>3551</v>
          </cell>
          <cell r="F56">
            <v>3570</v>
          </cell>
          <cell r="G56">
            <v>3542</v>
          </cell>
          <cell r="H56">
            <v>3616</v>
          </cell>
          <cell r="I56">
            <v>3749</v>
          </cell>
          <cell r="J56">
            <v>3686</v>
          </cell>
          <cell r="K56">
            <v>3678</v>
          </cell>
          <cell r="L56">
            <v>3665</v>
          </cell>
          <cell r="M56">
            <v>3761</v>
          </cell>
          <cell r="N56">
            <v>3495</v>
          </cell>
          <cell r="O56">
            <v>3811</v>
          </cell>
          <cell r="P56">
            <v>3682</v>
          </cell>
          <cell r="Q56">
            <v>3578</v>
          </cell>
          <cell r="R56">
            <v>3670</v>
          </cell>
          <cell r="S56">
            <v>3856</v>
          </cell>
          <cell r="T56">
            <v>3709</v>
          </cell>
          <cell r="U56">
            <v>3651</v>
          </cell>
          <cell r="V56">
            <v>3718</v>
          </cell>
          <cell r="W56">
            <v>3717</v>
          </cell>
          <cell r="X56">
            <v>3713</v>
          </cell>
          <cell r="Y56">
            <v>3387</v>
          </cell>
          <cell r="Z56">
            <v>3897</v>
          </cell>
          <cell r="AA56">
            <v>3902</v>
          </cell>
          <cell r="AB56">
            <v>3928</v>
          </cell>
          <cell r="AC56">
            <v>4003</v>
          </cell>
          <cell r="AD56">
            <v>3461</v>
          </cell>
          <cell r="AE56">
            <v>3511</v>
          </cell>
          <cell r="AF56">
            <v>4001</v>
          </cell>
          <cell r="AG56">
            <v>3692</v>
          </cell>
          <cell r="AH56">
            <v>3621</v>
          </cell>
          <cell r="AI56">
            <v>3780</v>
          </cell>
          <cell r="AJ56">
            <v>3760</v>
          </cell>
          <cell r="AK56">
            <v>3584</v>
          </cell>
          <cell r="AL56">
            <v>3793</v>
          </cell>
          <cell r="AM56">
            <v>3952</v>
          </cell>
          <cell r="AN56">
            <v>3939</v>
          </cell>
          <cell r="AO56">
            <v>3885</v>
          </cell>
          <cell r="AP56">
            <v>3629</v>
          </cell>
          <cell r="AQ56">
            <v>3575</v>
          </cell>
          <cell r="AR56">
            <v>3963</v>
          </cell>
          <cell r="AS56">
            <v>3806</v>
          </cell>
          <cell r="AT56">
            <v>3697</v>
          </cell>
          <cell r="AU56">
            <v>3626</v>
          </cell>
          <cell r="AV56">
            <v>3931</v>
          </cell>
          <cell r="AW56">
            <v>3875</v>
          </cell>
          <cell r="AX56">
            <v>3753</v>
          </cell>
          <cell r="AY56">
            <v>3814</v>
          </cell>
          <cell r="AZ56">
            <v>3632</v>
          </cell>
          <cell r="BA56">
            <v>3993</v>
          </cell>
          <cell r="BB56">
            <v>3889</v>
          </cell>
          <cell r="BC56">
            <v>3755</v>
          </cell>
          <cell r="BD56">
            <v>3988</v>
          </cell>
          <cell r="BE56">
            <v>3653</v>
          </cell>
          <cell r="BF56">
            <v>3976</v>
          </cell>
          <cell r="BG56">
            <v>3795</v>
          </cell>
          <cell r="BH56">
            <v>3765</v>
          </cell>
          <cell r="BI56">
            <v>3934</v>
          </cell>
          <cell r="BJ56">
            <v>3720</v>
          </cell>
          <cell r="BK56">
            <v>3668</v>
          </cell>
          <cell r="BL56">
            <v>3711</v>
          </cell>
          <cell r="BM56">
            <v>3800</v>
          </cell>
          <cell r="BN56">
            <v>3615</v>
          </cell>
          <cell r="BO56">
            <v>3844</v>
          </cell>
          <cell r="BP56">
            <v>3863</v>
          </cell>
          <cell r="BQ56">
            <v>3839</v>
          </cell>
          <cell r="BR56">
            <v>4060</v>
          </cell>
          <cell r="BS56">
            <v>3791</v>
          </cell>
          <cell r="BT56">
            <v>3846</v>
          </cell>
          <cell r="BU56">
            <v>3765</v>
          </cell>
          <cell r="BV56">
            <v>3977</v>
          </cell>
          <cell r="BW56">
            <v>3899</v>
          </cell>
          <cell r="BX56">
            <v>3873</v>
          </cell>
          <cell r="BY56">
            <v>3409</v>
          </cell>
          <cell r="BZ56">
            <v>3959</v>
          </cell>
          <cell r="CA56">
            <v>4042</v>
          </cell>
          <cell r="CB56">
            <v>4040</v>
          </cell>
          <cell r="CC56">
            <v>3997</v>
          </cell>
          <cell r="CD56">
            <v>3354</v>
          </cell>
          <cell r="CE56">
            <v>3566</v>
          </cell>
          <cell r="CF56">
            <v>4139</v>
          </cell>
          <cell r="CG56">
            <v>3970</v>
          </cell>
          <cell r="CH56">
            <v>3962</v>
          </cell>
          <cell r="CI56">
            <v>3736</v>
          </cell>
          <cell r="CJ56">
            <v>4100</v>
          </cell>
          <cell r="CK56">
            <v>4027</v>
          </cell>
          <cell r="CL56">
            <v>3850</v>
          </cell>
          <cell r="CM56">
            <v>4083</v>
          </cell>
          <cell r="CN56">
            <v>4356</v>
          </cell>
          <cell r="CO56">
            <v>4084</v>
          </cell>
          <cell r="CP56">
            <v>3966</v>
          </cell>
          <cell r="CQ56">
            <v>3835</v>
          </cell>
          <cell r="CR56">
            <v>4106</v>
          </cell>
          <cell r="CS56">
            <v>3959</v>
          </cell>
          <cell r="CT56">
            <v>3941</v>
          </cell>
          <cell r="CU56">
            <v>3843</v>
          </cell>
          <cell r="CV56">
            <v>3994</v>
          </cell>
          <cell r="CW56">
            <v>4177</v>
          </cell>
          <cell r="CX56">
            <v>3987</v>
          </cell>
          <cell r="CY56">
            <v>3889</v>
          </cell>
          <cell r="CZ56">
            <v>3793</v>
          </cell>
          <cell r="DA56">
            <v>4318</v>
          </cell>
          <cell r="DB56">
            <v>3986</v>
          </cell>
          <cell r="DC56">
            <v>3930</v>
          </cell>
          <cell r="DD56">
            <v>3762</v>
          </cell>
          <cell r="DE56">
            <v>3865</v>
          </cell>
          <cell r="DF56">
            <v>4181</v>
          </cell>
          <cell r="DG56">
            <v>3891</v>
          </cell>
          <cell r="DH56">
            <v>3890</v>
          </cell>
          <cell r="DI56">
            <v>3927</v>
          </cell>
          <cell r="DJ56">
            <v>4087</v>
          </cell>
          <cell r="DK56">
            <v>4044</v>
          </cell>
          <cell r="DL56">
            <v>3867</v>
          </cell>
          <cell r="DM56">
            <v>4091</v>
          </cell>
          <cell r="DN56">
            <v>3947</v>
          </cell>
          <cell r="DO56">
            <v>4351</v>
          </cell>
          <cell r="DP56">
            <v>4108</v>
          </cell>
          <cell r="DQ56">
            <v>4217</v>
          </cell>
          <cell r="DR56">
            <v>4388</v>
          </cell>
          <cell r="DS56">
            <v>4321</v>
          </cell>
          <cell r="DT56">
            <v>3993</v>
          </cell>
          <cell r="DU56">
            <v>4045</v>
          </cell>
          <cell r="DV56">
            <v>3921</v>
          </cell>
          <cell r="DW56">
            <v>4148</v>
          </cell>
          <cell r="DX56">
            <v>4113</v>
          </cell>
          <cell r="DY56">
            <v>4181</v>
          </cell>
          <cell r="DZ56">
            <v>3371</v>
          </cell>
          <cell r="EA56">
            <v>4417</v>
          </cell>
          <cell r="EB56">
            <v>4330</v>
          </cell>
          <cell r="EC56">
            <v>4301</v>
          </cell>
          <cell r="ED56">
            <v>3417</v>
          </cell>
          <cell r="EE56">
            <v>3650</v>
          </cell>
          <cell r="EF56">
            <v>4263</v>
          </cell>
          <cell r="EG56">
            <v>4268</v>
          </cell>
          <cell r="EH56">
            <v>3746</v>
          </cell>
          <cell r="EI56">
            <v>3784</v>
          </cell>
          <cell r="EJ56">
            <v>4103</v>
          </cell>
          <cell r="EK56">
            <v>3974</v>
          </cell>
          <cell r="EL56">
            <v>3865</v>
          </cell>
          <cell r="EM56">
            <v>3956</v>
          </cell>
          <cell r="EN56">
            <v>4201</v>
          </cell>
          <cell r="EO56">
            <v>4065</v>
          </cell>
          <cell r="EP56">
            <v>3891</v>
          </cell>
          <cell r="EQ56">
            <v>3784</v>
          </cell>
          <cell r="ER56">
            <v>3916</v>
          </cell>
          <cell r="ES56">
            <v>4094</v>
          </cell>
          <cell r="ET56">
            <v>3912</v>
          </cell>
          <cell r="EU56">
            <v>3804</v>
          </cell>
          <cell r="EV56">
            <v>3952</v>
          </cell>
          <cell r="EW56">
            <v>4287</v>
          </cell>
          <cell r="EX56">
            <v>3996</v>
          </cell>
          <cell r="EY56">
            <v>3946</v>
          </cell>
          <cell r="EZ56">
            <v>3514</v>
          </cell>
          <cell r="FA56">
            <v>4095</v>
          </cell>
          <cell r="FB56">
            <v>4167</v>
          </cell>
          <cell r="FC56">
            <v>3837</v>
          </cell>
          <cell r="FD56">
            <v>3813</v>
          </cell>
          <cell r="FE56">
            <v>59</v>
          </cell>
          <cell r="FF56">
            <v>88</v>
          </cell>
          <cell r="FG56">
            <v>79</v>
          </cell>
          <cell r="FH56">
            <v>68</v>
          </cell>
          <cell r="FI56">
            <v>71</v>
          </cell>
          <cell r="FJ56">
            <v>4049</v>
          </cell>
          <cell r="FK56">
            <v>3827</v>
          </cell>
          <cell r="FL56">
            <v>3905</v>
          </cell>
          <cell r="FM56">
            <v>3796</v>
          </cell>
          <cell r="FN56">
            <v>4086</v>
          </cell>
          <cell r="FO56">
            <v>3609</v>
          </cell>
          <cell r="FP56">
            <v>3891</v>
          </cell>
          <cell r="FQ56">
            <v>3899</v>
          </cell>
          <cell r="FR56">
            <v>4122</v>
          </cell>
          <cell r="FS56">
            <v>3882</v>
          </cell>
          <cell r="FT56">
            <v>3797</v>
          </cell>
          <cell r="FU56">
            <v>3768</v>
          </cell>
          <cell r="FV56">
            <v>3768</v>
          </cell>
          <cell r="FW56">
            <v>3848</v>
          </cell>
          <cell r="FX56">
            <v>3904</v>
          </cell>
          <cell r="FY56">
            <v>3850</v>
          </cell>
          <cell r="FZ56">
            <v>3461</v>
          </cell>
          <cell r="GA56">
            <v>4152</v>
          </cell>
          <cell r="GB56">
            <v>4010</v>
          </cell>
          <cell r="GC56">
            <v>4041</v>
          </cell>
          <cell r="GD56">
            <v>3149</v>
          </cell>
          <cell r="GE56">
            <v>3662</v>
          </cell>
          <cell r="GF56">
            <v>3998</v>
          </cell>
          <cell r="GG56">
            <v>3863</v>
          </cell>
          <cell r="GH56">
            <v>3569</v>
          </cell>
          <cell r="GI56">
            <v>3536</v>
          </cell>
          <cell r="GJ56">
            <v>3952</v>
          </cell>
          <cell r="GK56">
            <v>3653</v>
          </cell>
          <cell r="GL56">
            <v>3577</v>
          </cell>
          <cell r="GM56">
            <v>3716</v>
          </cell>
          <cell r="GN56">
            <v>3995</v>
          </cell>
        </row>
        <row r="57">
          <cell r="B57" t="str">
            <v>LUCENTIS</v>
          </cell>
          <cell r="C57" t="str">
            <v>GTC</v>
          </cell>
          <cell r="D57">
            <v>0</v>
          </cell>
          <cell r="E57">
            <v>0</v>
          </cell>
          <cell r="F57">
            <v>0</v>
          </cell>
          <cell r="G57">
            <v>0</v>
          </cell>
          <cell r="H57">
            <v>0</v>
          </cell>
          <cell r="I57">
            <v>0</v>
          </cell>
          <cell r="J57">
            <v>1</v>
          </cell>
          <cell r="K57">
            <v>3</v>
          </cell>
          <cell r="L57">
            <v>2</v>
          </cell>
          <cell r="M57">
            <v>0</v>
          </cell>
          <cell r="N57">
            <v>2</v>
          </cell>
          <cell r="O57">
            <v>2</v>
          </cell>
          <cell r="P57">
            <v>0</v>
          </cell>
          <cell r="Q57">
            <v>2</v>
          </cell>
          <cell r="R57">
            <v>0</v>
          </cell>
          <cell r="S57">
            <v>0</v>
          </cell>
          <cell r="T57">
            <v>0</v>
          </cell>
          <cell r="U57">
            <v>0</v>
          </cell>
          <cell r="V57">
            <v>0</v>
          </cell>
          <cell r="W57">
            <v>3</v>
          </cell>
          <cell r="X57">
            <v>0</v>
          </cell>
          <cell r="Y57">
            <v>0</v>
          </cell>
          <cell r="Z57">
            <v>2</v>
          </cell>
          <cell r="AA57">
            <v>2</v>
          </cell>
          <cell r="AB57">
            <v>0</v>
          </cell>
          <cell r="AC57">
            <v>0</v>
          </cell>
          <cell r="AD57">
            <v>0</v>
          </cell>
          <cell r="AE57">
            <v>0</v>
          </cell>
          <cell r="AF57">
            <v>2</v>
          </cell>
          <cell r="AG57">
            <v>2</v>
          </cell>
          <cell r="AH57">
            <v>11</v>
          </cell>
          <cell r="AI57">
            <v>128</v>
          </cell>
          <cell r="AJ57">
            <v>108</v>
          </cell>
          <cell r="AK57">
            <v>106</v>
          </cell>
          <cell r="AL57">
            <v>134</v>
          </cell>
          <cell r="AM57">
            <v>124</v>
          </cell>
          <cell r="AN57">
            <v>103</v>
          </cell>
          <cell r="AO57">
            <v>99</v>
          </cell>
          <cell r="AP57">
            <v>100</v>
          </cell>
          <cell r="AQ57">
            <v>86</v>
          </cell>
          <cell r="AR57">
            <v>89</v>
          </cell>
          <cell r="AS57">
            <v>107</v>
          </cell>
          <cell r="AT57">
            <v>132</v>
          </cell>
          <cell r="AU57">
            <v>105</v>
          </cell>
          <cell r="AV57">
            <v>124</v>
          </cell>
          <cell r="AW57">
            <v>119</v>
          </cell>
          <cell r="AX57">
            <v>110</v>
          </cell>
          <cell r="AY57">
            <v>108</v>
          </cell>
          <cell r="AZ57">
            <v>107</v>
          </cell>
          <cell r="BA57">
            <v>112</v>
          </cell>
          <cell r="BB57">
            <v>128</v>
          </cell>
          <cell r="BC57">
            <v>97</v>
          </cell>
          <cell r="BD57">
            <v>103</v>
          </cell>
          <cell r="BE57">
            <v>67</v>
          </cell>
          <cell r="BF57">
            <v>130</v>
          </cell>
          <cell r="BG57">
            <v>103</v>
          </cell>
          <cell r="BH57">
            <v>104</v>
          </cell>
          <cell r="BI57">
            <v>142</v>
          </cell>
          <cell r="BJ57">
            <v>111</v>
          </cell>
          <cell r="BK57">
            <v>128</v>
          </cell>
          <cell r="BL57">
            <v>169</v>
          </cell>
          <cell r="BM57">
            <v>175</v>
          </cell>
          <cell r="BN57">
            <v>137</v>
          </cell>
          <cell r="BO57">
            <v>165</v>
          </cell>
          <cell r="BP57">
            <v>188</v>
          </cell>
          <cell r="BQ57">
            <v>123</v>
          </cell>
          <cell r="BR57">
            <v>115</v>
          </cell>
          <cell r="BS57">
            <v>101</v>
          </cell>
          <cell r="BT57">
            <v>155</v>
          </cell>
          <cell r="BU57">
            <v>191</v>
          </cell>
          <cell r="BV57">
            <v>110</v>
          </cell>
          <cell r="BW57">
            <v>98</v>
          </cell>
          <cell r="BX57">
            <v>205</v>
          </cell>
          <cell r="BY57">
            <v>116</v>
          </cell>
          <cell r="BZ57">
            <v>149</v>
          </cell>
          <cell r="CA57">
            <v>161</v>
          </cell>
          <cell r="CB57">
            <v>183</v>
          </cell>
          <cell r="CC57">
            <v>60</v>
          </cell>
          <cell r="CD57">
            <v>35</v>
          </cell>
          <cell r="CE57">
            <v>58</v>
          </cell>
          <cell r="CF57">
            <v>174</v>
          </cell>
          <cell r="CG57">
            <v>132</v>
          </cell>
          <cell r="CH57">
            <v>151</v>
          </cell>
          <cell r="CI57">
            <v>179</v>
          </cell>
          <cell r="CJ57">
            <v>180</v>
          </cell>
          <cell r="CK57">
            <v>176</v>
          </cell>
          <cell r="CL57">
            <v>188</v>
          </cell>
          <cell r="CM57">
            <v>181</v>
          </cell>
          <cell r="CN57">
            <v>187</v>
          </cell>
          <cell r="CO57">
            <v>181</v>
          </cell>
          <cell r="CP57">
            <v>157</v>
          </cell>
          <cell r="CQ57">
            <v>210</v>
          </cell>
          <cell r="CR57">
            <v>155</v>
          </cell>
          <cell r="CS57">
            <v>191</v>
          </cell>
          <cell r="CT57">
            <v>106</v>
          </cell>
          <cell r="CU57">
            <v>49</v>
          </cell>
          <cell r="CV57">
            <v>95</v>
          </cell>
          <cell r="CW57">
            <v>129</v>
          </cell>
          <cell r="CX57">
            <v>198</v>
          </cell>
          <cell r="CY57">
            <v>88</v>
          </cell>
          <cell r="CZ57">
            <v>197</v>
          </cell>
          <cell r="DA57">
            <v>205</v>
          </cell>
          <cell r="DB57">
            <v>257</v>
          </cell>
          <cell r="DC57">
            <v>213</v>
          </cell>
          <cell r="DD57">
            <v>181</v>
          </cell>
          <cell r="DE57">
            <v>167</v>
          </cell>
          <cell r="DF57">
            <v>186</v>
          </cell>
          <cell r="DG57">
            <v>230</v>
          </cell>
          <cell r="DH57">
            <v>240</v>
          </cell>
          <cell r="DI57">
            <v>171</v>
          </cell>
          <cell r="DJ57">
            <v>202</v>
          </cell>
          <cell r="DK57">
            <v>175</v>
          </cell>
          <cell r="DL57">
            <v>195</v>
          </cell>
          <cell r="DM57">
            <v>208</v>
          </cell>
          <cell r="DN57">
            <v>117</v>
          </cell>
          <cell r="DO57">
            <v>222</v>
          </cell>
          <cell r="DP57">
            <v>195</v>
          </cell>
          <cell r="DQ57">
            <v>191</v>
          </cell>
          <cell r="DR57">
            <v>171</v>
          </cell>
          <cell r="DS57">
            <v>200</v>
          </cell>
          <cell r="DT57">
            <v>173</v>
          </cell>
          <cell r="DU57">
            <v>151</v>
          </cell>
          <cell r="DV57">
            <v>191</v>
          </cell>
          <cell r="DW57">
            <v>161</v>
          </cell>
          <cell r="DX57">
            <v>163</v>
          </cell>
          <cell r="DY57">
            <v>229</v>
          </cell>
          <cell r="DZ57">
            <v>43</v>
          </cell>
          <cell r="EA57">
            <v>195</v>
          </cell>
          <cell r="EB57">
            <v>203</v>
          </cell>
          <cell r="EC57">
            <v>192</v>
          </cell>
          <cell r="ED57">
            <v>77</v>
          </cell>
          <cell r="EE57">
            <v>81</v>
          </cell>
          <cell r="EF57">
            <v>68</v>
          </cell>
          <cell r="EG57">
            <v>93</v>
          </cell>
          <cell r="EH57">
            <v>63</v>
          </cell>
          <cell r="EI57">
            <v>80</v>
          </cell>
          <cell r="EJ57">
            <v>77</v>
          </cell>
          <cell r="EK57">
            <v>57</v>
          </cell>
          <cell r="EL57">
            <v>62</v>
          </cell>
          <cell r="EM57">
            <v>86</v>
          </cell>
          <cell r="EN57">
            <v>73</v>
          </cell>
          <cell r="EO57">
            <v>73</v>
          </cell>
          <cell r="EP57">
            <v>83</v>
          </cell>
          <cell r="EQ57">
            <v>77</v>
          </cell>
          <cell r="ER57">
            <v>62</v>
          </cell>
          <cell r="ES57">
            <v>58</v>
          </cell>
          <cell r="ET57">
            <v>75</v>
          </cell>
          <cell r="EU57">
            <v>60</v>
          </cell>
          <cell r="EV57">
            <v>81</v>
          </cell>
          <cell r="EW57">
            <v>81</v>
          </cell>
          <cell r="EX57">
            <v>61</v>
          </cell>
          <cell r="EY57">
            <v>80</v>
          </cell>
          <cell r="EZ57">
            <v>73</v>
          </cell>
          <cell r="FA57">
            <v>80</v>
          </cell>
          <cell r="FB57">
            <v>66</v>
          </cell>
          <cell r="FC57">
            <v>62</v>
          </cell>
          <cell r="FD57">
            <v>86</v>
          </cell>
          <cell r="FE57">
            <v>11</v>
          </cell>
          <cell r="FF57">
            <v>20</v>
          </cell>
          <cell r="FG57">
            <v>6</v>
          </cell>
          <cell r="FH57">
            <v>5</v>
          </cell>
          <cell r="FI57">
            <v>10</v>
          </cell>
          <cell r="FJ57">
            <v>65</v>
          </cell>
          <cell r="FK57">
            <v>76</v>
          </cell>
          <cell r="FL57">
            <v>65</v>
          </cell>
          <cell r="FM57">
            <v>76</v>
          </cell>
          <cell r="FN57">
            <v>64</v>
          </cell>
          <cell r="FO57">
            <v>55</v>
          </cell>
          <cell r="FP57">
            <v>68</v>
          </cell>
          <cell r="FQ57">
            <v>69</v>
          </cell>
          <cell r="FR57">
            <v>70</v>
          </cell>
          <cell r="FS57">
            <v>67</v>
          </cell>
          <cell r="FT57">
            <v>73</v>
          </cell>
          <cell r="FU57">
            <v>61</v>
          </cell>
          <cell r="FV57">
            <v>81</v>
          </cell>
          <cell r="FW57">
            <v>67</v>
          </cell>
          <cell r="FX57">
            <v>73</v>
          </cell>
          <cell r="FY57">
            <v>86</v>
          </cell>
          <cell r="FZ57">
            <v>32</v>
          </cell>
          <cell r="GA57">
            <v>76</v>
          </cell>
          <cell r="GB57">
            <v>89</v>
          </cell>
          <cell r="GC57">
            <v>84</v>
          </cell>
          <cell r="GD57">
            <v>33</v>
          </cell>
          <cell r="GE57">
            <v>42</v>
          </cell>
          <cell r="GF57">
            <v>165</v>
          </cell>
          <cell r="GG57">
            <v>135</v>
          </cell>
          <cell r="GH57">
            <v>140</v>
          </cell>
          <cell r="GI57">
            <v>157</v>
          </cell>
          <cell r="GJ57">
            <v>133</v>
          </cell>
          <cell r="GK57">
            <v>96</v>
          </cell>
          <cell r="GL57">
            <v>200</v>
          </cell>
          <cell r="GM57">
            <v>176</v>
          </cell>
          <cell r="GN57">
            <v>172</v>
          </cell>
        </row>
        <row r="58">
          <cell r="B58" t="str">
            <v>MACUGEN</v>
          </cell>
          <cell r="C58" t="str">
            <v>EYT</v>
          </cell>
          <cell r="D58">
            <v>11</v>
          </cell>
          <cell r="E58">
            <v>14</v>
          </cell>
          <cell r="F58">
            <v>8</v>
          </cell>
          <cell r="G58">
            <v>14</v>
          </cell>
          <cell r="H58">
            <v>10</v>
          </cell>
          <cell r="I58">
            <v>8</v>
          </cell>
          <cell r="J58">
            <v>13</v>
          </cell>
          <cell r="K58">
            <v>23</v>
          </cell>
          <cell r="L58">
            <v>28</v>
          </cell>
          <cell r="M58">
            <v>16</v>
          </cell>
          <cell r="N58">
            <v>26</v>
          </cell>
          <cell r="O58">
            <v>4</v>
          </cell>
          <cell r="P58">
            <v>13</v>
          </cell>
          <cell r="Q58">
            <v>32</v>
          </cell>
          <cell r="R58">
            <v>21</v>
          </cell>
          <cell r="S58">
            <v>23</v>
          </cell>
          <cell r="T58">
            <v>19</v>
          </cell>
          <cell r="U58">
            <v>33</v>
          </cell>
          <cell r="V58">
            <v>15</v>
          </cell>
          <cell r="W58">
            <v>23</v>
          </cell>
          <cell r="X58">
            <v>14</v>
          </cell>
          <cell r="Y58">
            <v>9</v>
          </cell>
          <cell r="Z58">
            <v>25</v>
          </cell>
          <cell r="AA58">
            <v>9</v>
          </cell>
          <cell r="AB58">
            <v>12</v>
          </cell>
          <cell r="AC58">
            <v>12</v>
          </cell>
          <cell r="AD58">
            <v>5</v>
          </cell>
          <cell r="AE58">
            <v>7</v>
          </cell>
          <cell r="AF58">
            <v>12</v>
          </cell>
          <cell r="AG58">
            <v>8</v>
          </cell>
          <cell r="AH58">
            <v>12</v>
          </cell>
          <cell r="AI58">
            <v>6</v>
          </cell>
          <cell r="AJ58">
            <v>4</v>
          </cell>
          <cell r="AK58">
            <v>16</v>
          </cell>
          <cell r="AL58">
            <v>7</v>
          </cell>
          <cell r="AM58">
            <v>6</v>
          </cell>
          <cell r="AN58">
            <v>14</v>
          </cell>
          <cell r="AO58">
            <v>12</v>
          </cell>
          <cell r="AP58">
            <v>7</v>
          </cell>
          <cell r="AQ58">
            <v>4</v>
          </cell>
          <cell r="AR58">
            <v>9</v>
          </cell>
          <cell r="AS58">
            <v>5</v>
          </cell>
          <cell r="AT58">
            <v>19</v>
          </cell>
          <cell r="AU58">
            <v>12</v>
          </cell>
          <cell r="AV58">
            <v>13</v>
          </cell>
          <cell r="AW58">
            <v>7</v>
          </cell>
          <cell r="AX58">
            <v>15</v>
          </cell>
          <cell r="AY58">
            <v>14</v>
          </cell>
          <cell r="AZ58">
            <v>13</v>
          </cell>
          <cell r="BA58">
            <v>6</v>
          </cell>
          <cell r="BB58">
            <v>10</v>
          </cell>
          <cell r="BC58">
            <v>20</v>
          </cell>
          <cell r="BD58">
            <v>19</v>
          </cell>
          <cell r="BE58">
            <v>5</v>
          </cell>
          <cell r="BF58">
            <v>16</v>
          </cell>
          <cell r="BG58">
            <v>12</v>
          </cell>
          <cell r="BH58">
            <v>15</v>
          </cell>
          <cell r="BI58">
            <v>8</v>
          </cell>
          <cell r="BJ58">
            <v>6</v>
          </cell>
          <cell r="BK58">
            <v>14</v>
          </cell>
          <cell r="BL58">
            <v>18</v>
          </cell>
          <cell r="BM58">
            <v>20</v>
          </cell>
          <cell r="BN58">
            <v>11</v>
          </cell>
          <cell r="BO58">
            <v>21</v>
          </cell>
          <cell r="BP58">
            <v>23</v>
          </cell>
          <cell r="BQ58">
            <v>29</v>
          </cell>
          <cell r="BR58">
            <v>18</v>
          </cell>
          <cell r="BS58">
            <v>22</v>
          </cell>
          <cell r="BT58">
            <v>30</v>
          </cell>
          <cell r="BU58">
            <v>15</v>
          </cell>
          <cell r="BV58">
            <v>28</v>
          </cell>
          <cell r="BW58">
            <v>20</v>
          </cell>
          <cell r="BX58">
            <v>15</v>
          </cell>
          <cell r="BY58">
            <v>11</v>
          </cell>
          <cell r="BZ58">
            <v>20</v>
          </cell>
          <cell r="CA58">
            <v>15</v>
          </cell>
          <cell r="CB58">
            <v>18</v>
          </cell>
          <cell r="CC58">
            <v>10</v>
          </cell>
          <cell r="CD58">
            <v>11</v>
          </cell>
          <cell r="CE58">
            <v>10</v>
          </cell>
          <cell r="CF58">
            <v>20</v>
          </cell>
          <cell r="CG58">
            <v>15</v>
          </cell>
          <cell r="CH58">
            <v>16</v>
          </cell>
          <cell r="CI58">
            <v>13</v>
          </cell>
          <cell r="CJ58">
            <v>9</v>
          </cell>
          <cell r="CK58">
            <v>18</v>
          </cell>
          <cell r="CL58">
            <v>22</v>
          </cell>
          <cell r="CM58">
            <v>30</v>
          </cell>
          <cell r="CN58">
            <v>15</v>
          </cell>
          <cell r="CO58">
            <v>13</v>
          </cell>
          <cell r="CP58">
            <v>19</v>
          </cell>
          <cell r="CQ58">
            <v>15</v>
          </cell>
          <cell r="CR58">
            <v>20</v>
          </cell>
          <cell r="CS58">
            <v>7</v>
          </cell>
          <cell r="CT58">
            <v>10</v>
          </cell>
          <cell r="CU58">
            <v>13</v>
          </cell>
          <cell r="CV58">
            <v>12</v>
          </cell>
          <cell r="CW58">
            <v>10</v>
          </cell>
          <cell r="CX58">
            <v>14</v>
          </cell>
          <cell r="CY58">
            <v>7</v>
          </cell>
          <cell r="CZ58">
            <v>8</v>
          </cell>
          <cell r="DA58">
            <v>6</v>
          </cell>
          <cell r="DB58">
            <v>14</v>
          </cell>
          <cell r="DC58">
            <v>15</v>
          </cell>
          <cell r="DD58">
            <v>9</v>
          </cell>
          <cell r="DE58">
            <v>5</v>
          </cell>
          <cell r="DF58">
            <v>16</v>
          </cell>
          <cell r="DG58">
            <v>8</v>
          </cell>
          <cell r="DH58">
            <v>8</v>
          </cell>
          <cell r="DI58">
            <v>6</v>
          </cell>
          <cell r="DJ58">
            <v>13</v>
          </cell>
          <cell r="DK58">
            <v>14</v>
          </cell>
          <cell r="DL58">
            <v>21</v>
          </cell>
          <cell r="DM58">
            <v>9</v>
          </cell>
          <cell r="DN58">
            <v>6</v>
          </cell>
          <cell r="DO58">
            <v>14</v>
          </cell>
          <cell r="DP58">
            <v>10</v>
          </cell>
          <cell r="DQ58">
            <v>10</v>
          </cell>
          <cell r="DR58">
            <v>13</v>
          </cell>
          <cell r="DS58">
            <v>22</v>
          </cell>
          <cell r="DT58">
            <v>12</v>
          </cell>
          <cell r="DU58">
            <v>16</v>
          </cell>
          <cell r="DV58">
            <v>26</v>
          </cell>
          <cell r="DW58">
            <v>20</v>
          </cell>
          <cell r="DX58">
            <v>13</v>
          </cell>
          <cell r="DY58">
            <v>13</v>
          </cell>
          <cell r="DZ58">
            <v>9</v>
          </cell>
          <cell r="EA58">
            <v>12</v>
          </cell>
          <cell r="EB58">
            <v>13</v>
          </cell>
          <cell r="EC58">
            <v>21</v>
          </cell>
          <cell r="ED58">
            <v>8</v>
          </cell>
          <cell r="EE58">
            <v>4</v>
          </cell>
          <cell r="EF58">
            <v>11</v>
          </cell>
          <cell r="EG58">
            <v>16</v>
          </cell>
          <cell r="EH58">
            <v>9</v>
          </cell>
          <cell r="EI58">
            <v>7</v>
          </cell>
          <cell r="EJ58">
            <v>5</v>
          </cell>
          <cell r="EK58">
            <v>15</v>
          </cell>
          <cell r="EL58">
            <v>4</v>
          </cell>
          <cell r="EM58">
            <v>11</v>
          </cell>
          <cell r="EN58">
            <v>12</v>
          </cell>
          <cell r="EO58">
            <v>10</v>
          </cell>
          <cell r="EP58">
            <v>7</v>
          </cell>
          <cell r="EQ58">
            <v>9</v>
          </cell>
          <cell r="ER58">
            <v>18</v>
          </cell>
          <cell r="ES58">
            <v>3</v>
          </cell>
          <cell r="ET58">
            <v>16</v>
          </cell>
          <cell r="EU58">
            <v>15</v>
          </cell>
          <cell r="EV58">
            <v>20</v>
          </cell>
          <cell r="EW58">
            <v>10</v>
          </cell>
          <cell r="EX58">
            <v>22</v>
          </cell>
          <cell r="EY58">
            <v>8</v>
          </cell>
          <cell r="EZ58">
            <v>8</v>
          </cell>
          <cell r="FA58">
            <v>11</v>
          </cell>
          <cell r="FB58">
            <v>11</v>
          </cell>
          <cell r="FC58">
            <v>11</v>
          </cell>
          <cell r="FD58">
            <v>14</v>
          </cell>
          <cell r="FE58">
            <v>712</v>
          </cell>
          <cell r="FF58">
            <v>872</v>
          </cell>
          <cell r="FG58">
            <v>866</v>
          </cell>
          <cell r="FH58">
            <v>867</v>
          </cell>
          <cell r="FI58">
            <v>667</v>
          </cell>
          <cell r="FJ58">
            <v>11</v>
          </cell>
          <cell r="FK58">
            <v>7</v>
          </cell>
          <cell r="FL58">
            <v>4</v>
          </cell>
          <cell r="FM58">
            <v>34</v>
          </cell>
          <cell r="FN58">
            <v>33</v>
          </cell>
          <cell r="FO58">
            <v>9</v>
          </cell>
          <cell r="FP58">
            <v>36</v>
          </cell>
          <cell r="FQ58">
            <v>22</v>
          </cell>
          <cell r="FR58">
            <v>9</v>
          </cell>
          <cell r="FS58">
            <v>7</v>
          </cell>
          <cell r="FT58">
            <v>13</v>
          </cell>
          <cell r="FU58">
            <v>10</v>
          </cell>
          <cell r="FV58">
            <v>9</v>
          </cell>
          <cell r="FW58">
            <v>6</v>
          </cell>
          <cell r="FX58">
            <v>3</v>
          </cell>
          <cell r="FY58">
            <v>4</v>
          </cell>
          <cell r="FZ58">
            <v>7</v>
          </cell>
          <cell r="GA58">
            <v>7</v>
          </cell>
          <cell r="GB58">
            <v>7</v>
          </cell>
          <cell r="GC58">
            <v>10</v>
          </cell>
          <cell r="GD58">
            <v>3</v>
          </cell>
          <cell r="GE58">
            <v>4</v>
          </cell>
          <cell r="GF58">
            <v>10</v>
          </cell>
          <cell r="GG58">
            <v>12</v>
          </cell>
          <cell r="GH58">
            <v>8</v>
          </cell>
          <cell r="GI58">
            <v>4</v>
          </cell>
          <cell r="GJ58">
            <v>3</v>
          </cell>
          <cell r="GK58">
            <v>2</v>
          </cell>
          <cell r="GL58">
            <v>17</v>
          </cell>
          <cell r="GM58">
            <v>6</v>
          </cell>
          <cell r="GN58">
            <v>7</v>
          </cell>
        </row>
        <row r="59">
          <cell r="B59" t="str">
            <v>SYNVISC</v>
          </cell>
          <cell r="C59" t="str">
            <v>GZY</v>
          </cell>
          <cell r="D59">
            <v>1002</v>
          </cell>
          <cell r="E59">
            <v>800</v>
          </cell>
          <cell r="F59">
            <v>1109</v>
          </cell>
          <cell r="G59">
            <v>1046</v>
          </cell>
          <cell r="H59">
            <v>1085</v>
          </cell>
          <cell r="I59">
            <v>1043</v>
          </cell>
          <cell r="J59">
            <v>1064</v>
          </cell>
          <cell r="K59">
            <v>1224</v>
          </cell>
          <cell r="L59">
            <v>1245</v>
          </cell>
          <cell r="M59">
            <v>1227</v>
          </cell>
          <cell r="N59">
            <v>1203</v>
          </cell>
          <cell r="O59">
            <v>1354</v>
          </cell>
          <cell r="P59">
            <v>1476</v>
          </cell>
          <cell r="Q59">
            <v>1490</v>
          </cell>
          <cell r="R59">
            <v>1207</v>
          </cell>
          <cell r="S59">
            <v>1288</v>
          </cell>
          <cell r="T59">
            <v>1292</v>
          </cell>
          <cell r="U59">
            <v>1292</v>
          </cell>
          <cell r="V59">
            <v>1378</v>
          </cell>
          <cell r="W59">
            <v>1384</v>
          </cell>
          <cell r="X59">
            <v>1346</v>
          </cell>
          <cell r="Y59">
            <v>865</v>
          </cell>
          <cell r="Z59">
            <v>1155</v>
          </cell>
          <cell r="AA59">
            <v>1403</v>
          </cell>
          <cell r="AB59">
            <v>1323</v>
          </cell>
          <cell r="AC59">
            <v>1117</v>
          </cell>
          <cell r="AD59">
            <v>757</v>
          </cell>
          <cell r="AE59">
            <v>766</v>
          </cell>
          <cell r="AF59">
            <v>1218</v>
          </cell>
          <cell r="AG59">
            <v>1118</v>
          </cell>
          <cell r="AH59">
            <v>1191</v>
          </cell>
          <cell r="AI59">
            <v>1066</v>
          </cell>
          <cell r="AJ59">
            <v>1130</v>
          </cell>
          <cell r="AK59">
            <v>1026</v>
          </cell>
          <cell r="AL59">
            <v>961</v>
          </cell>
          <cell r="AM59">
            <v>1088</v>
          </cell>
          <cell r="AN59">
            <v>1218</v>
          </cell>
          <cell r="AO59">
            <v>1084</v>
          </cell>
          <cell r="AP59">
            <v>1109</v>
          </cell>
          <cell r="AQ59">
            <v>1103</v>
          </cell>
          <cell r="AR59">
            <v>1106</v>
          </cell>
          <cell r="AS59">
            <v>1093</v>
          </cell>
          <cell r="AT59">
            <v>1217</v>
          </cell>
          <cell r="AU59">
            <v>1131</v>
          </cell>
          <cell r="AV59">
            <v>1198</v>
          </cell>
          <cell r="AW59">
            <v>1285</v>
          </cell>
          <cell r="AX59">
            <v>1176</v>
          </cell>
          <cell r="AY59">
            <v>1227</v>
          </cell>
          <cell r="AZ59">
            <v>1116</v>
          </cell>
          <cell r="BA59">
            <v>1417</v>
          </cell>
          <cell r="BB59">
            <v>1379</v>
          </cell>
          <cell r="BC59">
            <v>1321</v>
          </cell>
          <cell r="BD59">
            <v>1202</v>
          </cell>
          <cell r="BE59">
            <v>891</v>
          </cell>
          <cell r="BF59">
            <v>1339</v>
          </cell>
          <cell r="BG59">
            <v>1317</v>
          </cell>
          <cell r="BH59">
            <v>1320</v>
          </cell>
          <cell r="BI59">
            <v>1205</v>
          </cell>
          <cell r="BJ59">
            <v>1144</v>
          </cell>
          <cell r="BK59">
            <v>1160</v>
          </cell>
          <cell r="BL59">
            <v>1232</v>
          </cell>
          <cell r="BM59">
            <v>1275</v>
          </cell>
          <cell r="BN59">
            <v>1024</v>
          </cell>
          <cell r="BO59">
            <v>1128</v>
          </cell>
          <cell r="BP59">
            <v>1313</v>
          </cell>
          <cell r="BQ59">
            <v>1309</v>
          </cell>
          <cell r="BR59">
            <v>1329</v>
          </cell>
          <cell r="BS59">
            <v>1304</v>
          </cell>
          <cell r="BT59">
            <v>1343</v>
          </cell>
          <cell r="BU59">
            <v>1338</v>
          </cell>
          <cell r="BV59">
            <v>1331</v>
          </cell>
          <cell r="BW59">
            <v>1367</v>
          </cell>
          <cell r="BX59">
            <v>1353</v>
          </cell>
          <cell r="BY59">
            <v>897</v>
          </cell>
          <cell r="BZ59">
            <v>1274</v>
          </cell>
          <cell r="CA59">
            <v>1331</v>
          </cell>
          <cell r="CB59">
            <v>1270</v>
          </cell>
          <cell r="CC59">
            <v>1062</v>
          </cell>
          <cell r="CD59">
            <v>697</v>
          </cell>
          <cell r="CE59">
            <v>740</v>
          </cell>
          <cell r="CF59">
            <v>1018</v>
          </cell>
          <cell r="CG59">
            <v>1115</v>
          </cell>
          <cell r="CH59">
            <v>1139</v>
          </cell>
          <cell r="CI59">
            <v>1225</v>
          </cell>
          <cell r="CJ59">
            <v>1256</v>
          </cell>
          <cell r="CK59">
            <v>1163</v>
          </cell>
          <cell r="CL59">
            <v>1130</v>
          </cell>
          <cell r="CM59">
            <v>1354</v>
          </cell>
          <cell r="CN59">
            <v>1315</v>
          </cell>
          <cell r="CO59">
            <v>1275</v>
          </cell>
          <cell r="CP59">
            <v>1258</v>
          </cell>
          <cell r="CQ59">
            <v>1346</v>
          </cell>
          <cell r="CR59">
            <v>1429</v>
          </cell>
          <cell r="CS59">
            <v>1262</v>
          </cell>
          <cell r="CT59">
            <v>1264</v>
          </cell>
          <cell r="CU59">
            <v>1326</v>
          </cell>
          <cell r="CV59">
            <v>1359</v>
          </cell>
          <cell r="CW59">
            <v>1291</v>
          </cell>
          <cell r="CX59">
            <v>1361</v>
          </cell>
          <cell r="CY59">
            <v>1346</v>
          </cell>
          <cell r="CZ59">
            <v>1200</v>
          </cell>
          <cell r="DA59">
            <v>1332</v>
          </cell>
          <cell r="DB59">
            <v>1394</v>
          </cell>
          <cell r="DC59">
            <v>1391</v>
          </cell>
          <cell r="DD59">
            <v>1274</v>
          </cell>
          <cell r="DE59">
            <v>1019</v>
          </cell>
          <cell r="DF59">
            <v>1329</v>
          </cell>
          <cell r="DG59">
            <v>1247</v>
          </cell>
          <cell r="DH59">
            <v>1236</v>
          </cell>
          <cell r="DI59">
            <v>1230</v>
          </cell>
          <cell r="DJ59">
            <v>1284</v>
          </cell>
          <cell r="DK59">
            <v>1204</v>
          </cell>
          <cell r="DL59">
            <v>1228</v>
          </cell>
          <cell r="DM59">
            <v>1244</v>
          </cell>
          <cell r="DN59">
            <v>1055</v>
          </cell>
          <cell r="DO59">
            <v>1331</v>
          </cell>
          <cell r="DP59">
            <v>1333</v>
          </cell>
          <cell r="DQ59">
            <v>1307</v>
          </cell>
          <cell r="DR59">
            <v>1333</v>
          </cell>
          <cell r="DS59">
            <v>1246</v>
          </cell>
          <cell r="DT59">
            <v>1283</v>
          </cell>
          <cell r="DU59">
            <v>1289</v>
          </cell>
          <cell r="DV59">
            <v>1369</v>
          </cell>
          <cell r="DW59">
            <v>1246</v>
          </cell>
          <cell r="DX59">
            <v>1441</v>
          </cell>
          <cell r="DY59">
            <v>1327</v>
          </cell>
          <cell r="DZ59">
            <v>844</v>
          </cell>
          <cell r="EA59">
            <v>1294</v>
          </cell>
          <cell r="EB59">
            <v>1344</v>
          </cell>
          <cell r="EC59">
            <v>1261</v>
          </cell>
          <cell r="ED59">
            <v>666</v>
          </cell>
          <cell r="EE59">
            <v>657</v>
          </cell>
          <cell r="EF59">
            <v>953</v>
          </cell>
          <cell r="EG59">
            <v>997</v>
          </cell>
          <cell r="EH59">
            <v>1001</v>
          </cell>
          <cell r="EI59">
            <v>1096</v>
          </cell>
          <cell r="EJ59">
            <v>996</v>
          </cell>
          <cell r="EK59">
            <v>1079</v>
          </cell>
          <cell r="EL59">
            <v>1027</v>
          </cell>
          <cell r="EM59">
            <v>1087</v>
          </cell>
          <cell r="EN59">
            <v>1122</v>
          </cell>
          <cell r="EO59">
            <v>1054</v>
          </cell>
          <cell r="EP59">
            <v>1202</v>
          </cell>
          <cell r="EQ59">
            <v>1235</v>
          </cell>
          <cell r="ER59">
            <v>1131</v>
          </cell>
          <cell r="ES59">
            <v>1172</v>
          </cell>
          <cell r="ET59">
            <v>1146</v>
          </cell>
          <cell r="EU59">
            <v>974</v>
          </cell>
          <cell r="EV59">
            <v>1033</v>
          </cell>
          <cell r="EW59">
            <v>1086</v>
          </cell>
          <cell r="EX59">
            <v>971</v>
          </cell>
          <cell r="EY59">
            <v>952</v>
          </cell>
          <cell r="EZ59">
            <v>766</v>
          </cell>
          <cell r="FA59">
            <v>989</v>
          </cell>
          <cell r="FB59">
            <v>1036</v>
          </cell>
          <cell r="FC59">
            <v>996</v>
          </cell>
          <cell r="FD59">
            <v>861</v>
          </cell>
          <cell r="FE59">
            <v>4</v>
          </cell>
          <cell r="FG59">
            <v>3</v>
          </cell>
          <cell r="FH59">
            <v>1</v>
          </cell>
          <cell r="FI59">
            <v>3</v>
          </cell>
          <cell r="FJ59">
            <v>750</v>
          </cell>
          <cell r="FK59">
            <v>686</v>
          </cell>
          <cell r="FL59">
            <v>719</v>
          </cell>
          <cell r="FM59">
            <v>617</v>
          </cell>
          <cell r="FN59">
            <v>634</v>
          </cell>
          <cell r="FO59">
            <v>562</v>
          </cell>
          <cell r="FP59">
            <v>682</v>
          </cell>
          <cell r="FQ59">
            <v>793</v>
          </cell>
          <cell r="FR59">
            <v>781</v>
          </cell>
          <cell r="FS59">
            <v>708</v>
          </cell>
          <cell r="FT59">
            <v>849</v>
          </cell>
          <cell r="FU59">
            <v>747</v>
          </cell>
          <cell r="FV59">
            <v>798</v>
          </cell>
          <cell r="FW59">
            <v>825</v>
          </cell>
          <cell r="FX59">
            <v>858</v>
          </cell>
          <cell r="FY59">
            <v>853</v>
          </cell>
          <cell r="FZ59">
            <v>472</v>
          </cell>
          <cell r="GA59">
            <v>822</v>
          </cell>
          <cell r="GB59">
            <v>770</v>
          </cell>
          <cell r="GC59">
            <v>735</v>
          </cell>
          <cell r="GD59">
            <v>465</v>
          </cell>
          <cell r="GE59">
            <v>550</v>
          </cell>
          <cell r="GF59">
            <v>628</v>
          </cell>
          <cell r="GG59">
            <v>692</v>
          </cell>
          <cell r="GH59">
            <v>728</v>
          </cell>
          <cell r="GI59">
            <v>809</v>
          </cell>
          <cell r="GJ59">
            <v>720</v>
          </cell>
          <cell r="GK59">
            <v>595</v>
          </cell>
          <cell r="GL59">
            <v>909</v>
          </cell>
          <cell r="GM59">
            <v>825</v>
          </cell>
          <cell r="GN59">
            <v>863</v>
          </cell>
        </row>
        <row r="60">
          <cell r="B60" t="str">
            <v>MYOZYME</v>
          </cell>
          <cell r="C60" t="str">
            <v>GZY</v>
          </cell>
          <cell r="D60">
            <v>0</v>
          </cell>
          <cell r="E60">
            <v>0</v>
          </cell>
          <cell r="F60">
            <v>0</v>
          </cell>
          <cell r="G60">
            <v>0</v>
          </cell>
          <cell r="H60">
            <v>0</v>
          </cell>
          <cell r="I60">
            <v>0</v>
          </cell>
          <cell r="J60">
            <v>0</v>
          </cell>
          <cell r="K60">
            <v>0</v>
          </cell>
          <cell r="L60">
            <v>4</v>
          </cell>
          <cell r="M60">
            <v>0</v>
          </cell>
          <cell r="N60">
            <v>2</v>
          </cell>
          <cell r="O60">
            <v>0</v>
          </cell>
          <cell r="P60">
            <v>3</v>
          </cell>
          <cell r="Q60">
            <v>2</v>
          </cell>
          <cell r="R60">
            <v>0</v>
          </cell>
          <cell r="S60">
            <v>0</v>
          </cell>
          <cell r="T60">
            <v>0</v>
          </cell>
          <cell r="U60">
            <v>1</v>
          </cell>
          <cell r="V60">
            <v>3</v>
          </cell>
          <cell r="W60">
            <v>0</v>
          </cell>
          <cell r="X60">
            <v>1</v>
          </cell>
          <cell r="Y60">
            <v>1</v>
          </cell>
          <cell r="Z60">
            <v>2</v>
          </cell>
          <cell r="AA60">
            <v>2</v>
          </cell>
          <cell r="AB60">
            <v>0</v>
          </cell>
          <cell r="AC60">
            <v>2</v>
          </cell>
          <cell r="AD60">
            <v>0</v>
          </cell>
          <cell r="AE60">
            <v>1</v>
          </cell>
          <cell r="AF60">
            <v>3</v>
          </cell>
          <cell r="AG60">
            <v>0</v>
          </cell>
          <cell r="AH60">
            <v>1</v>
          </cell>
          <cell r="AI60">
            <v>0</v>
          </cell>
          <cell r="AJ60">
            <v>4</v>
          </cell>
          <cell r="AK60">
            <v>1</v>
          </cell>
          <cell r="AL60">
            <v>1</v>
          </cell>
          <cell r="AM60">
            <v>1</v>
          </cell>
          <cell r="AN60">
            <v>2</v>
          </cell>
          <cell r="AO60">
            <v>2</v>
          </cell>
          <cell r="AP60">
            <v>1</v>
          </cell>
          <cell r="AQ60">
            <v>2</v>
          </cell>
          <cell r="AR60">
            <v>2</v>
          </cell>
          <cell r="AS60">
            <v>1</v>
          </cell>
          <cell r="AT60">
            <v>0</v>
          </cell>
          <cell r="AU60">
            <v>0</v>
          </cell>
          <cell r="AV60">
            <v>3</v>
          </cell>
          <cell r="AW60">
            <v>2</v>
          </cell>
          <cell r="AX60">
            <v>0</v>
          </cell>
          <cell r="AY60">
            <v>0</v>
          </cell>
          <cell r="AZ60">
            <v>2</v>
          </cell>
          <cell r="BA60">
            <v>1</v>
          </cell>
          <cell r="BB60">
            <v>1</v>
          </cell>
          <cell r="BC60">
            <v>0</v>
          </cell>
          <cell r="BD60">
            <v>3</v>
          </cell>
          <cell r="BE60">
            <v>0</v>
          </cell>
          <cell r="BF60">
            <v>1</v>
          </cell>
          <cell r="BG60">
            <v>1</v>
          </cell>
          <cell r="BH60">
            <v>1</v>
          </cell>
          <cell r="BI60">
            <v>2</v>
          </cell>
          <cell r="BJ60">
            <v>1</v>
          </cell>
          <cell r="BK60">
            <v>0</v>
          </cell>
          <cell r="BL60">
            <v>3</v>
          </cell>
          <cell r="BM60">
            <v>1</v>
          </cell>
          <cell r="BN60">
            <v>0</v>
          </cell>
          <cell r="BO60">
            <v>1</v>
          </cell>
          <cell r="BP60">
            <v>0</v>
          </cell>
          <cell r="BQ60">
            <v>2</v>
          </cell>
          <cell r="BR60">
            <v>1</v>
          </cell>
          <cell r="BS60">
            <v>1</v>
          </cell>
          <cell r="BT60">
            <v>2</v>
          </cell>
          <cell r="BU60">
            <v>1</v>
          </cell>
          <cell r="BV60">
            <v>0</v>
          </cell>
          <cell r="BW60">
            <v>1</v>
          </cell>
          <cell r="BX60">
            <v>2</v>
          </cell>
          <cell r="BY60">
            <v>0</v>
          </cell>
          <cell r="BZ60">
            <v>1</v>
          </cell>
          <cell r="CA60">
            <v>1</v>
          </cell>
          <cell r="CB60">
            <v>0</v>
          </cell>
          <cell r="CC60">
            <v>1</v>
          </cell>
          <cell r="CD60">
            <v>0</v>
          </cell>
          <cell r="CE60">
            <v>2</v>
          </cell>
          <cell r="CF60">
            <v>1</v>
          </cell>
          <cell r="CG60">
            <v>1</v>
          </cell>
          <cell r="CH60">
            <v>2</v>
          </cell>
          <cell r="CI60">
            <v>1</v>
          </cell>
          <cell r="CJ60">
            <v>2</v>
          </cell>
          <cell r="CK60">
            <v>0</v>
          </cell>
          <cell r="CL60">
            <v>0</v>
          </cell>
          <cell r="CM60">
            <v>0</v>
          </cell>
          <cell r="CN60">
            <v>0</v>
          </cell>
          <cell r="CO60">
            <v>2</v>
          </cell>
          <cell r="CP60">
            <v>0</v>
          </cell>
          <cell r="CQ60">
            <v>2</v>
          </cell>
          <cell r="CR60">
            <v>0</v>
          </cell>
          <cell r="CS60">
            <v>2</v>
          </cell>
          <cell r="CT60">
            <v>0</v>
          </cell>
          <cell r="CU60">
            <v>2</v>
          </cell>
          <cell r="CV60">
            <v>0</v>
          </cell>
          <cell r="CW60">
            <v>2</v>
          </cell>
          <cell r="CX60">
            <v>0</v>
          </cell>
          <cell r="CY60">
            <v>2</v>
          </cell>
          <cell r="CZ60">
            <v>0</v>
          </cell>
          <cell r="DA60">
            <v>2</v>
          </cell>
          <cell r="DB60">
            <v>0</v>
          </cell>
          <cell r="DC60">
            <v>2</v>
          </cell>
          <cell r="DD60">
            <v>0</v>
          </cell>
          <cell r="DE60">
            <v>2</v>
          </cell>
          <cell r="DF60">
            <v>0</v>
          </cell>
          <cell r="DG60">
            <v>2</v>
          </cell>
          <cell r="DH60">
            <v>0</v>
          </cell>
          <cell r="DI60">
            <v>2</v>
          </cell>
          <cell r="DJ60">
            <v>0</v>
          </cell>
          <cell r="DK60">
            <v>2</v>
          </cell>
          <cell r="DL60">
            <v>0</v>
          </cell>
          <cell r="DM60">
            <v>2</v>
          </cell>
          <cell r="DN60">
            <v>0</v>
          </cell>
          <cell r="DO60">
            <v>2</v>
          </cell>
          <cell r="DP60">
            <v>0</v>
          </cell>
          <cell r="DQ60">
            <v>2</v>
          </cell>
          <cell r="DR60">
            <v>0</v>
          </cell>
          <cell r="DS60">
            <v>2</v>
          </cell>
          <cell r="DT60">
            <v>0</v>
          </cell>
          <cell r="DU60">
            <v>2</v>
          </cell>
          <cell r="DV60">
            <v>0</v>
          </cell>
          <cell r="DW60">
            <v>0</v>
          </cell>
          <cell r="DX60">
            <v>2</v>
          </cell>
          <cell r="DY60">
            <v>0</v>
          </cell>
          <cell r="DZ60">
            <v>2</v>
          </cell>
          <cell r="EC60">
            <v>2</v>
          </cell>
          <cell r="EF60">
            <v>1</v>
          </cell>
          <cell r="EG60">
            <v>2</v>
          </cell>
          <cell r="EI60">
            <v>3</v>
          </cell>
          <cell r="EK60">
            <v>2</v>
          </cell>
          <cell r="EM60">
            <v>3</v>
          </cell>
          <cell r="EN60">
            <v>1</v>
          </cell>
          <cell r="EO60">
            <v>2</v>
          </cell>
          <cell r="EQ60">
            <v>2</v>
          </cell>
          <cell r="ER60">
            <v>2</v>
          </cell>
          <cell r="ES60">
            <v>3</v>
          </cell>
          <cell r="EU60">
            <v>3</v>
          </cell>
          <cell r="EW60">
            <v>3</v>
          </cell>
          <cell r="EY60">
            <v>3</v>
          </cell>
          <cell r="EZ60">
            <v>1</v>
          </cell>
          <cell r="FA60">
            <v>4</v>
          </cell>
          <cell r="FC60">
            <v>3</v>
          </cell>
          <cell r="FD60">
            <v>1</v>
          </cell>
          <cell r="FE60">
            <v>1</v>
          </cell>
          <cell r="FF60">
            <v>2</v>
          </cell>
          <cell r="FG60">
            <v>1</v>
          </cell>
          <cell r="FI60">
            <v>1</v>
          </cell>
          <cell r="FJ60">
            <v>1</v>
          </cell>
          <cell r="FK60">
            <v>3</v>
          </cell>
          <cell r="FL60">
            <v>1</v>
          </cell>
          <cell r="FM60">
            <v>3</v>
          </cell>
          <cell r="FN60">
            <v>1</v>
          </cell>
          <cell r="FO60">
            <v>1</v>
          </cell>
          <cell r="FP60">
            <v>3</v>
          </cell>
          <cell r="FQ60">
            <v>1</v>
          </cell>
          <cell r="FR60">
            <v>2</v>
          </cell>
          <cell r="FS60">
            <v>1</v>
          </cell>
          <cell r="FT60">
            <v>1</v>
          </cell>
          <cell r="FU60">
            <v>3</v>
          </cell>
          <cell r="FV60">
            <v>1</v>
          </cell>
          <cell r="FW60">
            <v>1</v>
          </cell>
          <cell r="FX60">
            <v>2</v>
          </cell>
          <cell r="FY60">
            <v>2</v>
          </cell>
          <cell r="FZ60">
            <v>3</v>
          </cell>
          <cell r="GA60">
            <v>1</v>
          </cell>
          <cell r="GB60">
            <v>3</v>
          </cell>
          <cell r="GC60">
            <v>1</v>
          </cell>
          <cell r="GD60">
            <v>3</v>
          </cell>
          <cell r="GE60">
            <v>1</v>
          </cell>
          <cell r="GF60">
            <v>4</v>
          </cell>
          <cell r="GG60">
            <v>2</v>
          </cell>
          <cell r="GH60">
            <v>4</v>
          </cell>
          <cell r="GI60">
            <v>2</v>
          </cell>
          <cell r="GJ60">
            <v>1</v>
          </cell>
          <cell r="GK60">
            <v>4</v>
          </cell>
          <cell r="GL60">
            <v>1</v>
          </cell>
          <cell r="GM60">
            <v>3</v>
          </cell>
          <cell r="GN60">
            <v>2</v>
          </cell>
        </row>
        <row r="61">
          <cell r="B61" t="str">
            <v>NEUPOGEN(OLD)</v>
          </cell>
          <cell r="C61" t="str">
            <v>AAI</v>
          </cell>
          <cell r="D61">
            <v>1</v>
          </cell>
          <cell r="E61">
            <v>1</v>
          </cell>
          <cell r="F61">
            <v>6</v>
          </cell>
          <cell r="G61">
            <v>0</v>
          </cell>
          <cell r="H61">
            <v>1</v>
          </cell>
          <cell r="I61">
            <v>2</v>
          </cell>
          <cell r="J61">
            <v>1</v>
          </cell>
          <cell r="K61">
            <v>2</v>
          </cell>
          <cell r="L61">
            <v>2</v>
          </cell>
          <cell r="M61">
            <v>0</v>
          </cell>
          <cell r="N61">
            <v>1</v>
          </cell>
          <cell r="O61">
            <v>2</v>
          </cell>
          <cell r="P61">
            <v>2</v>
          </cell>
          <cell r="Q61">
            <v>1</v>
          </cell>
          <cell r="R61">
            <v>0</v>
          </cell>
          <cell r="S61">
            <v>1</v>
          </cell>
          <cell r="T61">
            <v>0</v>
          </cell>
          <cell r="U61">
            <v>0</v>
          </cell>
          <cell r="V61">
            <v>0</v>
          </cell>
          <cell r="W61">
            <v>1</v>
          </cell>
          <cell r="X61">
            <v>2</v>
          </cell>
          <cell r="Y61">
            <v>1</v>
          </cell>
          <cell r="Z61">
            <v>1</v>
          </cell>
          <cell r="AA61">
            <v>0</v>
          </cell>
          <cell r="AB61">
            <v>0</v>
          </cell>
          <cell r="AC61">
            <v>1</v>
          </cell>
          <cell r="AD61">
            <v>0</v>
          </cell>
          <cell r="AE61">
            <v>0</v>
          </cell>
          <cell r="AF61">
            <v>9</v>
          </cell>
          <cell r="AG61">
            <v>0</v>
          </cell>
          <cell r="AH61">
            <v>2</v>
          </cell>
          <cell r="AI61">
            <v>5</v>
          </cell>
          <cell r="AJ61">
            <v>2</v>
          </cell>
          <cell r="AK61">
            <v>1</v>
          </cell>
          <cell r="AL61">
            <v>9</v>
          </cell>
          <cell r="AM61">
            <v>9</v>
          </cell>
          <cell r="AN61">
            <v>0</v>
          </cell>
          <cell r="AO61">
            <v>1</v>
          </cell>
          <cell r="AP61">
            <v>2</v>
          </cell>
          <cell r="AQ61">
            <v>1</v>
          </cell>
          <cell r="AR61">
            <v>1</v>
          </cell>
          <cell r="AS61">
            <v>4</v>
          </cell>
          <cell r="AT61">
            <v>1</v>
          </cell>
          <cell r="AU61">
            <v>1</v>
          </cell>
          <cell r="AV61">
            <v>3</v>
          </cell>
          <cell r="AW61">
            <v>1</v>
          </cell>
          <cell r="AX61">
            <v>1</v>
          </cell>
          <cell r="AY61">
            <v>2</v>
          </cell>
          <cell r="AZ61">
            <v>1</v>
          </cell>
          <cell r="BA61">
            <v>3</v>
          </cell>
          <cell r="BB61">
            <v>2</v>
          </cell>
          <cell r="BC61">
            <v>4</v>
          </cell>
          <cell r="BD61">
            <v>4</v>
          </cell>
          <cell r="BE61">
            <v>1</v>
          </cell>
          <cell r="BF61">
            <v>3</v>
          </cell>
          <cell r="BG61">
            <v>3</v>
          </cell>
          <cell r="BH61">
            <v>2</v>
          </cell>
          <cell r="BI61">
            <v>0</v>
          </cell>
          <cell r="BJ61">
            <v>0</v>
          </cell>
          <cell r="BK61">
            <v>5</v>
          </cell>
          <cell r="BL61">
            <v>0</v>
          </cell>
          <cell r="BM61">
            <v>4</v>
          </cell>
          <cell r="BN61">
            <v>0</v>
          </cell>
          <cell r="BO61">
            <v>0</v>
          </cell>
          <cell r="BP61">
            <v>0</v>
          </cell>
          <cell r="BQ61">
            <v>2</v>
          </cell>
          <cell r="BR61">
            <v>4</v>
          </cell>
          <cell r="BS61">
            <v>1</v>
          </cell>
          <cell r="BT61">
            <v>1</v>
          </cell>
          <cell r="BU61">
            <v>2</v>
          </cell>
          <cell r="BV61">
            <v>0</v>
          </cell>
          <cell r="BW61">
            <v>0</v>
          </cell>
          <cell r="BX61">
            <v>0</v>
          </cell>
          <cell r="BY61">
            <v>3</v>
          </cell>
          <cell r="BZ61">
            <v>0</v>
          </cell>
          <cell r="CA61">
            <v>0</v>
          </cell>
          <cell r="CB61">
            <v>4</v>
          </cell>
          <cell r="CC61">
            <v>0</v>
          </cell>
          <cell r="CD61">
            <v>0</v>
          </cell>
          <cell r="CE61">
            <v>1</v>
          </cell>
          <cell r="CF61">
            <v>2</v>
          </cell>
          <cell r="CG61">
            <v>1</v>
          </cell>
          <cell r="CH61">
            <v>5</v>
          </cell>
          <cell r="CI61">
            <v>2</v>
          </cell>
          <cell r="CJ61">
            <v>4</v>
          </cell>
          <cell r="CK61">
            <v>2</v>
          </cell>
          <cell r="CL61">
            <v>3</v>
          </cell>
          <cell r="CM61">
            <v>0</v>
          </cell>
          <cell r="CN61">
            <v>0</v>
          </cell>
          <cell r="CO61">
            <v>7</v>
          </cell>
          <cell r="CP61">
            <v>0</v>
          </cell>
          <cell r="CQ61">
            <v>2</v>
          </cell>
          <cell r="CR61">
            <v>6</v>
          </cell>
          <cell r="CS61">
            <v>1</v>
          </cell>
          <cell r="CT61">
            <v>0</v>
          </cell>
          <cell r="CU61">
            <v>0</v>
          </cell>
          <cell r="CV61">
            <v>1</v>
          </cell>
          <cell r="CW61">
            <v>0</v>
          </cell>
          <cell r="CX61">
            <v>0</v>
          </cell>
          <cell r="CY61">
            <v>3</v>
          </cell>
          <cell r="CZ61">
            <v>0</v>
          </cell>
          <cell r="DA61">
            <v>0</v>
          </cell>
          <cell r="DB61">
            <v>1</v>
          </cell>
          <cell r="DC61">
            <v>1</v>
          </cell>
          <cell r="DD61">
            <v>0</v>
          </cell>
          <cell r="DE61">
            <v>0</v>
          </cell>
          <cell r="DF61">
            <v>0</v>
          </cell>
          <cell r="DG61">
            <v>0</v>
          </cell>
          <cell r="DH61">
            <v>0</v>
          </cell>
          <cell r="DI61">
            <v>0</v>
          </cell>
          <cell r="DJ61">
            <v>0</v>
          </cell>
          <cell r="DK61">
            <v>5</v>
          </cell>
          <cell r="DL61">
            <v>0</v>
          </cell>
          <cell r="DM61">
            <v>8</v>
          </cell>
          <cell r="DN61">
            <v>0</v>
          </cell>
          <cell r="DO61">
            <v>1</v>
          </cell>
          <cell r="DP61">
            <v>0</v>
          </cell>
          <cell r="DQ61">
            <v>0</v>
          </cell>
          <cell r="DR61">
            <v>0</v>
          </cell>
          <cell r="DS61">
            <v>0</v>
          </cell>
          <cell r="DT61">
            <v>0</v>
          </cell>
          <cell r="DU61">
            <v>0</v>
          </cell>
          <cell r="DV61">
            <v>4</v>
          </cell>
          <cell r="DW61">
            <v>2</v>
          </cell>
          <cell r="DX61">
            <v>2</v>
          </cell>
          <cell r="DY61">
            <v>7</v>
          </cell>
          <cell r="DZ61">
            <v>0</v>
          </cell>
          <cell r="EB61">
            <v>1</v>
          </cell>
          <cell r="EC61">
            <v>1</v>
          </cell>
          <cell r="EE61">
            <v>0</v>
          </cell>
          <cell r="EF61">
            <v>0</v>
          </cell>
          <cell r="EH61">
            <v>3</v>
          </cell>
          <cell r="EI61">
            <v>1</v>
          </cell>
          <cell r="EO61">
            <v>1</v>
          </cell>
          <cell r="EZ61">
            <v>1</v>
          </cell>
          <cell r="FA61">
            <v>1</v>
          </cell>
          <cell r="FC61">
            <v>2</v>
          </cell>
          <cell r="FP61">
            <v>5</v>
          </cell>
          <cell r="FQ61">
            <v>1</v>
          </cell>
          <cell r="FT61">
            <v>1</v>
          </cell>
          <cell r="GH61">
            <v>4</v>
          </cell>
          <cell r="GI61">
            <v>3</v>
          </cell>
        </row>
        <row r="62">
          <cell r="B62" t="str">
            <v>NEUPOGEN</v>
          </cell>
          <cell r="C62" t="str">
            <v>AAI</v>
          </cell>
          <cell r="D62">
            <v>2375</v>
          </cell>
          <cell r="E62">
            <v>2068</v>
          </cell>
          <cell r="F62">
            <v>2444</v>
          </cell>
          <cell r="G62">
            <v>2324</v>
          </cell>
          <cell r="H62">
            <v>2530</v>
          </cell>
          <cell r="I62">
            <v>2517</v>
          </cell>
          <cell r="J62">
            <v>2468</v>
          </cell>
          <cell r="K62">
            <v>2503</v>
          </cell>
          <cell r="L62">
            <v>2440</v>
          </cell>
          <cell r="M62">
            <v>2613</v>
          </cell>
          <cell r="N62">
            <v>2396</v>
          </cell>
          <cell r="O62">
            <v>2583</v>
          </cell>
          <cell r="P62">
            <v>2466</v>
          </cell>
          <cell r="Q62">
            <v>2594</v>
          </cell>
          <cell r="R62">
            <v>2513</v>
          </cell>
          <cell r="S62">
            <v>2500</v>
          </cell>
          <cell r="T62">
            <v>2364</v>
          </cell>
          <cell r="U62">
            <v>2575</v>
          </cell>
          <cell r="V62">
            <v>2495</v>
          </cell>
          <cell r="W62">
            <v>2545</v>
          </cell>
          <cell r="X62">
            <v>2535</v>
          </cell>
          <cell r="Y62">
            <v>2225</v>
          </cell>
          <cell r="Z62">
            <v>2531</v>
          </cell>
          <cell r="AA62">
            <v>2478</v>
          </cell>
          <cell r="AB62">
            <v>2538</v>
          </cell>
          <cell r="AC62">
            <v>2619</v>
          </cell>
          <cell r="AD62">
            <v>2186</v>
          </cell>
          <cell r="AE62">
            <v>2228</v>
          </cell>
          <cell r="AF62">
            <v>2501</v>
          </cell>
          <cell r="AG62">
            <v>2473</v>
          </cell>
          <cell r="AH62">
            <v>2548</v>
          </cell>
          <cell r="AI62">
            <v>2527</v>
          </cell>
          <cell r="AJ62">
            <v>2660</v>
          </cell>
          <cell r="AK62">
            <v>2426</v>
          </cell>
          <cell r="AL62">
            <v>2456</v>
          </cell>
          <cell r="AM62">
            <v>2462</v>
          </cell>
          <cell r="AN62">
            <v>2490</v>
          </cell>
          <cell r="AO62">
            <v>2340</v>
          </cell>
          <cell r="AP62">
            <v>2383</v>
          </cell>
          <cell r="AQ62">
            <v>2406</v>
          </cell>
          <cell r="AR62">
            <v>2374</v>
          </cell>
          <cell r="AS62">
            <v>2318</v>
          </cell>
          <cell r="AT62">
            <v>2355</v>
          </cell>
          <cell r="AU62">
            <v>2334</v>
          </cell>
          <cell r="AV62">
            <v>2417</v>
          </cell>
          <cell r="AW62">
            <v>2444</v>
          </cell>
          <cell r="AX62">
            <v>2335</v>
          </cell>
          <cell r="AY62">
            <v>2526</v>
          </cell>
          <cell r="AZ62">
            <v>2343</v>
          </cell>
          <cell r="BA62">
            <v>2374</v>
          </cell>
          <cell r="BB62">
            <v>2491</v>
          </cell>
          <cell r="BC62">
            <v>2315</v>
          </cell>
          <cell r="BD62">
            <v>2400</v>
          </cell>
          <cell r="BE62">
            <v>2148</v>
          </cell>
          <cell r="BF62">
            <v>2458</v>
          </cell>
          <cell r="BG62">
            <v>2410</v>
          </cell>
          <cell r="BH62">
            <v>2484</v>
          </cell>
          <cell r="BI62">
            <v>2517</v>
          </cell>
          <cell r="BJ62">
            <v>2437</v>
          </cell>
          <cell r="BK62">
            <v>2449</v>
          </cell>
          <cell r="BL62">
            <v>2589</v>
          </cell>
          <cell r="BM62">
            <v>2608</v>
          </cell>
          <cell r="BN62">
            <v>2071</v>
          </cell>
          <cell r="BO62">
            <v>2516</v>
          </cell>
          <cell r="BP62">
            <v>2385</v>
          </cell>
          <cell r="BQ62">
            <v>2419</v>
          </cell>
          <cell r="BR62">
            <v>2390</v>
          </cell>
          <cell r="BS62">
            <v>2382</v>
          </cell>
          <cell r="BT62">
            <v>2531</v>
          </cell>
          <cell r="BU62">
            <v>2273</v>
          </cell>
          <cell r="BV62">
            <v>2352</v>
          </cell>
          <cell r="BW62">
            <v>2350</v>
          </cell>
          <cell r="BX62">
            <v>2423</v>
          </cell>
          <cell r="BY62">
            <v>2071</v>
          </cell>
          <cell r="BZ62">
            <v>2363</v>
          </cell>
          <cell r="CA62">
            <v>2244</v>
          </cell>
          <cell r="CB62">
            <v>2424</v>
          </cell>
          <cell r="CC62">
            <v>2355</v>
          </cell>
          <cell r="CD62">
            <v>1873</v>
          </cell>
          <cell r="CE62">
            <v>1767</v>
          </cell>
          <cell r="CF62">
            <v>2217</v>
          </cell>
          <cell r="CG62">
            <v>2165</v>
          </cell>
          <cell r="CH62">
            <v>2173</v>
          </cell>
          <cell r="CI62">
            <v>2294</v>
          </cell>
          <cell r="CJ62">
            <v>2181</v>
          </cell>
          <cell r="CK62">
            <v>2050</v>
          </cell>
          <cell r="CL62">
            <v>2192</v>
          </cell>
          <cell r="CM62">
            <v>2419</v>
          </cell>
          <cell r="CN62">
            <v>2314</v>
          </cell>
          <cell r="CO62">
            <v>2357</v>
          </cell>
          <cell r="CP62">
            <v>2247</v>
          </cell>
          <cell r="CQ62">
            <v>2369</v>
          </cell>
          <cell r="CR62">
            <v>2312</v>
          </cell>
          <cell r="CS62">
            <v>2247</v>
          </cell>
          <cell r="CT62">
            <v>2283</v>
          </cell>
          <cell r="CU62">
            <v>2351</v>
          </cell>
          <cell r="CV62">
            <v>2260</v>
          </cell>
          <cell r="CW62">
            <v>2150</v>
          </cell>
          <cell r="CX62">
            <v>2214</v>
          </cell>
          <cell r="CY62">
            <v>2320</v>
          </cell>
          <cell r="CZ62">
            <v>2059</v>
          </cell>
          <cell r="DA62">
            <v>2397</v>
          </cell>
          <cell r="DB62">
            <v>2439</v>
          </cell>
          <cell r="DC62">
            <v>2294</v>
          </cell>
          <cell r="DD62">
            <v>2418</v>
          </cell>
          <cell r="DE62">
            <v>2045</v>
          </cell>
          <cell r="DF62">
            <v>2430</v>
          </cell>
          <cell r="DG62">
            <v>2451</v>
          </cell>
          <cell r="DH62">
            <v>2226</v>
          </cell>
          <cell r="DI62">
            <v>2412</v>
          </cell>
          <cell r="DJ62">
            <v>2304</v>
          </cell>
          <cell r="DK62">
            <v>2396</v>
          </cell>
          <cell r="DL62">
            <v>2330</v>
          </cell>
          <cell r="DM62">
            <v>2365</v>
          </cell>
          <cell r="DN62">
            <v>1924</v>
          </cell>
          <cell r="DO62">
            <v>2335</v>
          </cell>
          <cell r="DP62">
            <v>2267</v>
          </cell>
          <cell r="DQ62">
            <v>2353</v>
          </cell>
          <cell r="DR62">
            <v>2203</v>
          </cell>
          <cell r="DS62">
            <v>2265</v>
          </cell>
          <cell r="DT62">
            <v>2323</v>
          </cell>
          <cell r="DU62">
            <v>2344</v>
          </cell>
          <cell r="DV62">
            <v>2374</v>
          </cell>
          <cell r="DW62">
            <v>2206</v>
          </cell>
          <cell r="DX62">
            <v>2369</v>
          </cell>
          <cell r="DY62">
            <v>2177</v>
          </cell>
          <cell r="DZ62">
            <v>1817</v>
          </cell>
          <cell r="EA62">
            <v>2470</v>
          </cell>
          <cell r="EB62">
            <v>2194</v>
          </cell>
          <cell r="EC62">
            <v>2247</v>
          </cell>
          <cell r="ED62">
            <v>1620</v>
          </cell>
          <cell r="EE62">
            <v>1906</v>
          </cell>
          <cell r="EF62">
            <v>2060</v>
          </cell>
          <cell r="EG62">
            <v>2070</v>
          </cell>
          <cell r="EH62">
            <v>1889</v>
          </cell>
          <cell r="EI62">
            <v>2166</v>
          </cell>
          <cell r="EJ62">
            <v>2087</v>
          </cell>
          <cell r="EK62">
            <v>1918</v>
          </cell>
          <cell r="EL62">
            <v>2062</v>
          </cell>
          <cell r="EM62">
            <v>1974</v>
          </cell>
          <cell r="EN62">
            <v>2015</v>
          </cell>
          <cell r="EO62">
            <v>1975</v>
          </cell>
          <cell r="EP62">
            <v>2053</v>
          </cell>
          <cell r="EQ62">
            <v>1956</v>
          </cell>
          <cell r="ER62">
            <v>1941</v>
          </cell>
          <cell r="ES62">
            <v>2070</v>
          </cell>
          <cell r="ET62">
            <v>2123</v>
          </cell>
          <cell r="EU62">
            <v>2001</v>
          </cell>
          <cell r="EV62">
            <v>2058</v>
          </cell>
          <cell r="EW62">
            <v>2142</v>
          </cell>
          <cell r="EX62">
            <v>2053</v>
          </cell>
          <cell r="EY62">
            <v>2054</v>
          </cell>
          <cell r="EZ62">
            <v>1841</v>
          </cell>
          <cell r="FA62">
            <v>2073</v>
          </cell>
          <cell r="FB62">
            <v>2065</v>
          </cell>
          <cell r="FC62">
            <v>1992</v>
          </cell>
          <cell r="FD62">
            <v>2088</v>
          </cell>
          <cell r="FE62">
            <v>1900</v>
          </cell>
          <cell r="FF62">
            <v>2060</v>
          </cell>
          <cell r="FG62">
            <v>2067</v>
          </cell>
          <cell r="FH62">
            <v>2070</v>
          </cell>
          <cell r="FI62">
            <v>2157</v>
          </cell>
          <cell r="FJ62">
            <v>2152</v>
          </cell>
          <cell r="FK62">
            <v>2148</v>
          </cell>
          <cell r="FL62">
            <v>2132</v>
          </cell>
          <cell r="FM62">
            <v>2135</v>
          </cell>
          <cell r="FN62">
            <v>2179</v>
          </cell>
          <cell r="FO62">
            <v>1843</v>
          </cell>
          <cell r="FP62">
            <v>2087</v>
          </cell>
          <cell r="FQ62">
            <v>2228</v>
          </cell>
          <cell r="FR62">
            <v>2051</v>
          </cell>
          <cell r="FS62">
            <v>2037</v>
          </cell>
          <cell r="FT62">
            <v>2001</v>
          </cell>
          <cell r="FU62">
            <v>2088</v>
          </cell>
          <cell r="FV62">
            <v>1986</v>
          </cell>
          <cell r="FW62">
            <v>2059</v>
          </cell>
          <cell r="FX62">
            <v>1985</v>
          </cell>
          <cell r="FY62">
            <v>2158</v>
          </cell>
          <cell r="FZ62">
            <v>1761</v>
          </cell>
          <cell r="GA62">
            <v>2145</v>
          </cell>
          <cell r="GB62">
            <v>1987</v>
          </cell>
          <cell r="GC62">
            <v>2130</v>
          </cell>
          <cell r="GD62">
            <v>1784</v>
          </cell>
          <cell r="GE62">
            <v>1789</v>
          </cell>
          <cell r="GF62">
            <v>1990</v>
          </cell>
          <cell r="GG62">
            <v>2041</v>
          </cell>
          <cell r="GH62">
            <v>1899</v>
          </cell>
          <cell r="GI62">
            <v>1893</v>
          </cell>
          <cell r="GJ62">
            <v>2010</v>
          </cell>
          <cell r="GK62">
            <v>1719</v>
          </cell>
          <cell r="GL62">
            <v>1843</v>
          </cell>
          <cell r="GM62">
            <v>1998</v>
          </cell>
          <cell r="GN62">
            <v>1823</v>
          </cell>
        </row>
        <row r="63">
          <cell r="B63" t="str">
            <v>NEULASTA</v>
          </cell>
          <cell r="C63" t="str">
            <v>AAI</v>
          </cell>
          <cell r="D63">
            <v>1098</v>
          </cell>
          <cell r="E63">
            <v>863</v>
          </cell>
          <cell r="F63">
            <v>1024</v>
          </cell>
          <cell r="G63">
            <v>987</v>
          </cell>
          <cell r="H63">
            <v>1010</v>
          </cell>
          <cell r="I63">
            <v>1001</v>
          </cell>
          <cell r="J63">
            <v>1038</v>
          </cell>
          <cell r="K63">
            <v>1024</v>
          </cell>
          <cell r="L63">
            <v>1013</v>
          </cell>
          <cell r="M63">
            <v>1064</v>
          </cell>
          <cell r="N63">
            <v>934</v>
          </cell>
          <cell r="O63">
            <v>1068</v>
          </cell>
          <cell r="P63">
            <v>1072</v>
          </cell>
          <cell r="Q63">
            <v>1027</v>
          </cell>
          <cell r="R63">
            <v>1079</v>
          </cell>
          <cell r="S63">
            <v>1063</v>
          </cell>
          <cell r="T63">
            <v>1125</v>
          </cell>
          <cell r="U63">
            <v>1005</v>
          </cell>
          <cell r="V63">
            <v>1171</v>
          </cell>
          <cell r="W63">
            <v>988</v>
          </cell>
          <cell r="X63">
            <v>1122</v>
          </cell>
          <cell r="Y63">
            <v>839</v>
          </cell>
          <cell r="Z63">
            <v>1151</v>
          </cell>
          <cell r="AA63">
            <v>1085</v>
          </cell>
          <cell r="AB63">
            <v>1016</v>
          </cell>
          <cell r="AC63">
            <v>1099</v>
          </cell>
          <cell r="AD63">
            <v>935</v>
          </cell>
          <cell r="AE63">
            <v>869</v>
          </cell>
          <cell r="AF63">
            <v>1119</v>
          </cell>
          <cell r="AG63">
            <v>1005</v>
          </cell>
          <cell r="AH63">
            <v>1092</v>
          </cell>
          <cell r="AI63">
            <v>1141</v>
          </cell>
          <cell r="AJ63">
            <v>1116</v>
          </cell>
          <cell r="AK63">
            <v>973</v>
          </cell>
          <cell r="AL63">
            <v>1168</v>
          </cell>
          <cell r="AM63">
            <v>1088</v>
          </cell>
          <cell r="AN63">
            <v>1065</v>
          </cell>
          <cell r="AO63">
            <v>1084</v>
          </cell>
          <cell r="AP63">
            <v>976</v>
          </cell>
          <cell r="AQ63">
            <v>1055</v>
          </cell>
          <cell r="AR63">
            <v>1083</v>
          </cell>
          <cell r="AS63">
            <v>1027</v>
          </cell>
          <cell r="AT63">
            <v>996</v>
          </cell>
          <cell r="AU63">
            <v>1088</v>
          </cell>
          <cell r="AV63">
            <v>1009</v>
          </cell>
          <cell r="AW63">
            <v>1018</v>
          </cell>
          <cell r="AX63">
            <v>1049</v>
          </cell>
          <cell r="AY63">
            <v>1088</v>
          </cell>
          <cell r="AZ63">
            <v>975</v>
          </cell>
          <cell r="BA63">
            <v>1027</v>
          </cell>
          <cell r="BB63">
            <v>1022</v>
          </cell>
          <cell r="BC63">
            <v>1062</v>
          </cell>
          <cell r="BD63">
            <v>1135</v>
          </cell>
          <cell r="BE63">
            <v>818</v>
          </cell>
          <cell r="BF63">
            <v>1085</v>
          </cell>
          <cell r="BG63">
            <v>1115</v>
          </cell>
          <cell r="BH63">
            <v>1103</v>
          </cell>
          <cell r="BI63">
            <v>1050</v>
          </cell>
          <cell r="BJ63">
            <v>1082</v>
          </cell>
          <cell r="BK63">
            <v>1070</v>
          </cell>
          <cell r="BL63">
            <v>1099</v>
          </cell>
          <cell r="BM63">
            <v>1178</v>
          </cell>
          <cell r="BN63">
            <v>897</v>
          </cell>
          <cell r="BO63">
            <v>1067</v>
          </cell>
          <cell r="BP63">
            <v>1021</v>
          </cell>
          <cell r="BQ63">
            <v>990</v>
          </cell>
          <cell r="BR63">
            <v>1001</v>
          </cell>
          <cell r="BS63">
            <v>1000</v>
          </cell>
          <cell r="BT63">
            <v>1034</v>
          </cell>
          <cell r="BU63">
            <v>952</v>
          </cell>
          <cell r="BV63">
            <v>1044</v>
          </cell>
          <cell r="BW63">
            <v>947</v>
          </cell>
          <cell r="BX63">
            <v>1015</v>
          </cell>
          <cell r="BY63">
            <v>802</v>
          </cell>
          <cell r="BZ63">
            <v>1114</v>
          </cell>
          <cell r="CA63">
            <v>1134</v>
          </cell>
          <cell r="CB63">
            <v>956</v>
          </cell>
          <cell r="CC63">
            <v>1115</v>
          </cell>
          <cell r="CD63">
            <v>839</v>
          </cell>
          <cell r="CE63">
            <v>810</v>
          </cell>
          <cell r="CF63">
            <v>1083</v>
          </cell>
          <cell r="CG63">
            <v>912</v>
          </cell>
          <cell r="CH63">
            <v>965</v>
          </cell>
          <cell r="CI63">
            <v>1043</v>
          </cell>
          <cell r="CJ63">
            <v>994</v>
          </cell>
          <cell r="CK63">
            <v>989</v>
          </cell>
          <cell r="CL63">
            <v>1042</v>
          </cell>
          <cell r="CM63">
            <v>932</v>
          </cell>
          <cell r="CN63">
            <v>1020</v>
          </cell>
          <cell r="CO63">
            <v>959</v>
          </cell>
          <cell r="CP63">
            <v>958</v>
          </cell>
          <cell r="CQ63">
            <v>1036</v>
          </cell>
          <cell r="CR63">
            <v>1008</v>
          </cell>
          <cell r="CS63">
            <v>1031</v>
          </cell>
          <cell r="CT63">
            <v>1037</v>
          </cell>
          <cell r="CU63">
            <v>978</v>
          </cell>
          <cell r="CV63">
            <v>1042</v>
          </cell>
          <cell r="CW63">
            <v>1060</v>
          </cell>
          <cell r="CX63">
            <v>970</v>
          </cell>
          <cell r="CY63">
            <v>1108</v>
          </cell>
          <cell r="CZ63">
            <v>944</v>
          </cell>
          <cell r="DA63">
            <v>1173</v>
          </cell>
          <cell r="DB63">
            <v>1104</v>
          </cell>
          <cell r="DC63">
            <v>1139</v>
          </cell>
          <cell r="DD63">
            <v>1086</v>
          </cell>
          <cell r="DE63">
            <v>935</v>
          </cell>
          <cell r="DF63">
            <v>1128</v>
          </cell>
          <cell r="DG63">
            <v>1076</v>
          </cell>
          <cell r="DH63">
            <v>1086</v>
          </cell>
          <cell r="DI63">
            <v>1053</v>
          </cell>
          <cell r="DJ63">
            <v>1106</v>
          </cell>
          <cell r="DK63">
            <v>1002</v>
          </cell>
          <cell r="DL63">
            <v>1085</v>
          </cell>
          <cell r="DM63">
            <v>1207</v>
          </cell>
          <cell r="DN63">
            <v>978</v>
          </cell>
          <cell r="DO63">
            <v>1069</v>
          </cell>
          <cell r="DP63">
            <v>1086</v>
          </cell>
          <cell r="DQ63">
            <v>1003</v>
          </cell>
          <cell r="DR63">
            <v>1063</v>
          </cell>
          <cell r="DS63">
            <v>1028</v>
          </cell>
          <cell r="DT63">
            <v>1057</v>
          </cell>
          <cell r="DU63">
            <v>1129</v>
          </cell>
          <cell r="DV63">
            <v>1092</v>
          </cell>
          <cell r="DW63">
            <v>984</v>
          </cell>
          <cell r="DX63">
            <v>1078</v>
          </cell>
          <cell r="DY63">
            <v>1120</v>
          </cell>
          <cell r="DZ63">
            <v>842</v>
          </cell>
          <cell r="EA63">
            <v>1207</v>
          </cell>
          <cell r="EB63">
            <v>1169</v>
          </cell>
          <cell r="EC63">
            <v>1040</v>
          </cell>
          <cell r="ED63">
            <v>764</v>
          </cell>
          <cell r="EE63">
            <v>907</v>
          </cell>
          <cell r="EF63">
            <v>1009</v>
          </cell>
          <cell r="EG63">
            <v>1041</v>
          </cell>
          <cell r="EH63">
            <v>881</v>
          </cell>
          <cell r="EI63">
            <v>921</v>
          </cell>
          <cell r="EJ63">
            <v>995</v>
          </cell>
          <cell r="EK63">
            <v>993</v>
          </cell>
          <cell r="EL63">
            <v>1014</v>
          </cell>
          <cell r="EM63">
            <v>976</v>
          </cell>
          <cell r="EN63">
            <v>968</v>
          </cell>
          <cell r="EO63">
            <v>1048</v>
          </cell>
          <cell r="EP63">
            <v>1085</v>
          </cell>
          <cell r="EQ63">
            <v>1031</v>
          </cell>
          <cell r="ER63">
            <v>1066</v>
          </cell>
          <cell r="ES63">
            <v>1106</v>
          </cell>
          <cell r="ET63">
            <v>1024</v>
          </cell>
          <cell r="EU63">
            <v>1075</v>
          </cell>
          <cell r="EV63">
            <v>1146</v>
          </cell>
          <cell r="EW63">
            <v>1070</v>
          </cell>
          <cell r="EX63">
            <v>1038</v>
          </cell>
          <cell r="EY63">
            <v>1135</v>
          </cell>
          <cell r="EZ63">
            <v>1011</v>
          </cell>
          <cell r="FA63">
            <v>1040</v>
          </cell>
          <cell r="FB63">
            <v>1070</v>
          </cell>
          <cell r="FC63">
            <v>1037</v>
          </cell>
          <cell r="FD63">
            <v>1109</v>
          </cell>
          <cell r="FE63">
            <v>961</v>
          </cell>
          <cell r="FF63">
            <v>1083</v>
          </cell>
          <cell r="FG63">
            <v>1008</v>
          </cell>
          <cell r="FH63">
            <v>1115</v>
          </cell>
          <cell r="FI63">
            <v>1087</v>
          </cell>
          <cell r="FJ63">
            <v>1057</v>
          </cell>
          <cell r="FK63">
            <v>984</v>
          </cell>
          <cell r="FL63">
            <v>1086</v>
          </cell>
          <cell r="FM63">
            <v>1135</v>
          </cell>
          <cell r="FN63">
            <v>1060</v>
          </cell>
          <cell r="FO63">
            <v>935</v>
          </cell>
          <cell r="FP63">
            <v>1105</v>
          </cell>
          <cell r="FQ63">
            <v>1144</v>
          </cell>
          <cell r="FR63">
            <v>1024</v>
          </cell>
          <cell r="FS63">
            <v>1026</v>
          </cell>
          <cell r="FT63">
            <v>1141</v>
          </cell>
          <cell r="FU63">
            <v>1048</v>
          </cell>
          <cell r="FV63">
            <v>1088</v>
          </cell>
          <cell r="FW63">
            <v>1051</v>
          </cell>
          <cell r="FX63">
            <v>1020</v>
          </cell>
          <cell r="FY63">
            <v>1212</v>
          </cell>
          <cell r="FZ63">
            <v>810</v>
          </cell>
          <cell r="GA63">
            <v>1145</v>
          </cell>
          <cell r="GB63">
            <v>1059</v>
          </cell>
          <cell r="GC63">
            <v>1048</v>
          </cell>
          <cell r="GD63">
            <v>714</v>
          </cell>
          <cell r="GE63">
            <v>953</v>
          </cell>
          <cell r="GF63">
            <v>1071</v>
          </cell>
          <cell r="GG63">
            <v>917</v>
          </cell>
          <cell r="GH63">
            <v>937</v>
          </cell>
          <cell r="GI63">
            <v>994</v>
          </cell>
          <cell r="GJ63">
            <v>943</v>
          </cell>
          <cell r="GK63">
            <v>946</v>
          </cell>
          <cell r="GL63">
            <v>1006</v>
          </cell>
          <cell r="GM63">
            <v>971</v>
          </cell>
          <cell r="GN63">
            <v>1010</v>
          </cell>
        </row>
        <row r="64">
          <cell r="B64" t="str">
            <v>NORVIR</v>
          </cell>
          <cell r="C64" t="str">
            <v>ABT</v>
          </cell>
          <cell r="D64">
            <v>13301</v>
          </cell>
          <cell r="E64">
            <v>12209</v>
          </cell>
          <cell r="F64">
            <v>13185</v>
          </cell>
          <cell r="G64">
            <v>12843</v>
          </cell>
          <cell r="H64">
            <v>12944</v>
          </cell>
          <cell r="I64">
            <v>13224</v>
          </cell>
          <cell r="J64">
            <v>13420</v>
          </cell>
          <cell r="K64">
            <v>13357</v>
          </cell>
          <cell r="L64">
            <v>13292</v>
          </cell>
          <cell r="M64">
            <v>13676</v>
          </cell>
          <cell r="N64">
            <v>12503</v>
          </cell>
          <cell r="O64">
            <v>13578</v>
          </cell>
          <cell r="P64">
            <v>13366</v>
          </cell>
          <cell r="Q64">
            <v>13323</v>
          </cell>
          <cell r="R64">
            <v>13907</v>
          </cell>
          <cell r="S64">
            <v>13758</v>
          </cell>
          <cell r="T64">
            <v>13563</v>
          </cell>
          <cell r="U64">
            <v>13681</v>
          </cell>
          <cell r="V64">
            <v>13811</v>
          </cell>
          <cell r="W64">
            <v>13743</v>
          </cell>
          <cell r="X64">
            <v>13675</v>
          </cell>
          <cell r="Y64">
            <v>12134</v>
          </cell>
          <cell r="Z64">
            <v>14882</v>
          </cell>
          <cell r="AA64">
            <v>14880</v>
          </cell>
          <cell r="AB64">
            <v>14346</v>
          </cell>
          <cell r="AC64">
            <v>14762</v>
          </cell>
          <cell r="AD64">
            <v>12800</v>
          </cell>
          <cell r="AE64">
            <v>13318</v>
          </cell>
          <cell r="AF64">
            <v>14769</v>
          </cell>
          <cell r="AG64">
            <v>14007</v>
          </cell>
          <cell r="AH64">
            <v>14132</v>
          </cell>
          <cell r="AI64">
            <v>14619</v>
          </cell>
          <cell r="AJ64">
            <v>14313</v>
          </cell>
          <cell r="AK64">
            <v>14150</v>
          </cell>
          <cell r="AL64">
            <v>13934</v>
          </cell>
          <cell r="AM64">
            <v>15395</v>
          </cell>
          <cell r="AN64">
            <v>15086</v>
          </cell>
          <cell r="AO64">
            <v>14611</v>
          </cell>
          <cell r="AP64">
            <v>14087</v>
          </cell>
          <cell r="AQ64">
            <v>14079</v>
          </cell>
          <cell r="AR64">
            <v>15244</v>
          </cell>
          <cell r="AS64">
            <v>14685</v>
          </cell>
          <cell r="AT64">
            <v>14425</v>
          </cell>
          <cell r="AU64">
            <v>14456</v>
          </cell>
          <cell r="AV64">
            <v>15634</v>
          </cell>
          <cell r="AW64">
            <v>15037</v>
          </cell>
          <cell r="AX64">
            <v>14649</v>
          </cell>
          <cell r="AY64">
            <v>14812</v>
          </cell>
          <cell r="AZ64">
            <v>14343</v>
          </cell>
          <cell r="BA64">
            <v>16001</v>
          </cell>
          <cell r="BB64">
            <v>15233</v>
          </cell>
          <cell r="BC64">
            <v>14951</v>
          </cell>
          <cell r="BD64">
            <v>15573</v>
          </cell>
          <cell r="BE64">
            <v>14509</v>
          </cell>
          <cell r="BF64">
            <v>15825</v>
          </cell>
          <cell r="BG64">
            <v>15269</v>
          </cell>
          <cell r="BH64">
            <v>15133</v>
          </cell>
          <cell r="BI64">
            <v>16083</v>
          </cell>
          <cell r="BJ64">
            <v>15595</v>
          </cell>
          <cell r="BK64">
            <v>15020</v>
          </cell>
          <cell r="BL64">
            <v>14963</v>
          </cell>
          <cell r="BM64">
            <v>15624</v>
          </cell>
          <cell r="BN64">
            <v>14577</v>
          </cell>
          <cell r="BO64">
            <v>15930</v>
          </cell>
          <cell r="BP64">
            <v>15781</v>
          </cell>
          <cell r="BQ64">
            <v>15712</v>
          </cell>
          <cell r="BR64">
            <v>16570</v>
          </cell>
          <cell r="BS64">
            <v>15912</v>
          </cell>
          <cell r="BT64">
            <v>15910</v>
          </cell>
          <cell r="BU64">
            <v>15663</v>
          </cell>
          <cell r="BV64">
            <v>16476</v>
          </cell>
          <cell r="BW64">
            <v>16534</v>
          </cell>
          <cell r="BX64">
            <v>16137</v>
          </cell>
          <cell r="BY64">
            <v>13867</v>
          </cell>
          <cell r="BZ64">
            <v>17570</v>
          </cell>
          <cell r="CA64">
            <v>17361</v>
          </cell>
          <cell r="CB64">
            <v>17157</v>
          </cell>
          <cell r="CC64">
            <v>17015</v>
          </cell>
          <cell r="CD64">
            <v>14368</v>
          </cell>
          <cell r="CE64">
            <v>15401</v>
          </cell>
          <cell r="CF64">
            <v>17855</v>
          </cell>
          <cell r="CG64">
            <v>17122</v>
          </cell>
          <cell r="CH64">
            <v>16048</v>
          </cell>
          <cell r="CI64">
            <v>17146</v>
          </cell>
          <cell r="CJ64">
            <v>17449</v>
          </cell>
          <cell r="CK64">
            <v>17476</v>
          </cell>
          <cell r="CL64">
            <v>16783</v>
          </cell>
          <cell r="CM64">
            <v>17610</v>
          </cell>
          <cell r="CN64">
            <v>19337</v>
          </cell>
          <cell r="CO64">
            <v>18232</v>
          </cell>
          <cell r="CP64">
            <v>17544</v>
          </cell>
          <cell r="CQ64">
            <v>17145</v>
          </cell>
          <cell r="CR64">
            <v>18632</v>
          </cell>
          <cell r="CS64">
            <v>18174</v>
          </cell>
          <cell r="CT64">
            <v>17911</v>
          </cell>
          <cell r="CU64">
            <v>17550</v>
          </cell>
          <cell r="CV64">
            <v>18652</v>
          </cell>
          <cell r="CW64">
            <v>18541</v>
          </cell>
          <cell r="CX64">
            <v>17958</v>
          </cell>
          <cell r="CY64">
            <v>18020</v>
          </cell>
          <cell r="CZ64">
            <v>17081</v>
          </cell>
          <cell r="DA64">
            <v>19727</v>
          </cell>
          <cell r="DB64">
            <v>18108</v>
          </cell>
          <cell r="DC64">
            <v>17574</v>
          </cell>
          <cell r="DD64">
            <v>18149</v>
          </cell>
          <cell r="DE64">
            <v>18088</v>
          </cell>
          <cell r="DF64">
            <v>19092</v>
          </cell>
          <cell r="DG64">
            <v>18864</v>
          </cell>
          <cell r="DH64">
            <v>18408</v>
          </cell>
          <cell r="DI64">
            <v>19106</v>
          </cell>
          <cell r="DJ64">
            <v>19075</v>
          </cell>
          <cell r="DK64">
            <v>19076</v>
          </cell>
          <cell r="DL64">
            <v>18462</v>
          </cell>
          <cell r="DM64">
            <v>19211</v>
          </cell>
          <cell r="DN64">
            <v>18855</v>
          </cell>
          <cell r="DO64">
            <v>20506</v>
          </cell>
          <cell r="DP64">
            <v>19737</v>
          </cell>
          <cell r="DQ64">
            <v>19352</v>
          </cell>
          <cell r="DR64">
            <v>20461</v>
          </cell>
          <cell r="DS64">
            <v>20162</v>
          </cell>
          <cell r="DT64">
            <v>19318</v>
          </cell>
          <cell r="DU64">
            <v>19403</v>
          </cell>
          <cell r="DV64">
            <v>18967</v>
          </cell>
          <cell r="DW64">
            <v>20644</v>
          </cell>
          <cell r="DX64">
            <v>19753</v>
          </cell>
          <cell r="DY64">
            <v>20123</v>
          </cell>
          <cell r="DZ64">
            <v>16901</v>
          </cell>
          <cell r="EA64">
            <v>22291</v>
          </cell>
          <cell r="EB64">
            <v>21379</v>
          </cell>
          <cell r="EC64">
            <v>21373</v>
          </cell>
          <cell r="ED64">
            <v>16571</v>
          </cell>
          <cell r="EE64">
            <v>18982</v>
          </cell>
          <cell r="EF64">
            <v>22225</v>
          </cell>
          <cell r="EG64">
            <v>21018</v>
          </cell>
          <cell r="EH64">
            <v>19562</v>
          </cell>
          <cell r="EI64">
            <v>19745</v>
          </cell>
          <cell r="EJ64">
            <v>21320</v>
          </cell>
          <cell r="EK64">
            <v>20304</v>
          </cell>
          <cell r="EL64">
            <v>20057</v>
          </cell>
          <cell r="EM64">
            <v>20467</v>
          </cell>
          <cell r="EN64">
            <v>22166</v>
          </cell>
          <cell r="EO64">
            <v>21140</v>
          </cell>
          <cell r="EP64">
            <v>20397</v>
          </cell>
          <cell r="EQ64">
            <v>20225</v>
          </cell>
          <cell r="ER64">
            <v>21194</v>
          </cell>
          <cell r="ES64">
            <v>21358</v>
          </cell>
          <cell r="ET64">
            <v>20835</v>
          </cell>
          <cell r="EU64">
            <v>20437</v>
          </cell>
          <cell r="EV64">
            <v>21571</v>
          </cell>
          <cell r="EW64">
            <v>22550</v>
          </cell>
          <cell r="EX64">
            <v>21234</v>
          </cell>
          <cell r="EY64">
            <v>20997</v>
          </cell>
          <cell r="EZ64">
            <v>19923</v>
          </cell>
          <cell r="FA64">
            <v>22995</v>
          </cell>
          <cell r="FB64">
            <v>22277</v>
          </cell>
          <cell r="FC64">
            <v>21022</v>
          </cell>
          <cell r="FD64">
            <v>21594</v>
          </cell>
          <cell r="FE64">
            <v>22840</v>
          </cell>
          <cell r="FF64">
            <v>21964</v>
          </cell>
          <cell r="FG64">
            <v>22774</v>
          </cell>
          <cell r="FH64">
            <v>21603</v>
          </cell>
          <cell r="FI64">
            <v>22370</v>
          </cell>
          <cell r="FJ64">
            <v>23512</v>
          </cell>
          <cell r="FK64">
            <v>22466</v>
          </cell>
          <cell r="FL64">
            <v>22371</v>
          </cell>
          <cell r="FM64">
            <v>22362</v>
          </cell>
          <cell r="FN64">
            <v>23839</v>
          </cell>
          <cell r="FO64">
            <v>20924</v>
          </cell>
          <cell r="FP64">
            <v>23091</v>
          </cell>
          <cell r="FQ64">
            <v>22770</v>
          </cell>
          <cell r="FR64">
            <v>24299</v>
          </cell>
          <cell r="FS64">
            <v>22782</v>
          </cell>
          <cell r="FT64">
            <v>23025</v>
          </cell>
          <cell r="FU64">
            <v>22450</v>
          </cell>
          <cell r="FV64">
            <v>23009</v>
          </cell>
          <cell r="FW64">
            <v>23916</v>
          </cell>
          <cell r="FX64">
            <v>23547</v>
          </cell>
          <cell r="FY64">
            <v>23714</v>
          </cell>
          <cell r="FZ64">
            <v>20431</v>
          </cell>
          <cell r="GA64">
            <v>26412</v>
          </cell>
          <cell r="GB64">
            <v>24885</v>
          </cell>
          <cell r="GC64">
            <v>24922</v>
          </cell>
          <cell r="GD64">
            <v>19766</v>
          </cell>
          <cell r="GE64">
            <v>23605</v>
          </cell>
          <cell r="GF64">
            <v>25578</v>
          </cell>
          <cell r="GG64">
            <v>24952</v>
          </cell>
          <cell r="GH64">
            <v>22703</v>
          </cell>
          <cell r="GI64">
            <v>23613</v>
          </cell>
          <cell r="GJ64">
            <v>25188</v>
          </cell>
          <cell r="GK64">
            <v>23279</v>
          </cell>
          <cell r="GL64">
            <v>23569</v>
          </cell>
          <cell r="GM64">
            <v>24148</v>
          </cell>
          <cell r="GN64">
            <v>26709</v>
          </cell>
        </row>
        <row r="65">
          <cell r="B65" t="str">
            <v>ORENCIA</v>
          </cell>
          <cell r="C65" t="str">
            <v>BMP</v>
          </cell>
          <cell r="D65">
            <v>61</v>
          </cell>
          <cell r="E65">
            <v>19</v>
          </cell>
          <cell r="F65">
            <v>75</v>
          </cell>
          <cell r="G65">
            <v>65</v>
          </cell>
          <cell r="H65">
            <v>66</v>
          </cell>
          <cell r="I65">
            <v>55</v>
          </cell>
          <cell r="J65">
            <v>97</v>
          </cell>
          <cell r="K65">
            <v>79</v>
          </cell>
          <cell r="L65">
            <v>91</v>
          </cell>
          <cell r="M65">
            <v>75</v>
          </cell>
          <cell r="N65">
            <v>84</v>
          </cell>
          <cell r="O65">
            <v>118</v>
          </cell>
          <cell r="P65">
            <v>100</v>
          </cell>
          <cell r="Q65">
            <v>80</v>
          </cell>
          <cell r="R65">
            <v>151</v>
          </cell>
          <cell r="S65">
            <v>129</v>
          </cell>
          <cell r="T65">
            <v>112</v>
          </cell>
          <cell r="U65">
            <v>119</v>
          </cell>
          <cell r="V65">
            <v>163</v>
          </cell>
          <cell r="W65">
            <v>118</v>
          </cell>
          <cell r="X65">
            <v>163</v>
          </cell>
          <cell r="Y65">
            <v>97</v>
          </cell>
          <cell r="Z65">
            <v>137</v>
          </cell>
          <cell r="AA65">
            <v>154</v>
          </cell>
          <cell r="AB65">
            <v>171</v>
          </cell>
          <cell r="AC65">
            <v>150</v>
          </cell>
          <cell r="AD65">
            <v>138</v>
          </cell>
          <cell r="AE65">
            <v>107</v>
          </cell>
          <cell r="AF65">
            <v>160</v>
          </cell>
          <cell r="AG65">
            <v>142</v>
          </cell>
          <cell r="AH65">
            <v>146</v>
          </cell>
          <cell r="AI65">
            <v>155</v>
          </cell>
          <cell r="AJ65">
            <v>187</v>
          </cell>
          <cell r="AK65">
            <v>131</v>
          </cell>
          <cell r="AL65">
            <v>179</v>
          </cell>
          <cell r="AM65">
            <v>203</v>
          </cell>
          <cell r="AN65">
            <v>169</v>
          </cell>
          <cell r="AO65">
            <v>139</v>
          </cell>
          <cell r="AP65">
            <v>142</v>
          </cell>
          <cell r="AQ65">
            <v>104</v>
          </cell>
          <cell r="AR65">
            <v>111</v>
          </cell>
          <cell r="AS65">
            <v>116</v>
          </cell>
          <cell r="AT65">
            <v>93</v>
          </cell>
          <cell r="AU65">
            <v>113</v>
          </cell>
          <cell r="AV65">
            <v>109</v>
          </cell>
          <cell r="AW65">
            <v>114</v>
          </cell>
          <cell r="AX65">
            <v>131</v>
          </cell>
          <cell r="AY65">
            <v>124</v>
          </cell>
          <cell r="AZ65">
            <v>145</v>
          </cell>
          <cell r="BA65">
            <v>155</v>
          </cell>
          <cell r="BB65">
            <v>147</v>
          </cell>
          <cell r="BC65">
            <v>132</v>
          </cell>
          <cell r="BD65">
            <v>144</v>
          </cell>
          <cell r="BE65">
            <v>143</v>
          </cell>
          <cell r="BF65">
            <v>161</v>
          </cell>
          <cell r="BG65">
            <v>138</v>
          </cell>
          <cell r="BH65">
            <v>161</v>
          </cell>
          <cell r="BI65">
            <v>170</v>
          </cell>
          <cell r="BJ65">
            <v>150</v>
          </cell>
          <cell r="BK65">
            <v>151</v>
          </cell>
          <cell r="BL65">
            <v>168</v>
          </cell>
          <cell r="BM65">
            <v>193</v>
          </cell>
          <cell r="BN65">
            <v>126</v>
          </cell>
          <cell r="BO65">
            <v>146</v>
          </cell>
          <cell r="BP65">
            <v>193</v>
          </cell>
          <cell r="BQ65">
            <v>171</v>
          </cell>
          <cell r="BR65">
            <v>153</v>
          </cell>
          <cell r="BS65">
            <v>163</v>
          </cell>
          <cell r="BT65">
            <v>171</v>
          </cell>
          <cell r="BU65">
            <v>170</v>
          </cell>
          <cell r="BV65">
            <v>203</v>
          </cell>
          <cell r="BW65">
            <v>176</v>
          </cell>
          <cell r="BX65">
            <v>207</v>
          </cell>
          <cell r="BY65">
            <v>127</v>
          </cell>
          <cell r="BZ65">
            <v>182</v>
          </cell>
          <cell r="CA65">
            <v>174</v>
          </cell>
          <cell r="CB65">
            <v>194</v>
          </cell>
          <cell r="CC65">
            <v>182</v>
          </cell>
          <cell r="CD65">
            <v>130</v>
          </cell>
          <cell r="CE65">
            <v>161</v>
          </cell>
          <cell r="CF65">
            <v>177</v>
          </cell>
          <cell r="CG65">
            <v>187</v>
          </cell>
          <cell r="CH65">
            <v>135</v>
          </cell>
          <cell r="CI65">
            <v>203</v>
          </cell>
          <cell r="CJ65">
            <v>186</v>
          </cell>
          <cell r="CK65">
            <v>171</v>
          </cell>
          <cell r="CL65">
            <v>181</v>
          </cell>
          <cell r="CM65">
            <v>225</v>
          </cell>
          <cell r="CN65">
            <v>235</v>
          </cell>
          <cell r="CO65">
            <v>209</v>
          </cell>
          <cell r="CP65">
            <v>203</v>
          </cell>
          <cell r="CQ65">
            <v>230</v>
          </cell>
          <cell r="CR65">
            <v>246</v>
          </cell>
          <cell r="CS65">
            <v>230</v>
          </cell>
          <cell r="CT65">
            <v>198</v>
          </cell>
          <cell r="CU65">
            <v>233</v>
          </cell>
          <cell r="CV65">
            <v>230</v>
          </cell>
          <cell r="CW65">
            <v>242</v>
          </cell>
          <cell r="CX65">
            <v>253</v>
          </cell>
          <cell r="CY65">
            <v>246</v>
          </cell>
          <cell r="CZ65">
            <v>253</v>
          </cell>
          <cell r="DA65">
            <v>282</v>
          </cell>
          <cell r="DB65">
            <v>274</v>
          </cell>
          <cell r="DC65">
            <v>240</v>
          </cell>
          <cell r="DD65">
            <v>311</v>
          </cell>
          <cell r="DE65">
            <v>249</v>
          </cell>
          <cell r="DF65">
            <v>304</v>
          </cell>
          <cell r="DG65">
            <v>285</v>
          </cell>
          <cell r="DH65">
            <v>278</v>
          </cell>
          <cell r="DI65">
            <v>307</v>
          </cell>
          <cell r="DJ65">
            <v>330</v>
          </cell>
          <cell r="DK65">
            <v>284</v>
          </cell>
          <cell r="DL65">
            <v>281</v>
          </cell>
          <cell r="DM65">
            <v>305</v>
          </cell>
          <cell r="DN65">
            <v>270</v>
          </cell>
          <cell r="DO65">
            <v>379</v>
          </cell>
          <cell r="DP65">
            <v>305</v>
          </cell>
          <cell r="DQ65">
            <v>364</v>
          </cell>
          <cell r="DR65">
            <v>361</v>
          </cell>
          <cell r="DS65">
            <v>424</v>
          </cell>
          <cell r="DT65">
            <v>351</v>
          </cell>
          <cell r="DU65">
            <v>350</v>
          </cell>
          <cell r="DV65">
            <v>370</v>
          </cell>
          <cell r="DW65">
            <v>444</v>
          </cell>
          <cell r="DX65">
            <v>376</v>
          </cell>
          <cell r="DY65">
            <v>395</v>
          </cell>
          <cell r="DZ65">
            <v>299</v>
          </cell>
          <cell r="EA65">
            <v>486</v>
          </cell>
          <cell r="EB65">
            <v>420</v>
          </cell>
          <cell r="EC65">
            <v>424</v>
          </cell>
          <cell r="ED65">
            <v>214</v>
          </cell>
          <cell r="EE65">
            <v>322</v>
          </cell>
          <cell r="EF65">
            <v>343</v>
          </cell>
          <cell r="EG65">
            <v>309</v>
          </cell>
          <cell r="EH65">
            <v>242</v>
          </cell>
          <cell r="EI65">
            <v>320</v>
          </cell>
          <cell r="EJ65">
            <v>372</v>
          </cell>
          <cell r="EK65">
            <v>313</v>
          </cell>
          <cell r="EL65">
            <v>273</v>
          </cell>
          <cell r="EM65">
            <v>319</v>
          </cell>
          <cell r="EN65">
            <v>420</v>
          </cell>
          <cell r="EO65">
            <v>302</v>
          </cell>
          <cell r="EP65">
            <v>325</v>
          </cell>
          <cell r="EQ65">
            <v>340</v>
          </cell>
          <cell r="ER65">
            <v>350</v>
          </cell>
          <cell r="ES65">
            <v>386</v>
          </cell>
          <cell r="ET65">
            <v>338</v>
          </cell>
          <cell r="EU65">
            <v>440</v>
          </cell>
          <cell r="EV65">
            <v>439</v>
          </cell>
          <cell r="EW65">
            <v>409</v>
          </cell>
          <cell r="EX65">
            <v>436</v>
          </cell>
          <cell r="EY65">
            <v>436</v>
          </cell>
          <cell r="EZ65">
            <v>371</v>
          </cell>
          <cell r="FA65">
            <v>459</v>
          </cell>
          <cell r="FB65">
            <v>466</v>
          </cell>
          <cell r="FC65">
            <v>408</v>
          </cell>
          <cell r="FD65">
            <v>433</v>
          </cell>
          <cell r="FE65">
            <v>369</v>
          </cell>
          <cell r="FF65">
            <v>498</v>
          </cell>
          <cell r="FG65">
            <v>442</v>
          </cell>
          <cell r="FH65">
            <v>468</v>
          </cell>
          <cell r="FI65">
            <v>464</v>
          </cell>
          <cell r="FJ65">
            <v>503</v>
          </cell>
          <cell r="FK65">
            <v>436</v>
          </cell>
          <cell r="FL65">
            <v>466</v>
          </cell>
          <cell r="FM65">
            <v>428</v>
          </cell>
          <cell r="FN65">
            <v>536</v>
          </cell>
          <cell r="FO65">
            <v>358</v>
          </cell>
          <cell r="FP65">
            <v>451</v>
          </cell>
          <cell r="FQ65">
            <v>480</v>
          </cell>
          <cell r="FR65">
            <v>470</v>
          </cell>
          <cell r="FS65">
            <v>458</v>
          </cell>
          <cell r="FT65">
            <v>431</v>
          </cell>
          <cell r="FU65">
            <v>421</v>
          </cell>
          <cell r="FV65">
            <v>457</v>
          </cell>
          <cell r="FW65">
            <v>475</v>
          </cell>
          <cell r="FX65">
            <v>443</v>
          </cell>
          <cell r="FY65">
            <v>468</v>
          </cell>
          <cell r="FZ65">
            <v>313</v>
          </cell>
          <cell r="GA65">
            <v>442</v>
          </cell>
          <cell r="GB65">
            <v>532</v>
          </cell>
          <cell r="GC65">
            <v>461</v>
          </cell>
          <cell r="GD65">
            <v>277</v>
          </cell>
          <cell r="GE65">
            <v>366</v>
          </cell>
          <cell r="GF65">
            <v>570</v>
          </cell>
          <cell r="GG65">
            <v>558</v>
          </cell>
          <cell r="GH65">
            <v>510</v>
          </cell>
          <cell r="GI65">
            <v>554</v>
          </cell>
          <cell r="GJ65">
            <v>512</v>
          </cell>
          <cell r="GK65">
            <v>522</v>
          </cell>
          <cell r="GL65">
            <v>557</v>
          </cell>
          <cell r="GM65">
            <v>530</v>
          </cell>
          <cell r="GN65">
            <v>581</v>
          </cell>
        </row>
        <row r="66">
          <cell r="B66" t="str">
            <v>ORTHOVISC</v>
          </cell>
          <cell r="C66" t="str">
            <v>DY+</v>
          </cell>
          <cell r="D66">
            <v>143</v>
          </cell>
          <cell r="E66">
            <v>126</v>
          </cell>
          <cell r="F66">
            <v>173</v>
          </cell>
          <cell r="G66">
            <v>144</v>
          </cell>
          <cell r="H66">
            <v>172</v>
          </cell>
          <cell r="I66">
            <v>155</v>
          </cell>
          <cell r="J66">
            <v>205</v>
          </cell>
          <cell r="K66">
            <v>211</v>
          </cell>
          <cell r="L66">
            <v>194</v>
          </cell>
          <cell r="M66">
            <v>169</v>
          </cell>
          <cell r="N66">
            <v>154</v>
          </cell>
          <cell r="O66">
            <v>184</v>
          </cell>
          <cell r="P66">
            <v>225</v>
          </cell>
          <cell r="Q66">
            <v>196</v>
          </cell>
          <cell r="R66">
            <v>221</v>
          </cell>
          <cell r="S66">
            <v>194</v>
          </cell>
          <cell r="T66">
            <v>182</v>
          </cell>
          <cell r="U66">
            <v>202</v>
          </cell>
          <cell r="V66">
            <v>214</v>
          </cell>
          <cell r="W66">
            <v>203</v>
          </cell>
          <cell r="X66">
            <v>202</v>
          </cell>
          <cell r="Y66">
            <v>160</v>
          </cell>
          <cell r="Z66">
            <v>186</v>
          </cell>
          <cell r="AA66">
            <v>173</v>
          </cell>
          <cell r="AB66">
            <v>216</v>
          </cell>
          <cell r="AC66">
            <v>158</v>
          </cell>
          <cell r="AD66">
            <v>124</v>
          </cell>
          <cell r="AE66">
            <v>123</v>
          </cell>
          <cell r="AF66">
            <v>185</v>
          </cell>
          <cell r="AG66">
            <v>148</v>
          </cell>
          <cell r="AH66">
            <v>159</v>
          </cell>
          <cell r="AI66">
            <v>176</v>
          </cell>
          <cell r="AJ66">
            <v>216</v>
          </cell>
          <cell r="AK66">
            <v>153</v>
          </cell>
          <cell r="AL66">
            <v>186</v>
          </cell>
          <cell r="AM66">
            <v>191</v>
          </cell>
          <cell r="AN66">
            <v>218</v>
          </cell>
          <cell r="AO66">
            <v>201</v>
          </cell>
          <cell r="AP66">
            <v>172</v>
          </cell>
          <cell r="AQ66">
            <v>196</v>
          </cell>
          <cell r="AR66">
            <v>237</v>
          </cell>
          <cell r="AS66">
            <v>212</v>
          </cell>
          <cell r="AT66">
            <v>227</v>
          </cell>
          <cell r="AU66">
            <v>215</v>
          </cell>
          <cell r="AV66">
            <v>214</v>
          </cell>
          <cell r="AW66">
            <v>218</v>
          </cell>
          <cell r="AX66">
            <v>250</v>
          </cell>
          <cell r="AY66">
            <v>245</v>
          </cell>
          <cell r="AZ66">
            <v>179</v>
          </cell>
          <cell r="BA66">
            <v>230</v>
          </cell>
          <cell r="BB66">
            <v>243</v>
          </cell>
          <cell r="BC66">
            <v>207</v>
          </cell>
          <cell r="BD66">
            <v>219</v>
          </cell>
          <cell r="BE66">
            <v>149</v>
          </cell>
          <cell r="BF66">
            <v>217</v>
          </cell>
          <cell r="BG66">
            <v>229</v>
          </cell>
          <cell r="BH66">
            <v>190</v>
          </cell>
          <cell r="BI66">
            <v>215</v>
          </cell>
          <cell r="BJ66">
            <v>231</v>
          </cell>
          <cell r="BK66">
            <v>211</v>
          </cell>
          <cell r="BL66">
            <v>258</v>
          </cell>
          <cell r="BM66">
            <v>229</v>
          </cell>
          <cell r="BN66">
            <v>168</v>
          </cell>
          <cell r="BO66">
            <v>209</v>
          </cell>
          <cell r="BP66">
            <v>269</v>
          </cell>
          <cell r="BQ66">
            <v>252</v>
          </cell>
          <cell r="BR66">
            <v>253</v>
          </cell>
          <cell r="BS66">
            <v>222</v>
          </cell>
          <cell r="BT66">
            <v>273</v>
          </cell>
          <cell r="BU66">
            <v>245</v>
          </cell>
          <cell r="BV66">
            <v>258</v>
          </cell>
          <cell r="BW66">
            <v>243</v>
          </cell>
          <cell r="BX66">
            <v>195</v>
          </cell>
          <cell r="BY66">
            <v>202</v>
          </cell>
          <cell r="BZ66">
            <v>248</v>
          </cell>
          <cell r="CA66">
            <v>220</v>
          </cell>
          <cell r="CB66">
            <v>213</v>
          </cell>
          <cell r="CC66">
            <v>297</v>
          </cell>
          <cell r="CD66">
            <v>171</v>
          </cell>
          <cell r="CE66">
            <v>118</v>
          </cell>
          <cell r="CF66">
            <v>227</v>
          </cell>
          <cell r="CG66">
            <v>235</v>
          </cell>
          <cell r="CH66">
            <v>225</v>
          </cell>
          <cell r="CI66">
            <v>240</v>
          </cell>
          <cell r="CJ66">
            <v>263</v>
          </cell>
          <cell r="CK66">
            <v>245</v>
          </cell>
          <cell r="CL66">
            <v>241</v>
          </cell>
          <cell r="CM66">
            <v>266</v>
          </cell>
          <cell r="CN66">
            <v>326</v>
          </cell>
          <cell r="CO66">
            <v>291</v>
          </cell>
          <cell r="CP66">
            <v>245</v>
          </cell>
          <cell r="CQ66">
            <v>316</v>
          </cell>
          <cell r="CR66">
            <v>286</v>
          </cell>
          <cell r="CS66">
            <v>358</v>
          </cell>
          <cell r="CT66">
            <v>321</v>
          </cell>
          <cell r="CU66">
            <v>340</v>
          </cell>
          <cell r="CV66">
            <v>331</v>
          </cell>
          <cell r="CW66">
            <v>322</v>
          </cell>
          <cell r="CX66">
            <v>337</v>
          </cell>
          <cell r="CY66">
            <v>330</v>
          </cell>
          <cell r="CZ66">
            <v>282</v>
          </cell>
          <cell r="DA66">
            <v>308</v>
          </cell>
          <cell r="DB66">
            <v>368</v>
          </cell>
          <cell r="DC66">
            <v>321</v>
          </cell>
          <cell r="DD66">
            <v>264</v>
          </cell>
          <cell r="DE66">
            <v>203</v>
          </cell>
          <cell r="DF66">
            <v>289</v>
          </cell>
          <cell r="DG66">
            <v>247</v>
          </cell>
          <cell r="DH66">
            <v>228</v>
          </cell>
          <cell r="DI66">
            <v>239</v>
          </cell>
          <cell r="DJ66">
            <v>236</v>
          </cell>
          <cell r="DK66">
            <v>204</v>
          </cell>
          <cell r="DL66">
            <v>244</v>
          </cell>
          <cell r="DM66">
            <v>292</v>
          </cell>
          <cell r="DN66">
            <v>200</v>
          </cell>
          <cell r="DO66">
            <v>320</v>
          </cell>
          <cell r="DP66">
            <v>282</v>
          </cell>
          <cell r="DQ66">
            <v>300</v>
          </cell>
          <cell r="DR66">
            <v>284</v>
          </cell>
          <cell r="DS66">
            <v>271</v>
          </cell>
          <cell r="DT66">
            <v>291</v>
          </cell>
          <cell r="DU66">
            <v>337</v>
          </cell>
          <cell r="DV66">
            <v>331</v>
          </cell>
          <cell r="DW66">
            <v>267</v>
          </cell>
          <cell r="DX66">
            <v>257</v>
          </cell>
          <cell r="DY66">
            <v>280</v>
          </cell>
          <cell r="DZ66">
            <v>175</v>
          </cell>
          <cell r="EA66">
            <v>273</v>
          </cell>
          <cell r="EB66">
            <v>277</v>
          </cell>
          <cell r="EC66">
            <v>266</v>
          </cell>
          <cell r="ED66">
            <v>144</v>
          </cell>
          <cell r="EE66">
            <v>146</v>
          </cell>
          <cell r="EF66">
            <v>201</v>
          </cell>
          <cell r="EG66">
            <v>200</v>
          </cell>
          <cell r="EH66">
            <v>237</v>
          </cell>
          <cell r="EI66">
            <v>222</v>
          </cell>
          <cell r="EJ66">
            <v>190</v>
          </cell>
          <cell r="EK66">
            <v>259</v>
          </cell>
          <cell r="EL66">
            <v>236</v>
          </cell>
          <cell r="EM66">
            <v>257</v>
          </cell>
          <cell r="EN66">
            <v>236</v>
          </cell>
          <cell r="EO66">
            <v>268</v>
          </cell>
          <cell r="EP66">
            <v>277</v>
          </cell>
          <cell r="EQ66">
            <v>288</v>
          </cell>
          <cell r="ER66">
            <v>253</v>
          </cell>
          <cell r="ES66">
            <v>316</v>
          </cell>
          <cell r="ET66">
            <v>293</v>
          </cell>
          <cell r="EU66">
            <v>336</v>
          </cell>
          <cell r="EV66">
            <v>329</v>
          </cell>
          <cell r="EW66">
            <v>334</v>
          </cell>
          <cell r="EX66">
            <v>356</v>
          </cell>
          <cell r="EY66">
            <v>301</v>
          </cell>
          <cell r="EZ66">
            <v>278</v>
          </cell>
          <cell r="FA66">
            <v>376</v>
          </cell>
          <cell r="FB66">
            <v>392</v>
          </cell>
          <cell r="FC66">
            <v>401</v>
          </cell>
          <cell r="FD66">
            <v>381</v>
          </cell>
          <cell r="FE66">
            <v>308</v>
          </cell>
          <cell r="FF66">
            <v>298</v>
          </cell>
          <cell r="FG66">
            <v>348</v>
          </cell>
          <cell r="FH66">
            <v>363</v>
          </cell>
          <cell r="FI66">
            <v>346</v>
          </cell>
          <cell r="FJ66">
            <v>353</v>
          </cell>
          <cell r="FK66">
            <v>355</v>
          </cell>
          <cell r="FL66">
            <v>351</v>
          </cell>
          <cell r="FM66">
            <v>350</v>
          </cell>
          <cell r="FN66">
            <v>320</v>
          </cell>
          <cell r="FO66">
            <v>254</v>
          </cell>
          <cell r="FP66">
            <v>337</v>
          </cell>
          <cell r="FQ66">
            <v>332</v>
          </cell>
          <cell r="FR66">
            <v>353</v>
          </cell>
          <cell r="FS66">
            <v>343</v>
          </cell>
          <cell r="FT66">
            <v>290</v>
          </cell>
          <cell r="FU66">
            <v>262</v>
          </cell>
          <cell r="FV66">
            <v>282</v>
          </cell>
          <cell r="FW66">
            <v>216</v>
          </cell>
          <cell r="FX66">
            <v>255</v>
          </cell>
          <cell r="FY66">
            <v>268</v>
          </cell>
          <cell r="FZ66">
            <v>182</v>
          </cell>
          <cell r="GA66">
            <v>367</v>
          </cell>
          <cell r="GB66">
            <v>356</v>
          </cell>
          <cell r="GC66">
            <v>346</v>
          </cell>
          <cell r="GD66">
            <v>248</v>
          </cell>
          <cell r="GE66">
            <v>228</v>
          </cell>
          <cell r="GF66">
            <v>232</v>
          </cell>
          <cell r="GG66">
            <v>274</v>
          </cell>
          <cell r="GH66">
            <v>287</v>
          </cell>
          <cell r="GI66">
            <v>350</v>
          </cell>
          <cell r="GJ66">
            <v>320</v>
          </cell>
          <cell r="GK66">
            <v>243</v>
          </cell>
          <cell r="GL66">
            <v>353</v>
          </cell>
          <cell r="GM66">
            <v>330</v>
          </cell>
          <cell r="GN66">
            <v>361</v>
          </cell>
        </row>
        <row r="67">
          <cell r="B67" t="str">
            <v>PAMIDRONATE DISOD</v>
          </cell>
          <cell r="C67" t="str">
            <v>SDZ</v>
          </cell>
          <cell r="D67">
            <v>0</v>
          </cell>
          <cell r="E67">
            <v>0</v>
          </cell>
          <cell r="F67">
            <v>0</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13</v>
          </cell>
          <cell r="BR67">
            <v>10</v>
          </cell>
          <cell r="BS67">
            <v>8</v>
          </cell>
          <cell r="BT67">
            <v>6</v>
          </cell>
          <cell r="BU67">
            <v>3</v>
          </cell>
          <cell r="BV67">
            <v>4</v>
          </cell>
          <cell r="BW67">
            <v>7</v>
          </cell>
          <cell r="BX67">
            <v>5</v>
          </cell>
          <cell r="BY67">
            <v>2</v>
          </cell>
          <cell r="BZ67">
            <v>2</v>
          </cell>
          <cell r="CA67">
            <v>10</v>
          </cell>
          <cell r="CB67">
            <v>3</v>
          </cell>
          <cell r="CC67">
            <v>3</v>
          </cell>
          <cell r="CD67">
            <v>8</v>
          </cell>
          <cell r="CE67">
            <v>7</v>
          </cell>
          <cell r="CF67">
            <v>1</v>
          </cell>
          <cell r="CG67">
            <v>1</v>
          </cell>
          <cell r="CH67">
            <v>4</v>
          </cell>
          <cell r="CI67">
            <v>5</v>
          </cell>
          <cell r="CJ67">
            <v>3</v>
          </cell>
          <cell r="CK67">
            <v>11</v>
          </cell>
          <cell r="CL67">
            <v>8</v>
          </cell>
          <cell r="CM67">
            <v>3</v>
          </cell>
          <cell r="CN67">
            <v>7</v>
          </cell>
          <cell r="CO67">
            <v>8</v>
          </cell>
          <cell r="CP67">
            <v>11</v>
          </cell>
          <cell r="CQ67">
            <v>6</v>
          </cell>
          <cell r="CR67">
            <v>8</v>
          </cell>
          <cell r="CS67">
            <v>7</v>
          </cell>
          <cell r="CT67">
            <v>13</v>
          </cell>
          <cell r="CU67">
            <v>6</v>
          </cell>
          <cell r="CV67">
            <v>8</v>
          </cell>
          <cell r="CW67">
            <v>4</v>
          </cell>
          <cell r="CX67">
            <v>7</v>
          </cell>
          <cell r="CY67">
            <v>5</v>
          </cell>
          <cell r="CZ67">
            <v>15</v>
          </cell>
          <cell r="DA67">
            <v>8</v>
          </cell>
          <cell r="DB67">
            <v>5</v>
          </cell>
          <cell r="DC67">
            <v>12</v>
          </cell>
          <cell r="DD67">
            <v>2</v>
          </cell>
          <cell r="DE67">
            <v>12</v>
          </cell>
          <cell r="DF67">
            <v>5</v>
          </cell>
          <cell r="DG67">
            <v>5</v>
          </cell>
          <cell r="DH67">
            <v>11</v>
          </cell>
          <cell r="DI67">
            <v>0</v>
          </cell>
          <cell r="DJ67">
            <v>4</v>
          </cell>
          <cell r="DK67">
            <v>2</v>
          </cell>
          <cell r="DL67">
            <v>6</v>
          </cell>
          <cell r="DM67">
            <v>5</v>
          </cell>
          <cell r="DN67">
            <v>5</v>
          </cell>
          <cell r="DO67">
            <v>8</v>
          </cell>
          <cell r="DP67">
            <v>8</v>
          </cell>
          <cell r="DQ67">
            <v>1</v>
          </cell>
          <cell r="DR67">
            <v>9</v>
          </cell>
          <cell r="DS67">
            <v>4</v>
          </cell>
          <cell r="DT67">
            <v>10</v>
          </cell>
          <cell r="DU67">
            <v>1</v>
          </cell>
          <cell r="DV67">
            <v>6</v>
          </cell>
          <cell r="DW67">
            <v>0</v>
          </cell>
          <cell r="DX67">
            <v>1</v>
          </cell>
          <cell r="DY67">
            <v>7</v>
          </cell>
          <cell r="DZ67">
            <v>2</v>
          </cell>
          <cell r="EA67">
            <v>3</v>
          </cell>
          <cell r="EB67">
            <v>7</v>
          </cell>
          <cell r="EC67">
            <v>6</v>
          </cell>
          <cell r="ED67">
            <v>4</v>
          </cell>
          <cell r="EE67">
            <v>6</v>
          </cell>
          <cell r="EF67">
            <v>7</v>
          </cell>
          <cell r="EG67">
            <v>5</v>
          </cell>
          <cell r="EH67">
            <v>9</v>
          </cell>
          <cell r="EI67">
            <v>1</v>
          </cell>
          <cell r="EJ67">
            <v>7</v>
          </cell>
          <cell r="EK67">
            <v>2</v>
          </cell>
          <cell r="EL67">
            <v>1</v>
          </cell>
          <cell r="EM67">
            <v>3</v>
          </cell>
          <cell r="EN67">
            <v>1</v>
          </cell>
          <cell r="EO67">
            <v>3</v>
          </cell>
          <cell r="EP67">
            <v>2</v>
          </cell>
          <cell r="EQ67">
            <v>2</v>
          </cell>
          <cell r="ER67">
            <v>2</v>
          </cell>
          <cell r="ES67">
            <v>4</v>
          </cell>
          <cell r="ET67">
            <v>2</v>
          </cell>
          <cell r="EU67">
            <v>4</v>
          </cell>
          <cell r="EW67">
            <v>9</v>
          </cell>
          <cell r="EX67">
            <v>1</v>
          </cell>
          <cell r="EZ67">
            <v>7</v>
          </cell>
          <cell r="FA67">
            <v>1</v>
          </cell>
          <cell r="FB67">
            <v>3</v>
          </cell>
          <cell r="FC67">
            <v>3</v>
          </cell>
          <cell r="FD67">
            <v>5</v>
          </cell>
          <cell r="FE67">
            <v>5</v>
          </cell>
          <cell r="FF67">
            <v>4</v>
          </cell>
          <cell r="FG67">
            <v>7</v>
          </cell>
          <cell r="FH67">
            <v>4</v>
          </cell>
          <cell r="FI67">
            <v>2</v>
          </cell>
          <cell r="FJ67">
            <v>4</v>
          </cell>
          <cell r="FK67">
            <v>4</v>
          </cell>
          <cell r="FL67">
            <v>3</v>
          </cell>
          <cell r="FM67">
            <v>1</v>
          </cell>
          <cell r="FN67">
            <v>4</v>
          </cell>
          <cell r="FO67">
            <v>6</v>
          </cell>
          <cell r="FP67">
            <v>3</v>
          </cell>
          <cell r="FQ67">
            <v>2</v>
          </cell>
          <cell r="FR67">
            <v>5</v>
          </cell>
          <cell r="FS67">
            <v>7</v>
          </cell>
          <cell r="FT67">
            <v>4</v>
          </cell>
          <cell r="FU67">
            <v>8</v>
          </cell>
          <cell r="FV67">
            <v>3</v>
          </cell>
          <cell r="FW67">
            <v>4</v>
          </cell>
          <cell r="FX67">
            <v>2</v>
          </cell>
          <cell r="FY67">
            <v>4</v>
          </cell>
          <cell r="FZ67">
            <v>5</v>
          </cell>
          <cell r="GA67">
            <v>2</v>
          </cell>
          <cell r="GB67">
            <v>2</v>
          </cell>
          <cell r="GC67">
            <v>3</v>
          </cell>
          <cell r="GD67">
            <v>3</v>
          </cell>
          <cell r="GF67">
            <v>3</v>
          </cell>
          <cell r="GG67">
            <v>4</v>
          </cell>
          <cell r="GH67">
            <v>2</v>
          </cell>
          <cell r="GI67">
            <v>4</v>
          </cell>
          <cell r="GJ67">
            <v>5</v>
          </cell>
          <cell r="GK67">
            <v>2</v>
          </cell>
          <cell r="GL67">
            <v>5</v>
          </cell>
          <cell r="GM67">
            <v>2</v>
          </cell>
          <cell r="GN67">
            <v>2</v>
          </cell>
        </row>
        <row r="68">
          <cell r="B68" t="str">
            <v>PAMIDRONATE DISOD</v>
          </cell>
          <cell r="C68" t="str">
            <v>HO&amp;</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7</v>
          </cell>
          <cell r="BR68">
            <v>6</v>
          </cell>
          <cell r="BS68">
            <v>4</v>
          </cell>
          <cell r="BT68">
            <v>4</v>
          </cell>
          <cell r="BU68">
            <v>9</v>
          </cell>
          <cell r="BV68">
            <v>10</v>
          </cell>
          <cell r="BW68">
            <v>7</v>
          </cell>
          <cell r="BX68">
            <v>2</v>
          </cell>
          <cell r="BY68">
            <v>9</v>
          </cell>
          <cell r="BZ68">
            <v>5</v>
          </cell>
          <cell r="CA68">
            <v>16</v>
          </cell>
          <cell r="CB68">
            <v>4</v>
          </cell>
          <cell r="CC68">
            <v>5</v>
          </cell>
          <cell r="CD68">
            <v>4</v>
          </cell>
          <cell r="CE68">
            <v>3</v>
          </cell>
          <cell r="CF68">
            <v>6</v>
          </cell>
          <cell r="CG68">
            <v>6</v>
          </cell>
          <cell r="CH68">
            <v>8</v>
          </cell>
          <cell r="CI68">
            <v>12</v>
          </cell>
          <cell r="CJ68">
            <v>7</v>
          </cell>
          <cell r="CK68">
            <v>4</v>
          </cell>
          <cell r="CL68">
            <v>14</v>
          </cell>
          <cell r="CM68">
            <v>11</v>
          </cell>
          <cell r="CN68">
            <v>6</v>
          </cell>
          <cell r="CO68">
            <v>0</v>
          </cell>
          <cell r="CP68">
            <v>7</v>
          </cell>
          <cell r="CQ68">
            <v>8</v>
          </cell>
          <cell r="CR68">
            <v>3</v>
          </cell>
          <cell r="CS68">
            <v>11</v>
          </cell>
          <cell r="CT68">
            <v>5</v>
          </cell>
          <cell r="CU68">
            <v>2</v>
          </cell>
          <cell r="CV68">
            <v>9</v>
          </cell>
          <cell r="CW68">
            <v>3</v>
          </cell>
          <cell r="CX68">
            <v>13</v>
          </cell>
          <cell r="CY68">
            <v>3</v>
          </cell>
          <cell r="CZ68">
            <v>8</v>
          </cell>
          <cell r="DA68">
            <v>5</v>
          </cell>
          <cell r="DB68">
            <v>11</v>
          </cell>
          <cell r="DC68">
            <v>7</v>
          </cell>
          <cell r="DD68">
            <v>10</v>
          </cell>
          <cell r="DE68">
            <v>4</v>
          </cell>
          <cell r="DF68">
            <v>18</v>
          </cell>
          <cell r="DG68">
            <v>10</v>
          </cell>
          <cell r="DH68">
            <v>4</v>
          </cell>
          <cell r="DI68">
            <v>8</v>
          </cell>
          <cell r="DJ68">
            <v>16</v>
          </cell>
          <cell r="DK68">
            <v>5</v>
          </cell>
          <cell r="DL68">
            <v>12</v>
          </cell>
          <cell r="DM68">
            <v>24</v>
          </cell>
          <cell r="DN68">
            <v>9</v>
          </cell>
          <cell r="DO68">
            <v>3</v>
          </cell>
          <cell r="DP68">
            <v>6</v>
          </cell>
          <cell r="DQ68">
            <v>9</v>
          </cell>
          <cell r="DR68">
            <v>7</v>
          </cell>
          <cell r="DS68">
            <v>8</v>
          </cell>
          <cell r="DT68">
            <v>16</v>
          </cell>
          <cell r="DU68">
            <v>12</v>
          </cell>
          <cell r="DV68">
            <v>9</v>
          </cell>
          <cell r="DW68">
            <v>20</v>
          </cell>
          <cell r="DX68">
            <v>11</v>
          </cell>
          <cell r="DY68">
            <v>11</v>
          </cell>
          <cell r="DZ68">
            <v>8</v>
          </cell>
          <cell r="EA68">
            <v>17</v>
          </cell>
          <cell r="EB68">
            <v>10</v>
          </cell>
          <cell r="EC68">
            <v>5</v>
          </cell>
          <cell r="ED68">
            <v>4</v>
          </cell>
          <cell r="EE68">
            <v>7</v>
          </cell>
          <cell r="EF68">
            <v>9</v>
          </cell>
          <cell r="EG68">
            <v>6</v>
          </cell>
          <cell r="EH68">
            <v>15</v>
          </cell>
          <cell r="EI68">
            <v>11</v>
          </cell>
          <cell r="EJ68">
            <v>6</v>
          </cell>
          <cell r="EK68">
            <v>6</v>
          </cell>
          <cell r="EL68">
            <v>8</v>
          </cell>
          <cell r="EM68">
            <v>13</v>
          </cell>
          <cell r="EN68">
            <v>6</v>
          </cell>
          <cell r="EO68">
            <v>6</v>
          </cell>
          <cell r="EP68">
            <v>8</v>
          </cell>
          <cell r="EQ68">
            <v>7</v>
          </cell>
          <cell r="ER68">
            <v>6</v>
          </cell>
          <cell r="ES68">
            <v>10</v>
          </cell>
          <cell r="ET68">
            <v>5</v>
          </cell>
          <cell r="EU68">
            <v>10</v>
          </cell>
          <cell r="EV68">
            <v>4</v>
          </cell>
          <cell r="EW68">
            <v>13</v>
          </cell>
          <cell r="EX68">
            <v>6</v>
          </cell>
          <cell r="EY68">
            <v>4</v>
          </cell>
          <cell r="EZ68">
            <v>14</v>
          </cell>
          <cell r="FA68">
            <v>11</v>
          </cell>
          <cell r="FB68">
            <v>7</v>
          </cell>
          <cell r="FC68">
            <v>7</v>
          </cell>
          <cell r="FD68">
            <v>9</v>
          </cell>
          <cell r="FE68">
            <v>8</v>
          </cell>
          <cell r="FF68">
            <v>10</v>
          </cell>
          <cell r="FG68">
            <v>8</v>
          </cell>
          <cell r="FH68">
            <v>7</v>
          </cell>
          <cell r="FI68">
            <v>5</v>
          </cell>
          <cell r="FJ68">
            <v>8</v>
          </cell>
          <cell r="FK68">
            <v>13</v>
          </cell>
          <cell r="FL68">
            <v>8</v>
          </cell>
          <cell r="FM68">
            <v>4</v>
          </cell>
          <cell r="FN68">
            <v>4</v>
          </cell>
          <cell r="FO68">
            <v>13</v>
          </cell>
          <cell r="FP68">
            <v>8</v>
          </cell>
          <cell r="FQ68">
            <v>3</v>
          </cell>
          <cell r="FR68">
            <v>2</v>
          </cell>
          <cell r="FS68">
            <v>10</v>
          </cell>
          <cell r="FT68">
            <v>7</v>
          </cell>
          <cell r="FU68">
            <v>13</v>
          </cell>
          <cell r="FV68">
            <v>4</v>
          </cell>
          <cell r="FW68">
            <v>4</v>
          </cell>
          <cell r="FX68">
            <v>15</v>
          </cell>
          <cell r="FY68">
            <v>7</v>
          </cell>
          <cell r="FZ68">
            <v>7</v>
          </cell>
          <cell r="GA68">
            <v>6</v>
          </cell>
          <cell r="GB68">
            <v>6</v>
          </cell>
          <cell r="GC68">
            <v>9</v>
          </cell>
          <cell r="GD68">
            <v>2</v>
          </cell>
          <cell r="GE68">
            <v>7</v>
          </cell>
          <cell r="GF68">
            <v>13</v>
          </cell>
          <cell r="GG68">
            <v>12</v>
          </cell>
          <cell r="GH68">
            <v>11</v>
          </cell>
          <cell r="GI68">
            <v>14</v>
          </cell>
          <cell r="GJ68">
            <v>8</v>
          </cell>
          <cell r="GK68">
            <v>11</v>
          </cell>
          <cell r="GL68">
            <v>4</v>
          </cell>
          <cell r="GM68">
            <v>9</v>
          </cell>
          <cell r="GN68">
            <v>12</v>
          </cell>
        </row>
        <row r="69">
          <cell r="B69" t="str">
            <v>PAMIDRONATE DISOD</v>
          </cell>
          <cell r="C69" t="str">
            <v>BDF</v>
          </cell>
          <cell r="D69">
            <v>0</v>
          </cell>
          <cell r="E69">
            <v>0</v>
          </cell>
          <cell r="F69">
            <v>0</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0</v>
          </cell>
          <cell r="V69">
            <v>0</v>
          </cell>
          <cell r="W69">
            <v>0</v>
          </cell>
          <cell r="X69">
            <v>0</v>
          </cell>
          <cell r="Y69">
            <v>0</v>
          </cell>
          <cell r="Z69">
            <v>0</v>
          </cell>
          <cell r="AA69">
            <v>0</v>
          </cell>
          <cell r="AB69">
            <v>0</v>
          </cell>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38</v>
          </cell>
          <cell r="BR69">
            <v>49</v>
          </cell>
          <cell r="BS69">
            <v>23</v>
          </cell>
          <cell r="BT69">
            <v>34</v>
          </cell>
          <cell r="BU69">
            <v>38</v>
          </cell>
          <cell r="BV69">
            <v>52</v>
          </cell>
          <cell r="BW69">
            <v>34</v>
          </cell>
          <cell r="BX69">
            <v>52</v>
          </cell>
          <cell r="BY69">
            <v>25</v>
          </cell>
          <cell r="BZ69">
            <v>41</v>
          </cell>
          <cell r="CA69">
            <v>31</v>
          </cell>
          <cell r="CB69">
            <v>45</v>
          </cell>
          <cell r="CC69">
            <v>37</v>
          </cell>
          <cell r="CD69">
            <v>33</v>
          </cell>
          <cell r="CE69">
            <v>14</v>
          </cell>
          <cell r="CF69">
            <v>44</v>
          </cell>
          <cell r="CG69">
            <v>40</v>
          </cell>
          <cell r="CH69">
            <v>31</v>
          </cell>
          <cell r="CI69">
            <v>32</v>
          </cell>
          <cell r="CJ69">
            <v>33</v>
          </cell>
          <cell r="CK69">
            <v>43</v>
          </cell>
          <cell r="CL69">
            <v>38</v>
          </cell>
          <cell r="CM69">
            <v>37</v>
          </cell>
          <cell r="CN69">
            <v>31</v>
          </cell>
          <cell r="CO69">
            <v>36</v>
          </cell>
          <cell r="CP69">
            <v>37</v>
          </cell>
          <cell r="CQ69">
            <v>29</v>
          </cell>
          <cell r="CR69">
            <v>38</v>
          </cell>
          <cell r="CS69">
            <v>22</v>
          </cell>
          <cell r="CT69">
            <v>25</v>
          </cell>
          <cell r="CU69">
            <v>32</v>
          </cell>
          <cell r="CV69">
            <v>29</v>
          </cell>
          <cell r="CW69">
            <v>17</v>
          </cell>
          <cell r="CX69">
            <v>31</v>
          </cell>
          <cell r="CY69">
            <v>33</v>
          </cell>
          <cell r="CZ69">
            <v>39</v>
          </cell>
          <cell r="DA69">
            <v>23</v>
          </cell>
          <cell r="DB69">
            <v>30</v>
          </cell>
          <cell r="DC69">
            <v>19</v>
          </cell>
          <cell r="DD69">
            <v>46</v>
          </cell>
          <cell r="DE69">
            <v>19</v>
          </cell>
          <cell r="DF69">
            <v>31</v>
          </cell>
          <cell r="DG69">
            <v>21</v>
          </cell>
          <cell r="DH69">
            <v>29</v>
          </cell>
          <cell r="DI69">
            <v>26</v>
          </cell>
          <cell r="DJ69">
            <v>27</v>
          </cell>
          <cell r="DK69">
            <v>28</v>
          </cell>
          <cell r="DL69">
            <v>29</v>
          </cell>
          <cell r="DM69">
            <v>32</v>
          </cell>
          <cell r="DN69">
            <v>18</v>
          </cell>
          <cell r="DO69">
            <v>27</v>
          </cell>
          <cell r="DP69">
            <v>29</v>
          </cell>
          <cell r="DQ69">
            <v>36</v>
          </cell>
          <cell r="DR69">
            <v>34</v>
          </cell>
          <cell r="DS69">
            <v>31</v>
          </cell>
          <cell r="DT69">
            <v>29</v>
          </cell>
          <cell r="DU69">
            <v>25</v>
          </cell>
          <cell r="DV69">
            <v>12</v>
          </cell>
          <cell r="DW69">
            <v>39</v>
          </cell>
          <cell r="DX69">
            <v>25</v>
          </cell>
          <cell r="DY69">
            <v>34</v>
          </cell>
          <cell r="DZ69">
            <v>26</v>
          </cell>
          <cell r="EA69">
            <v>38</v>
          </cell>
          <cell r="EB69">
            <v>21</v>
          </cell>
          <cell r="EC69">
            <v>47</v>
          </cell>
          <cell r="ED69">
            <v>17</v>
          </cell>
          <cell r="EE69">
            <v>24</v>
          </cell>
          <cell r="EF69">
            <v>25</v>
          </cell>
          <cell r="EG69">
            <v>30</v>
          </cell>
          <cell r="EH69">
            <v>21</v>
          </cell>
          <cell r="EI69">
            <v>36</v>
          </cell>
          <cell r="EJ69">
            <v>33</v>
          </cell>
          <cell r="EK69">
            <v>31</v>
          </cell>
          <cell r="EL69">
            <v>33</v>
          </cell>
          <cell r="EM69">
            <v>32</v>
          </cell>
          <cell r="EN69">
            <v>25</v>
          </cell>
          <cell r="EO69">
            <v>26</v>
          </cell>
          <cell r="EP69">
            <v>34</v>
          </cell>
          <cell r="EQ69">
            <v>21</v>
          </cell>
          <cell r="ER69">
            <v>43</v>
          </cell>
          <cell r="ES69">
            <v>30</v>
          </cell>
          <cell r="ET69">
            <v>31</v>
          </cell>
          <cell r="EU69">
            <v>29</v>
          </cell>
          <cell r="EV69">
            <v>31</v>
          </cell>
          <cell r="EW69">
            <v>29</v>
          </cell>
          <cell r="EX69">
            <v>15</v>
          </cell>
          <cell r="EY69">
            <v>32</v>
          </cell>
          <cell r="EZ69">
            <v>32</v>
          </cell>
          <cell r="FA69">
            <v>26</v>
          </cell>
          <cell r="FB69">
            <v>17</v>
          </cell>
          <cell r="FC69">
            <v>22</v>
          </cell>
          <cell r="FD69">
            <v>34</v>
          </cell>
          <cell r="FE69">
            <v>20</v>
          </cell>
          <cell r="FF69">
            <v>25</v>
          </cell>
          <cell r="FG69">
            <v>23</v>
          </cell>
          <cell r="FH69">
            <v>19</v>
          </cell>
          <cell r="FI69">
            <v>27</v>
          </cell>
          <cell r="FJ69">
            <v>18</v>
          </cell>
          <cell r="FK69">
            <v>22</v>
          </cell>
          <cell r="FL69">
            <v>26</v>
          </cell>
          <cell r="FM69">
            <v>22</v>
          </cell>
          <cell r="FN69">
            <v>21</v>
          </cell>
          <cell r="FO69">
            <v>16</v>
          </cell>
          <cell r="FP69">
            <v>16</v>
          </cell>
          <cell r="FQ69">
            <v>24</v>
          </cell>
          <cell r="FR69">
            <v>24</v>
          </cell>
          <cell r="FS69">
            <v>30</v>
          </cell>
          <cell r="FT69">
            <v>19</v>
          </cell>
          <cell r="FU69">
            <v>26</v>
          </cell>
          <cell r="FV69">
            <v>27</v>
          </cell>
          <cell r="FW69">
            <v>24</v>
          </cell>
          <cell r="FX69">
            <v>24</v>
          </cell>
          <cell r="FY69">
            <v>22</v>
          </cell>
          <cell r="FZ69">
            <v>10</v>
          </cell>
          <cell r="GA69">
            <v>26</v>
          </cell>
          <cell r="GB69">
            <v>21</v>
          </cell>
          <cell r="GC69">
            <v>13</v>
          </cell>
          <cell r="GD69">
            <v>16</v>
          </cell>
          <cell r="GE69">
            <v>18</v>
          </cell>
          <cell r="GF69">
            <v>21</v>
          </cell>
          <cell r="GG69">
            <v>26</v>
          </cell>
          <cell r="GH69">
            <v>15</v>
          </cell>
          <cell r="GI69">
            <v>16</v>
          </cell>
          <cell r="GJ69">
            <v>24</v>
          </cell>
          <cell r="GK69">
            <v>19</v>
          </cell>
          <cell r="GL69">
            <v>16</v>
          </cell>
          <cell r="GM69">
            <v>31</v>
          </cell>
          <cell r="GN69">
            <v>8</v>
          </cell>
        </row>
        <row r="70">
          <cell r="B70" t="str">
            <v>PAMIDRONATE DISOD</v>
          </cell>
          <cell r="C70" t="str">
            <v>A2P</v>
          </cell>
          <cell r="D70">
            <v>0</v>
          </cell>
          <cell r="E70">
            <v>0</v>
          </cell>
          <cell r="F70">
            <v>0</v>
          </cell>
          <cell r="G70">
            <v>0</v>
          </cell>
          <cell r="H70">
            <v>0</v>
          </cell>
          <cell r="I70">
            <v>0</v>
          </cell>
          <cell r="J70">
            <v>0</v>
          </cell>
          <cell r="K70">
            <v>0</v>
          </cell>
          <cell r="L70">
            <v>0</v>
          </cell>
          <cell r="M70">
            <v>0</v>
          </cell>
          <cell r="N70">
            <v>0</v>
          </cell>
          <cell r="O70">
            <v>0</v>
          </cell>
          <cell r="P70">
            <v>0</v>
          </cell>
          <cell r="Q70">
            <v>0</v>
          </cell>
          <cell r="R70">
            <v>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cell r="BL70">
            <v>0</v>
          </cell>
          <cell r="BM70">
            <v>0</v>
          </cell>
          <cell r="BN70">
            <v>0</v>
          </cell>
          <cell r="BO70">
            <v>0</v>
          </cell>
          <cell r="BP70">
            <v>0</v>
          </cell>
          <cell r="BQ70">
            <v>4</v>
          </cell>
          <cell r="BR70">
            <v>4</v>
          </cell>
          <cell r="BS70">
            <v>4</v>
          </cell>
          <cell r="BT70">
            <v>4</v>
          </cell>
          <cell r="BU70">
            <v>6</v>
          </cell>
          <cell r="BV70">
            <v>3</v>
          </cell>
          <cell r="BW70">
            <v>8</v>
          </cell>
          <cell r="BX70">
            <v>10</v>
          </cell>
          <cell r="BY70">
            <v>1</v>
          </cell>
          <cell r="BZ70">
            <v>8</v>
          </cell>
          <cell r="CA70">
            <v>7</v>
          </cell>
          <cell r="CB70">
            <v>2</v>
          </cell>
          <cell r="CC70">
            <v>6</v>
          </cell>
          <cell r="CD70">
            <v>4</v>
          </cell>
          <cell r="CE70">
            <v>3</v>
          </cell>
          <cell r="CF70">
            <v>3</v>
          </cell>
          <cell r="CG70">
            <v>7</v>
          </cell>
          <cell r="CH70">
            <v>1</v>
          </cell>
          <cell r="CI70">
            <v>5</v>
          </cell>
          <cell r="CJ70">
            <v>5</v>
          </cell>
          <cell r="CK70">
            <v>8</v>
          </cell>
          <cell r="CL70">
            <v>4</v>
          </cell>
          <cell r="CM70">
            <v>11</v>
          </cell>
          <cell r="CN70">
            <v>2</v>
          </cell>
          <cell r="CO70">
            <v>7</v>
          </cell>
          <cell r="CP70">
            <v>2</v>
          </cell>
          <cell r="CQ70">
            <v>5</v>
          </cell>
          <cell r="CR70">
            <v>2</v>
          </cell>
          <cell r="CS70">
            <v>8</v>
          </cell>
          <cell r="CT70">
            <v>0</v>
          </cell>
          <cell r="CU70">
            <v>6</v>
          </cell>
          <cell r="CV70">
            <v>2</v>
          </cell>
          <cell r="CW70">
            <v>4</v>
          </cell>
          <cell r="CX70">
            <v>1</v>
          </cell>
          <cell r="CY70">
            <v>3</v>
          </cell>
          <cell r="CZ70">
            <v>2</v>
          </cell>
          <cell r="DA70">
            <v>5</v>
          </cell>
          <cell r="DB70">
            <v>4</v>
          </cell>
          <cell r="DC70">
            <v>9</v>
          </cell>
          <cell r="DD70">
            <v>4</v>
          </cell>
          <cell r="DE70">
            <v>1</v>
          </cell>
          <cell r="DF70">
            <v>3</v>
          </cell>
          <cell r="DG70">
            <v>6</v>
          </cell>
          <cell r="DH70">
            <v>3</v>
          </cell>
          <cell r="DI70">
            <v>7</v>
          </cell>
          <cell r="DJ70">
            <v>3</v>
          </cell>
          <cell r="DK70">
            <v>4</v>
          </cell>
          <cell r="DL70">
            <v>4</v>
          </cell>
          <cell r="DM70">
            <v>8</v>
          </cell>
          <cell r="DN70">
            <v>2</v>
          </cell>
          <cell r="DO70">
            <v>5</v>
          </cell>
          <cell r="DP70">
            <v>13</v>
          </cell>
          <cell r="DQ70">
            <v>3</v>
          </cell>
          <cell r="DR70">
            <v>5</v>
          </cell>
          <cell r="DS70">
            <v>1</v>
          </cell>
          <cell r="DT70">
            <v>9</v>
          </cell>
          <cell r="DU70">
            <v>6</v>
          </cell>
          <cell r="DV70">
            <v>4</v>
          </cell>
          <cell r="DW70">
            <v>4</v>
          </cell>
          <cell r="DX70">
            <v>11</v>
          </cell>
          <cell r="DY70">
            <v>9</v>
          </cell>
          <cell r="DZ70">
            <v>8</v>
          </cell>
          <cell r="EA70">
            <v>6</v>
          </cell>
          <cell r="EB70">
            <v>13</v>
          </cell>
          <cell r="EC70">
            <v>2</v>
          </cell>
          <cell r="ED70">
            <v>8</v>
          </cell>
          <cell r="EE70">
            <v>1</v>
          </cell>
          <cell r="EF70">
            <v>13</v>
          </cell>
          <cell r="EG70">
            <v>3</v>
          </cell>
          <cell r="EH70">
            <v>2</v>
          </cell>
          <cell r="EI70">
            <v>0</v>
          </cell>
          <cell r="EJ70">
            <v>9</v>
          </cell>
          <cell r="EK70">
            <v>1</v>
          </cell>
          <cell r="EL70">
            <v>3</v>
          </cell>
          <cell r="EM70">
            <v>4</v>
          </cell>
          <cell r="EN70">
            <v>3</v>
          </cell>
          <cell r="EO70">
            <v>4</v>
          </cell>
          <cell r="EP70">
            <v>8</v>
          </cell>
          <cell r="EQ70">
            <v>1</v>
          </cell>
          <cell r="ER70">
            <v>2</v>
          </cell>
          <cell r="ES70">
            <v>3</v>
          </cell>
          <cell r="ET70">
            <v>2</v>
          </cell>
          <cell r="EU70">
            <v>6</v>
          </cell>
          <cell r="EV70">
            <v>5</v>
          </cell>
          <cell r="EW70">
            <v>4</v>
          </cell>
          <cell r="EY70">
            <v>3</v>
          </cell>
          <cell r="EZ70">
            <v>3</v>
          </cell>
          <cell r="FA70">
            <v>3</v>
          </cell>
          <cell r="FB70">
            <v>1</v>
          </cell>
          <cell r="FC70">
            <v>2</v>
          </cell>
          <cell r="FD70">
            <v>2</v>
          </cell>
          <cell r="FF70">
            <v>4</v>
          </cell>
          <cell r="FG70">
            <v>1</v>
          </cell>
          <cell r="FJ70">
            <v>2</v>
          </cell>
          <cell r="FK70">
            <v>3</v>
          </cell>
          <cell r="FL70">
            <v>1</v>
          </cell>
          <cell r="FM70">
            <v>2</v>
          </cell>
          <cell r="FO70">
            <v>1</v>
          </cell>
          <cell r="FS70">
            <v>3</v>
          </cell>
          <cell r="FT70">
            <v>2</v>
          </cell>
          <cell r="FU70">
            <v>5</v>
          </cell>
          <cell r="FV70">
            <v>3</v>
          </cell>
          <cell r="FW70">
            <v>2</v>
          </cell>
          <cell r="FX70">
            <v>7</v>
          </cell>
          <cell r="FY70">
            <v>7</v>
          </cell>
          <cell r="FZ70">
            <v>2</v>
          </cell>
          <cell r="GA70">
            <v>2</v>
          </cell>
          <cell r="GB70">
            <v>12</v>
          </cell>
          <cell r="GC70">
            <v>1</v>
          </cell>
          <cell r="GD70">
            <v>2</v>
          </cell>
          <cell r="GF70">
            <v>8</v>
          </cell>
          <cell r="GG70">
            <v>6</v>
          </cell>
          <cell r="GH70">
            <v>7</v>
          </cell>
          <cell r="GJ70">
            <v>8</v>
          </cell>
          <cell r="GK70">
            <v>5</v>
          </cell>
          <cell r="GL70">
            <v>4</v>
          </cell>
          <cell r="GM70">
            <v>1</v>
          </cell>
          <cell r="GN70">
            <v>6</v>
          </cell>
        </row>
        <row r="71">
          <cell r="B71" t="str">
            <v>PAMIDRONATE DISOD</v>
          </cell>
          <cell r="C71" t="str">
            <v>SI.</v>
          </cell>
          <cell r="D71">
            <v>0</v>
          </cell>
          <cell r="E71">
            <v>0</v>
          </cell>
          <cell r="F71">
            <v>0</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v>
          </cell>
          <cell r="BL71">
            <v>0</v>
          </cell>
          <cell r="BM71">
            <v>0</v>
          </cell>
          <cell r="BN71">
            <v>0</v>
          </cell>
          <cell r="BO71">
            <v>0</v>
          </cell>
          <cell r="BP71">
            <v>0</v>
          </cell>
          <cell r="BQ71">
            <v>27</v>
          </cell>
          <cell r="BR71">
            <v>19</v>
          </cell>
          <cell r="BS71">
            <v>1</v>
          </cell>
          <cell r="BT71">
            <v>13</v>
          </cell>
          <cell r="BU71">
            <v>18</v>
          </cell>
          <cell r="BV71">
            <v>16</v>
          </cell>
          <cell r="BW71">
            <v>25</v>
          </cell>
          <cell r="BX71">
            <v>21</v>
          </cell>
          <cell r="BY71">
            <v>9</v>
          </cell>
          <cell r="BZ71">
            <v>26</v>
          </cell>
          <cell r="CA71">
            <v>19</v>
          </cell>
          <cell r="CB71">
            <v>20</v>
          </cell>
          <cell r="CC71">
            <v>1</v>
          </cell>
          <cell r="CD71">
            <v>9</v>
          </cell>
          <cell r="CE71">
            <v>6</v>
          </cell>
          <cell r="CF71">
            <v>19</v>
          </cell>
          <cell r="CG71">
            <v>39</v>
          </cell>
          <cell r="CH71">
            <v>16</v>
          </cell>
          <cell r="CI71">
            <v>24</v>
          </cell>
          <cell r="CJ71">
            <v>33</v>
          </cell>
          <cell r="CK71">
            <v>13</v>
          </cell>
          <cell r="CL71">
            <v>17</v>
          </cell>
          <cell r="CM71">
            <v>24</v>
          </cell>
          <cell r="CN71">
            <v>29</v>
          </cell>
          <cell r="CO71">
            <v>6</v>
          </cell>
          <cell r="CP71">
            <v>20</v>
          </cell>
          <cell r="CQ71">
            <v>11</v>
          </cell>
          <cell r="CR71">
            <v>13</v>
          </cell>
          <cell r="CS71">
            <v>8</v>
          </cell>
          <cell r="CT71">
            <v>2</v>
          </cell>
          <cell r="CU71">
            <v>6</v>
          </cell>
          <cell r="CV71">
            <v>5</v>
          </cell>
          <cell r="CW71">
            <v>13</v>
          </cell>
          <cell r="CX71">
            <v>13</v>
          </cell>
          <cell r="CY71">
            <v>4</v>
          </cell>
          <cell r="CZ71">
            <v>24</v>
          </cell>
          <cell r="DA71">
            <v>20</v>
          </cell>
          <cell r="DB71">
            <v>19</v>
          </cell>
          <cell r="DC71">
            <v>34</v>
          </cell>
          <cell r="DD71">
            <v>18</v>
          </cell>
          <cell r="DE71">
            <v>13</v>
          </cell>
          <cell r="DF71">
            <v>28</v>
          </cell>
          <cell r="DG71">
            <v>28</v>
          </cell>
          <cell r="DH71">
            <v>26</v>
          </cell>
          <cell r="DI71">
            <v>12</v>
          </cell>
          <cell r="DJ71">
            <v>32</v>
          </cell>
          <cell r="DK71">
            <v>24</v>
          </cell>
          <cell r="DL71">
            <v>27</v>
          </cell>
          <cell r="DM71">
            <v>25</v>
          </cell>
          <cell r="DN71">
            <v>16</v>
          </cell>
          <cell r="DO71">
            <v>27</v>
          </cell>
          <cell r="DP71">
            <v>22</v>
          </cell>
          <cell r="DQ71">
            <v>17</v>
          </cell>
          <cell r="DR71">
            <v>11</v>
          </cell>
          <cell r="DS71">
            <v>20</v>
          </cell>
          <cell r="DT71">
            <v>45</v>
          </cell>
          <cell r="DU71">
            <v>14</v>
          </cell>
          <cell r="DV71">
            <v>15</v>
          </cell>
          <cell r="DW71">
            <v>22</v>
          </cell>
          <cell r="DX71">
            <v>24</v>
          </cell>
          <cell r="DY71">
            <v>23</v>
          </cell>
          <cell r="DZ71">
            <v>17</v>
          </cell>
          <cell r="EA71">
            <v>16</v>
          </cell>
          <cell r="EB71">
            <v>26</v>
          </cell>
          <cell r="EC71">
            <v>10</v>
          </cell>
          <cell r="ED71">
            <v>12</v>
          </cell>
          <cell r="EE71">
            <v>6</v>
          </cell>
          <cell r="EF71">
            <v>1</v>
          </cell>
          <cell r="EG71">
            <v>5</v>
          </cell>
          <cell r="EH71">
            <v>3</v>
          </cell>
          <cell r="EI71">
            <v>2</v>
          </cell>
          <cell r="EJ71">
            <v>5</v>
          </cell>
          <cell r="EK71">
            <v>3</v>
          </cell>
          <cell r="EL71">
            <v>3</v>
          </cell>
          <cell r="EM71">
            <v>6</v>
          </cell>
          <cell r="EN71">
            <v>4</v>
          </cell>
          <cell r="EO71">
            <v>1</v>
          </cell>
          <cell r="EP71">
            <v>3</v>
          </cell>
          <cell r="EQ71">
            <v>5</v>
          </cell>
          <cell r="ER71">
            <v>3</v>
          </cell>
          <cell r="ES71">
            <v>2</v>
          </cell>
          <cell r="ET71">
            <v>7</v>
          </cell>
          <cell r="EU71">
            <v>8</v>
          </cell>
          <cell r="EV71">
            <v>2</v>
          </cell>
          <cell r="EW71">
            <v>4</v>
          </cell>
          <cell r="EX71">
            <v>6</v>
          </cell>
          <cell r="EY71">
            <v>9</v>
          </cell>
          <cell r="EZ71">
            <v>4</v>
          </cell>
          <cell r="FA71">
            <v>5</v>
          </cell>
          <cell r="FB71">
            <v>1</v>
          </cell>
          <cell r="FC71">
            <v>6</v>
          </cell>
          <cell r="FD71">
            <v>3</v>
          </cell>
          <cell r="FF71">
            <v>1</v>
          </cell>
          <cell r="FG71">
            <v>5</v>
          </cell>
          <cell r="FH71">
            <v>5</v>
          </cell>
          <cell r="FI71">
            <v>3</v>
          </cell>
          <cell r="FJ71">
            <v>2</v>
          </cell>
          <cell r="FK71">
            <v>3</v>
          </cell>
          <cell r="FL71">
            <v>3</v>
          </cell>
          <cell r="FM71">
            <v>3</v>
          </cell>
          <cell r="FN71">
            <v>6</v>
          </cell>
          <cell r="FO71">
            <v>2</v>
          </cell>
          <cell r="FP71">
            <v>8</v>
          </cell>
          <cell r="FQ71">
            <v>5</v>
          </cell>
          <cell r="FR71">
            <v>4</v>
          </cell>
          <cell r="FS71">
            <v>2</v>
          </cell>
          <cell r="FT71">
            <v>6</v>
          </cell>
          <cell r="FU71">
            <v>4</v>
          </cell>
          <cell r="FV71">
            <v>6</v>
          </cell>
          <cell r="FW71">
            <v>18</v>
          </cell>
          <cell r="FX71">
            <v>9</v>
          </cell>
          <cell r="FZ71">
            <v>1</v>
          </cell>
          <cell r="GA71">
            <v>1</v>
          </cell>
          <cell r="GB71">
            <v>3</v>
          </cell>
          <cell r="GC71">
            <v>3</v>
          </cell>
          <cell r="GD71">
            <v>1</v>
          </cell>
          <cell r="GE71">
            <v>1</v>
          </cell>
          <cell r="GF71">
            <v>6</v>
          </cell>
          <cell r="GG71">
            <v>6</v>
          </cell>
          <cell r="GH71">
            <v>4</v>
          </cell>
          <cell r="GI71">
            <v>4</v>
          </cell>
          <cell r="GJ71">
            <v>11</v>
          </cell>
          <cell r="GK71">
            <v>3</v>
          </cell>
          <cell r="GM71">
            <v>3</v>
          </cell>
          <cell r="GN71">
            <v>5</v>
          </cell>
        </row>
        <row r="72">
          <cell r="B72" t="str">
            <v>PAMIDRONATE DISOD</v>
          </cell>
          <cell r="C72" t="str">
            <v>OT7</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2</v>
          </cell>
          <cell r="CG72">
            <v>0</v>
          </cell>
          <cell r="CH72">
            <v>0</v>
          </cell>
          <cell r="CI72">
            <v>2</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2</v>
          </cell>
          <cell r="DF72">
            <v>0</v>
          </cell>
          <cell r="DG72">
            <v>0</v>
          </cell>
          <cell r="DH72">
            <v>0</v>
          </cell>
          <cell r="DI72">
            <v>0</v>
          </cell>
          <cell r="DJ72">
            <v>0</v>
          </cell>
          <cell r="DK72">
            <v>0</v>
          </cell>
          <cell r="DL72">
            <v>0</v>
          </cell>
          <cell r="DM72">
            <v>2</v>
          </cell>
          <cell r="DN72">
            <v>0</v>
          </cell>
          <cell r="DO72">
            <v>0</v>
          </cell>
          <cell r="DP72">
            <v>0</v>
          </cell>
          <cell r="DQ72">
            <v>0</v>
          </cell>
          <cell r="DR72">
            <v>0</v>
          </cell>
          <cell r="DS72">
            <v>0</v>
          </cell>
          <cell r="DT72">
            <v>0</v>
          </cell>
          <cell r="DU72">
            <v>0</v>
          </cell>
          <cell r="DV72">
            <v>0</v>
          </cell>
          <cell r="DW72">
            <v>0</v>
          </cell>
          <cell r="DX72">
            <v>0</v>
          </cell>
          <cell r="DY72">
            <v>0</v>
          </cell>
          <cell r="DZ72">
            <v>0</v>
          </cell>
          <cell r="EJ72">
            <v>2</v>
          </cell>
          <cell r="EN72">
            <v>2</v>
          </cell>
          <cell r="FD72">
            <v>2</v>
          </cell>
          <cell r="FL72">
            <v>2</v>
          </cell>
        </row>
        <row r="73">
          <cell r="B73" t="str">
            <v>PHOSLO</v>
          </cell>
          <cell r="C73" t="str">
            <v>FRS</v>
          </cell>
          <cell r="D73">
            <v>17563</v>
          </cell>
          <cell r="E73">
            <v>17244</v>
          </cell>
          <cell r="F73">
            <v>17845</v>
          </cell>
          <cell r="G73">
            <v>17491</v>
          </cell>
          <cell r="H73">
            <v>16769</v>
          </cell>
          <cell r="I73">
            <v>18201</v>
          </cell>
          <cell r="J73">
            <v>17615</v>
          </cell>
          <cell r="K73">
            <v>17745</v>
          </cell>
          <cell r="L73">
            <v>17225</v>
          </cell>
          <cell r="M73">
            <v>17373</v>
          </cell>
          <cell r="N73">
            <v>17207</v>
          </cell>
          <cell r="O73">
            <v>17684</v>
          </cell>
          <cell r="P73">
            <v>17176</v>
          </cell>
          <cell r="Q73">
            <v>17309</v>
          </cell>
          <cell r="R73">
            <v>18474</v>
          </cell>
          <cell r="S73">
            <v>17420</v>
          </cell>
          <cell r="T73">
            <v>17113</v>
          </cell>
          <cell r="U73">
            <v>17256</v>
          </cell>
          <cell r="V73">
            <v>17936</v>
          </cell>
          <cell r="W73">
            <v>17994</v>
          </cell>
          <cell r="X73">
            <v>17372</v>
          </cell>
          <cell r="Y73">
            <v>15366</v>
          </cell>
          <cell r="Z73">
            <v>18061</v>
          </cell>
          <cell r="AA73">
            <v>18533</v>
          </cell>
          <cell r="AB73">
            <v>17660</v>
          </cell>
          <cell r="AC73">
            <v>17496</v>
          </cell>
          <cell r="AD73">
            <v>15930</v>
          </cell>
          <cell r="AE73">
            <v>17732</v>
          </cell>
          <cell r="AF73">
            <v>18023</v>
          </cell>
          <cell r="AG73">
            <v>17515</v>
          </cell>
          <cell r="AH73">
            <v>17097</v>
          </cell>
          <cell r="AI73">
            <v>17423</v>
          </cell>
          <cell r="AJ73">
            <v>17029</v>
          </cell>
          <cell r="AK73">
            <v>17080</v>
          </cell>
          <cell r="AL73">
            <v>16850</v>
          </cell>
          <cell r="AM73">
            <v>17268</v>
          </cell>
          <cell r="AN73">
            <v>17111</v>
          </cell>
          <cell r="AO73">
            <v>17618</v>
          </cell>
          <cell r="AP73">
            <v>17434</v>
          </cell>
          <cell r="AQ73">
            <v>17022</v>
          </cell>
          <cell r="AR73">
            <v>18904</v>
          </cell>
          <cell r="AS73">
            <v>17313</v>
          </cell>
          <cell r="AT73">
            <v>17684</v>
          </cell>
          <cell r="AU73">
            <v>17198</v>
          </cell>
          <cell r="AV73">
            <v>18361</v>
          </cell>
          <cell r="AW73">
            <v>17496</v>
          </cell>
          <cell r="AX73">
            <v>17200</v>
          </cell>
          <cell r="AY73">
            <v>17053</v>
          </cell>
          <cell r="AZ73">
            <v>16728</v>
          </cell>
          <cell r="BA73">
            <v>18422</v>
          </cell>
          <cell r="BB73">
            <v>17235</v>
          </cell>
          <cell r="BC73">
            <v>16766</v>
          </cell>
          <cell r="BD73">
            <v>17181</v>
          </cell>
          <cell r="BE73">
            <v>17418</v>
          </cell>
          <cell r="BF73">
            <v>17181</v>
          </cell>
          <cell r="BG73">
            <v>17171</v>
          </cell>
          <cell r="BH73">
            <v>16241</v>
          </cell>
          <cell r="BI73">
            <v>17314</v>
          </cell>
          <cell r="BJ73">
            <v>17173</v>
          </cell>
          <cell r="BK73">
            <v>16895</v>
          </cell>
          <cell r="BL73">
            <v>16015</v>
          </cell>
          <cell r="BM73">
            <v>16665</v>
          </cell>
          <cell r="BN73">
            <v>16870</v>
          </cell>
          <cell r="BO73">
            <v>17011</v>
          </cell>
          <cell r="BP73">
            <v>16627</v>
          </cell>
          <cell r="BQ73">
            <v>16394</v>
          </cell>
          <cell r="BR73">
            <v>17535</v>
          </cell>
          <cell r="BS73">
            <v>17013</v>
          </cell>
          <cell r="BT73">
            <v>16207</v>
          </cell>
          <cell r="BU73">
            <v>16153</v>
          </cell>
          <cell r="BV73">
            <v>16879</v>
          </cell>
          <cell r="BW73">
            <v>17092</v>
          </cell>
          <cell r="BX73">
            <v>16687</v>
          </cell>
          <cell r="BY73">
            <v>14648</v>
          </cell>
          <cell r="BZ73">
            <v>17150</v>
          </cell>
          <cell r="CA73">
            <v>17880</v>
          </cell>
          <cell r="CB73">
            <v>16688</v>
          </cell>
          <cell r="CC73">
            <v>17001</v>
          </cell>
          <cell r="CD73">
            <v>14689</v>
          </cell>
          <cell r="CE73">
            <v>16817</v>
          </cell>
          <cell r="CF73">
            <v>17373</v>
          </cell>
          <cell r="CG73">
            <v>17052</v>
          </cell>
          <cell r="CH73">
            <v>16116</v>
          </cell>
          <cell r="CI73">
            <v>16940</v>
          </cell>
          <cell r="CJ73">
            <v>17073</v>
          </cell>
          <cell r="CK73">
            <v>16720</v>
          </cell>
          <cell r="CL73">
            <v>16699</v>
          </cell>
          <cell r="CM73">
            <v>16806</v>
          </cell>
          <cell r="CN73">
            <v>18209</v>
          </cell>
          <cell r="CO73">
            <v>17014</v>
          </cell>
          <cell r="CP73">
            <v>16971</v>
          </cell>
          <cell r="CQ73">
            <v>16538</v>
          </cell>
          <cell r="CR73">
            <v>17883</v>
          </cell>
          <cell r="CS73">
            <v>17168</v>
          </cell>
          <cell r="CT73">
            <v>17240</v>
          </cell>
          <cell r="CU73">
            <v>16695</v>
          </cell>
          <cell r="CV73">
            <v>17863</v>
          </cell>
          <cell r="CW73">
            <v>17704</v>
          </cell>
          <cell r="CX73">
            <v>16892</v>
          </cell>
          <cell r="CY73">
            <v>17527</v>
          </cell>
          <cell r="CZ73">
            <v>15781</v>
          </cell>
          <cell r="DA73">
            <v>18665</v>
          </cell>
          <cell r="DB73">
            <v>17267</v>
          </cell>
          <cell r="DC73">
            <v>16985</v>
          </cell>
          <cell r="DD73">
            <v>17039</v>
          </cell>
          <cell r="DE73">
            <v>16770</v>
          </cell>
          <cell r="DF73">
            <v>18090</v>
          </cell>
          <cell r="DG73">
            <v>17302</v>
          </cell>
          <cell r="DH73">
            <v>16971</v>
          </cell>
          <cell r="DI73">
            <v>16970</v>
          </cell>
          <cell r="DJ73">
            <v>17542</v>
          </cell>
          <cell r="DK73">
            <v>16788</v>
          </cell>
          <cell r="DL73">
            <v>17106</v>
          </cell>
          <cell r="DM73">
            <v>17067</v>
          </cell>
          <cell r="DN73">
            <v>17078</v>
          </cell>
          <cell r="DO73">
            <v>17502</v>
          </cell>
          <cell r="DP73">
            <v>16994</v>
          </cell>
          <cell r="DQ73">
            <v>16853</v>
          </cell>
          <cell r="DR73">
            <v>17507</v>
          </cell>
          <cell r="DS73">
            <v>17087</v>
          </cell>
          <cell r="DT73">
            <v>16642</v>
          </cell>
          <cell r="DU73">
            <v>13748</v>
          </cell>
          <cell r="DV73">
            <v>8090</v>
          </cell>
          <cell r="DW73">
            <v>7335</v>
          </cell>
          <cell r="DX73">
            <v>5526</v>
          </cell>
          <cell r="DY73">
            <v>5054</v>
          </cell>
          <cell r="DZ73">
            <v>4130</v>
          </cell>
          <cell r="EA73">
            <v>4931</v>
          </cell>
          <cell r="EB73">
            <v>4173</v>
          </cell>
          <cell r="EC73">
            <v>3969</v>
          </cell>
          <cell r="ED73">
            <v>3122</v>
          </cell>
          <cell r="EE73">
            <v>3768</v>
          </cell>
          <cell r="EF73">
            <v>3761</v>
          </cell>
          <cell r="EG73">
            <v>3508</v>
          </cell>
          <cell r="EH73">
            <v>3308</v>
          </cell>
          <cell r="EI73">
            <v>3381</v>
          </cell>
          <cell r="EJ73">
            <v>3479</v>
          </cell>
          <cell r="EK73">
            <v>3501</v>
          </cell>
          <cell r="EL73">
            <v>3849</v>
          </cell>
          <cell r="EM73">
            <v>3686</v>
          </cell>
          <cell r="EN73">
            <v>3756</v>
          </cell>
          <cell r="EO73">
            <v>3242</v>
          </cell>
          <cell r="EP73">
            <v>3337</v>
          </cell>
          <cell r="EQ73">
            <v>3086</v>
          </cell>
          <cell r="ER73">
            <v>3354</v>
          </cell>
          <cell r="ES73">
            <v>3385</v>
          </cell>
          <cell r="ET73">
            <v>3254</v>
          </cell>
          <cell r="EU73">
            <v>3012</v>
          </cell>
          <cell r="EV73">
            <v>3087</v>
          </cell>
          <cell r="EW73">
            <v>3315</v>
          </cell>
          <cell r="EX73">
            <v>2955</v>
          </cell>
          <cell r="EY73">
            <v>2945</v>
          </cell>
          <cell r="EZ73">
            <v>2741</v>
          </cell>
          <cell r="FA73">
            <v>2949</v>
          </cell>
          <cell r="FB73">
            <v>2750</v>
          </cell>
          <cell r="FC73">
            <v>2683</v>
          </cell>
          <cell r="FD73">
            <v>2645</v>
          </cell>
          <cell r="FE73">
            <v>2697</v>
          </cell>
          <cell r="FF73">
            <v>2679</v>
          </cell>
          <cell r="FG73">
            <v>2390</v>
          </cell>
          <cell r="FH73">
            <v>2545</v>
          </cell>
          <cell r="FI73">
            <v>2501</v>
          </cell>
          <cell r="FJ73">
            <v>2640</v>
          </cell>
          <cell r="FK73">
            <v>2285</v>
          </cell>
          <cell r="FL73">
            <v>2267</v>
          </cell>
          <cell r="FM73">
            <v>2203</v>
          </cell>
          <cell r="FN73">
            <v>2389</v>
          </cell>
          <cell r="FO73">
            <v>1775</v>
          </cell>
          <cell r="FP73">
            <v>1965</v>
          </cell>
          <cell r="FQ73">
            <v>2066</v>
          </cell>
          <cell r="FR73">
            <v>2243</v>
          </cell>
          <cell r="FS73">
            <v>1977</v>
          </cell>
          <cell r="FT73">
            <v>1852</v>
          </cell>
          <cell r="FU73">
            <v>1832</v>
          </cell>
          <cell r="FV73">
            <v>1855</v>
          </cell>
          <cell r="FW73">
            <v>2003</v>
          </cell>
          <cell r="FX73">
            <v>1813</v>
          </cell>
          <cell r="FY73">
            <v>1689</v>
          </cell>
          <cell r="FZ73">
            <v>1501</v>
          </cell>
          <cell r="GA73">
            <v>2005</v>
          </cell>
          <cell r="GB73">
            <v>1748</v>
          </cell>
          <cell r="GC73">
            <v>1786</v>
          </cell>
          <cell r="GD73">
            <v>1433</v>
          </cell>
          <cell r="GE73">
            <v>1629</v>
          </cell>
          <cell r="GF73">
            <v>1836</v>
          </cell>
          <cell r="GG73">
            <v>1602</v>
          </cell>
          <cell r="GH73">
            <v>1585</v>
          </cell>
          <cell r="GI73">
            <v>1687</v>
          </cell>
          <cell r="GJ73">
            <v>1867</v>
          </cell>
          <cell r="GK73">
            <v>1679</v>
          </cell>
          <cell r="GL73">
            <v>1590</v>
          </cell>
          <cell r="GM73">
            <v>1373</v>
          </cell>
          <cell r="GN73">
            <v>1778</v>
          </cell>
        </row>
        <row r="74">
          <cell r="B74" t="str">
            <v>PREZISTA</v>
          </cell>
          <cell r="C74" t="str">
            <v>OBD</v>
          </cell>
          <cell r="D74">
            <v>12</v>
          </cell>
          <cell r="E74">
            <v>83</v>
          </cell>
          <cell r="F74">
            <v>189</v>
          </cell>
          <cell r="G74">
            <v>238</v>
          </cell>
          <cell r="H74">
            <v>235</v>
          </cell>
          <cell r="I74">
            <v>306</v>
          </cell>
          <cell r="J74">
            <v>328</v>
          </cell>
          <cell r="K74">
            <v>425</v>
          </cell>
          <cell r="L74">
            <v>416</v>
          </cell>
          <cell r="M74">
            <v>459</v>
          </cell>
          <cell r="N74">
            <v>440</v>
          </cell>
          <cell r="O74">
            <v>531</v>
          </cell>
          <cell r="P74">
            <v>566</v>
          </cell>
          <cell r="Q74">
            <v>547</v>
          </cell>
          <cell r="R74">
            <v>684</v>
          </cell>
          <cell r="S74">
            <v>570</v>
          </cell>
          <cell r="T74">
            <v>714</v>
          </cell>
          <cell r="U74">
            <v>650</v>
          </cell>
          <cell r="V74">
            <v>823</v>
          </cell>
          <cell r="W74">
            <v>769</v>
          </cell>
          <cell r="X74">
            <v>773</v>
          </cell>
          <cell r="Y74">
            <v>692</v>
          </cell>
          <cell r="Z74">
            <v>909</v>
          </cell>
          <cell r="AA74">
            <v>924</v>
          </cell>
          <cell r="AB74">
            <v>909</v>
          </cell>
          <cell r="AC74">
            <v>984</v>
          </cell>
          <cell r="AD74">
            <v>837</v>
          </cell>
          <cell r="AE74">
            <v>864</v>
          </cell>
          <cell r="AF74">
            <v>981</v>
          </cell>
          <cell r="AG74">
            <v>944</v>
          </cell>
          <cell r="AH74">
            <v>1075</v>
          </cell>
          <cell r="AI74">
            <v>1098</v>
          </cell>
          <cell r="AJ74">
            <v>1092</v>
          </cell>
          <cell r="AK74">
            <v>1076</v>
          </cell>
          <cell r="AL74">
            <v>1066</v>
          </cell>
          <cell r="AM74">
            <v>1226</v>
          </cell>
          <cell r="AN74">
            <v>1159</v>
          </cell>
          <cell r="AO74">
            <v>1233</v>
          </cell>
          <cell r="AP74">
            <v>1166</v>
          </cell>
          <cell r="AQ74">
            <v>1292</v>
          </cell>
          <cell r="AR74">
            <v>1293</v>
          </cell>
          <cell r="AS74">
            <v>1320</v>
          </cell>
          <cell r="AT74">
            <v>1327</v>
          </cell>
          <cell r="AU74">
            <v>1329</v>
          </cell>
          <cell r="AV74">
            <v>1487</v>
          </cell>
          <cell r="AW74">
            <v>1455</v>
          </cell>
          <cell r="AX74">
            <v>1408</v>
          </cell>
          <cell r="AY74">
            <v>1441</v>
          </cell>
          <cell r="AZ74">
            <v>1405</v>
          </cell>
          <cell r="BA74">
            <v>1624</v>
          </cell>
          <cell r="BB74">
            <v>1492</v>
          </cell>
          <cell r="BC74">
            <v>1499</v>
          </cell>
          <cell r="BD74">
            <v>1599</v>
          </cell>
          <cell r="BE74">
            <v>1520</v>
          </cell>
          <cell r="BF74">
            <v>1607</v>
          </cell>
          <cell r="BG74">
            <v>1648</v>
          </cell>
          <cell r="BH74">
            <v>1577</v>
          </cell>
          <cell r="BI74">
            <v>1684</v>
          </cell>
          <cell r="BJ74">
            <v>1650</v>
          </cell>
          <cell r="BK74">
            <v>1604</v>
          </cell>
          <cell r="BL74">
            <v>1727</v>
          </cell>
          <cell r="BM74">
            <v>1705</v>
          </cell>
          <cell r="BN74">
            <v>1700</v>
          </cell>
          <cell r="BO74">
            <v>1765</v>
          </cell>
          <cell r="BP74">
            <v>1844</v>
          </cell>
          <cell r="BQ74">
            <v>1818</v>
          </cell>
          <cell r="BR74">
            <v>1975</v>
          </cell>
          <cell r="BS74">
            <v>1832</v>
          </cell>
          <cell r="BT74">
            <v>1937</v>
          </cell>
          <cell r="BU74">
            <v>1929</v>
          </cell>
          <cell r="BV74">
            <v>2003</v>
          </cell>
          <cell r="BW74">
            <v>2138</v>
          </cell>
          <cell r="BX74">
            <v>2187</v>
          </cell>
          <cell r="BY74">
            <v>1829</v>
          </cell>
          <cell r="BZ74">
            <v>2383</v>
          </cell>
          <cell r="CA74">
            <v>2357</v>
          </cell>
          <cell r="CB74">
            <v>2422</v>
          </cell>
          <cell r="CC74">
            <v>2346</v>
          </cell>
          <cell r="CD74">
            <v>1984</v>
          </cell>
          <cell r="CE74">
            <v>2194</v>
          </cell>
          <cell r="CF74">
            <v>2652</v>
          </cell>
          <cell r="CG74">
            <v>2447</v>
          </cell>
          <cell r="CH74">
            <v>2328</v>
          </cell>
          <cell r="CI74">
            <v>2640</v>
          </cell>
          <cell r="CJ74">
            <v>2533</v>
          </cell>
          <cell r="CK74">
            <v>2634</v>
          </cell>
          <cell r="CL74">
            <v>2461</v>
          </cell>
          <cell r="CM74">
            <v>2669</v>
          </cell>
          <cell r="CN74">
            <v>3045</v>
          </cell>
          <cell r="CO74">
            <v>2894</v>
          </cell>
          <cell r="CP74">
            <v>2815</v>
          </cell>
          <cell r="CQ74">
            <v>2753</v>
          </cell>
          <cell r="CR74">
            <v>2980</v>
          </cell>
          <cell r="CS74">
            <v>2869</v>
          </cell>
          <cell r="CT74">
            <v>2947</v>
          </cell>
          <cell r="CU74">
            <v>2736</v>
          </cell>
          <cell r="CV74">
            <v>3048</v>
          </cell>
          <cell r="CW74">
            <v>3081</v>
          </cell>
          <cell r="CX74">
            <v>2928</v>
          </cell>
          <cell r="CY74">
            <v>2897</v>
          </cell>
          <cell r="CZ74">
            <v>2861</v>
          </cell>
          <cell r="DA74">
            <v>3207</v>
          </cell>
          <cell r="DB74">
            <v>3075</v>
          </cell>
          <cell r="DC74">
            <v>2956</v>
          </cell>
          <cell r="DD74">
            <v>3107</v>
          </cell>
          <cell r="DE74">
            <v>3106</v>
          </cell>
          <cell r="DF74">
            <v>3321</v>
          </cell>
          <cell r="DG74">
            <v>3164</v>
          </cell>
          <cell r="DH74">
            <v>3208</v>
          </cell>
          <cell r="DI74">
            <v>3429</v>
          </cell>
          <cell r="DJ74">
            <v>3361</v>
          </cell>
          <cell r="DK74">
            <v>3308</v>
          </cell>
          <cell r="DL74">
            <v>3346</v>
          </cell>
          <cell r="DM74">
            <v>3530</v>
          </cell>
          <cell r="DN74">
            <v>3455</v>
          </cell>
          <cell r="DO74">
            <v>3633</v>
          </cell>
          <cell r="DP74">
            <v>3678</v>
          </cell>
          <cell r="DQ74">
            <v>3628</v>
          </cell>
          <cell r="DR74">
            <v>3781</v>
          </cell>
          <cell r="DS74">
            <v>3665</v>
          </cell>
          <cell r="DT74">
            <v>3699</v>
          </cell>
          <cell r="DU74">
            <v>3679</v>
          </cell>
          <cell r="DV74">
            <v>3698</v>
          </cell>
          <cell r="DW74">
            <v>4048</v>
          </cell>
          <cell r="DX74">
            <v>3981</v>
          </cell>
          <cell r="DY74">
            <v>4038</v>
          </cell>
          <cell r="DZ74">
            <v>3603</v>
          </cell>
          <cell r="EA74">
            <v>4524</v>
          </cell>
          <cell r="EB74">
            <v>4451</v>
          </cell>
          <cell r="EC74">
            <v>4396</v>
          </cell>
          <cell r="ED74">
            <v>3471</v>
          </cell>
          <cell r="EE74">
            <v>3970</v>
          </cell>
          <cell r="EF74">
            <v>4733</v>
          </cell>
          <cell r="EG74">
            <v>4696</v>
          </cell>
          <cell r="EH74">
            <v>4171</v>
          </cell>
          <cell r="EI74">
            <v>4096</v>
          </cell>
          <cell r="EJ74">
            <v>4796</v>
          </cell>
          <cell r="EK74">
            <v>4341</v>
          </cell>
          <cell r="EL74">
            <v>4473</v>
          </cell>
          <cell r="EM74">
            <v>4577</v>
          </cell>
          <cell r="EN74">
            <v>4931</v>
          </cell>
          <cell r="EO74">
            <v>4655</v>
          </cell>
          <cell r="EP74">
            <v>4578</v>
          </cell>
          <cell r="EQ74">
            <v>4677</v>
          </cell>
          <cell r="ER74">
            <v>4819</v>
          </cell>
          <cell r="ES74">
            <v>4776</v>
          </cell>
          <cell r="ET74">
            <v>4822</v>
          </cell>
          <cell r="EU74">
            <v>4889</v>
          </cell>
          <cell r="EV74">
            <v>5093</v>
          </cell>
          <cell r="EW74">
            <v>5115</v>
          </cell>
          <cell r="EX74">
            <v>4989</v>
          </cell>
          <cell r="EY74">
            <v>4914</v>
          </cell>
          <cell r="EZ74">
            <v>4729</v>
          </cell>
          <cell r="FA74">
            <v>5595</v>
          </cell>
          <cell r="FB74">
            <v>5261</v>
          </cell>
          <cell r="FC74">
            <v>5121</v>
          </cell>
          <cell r="FD74">
            <v>5264</v>
          </cell>
          <cell r="FE74">
            <v>5409</v>
          </cell>
          <cell r="FF74">
            <v>5271</v>
          </cell>
          <cell r="FG74">
            <v>5621</v>
          </cell>
          <cell r="FH74">
            <v>5407</v>
          </cell>
          <cell r="FI74">
            <v>5361</v>
          </cell>
          <cell r="FJ74">
            <v>5797</v>
          </cell>
          <cell r="FK74">
            <v>5462</v>
          </cell>
          <cell r="FL74">
            <v>5490</v>
          </cell>
          <cell r="FM74">
            <v>5544</v>
          </cell>
          <cell r="FN74">
            <v>6082</v>
          </cell>
          <cell r="FO74">
            <v>5193</v>
          </cell>
          <cell r="FP74">
            <v>5810</v>
          </cell>
          <cell r="FQ74">
            <v>5767</v>
          </cell>
          <cell r="FR74">
            <v>6481</v>
          </cell>
          <cell r="FS74">
            <v>5881</v>
          </cell>
          <cell r="FT74">
            <v>5962</v>
          </cell>
          <cell r="FU74">
            <v>5828</v>
          </cell>
          <cell r="FV74">
            <v>6162</v>
          </cell>
          <cell r="FW74">
            <v>6215</v>
          </cell>
          <cell r="FX74">
            <v>6218</v>
          </cell>
          <cell r="FY74">
            <v>6327</v>
          </cell>
          <cell r="FZ74">
            <v>5661</v>
          </cell>
          <cell r="GA74">
            <v>7073</v>
          </cell>
          <cell r="GB74">
            <v>6780</v>
          </cell>
          <cell r="GC74">
            <v>6885</v>
          </cell>
          <cell r="GD74">
            <v>5387</v>
          </cell>
          <cell r="GE74">
            <v>6475</v>
          </cell>
          <cell r="GF74">
            <v>7253</v>
          </cell>
          <cell r="GG74">
            <v>7117</v>
          </cell>
          <cell r="GH74">
            <v>6166</v>
          </cell>
          <cell r="GI74">
            <v>6703</v>
          </cell>
          <cell r="GJ74">
            <v>7123</v>
          </cell>
          <cell r="GK74">
            <v>6717</v>
          </cell>
          <cell r="GL74">
            <v>6680</v>
          </cell>
          <cell r="GM74">
            <v>6823</v>
          </cell>
          <cell r="GN74">
            <v>7914</v>
          </cell>
        </row>
        <row r="75">
          <cell r="B75" t="str">
            <v>PROCRIT</v>
          </cell>
          <cell r="C75" t="str">
            <v>OBD</v>
          </cell>
          <cell r="D75">
            <v>24286</v>
          </cell>
          <cell r="E75">
            <v>21524</v>
          </cell>
          <cell r="F75">
            <v>24035</v>
          </cell>
          <cell r="G75">
            <v>23423</v>
          </cell>
          <cell r="H75">
            <v>23434</v>
          </cell>
          <cell r="I75">
            <v>23678</v>
          </cell>
          <cell r="J75">
            <v>24417</v>
          </cell>
          <cell r="K75">
            <v>24852</v>
          </cell>
          <cell r="L75">
            <v>24624</v>
          </cell>
          <cell r="M75">
            <v>24551</v>
          </cell>
          <cell r="N75">
            <v>23062</v>
          </cell>
          <cell r="O75">
            <v>24980</v>
          </cell>
          <cell r="P75">
            <v>24694</v>
          </cell>
          <cell r="Q75">
            <v>24818</v>
          </cell>
          <cell r="R75">
            <v>25033</v>
          </cell>
          <cell r="S75">
            <v>24930</v>
          </cell>
          <cell r="T75">
            <v>24570</v>
          </cell>
          <cell r="U75">
            <v>25504</v>
          </cell>
          <cell r="V75">
            <v>24836</v>
          </cell>
          <cell r="W75">
            <v>25754</v>
          </cell>
          <cell r="X75">
            <v>25352</v>
          </cell>
          <cell r="Y75">
            <v>21527</v>
          </cell>
          <cell r="Z75">
            <v>25751</v>
          </cell>
          <cell r="AA75">
            <v>25769</v>
          </cell>
          <cell r="AB75">
            <v>25745</v>
          </cell>
          <cell r="AC75">
            <v>25200</v>
          </cell>
          <cell r="AD75">
            <v>22811</v>
          </cell>
          <cell r="AE75">
            <v>22473</v>
          </cell>
          <cell r="AF75">
            <v>24403</v>
          </cell>
          <cell r="AG75">
            <v>24249</v>
          </cell>
          <cell r="AH75">
            <v>24615</v>
          </cell>
          <cell r="AI75">
            <v>24733</v>
          </cell>
          <cell r="AJ75">
            <v>25070</v>
          </cell>
          <cell r="AK75">
            <v>24443</v>
          </cell>
          <cell r="AL75">
            <v>25196</v>
          </cell>
          <cell r="AM75">
            <v>25308</v>
          </cell>
          <cell r="AN75">
            <v>24913</v>
          </cell>
          <cell r="AO75">
            <v>23903</v>
          </cell>
          <cell r="AP75">
            <v>23823</v>
          </cell>
          <cell r="AQ75">
            <v>23458</v>
          </cell>
          <cell r="AR75">
            <v>23291</v>
          </cell>
          <cell r="AS75">
            <v>22798</v>
          </cell>
          <cell r="AT75">
            <v>22646</v>
          </cell>
          <cell r="AU75">
            <v>22978</v>
          </cell>
          <cell r="AV75">
            <v>22513</v>
          </cell>
          <cell r="AW75">
            <v>22376</v>
          </cell>
          <cell r="AX75">
            <v>22423</v>
          </cell>
          <cell r="AY75">
            <v>22785</v>
          </cell>
          <cell r="AZ75">
            <v>20402</v>
          </cell>
          <cell r="BA75">
            <v>22711</v>
          </cell>
          <cell r="BB75">
            <v>22303</v>
          </cell>
          <cell r="BC75">
            <v>21534</v>
          </cell>
          <cell r="BD75">
            <v>21845</v>
          </cell>
          <cell r="BE75">
            <v>19280</v>
          </cell>
          <cell r="BF75">
            <v>21715</v>
          </cell>
          <cell r="BG75">
            <v>21344</v>
          </cell>
          <cell r="BH75">
            <v>21255</v>
          </cell>
          <cell r="BI75">
            <v>21352</v>
          </cell>
          <cell r="BJ75">
            <v>21311</v>
          </cell>
          <cell r="BK75">
            <v>21443</v>
          </cell>
          <cell r="BL75">
            <v>20861</v>
          </cell>
          <cell r="BM75">
            <v>20645</v>
          </cell>
          <cell r="BN75">
            <v>19285</v>
          </cell>
          <cell r="BO75">
            <v>20631</v>
          </cell>
          <cell r="BP75">
            <v>20602</v>
          </cell>
          <cell r="BQ75">
            <v>20499</v>
          </cell>
          <cell r="BR75">
            <v>20407</v>
          </cell>
          <cell r="BS75">
            <v>19992</v>
          </cell>
          <cell r="BT75">
            <v>20124</v>
          </cell>
          <cell r="BU75">
            <v>20197</v>
          </cell>
          <cell r="BV75">
            <v>19718</v>
          </cell>
          <cell r="BW75">
            <v>20195</v>
          </cell>
          <cell r="BX75">
            <v>19983</v>
          </cell>
          <cell r="BY75">
            <v>17109</v>
          </cell>
          <cell r="BZ75">
            <v>19669</v>
          </cell>
          <cell r="CA75">
            <v>19196</v>
          </cell>
          <cell r="CB75">
            <v>19113</v>
          </cell>
          <cell r="CC75">
            <v>18722</v>
          </cell>
          <cell r="CD75">
            <v>16022</v>
          </cell>
          <cell r="CE75">
            <v>16657</v>
          </cell>
          <cell r="CF75">
            <v>18909</v>
          </cell>
          <cell r="CG75">
            <v>18567</v>
          </cell>
          <cell r="CH75">
            <v>17967</v>
          </cell>
          <cell r="CI75">
            <v>18195</v>
          </cell>
          <cell r="CJ75">
            <v>18531</v>
          </cell>
          <cell r="CK75">
            <v>17976</v>
          </cell>
          <cell r="CL75">
            <v>18555</v>
          </cell>
          <cell r="CM75">
            <v>18754</v>
          </cell>
          <cell r="CN75">
            <v>19327</v>
          </cell>
          <cell r="CO75">
            <v>19038</v>
          </cell>
          <cell r="CP75">
            <v>18568</v>
          </cell>
          <cell r="CQ75">
            <v>18980</v>
          </cell>
          <cell r="CR75">
            <v>18245</v>
          </cell>
          <cell r="CS75">
            <v>18721</v>
          </cell>
          <cell r="CT75">
            <v>18597</v>
          </cell>
          <cell r="CU75">
            <v>18333</v>
          </cell>
          <cell r="CV75">
            <v>18389</v>
          </cell>
          <cell r="CW75">
            <v>18626</v>
          </cell>
          <cell r="CX75">
            <v>18126</v>
          </cell>
          <cell r="CY75">
            <v>18156</v>
          </cell>
          <cell r="CZ75">
            <v>16170</v>
          </cell>
          <cell r="DA75">
            <v>17450</v>
          </cell>
          <cell r="DB75">
            <v>16946</v>
          </cell>
          <cell r="DC75">
            <v>17070</v>
          </cell>
          <cell r="DD75">
            <v>17271</v>
          </cell>
          <cell r="DE75">
            <v>15139</v>
          </cell>
          <cell r="DF75">
            <v>17814</v>
          </cell>
          <cell r="DG75">
            <v>16667</v>
          </cell>
          <cell r="DH75">
            <v>17197</v>
          </cell>
          <cell r="DI75">
            <v>16857</v>
          </cell>
          <cell r="DJ75">
            <v>17128</v>
          </cell>
          <cell r="DK75">
            <v>17177</v>
          </cell>
          <cell r="DL75">
            <v>17273</v>
          </cell>
          <cell r="DM75">
            <v>16952</v>
          </cell>
          <cell r="DN75">
            <v>15713</v>
          </cell>
          <cell r="DO75">
            <v>17169</v>
          </cell>
          <cell r="DP75">
            <v>17339</v>
          </cell>
          <cell r="DQ75">
            <v>16678</v>
          </cell>
          <cell r="DR75">
            <v>16979</v>
          </cell>
          <cell r="DS75">
            <v>16913</v>
          </cell>
          <cell r="DT75">
            <v>16666</v>
          </cell>
          <cell r="DU75">
            <v>17318</v>
          </cell>
          <cell r="DV75">
            <v>16400</v>
          </cell>
          <cell r="DW75">
            <v>16707</v>
          </cell>
          <cell r="DX75">
            <v>16719</v>
          </cell>
          <cell r="DY75">
            <v>16698</v>
          </cell>
          <cell r="DZ75">
            <v>14001</v>
          </cell>
          <cell r="EA75">
            <v>17217</v>
          </cell>
          <cell r="EB75">
            <v>16535</v>
          </cell>
          <cell r="EC75">
            <v>16570</v>
          </cell>
          <cell r="ED75">
            <v>12415</v>
          </cell>
          <cell r="EE75">
            <v>13406</v>
          </cell>
          <cell r="EF75">
            <v>15178</v>
          </cell>
          <cell r="EG75">
            <v>15851</v>
          </cell>
          <cell r="EH75">
            <v>15877</v>
          </cell>
          <cell r="EI75">
            <v>15951</v>
          </cell>
          <cell r="EJ75">
            <v>16418</v>
          </cell>
          <cell r="EK75">
            <v>16178</v>
          </cell>
          <cell r="EL75">
            <v>15690</v>
          </cell>
          <cell r="EM75">
            <v>15911</v>
          </cell>
          <cell r="EN75">
            <v>15957</v>
          </cell>
          <cell r="EO75">
            <v>16042</v>
          </cell>
          <cell r="EP75">
            <v>16655</v>
          </cell>
          <cell r="EQ75">
            <v>16416</v>
          </cell>
          <cell r="ER75">
            <v>16010</v>
          </cell>
          <cell r="ES75">
            <v>15800</v>
          </cell>
          <cell r="ET75">
            <v>15278</v>
          </cell>
          <cell r="EU75">
            <v>15529</v>
          </cell>
          <cell r="EV75">
            <v>15260</v>
          </cell>
          <cell r="EW75">
            <v>15808</v>
          </cell>
          <cell r="EX75">
            <v>15868</v>
          </cell>
          <cell r="EY75">
            <v>15938</v>
          </cell>
          <cell r="EZ75">
            <v>14623</v>
          </cell>
          <cell r="FA75">
            <v>15789</v>
          </cell>
          <cell r="FB75">
            <v>15796</v>
          </cell>
          <cell r="FC75">
            <v>15209</v>
          </cell>
          <cell r="FD75">
            <v>15314</v>
          </cell>
          <cell r="FE75">
            <v>14396</v>
          </cell>
          <cell r="FF75">
            <v>15085</v>
          </cell>
          <cell r="FG75">
            <v>14436</v>
          </cell>
          <cell r="FH75">
            <v>15097</v>
          </cell>
          <cell r="FI75">
            <v>14898</v>
          </cell>
          <cell r="FJ75">
            <v>14825</v>
          </cell>
          <cell r="FK75">
            <v>14925</v>
          </cell>
          <cell r="FL75">
            <v>14572</v>
          </cell>
          <cell r="FM75">
            <v>14742</v>
          </cell>
          <cell r="FN75">
            <v>14802</v>
          </cell>
          <cell r="FO75">
            <v>13918</v>
          </cell>
          <cell r="FP75">
            <v>14941</v>
          </cell>
          <cell r="FQ75">
            <v>14877</v>
          </cell>
          <cell r="FR75">
            <v>14550</v>
          </cell>
          <cell r="FS75">
            <v>14210</v>
          </cell>
          <cell r="FT75">
            <v>14345</v>
          </cell>
          <cell r="FU75">
            <v>14478</v>
          </cell>
          <cell r="FV75">
            <v>14562</v>
          </cell>
          <cell r="FW75">
            <v>14179</v>
          </cell>
          <cell r="FX75">
            <v>14062</v>
          </cell>
          <cell r="FY75">
            <v>14794</v>
          </cell>
          <cell r="FZ75">
            <v>12103</v>
          </cell>
          <cell r="GA75">
            <v>15006</v>
          </cell>
          <cell r="GB75">
            <v>13805</v>
          </cell>
          <cell r="GC75">
            <v>14512</v>
          </cell>
          <cell r="GD75">
            <v>11411</v>
          </cell>
          <cell r="GE75">
            <v>12384</v>
          </cell>
          <cell r="GF75">
            <v>14224</v>
          </cell>
          <cell r="GG75">
            <v>13730</v>
          </cell>
          <cell r="GH75">
            <v>13299</v>
          </cell>
          <cell r="GI75">
            <v>13562</v>
          </cell>
          <cell r="GJ75">
            <v>13608</v>
          </cell>
          <cell r="GK75">
            <v>12817</v>
          </cell>
          <cell r="GL75">
            <v>13382</v>
          </cell>
          <cell r="GM75">
            <v>13590</v>
          </cell>
          <cell r="GN75">
            <v>13688</v>
          </cell>
        </row>
        <row r="76">
          <cell r="B76" t="str">
            <v>PULMOZYME</v>
          </cell>
          <cell r="C76" t="str">
            <v>GTC</v>
          </cell>
          <cell r="D76">
            <v>1949</v>
          </cell>
          <cell r="E76">
            <v>1626</v>
          </cell>
          <cell r="F76">
            <v>1965</v>
          </cell>
          <cell r="G76">
            <v>1864</v>
          </cell>
          <cell r="H76">
            <v>1777</v>
          </cell>
          <cell r="I76">
            <v>1747</v>
          </cell>
          <cell r="J76">
            <v>1894</v>
          </cell>
          <cell r="K76">
            <v>1932</v>
          </cell>
          <cell r="L76">
            <v>1929</v>
          </cell>
          <cell r="M76">
            <v>1937</v>
          </cell>
          <cell r="N76">
            <v>1663</v>
          </cell>
          <cell r="O76">
            <v>1806</v>
          </cell>
          <cell r="P76">
            <v>1902</v>
          </cell>
          <cell r="Q76">
            <v>1944</v>
          </cell>
          <cell r="R76">
            <v>1956</v>
          </cell>
          <cell r="S76">
            <v>2017</v>
          </cell>
          <cell r="T76">
            <v>1968</v>
          </cell>
          <cell r="U76">
            <v>2052</v>
          </cell>
          <cell r="V76">
            <v>2000</v>
          </cell>
          <cell r="W76">
            <v>1932</v>
          </cell>
          <cell r="X76">
            <v>2031</v>
          </cell>
          <cell r="Y76">
            <v>1541</v>
          </cell>
          <cell r="Z76">
            <v>2282</v>
          </cell>
          <cell r="AA76">
            <v>2084</v>
          </cell>
          <cell r="AB76">
            <v>2121</v>
          </cell>
          <cell r="AC76">
            <v>2165</v>
          </cell>
          <cell r="AD76">
            <v>1809</v>
          </cell>
          <cell r="AE76">
            <v>1917</v>
          </cell>
          <cell r="AF76">
            <v>2067</v>
          </cell>
          <cell r="AG76">
            <v>1997</v>
          </cell>
          <cell r="AH76">
            <v>1999</v>
          </cell>
          <cell r="AI76">
            <v>2027</v>
          </cell>
          <cell r="AJ76">
            <v>2023</v>
          </cell>
          <cell r="AK76">
            <v>2047</v>
          </cell>
          <cell r="AL76">
            <v>1970</v>
          </cell>
          <cell r="AM76">
            <v>2010</v>
          </cell>
          <cell r="AN76">
            <v>2044</v>
          </cell>
          <cell r="AO76">
            <v>1949</v>
          </cell>
          <cell r="AP76">
            <v>2044</v>
          </cell>
          <cell r="AQ76">
            <v>1950</v>
          </cell>
          <cell r="AR76">
            <v>1920</v>
          </cell>
          <cell r="AS76">
            <v>2065</v>
          </cell>
          <cell r="AT76">
            <v>1939</v>
          </cell>
          <cell r="AU76">
            <v>1922</v>
          </cell>
          <cell r="AV76">
            <v>2012</v>
          </cell>
          <cell r="AW76">
            <v>1978</v>
          </cell>
          <cell r="AX76">
            <v>1900</v>
          </cell>
          <cell r="AY76">
            <v>2056</v>
          </cell>
          <cell r="AZ76">
            <v>1877</v>
          </cell>
          <cell r="BA76">
            <v>2106</v>
          </cell>
          <cell r="BB76">
            <v>1898</v>
          </cell>
          <cell r="BC76">
            <v>1977</v>
          </cell>
          <cell r="BD76">
            <v>1967</v>
          </cell>
          <cell r="BE76">
            <v>1722</v>
          </cell>
          <cell r="BF76">
            <v>2090</v>
          </cell>
          <cell r="BG76">
            <v>2017</v>
          </cell>
          <cell r="BH76">
            <v>1989</v>
          </cell>
          <cell r="BI76">
            <v>2040</v>
          </cell>
          <cell r="BJ76">
            <v>1978</v>
          </cell>
          <cell r="BK76">
            <v>1962</v>
          </cell>
          <cell r="BL76">
            <v>1955</v>
          </cell>
          <cell r="BM76">
            <v>2211</v>
          </cell>
          <cell r="BN76">
            <v>1789</v>
          </cell>
          <cell r="BO76">
            <v>2037</v>
          </cell>
          <cell r="BP76">
            <v>2092</v>
          </cell>
          <cell r="BQ76">
            <v>1971</v>
          </cell>
          <cell r="BR76">
            <v>1946</v>
          </cell>
          <cell r="BS76">
            <v>1857</v>
          </cell>
          <cell r="BT76">
            <v>1937</v>
          </cell>
          <cell r="BU76">
            <v>2059</v>
          </cell>
          <cell r="BV76">
            <v>2001</v>
          </cell>
          <cell r="BW76">
            <v>2119</v>
          </cell>
          <cell r="BX76">
            <v>1993</v>
          </cell>
          <cell r="BY76">
            <v>1678</v>
          </cell>
          <cell r="BZ76">
            <v>2280</v>
          </cell>
          <cell r="CA76">
            <v>1984</v>
          </cell>
          <cell r="CB76">
            <v>2046</v>
          </cell>
          <cell r="CC76">
            <v>2174</v>
          </cell>
          <cell r="CD76">
            <v>1647</v>
          </cell>
          <cell r="CE76">
            <v>1956</v>
          </cell>
          <cell r="CF76">
            <v>2155</v>
          </cell>
          <cell r="CG76">
            <v>2084</v>
          </cell>
          <cell r="CH76">
            <v>2022</v>
          </cell>
          <cell r="CI76">
            <v>2109</v>
          </cell>
          <cell r="CJ76">
            <v>2176</v>
          </cell>
          <cell r="CK76">
            <v>2120</v>
          </cell>
          <cell r="CL76">
            <v>2094</v>
          </cell>
          <cell r="CM76">
            <v>2269</v>
          </cell>
          <cell r="CN76">
            <v>2179</v>
          </cell>
          <cell r="CO76">
            <v>2045</v>
          </cell>
          <cell r="CP76">
            <v>2108</v>
          </cell>
          <cell r="CQ76">
            <v>2284</v>
          </cell>
          <cell r="CR76">
            <v>2150</v>
          </cell>
          <cell r="CS76">
            <v>2081</v>
          </cell>
          <cell r="CT76">
            <v>2128</v>
          </cell>
          <cell r="CU76">
            <v>2107</v>
          </cell>
          <cell r="CV76">
            <v>2193</v>
          </cell>
          <cell r="CW76">
            <v>2062</v>
          </cell>
          <cell r="CX76">
            <v>2172</v>
          </cell>
          <cell r="CY76">
            <v>2061</v>
          </cell>
          <cell r="CZ76">
            <v>1996</v>
          </cell>
          <cell r="DA76">
            <v>2165</v>
          </cell>
          <cell r="DB76">
            <v>2109</v>
          </cell>
          <cell r="DC76">
            <v>2050</v>
          </cell>
          <cell r="DD76">
            <v>2127</v>
          </cell>
          <cell r="DE76">
            <v>1871</v>
          </cell>
          <cell r="DF76">
            <v>2116</v>
          </cell>
          <cell r="DG76">
            <v>2073</v>
          </cell>
          <cell r="DH76">
            <v>1903</v>
          </cell>
          <cell r="DI76">
            <v>2198</v>
          </cell>
          <cell r="DJ76">
            <v>1836</v>
          </cell>
          <cell r="DK76">
            <v>2124</v>
          </cell>
          <cell r="DL76">
            <v>2038</v>
          </cell>
          <cell r="DM76">
            <v>2198</v>
          </cell>
          <cell r="DN76">
            <v>1883</v>
          </cell>
          <cell r="DO76">
            <v>2253</v>
          </cell>
          <cell r="DP76">
            <v>2124</v>
          </cell>
          <cell r="DQ76">
            <v>2207</v>
          </cell>
          <cell r="DR76">
            <v>2205</v>
          </cell>
          <cell r="DS76">
            <v>2306</v>
          </cell>
          <cell r="DT76">
            <v>2295</v>
          </cell>
          <cell r="DU76">
            <v>2116</v>
          </cell>
          <cell r="DV76">
            <v>2140</v>
          </cell>
          <cell r="DW76">
            <v>2267</v>
          </cell>
          <cell r="DX76">
            <v>2223</v>
          </cell>
          <cell r="DY76">
            <v>2258</v>
          </cell>
          <cell r="DZ76">
            <v>1833</v>
          </cell>
          <cell r="EA76">
            <v>2381</v>
          </cell>
          <cell r="EB76">
            <v>2352</v>
          </cell>
          <cell r="EC76">
            <v>2430</v>
          </cell>
          <cell r="ED76">
            <v>1716</v>
          </cell>
          <cell r="EE76">
            <v>2135</v>
          </cell>
          <cell r="EF76">
            <v>2407</v>
          </cell>
          <cell r="EG76">
            <v>2290</v>
          </cell>
          <cell r="EH76">
            <v>2019</v>
          </cell>
          <cell r="EI76">
            <v>2358</v>
          </cell>
          <cell r="EJ76">
            <v>2304</v>
          </cell>
          <cell r="EK76">
            <v>2373</v>
          </cell>
          <cell r="EL76">
            <v>2338</v>
          </cell>
          <cell r="EM76">
            <v>2332</v>
          </cell>
          <cell r="EN76">
            <v>2466</v>
          </cell>
          <cell r="EO76">
            <v>2391</v>
          </cell>
          <cell r="EP76">
            <v>2480</v>
          </cell>
          <cell r="EQ76">
            <v>2362</v>
          </cell>
          <cell r="ER76">
            <v>2402</v>
          </cell>
          <cell r="ES76">
            <v>2323</v>
          </cell>
          <cell r="ET76">
            <v>2403</v>
          </cell>
          <cell r="EU76">
            <v>2366</v>
          </cell>
          <cell r="EV76">
            <v>2422</v>
          </cell>
          <cell r="EW76">
            <v>2251</v>
          </cell>
          <cell r="EX76">
            <v>2386</v>
          </cell>
          <cell r="EY76">
            <v>2346</v>
          </cell>
          <cell r="EZ76">
            <v>2304</v>
          </cell>
          <cell r="FA76">
            <v>2492</v>
          </cell>
          <cell r="FB76">
            <v>2309</v>
          </cell>
          <cell r="FC76">
            <v>2328</v>
          </cell>
          <cell r="FD76">
            <v>2362</v>
          </cell>
          <cell r="FE76">
            <v>2262</v>
          </cell>
          <cell r="FF76">
            <v>2343</v>
          </cell>
          <cell r="FG76">
            <v>2359</v>
          </cell>
          <cell r="FH76">
            <v>2350</v>
          </cell>
          <cell r="FI76">
            <v>2399</v>
          </cell>
          <cell r="FJ76">
            <v>2197</v>
          </cell>
          <cell r="FK76">
            <v>2380</v>
          </cell>
          <cell r="FL76">
            <v>2359</v>
          </cell>
          <cell r="FM76">
            <v>2329</v>
          </cell>
          <cell r="FN76">
            <v>2445</v>
          </cell>
          <cell r="FO76">
            <v>2232</v>
          </cell>
          <cell r="FP76">
            <v>2419</v>
          </cell>
          <cell r="FQ76">
            <v>2433</v>
          </cell>
          <cell r="FR76">
            <v>2567</v>
          </cell>
          <cell r="FS76">
            <v>2286</v>
          </cell>
          <cell r="FT76">
            <v>2360</v>
          </cell>
          <cell r="FU76">
            <v>2472</v>
          </cell>
          <cell r="FV76">
            <v>2608</v>
          </cell>
          <cell r="FW76">
            <v>2425</v>
          </cell>
          <cell r="FX76">
            <v>2398</v>
          </cell>
          <cell r="FY76">
            <v>2526</v>
          </cell>
          <cell r="FZ76">
            <v>2061</v>
          </cell>
          <cell r="GA76">
            <v>2688</v>
          </cell>
          <cell r="GB76">
            <v>2491</v>
          </cell>
          <cell r="GC76">
            <v>2557</v>
          </cell>
          <cell r="GD76">
            <v>2162</v>
          </cell>
          <cell r="GE76">
            <v>2179</v>
          </cell>
          <cell r="GF76">
            <v>2566</v>
          </cell>
          <cell r="GG76">
            <v>2530</v>
          </cell>
          <cell r="GH76">
            <v>2391</v>
          </cell>
          <cell r="GI76">
            <v>2565</v>
          </cell>
          <cell r="GJ76">
            <v>2522</v>
          </cell>
          <cell r="GK76">
            <v>2348</v>
          </cell>
          <cell r="GL76">
            <v>2391</v>
          </cell>
          <cell r="GM76">
            <v>2622</v>
          </cell>
          <cell r="GN76">
            <v>2679</v>
          </cell>
        </row>
        <row r="77">
          <cell r="B77" t="str">
            <v>RAPTIVA</v>
          </cell>
          <cell r="C77" t="str">
            <v>GTC</v>
          </cell>
          <cell r="D77">
            <v>486</v>
          </cell>
          <cell r="E77">
            <v>316</v>
          </cell>
          <cell r="F77">
            <v>567</v>
          </cell>
          <cell r="G77">
            <v>427</v>
          </cell>
          <cell r="H77">
            <v>462</v>
          </cell>
          <cell r="I77">
            <v>421</v>
          </cell>
          <cell r="J77">
            <v>574</v>
          </cell>
          <cell r="K77">
            <v>573</v>
          </cell>
          <cell r="L77">
            <v>507</v>
          </cell>
          <cell r="M77">
            <v>467</v>
          </cell>
          <cell r="N77">
            <v>490</v>
          </cell>
          <cell r="O77">
            <v>562</v>
          </cell>
          <cell r="P77">
            <v>548</v>
          </cell>
          <cell r="Q77">
            <v>514</v>
          </cell>
          <cell r="R77">
            <v>525</v>
          </cell>
          <cell r="S77">
            <v>508</v>
          </cell>
          <cell r="T77">
            <v>546</v>
          </cell>
          <cell r="U77">
            <v>513</v>
          </cell>
          <cell r="V77">
            <v>548</v>
          </cell>
          <cell r="W77">
            <v>515</v>
          </cell>
          <cell r="X77">
            <v>568</v>
          </cell>
          <cell r="Y77">
            <v>395</v>
          </cell>
          <cell r="Z77">
            <v>633</v>
          </cell>
          <cell r="AA77">
            <v>1267</v>
          </cell>
          <cell r="AB77">
            <v>1297</v>
          </cell>
          <cell r="AC77">
            <v>1202</v>
          </cell>
          <cell r="AD77">
            <v>1187</v>
          </cell>
          <cell r="AE77">
            <v>1038</v>
          </cell>
          <cell r="AF77">
            <v>943</v>
          </cell>
          <cell r="AG77">
            <v>1105</v>
          </cell>
          <cell r="AH77">
            <v>1224</v>
          </cell>
          <cell r="AI77">
            <v>1177</v>
          </cell>
          <cell r="AJ77">
            <v>1190</v>
          </cell>
          <cell r="AK77">
            <v>1087</v>
          </cell>
          <cell r="AL77">
            <v>1159</v>
          </cell>
          <cell r="AM77">
            <v>1191</v>
          </cell>
          <cell r="AN77">
            <v>1182</v>
          </cell>
          <cell r="AO77">
            <v>1128</v>
          </cell>
          <cell r="AP77">
            <v>1181</v>
          </cell>
          <cell r="AQ77">
            <v>1196</v>
          </cell>
          <cell r="AR77">
            <v>1165</v>
          </cell>
          <cell r="AS77">
            <v>1080</v>
          </cell>
          <cell r="AT77">
            <v>1115</v>
          </cell>
          <cell r="AU77">
            <v>1178</v>
          </cell>
          <cell r="AV77">
            <v>1121</v>
          </cell>
          <cell r="AW77">
            <v>1071</v>
          </cell>
          <cell r="AX77">
            <v>1078</v>
          </cell>
          <cell r="AY77">
            <v>806</v>
          </cell>
          <cell r="AZ77">
            <v>608</v>
          </cell>
          <cell r="BA77">
            <v>1265</v>
          </cell>
          <cell r="BB77">
            <v>1283</v>
          </cell>
          <cell r="BC77">
            <v>1270</v>
          </cell>
          <cell r="BD77">
            <v>1443</v>
          </cell>
          <cell r="BE77">
            <v>984</v>
          </cell>
          <cell r="BF77">
            <v>1287</v>
          </cell>
          <cell r="BG77">
            <v>1294</v>
          </cell>
          <cell r="BH77">
            <v>1372</v>
          </cell>
          <cell r="BI77">
            <v>1224</v>
          </cell>
          <cell r="BJ77">
            <v>1212</v>
          </cell>
          <cell r="BK77">
            <v>1138</v>
          </cell>
          <cell r="BL77">
            <v>1248</v>
          </cell>
          <cell r="BM77">
            <v>1368</v>
          </cell>
          <cell r="BN77">
            <v>1225</v>
          </cell>
          <cell r="BO77">
            <v>1378</v>
          </cell>
          <cell r="BP77">
            <v>1397</v>
          </cell>
          <cell r="BQ77">
            <v>1256</v>
          </cell>
          <cell r="BR77">
            <v>1248</v>
          </cell>
          <cell r="BS77">
            <v>1204</v>
          </cell>
          <cell r="BT77">
            <v>1269</v>
          </cell>
          <cell r="BU77">
            <v>1128</v>
          </cell>
          <cell r="BV77">
            <v>1231</v>
          </cell>
          <cell r="BW77">
            <v>1316</v>
          </cell>
          <cell r="BX77">
            <v>1302</v>
          </cell>
          <cell r="BY77">
            <v>919</v>
          </cell>
          <cell r="BZ77">
            <v>1386</v>
          </cell>
          <cell r="CA77">
            <v>1358</v>
          </cell>
          <cell r="CB77">
            <v>1320</v>
          </cell>
          <cell r="CC77">
            <v>1332</v>
          </cell>
          <cell r="CD77">
            <v>961</v>
          </cell>
          <cell r="CE77">
            <v>907</v>
          </cell>
          <cell r="CF77">
            <v>1138</v>
          </cell>
          <cell r="CG77">
            <v>1129</v>
          </cell>
          <cell r="CH77">
            <v>1012</v>
          </cell>
          <cell r="CI77">
            <v>1167</v>
          </cell>
          <cell r="CJ77">
            <v>1084</v>
          </cell>
          <cell r="CK77">
            <v>1127</v>
          </cell>
          <cell r="CL77">
            <v>844</v>
          </cell>
          <cell r="CM77">
            <v>908</v>
          </cell>
          <cell r="CN77">
            <v>916</v>
          </cell>
          <cell r="CO77">
            <v>902</v>
          </cell>
          <cell r="CP77">
            <v>870</v>
          </cell>
          <cell r="CQ77">
            <v>530</v>
          </cell>
          <cell r="CR77">
            <v>533</v>
          </cell>
          <cell r="CS77">
            <v>555</v>
          </cell>
          <cell r="CT77">
            <v>912</v>
          </cell>
          <cell r="CU77">
            <v>933</v>
          </cell>
          <cell r="CV77">
            <v>895</v>
          </cell>
          <cell r="CW77">
            <v>885</v>
          </cell>
          <cell r="CX77">
            <v>872</v>
          </cell>
          <cell r="CY77">
            <v>906</v>
          </cell>
          <cell r="CZ77">
            <v>712</v>
          </cell>
          <cell r="DA77">
            <v>932</v>
          </cell>
          <cell r="DB77">
            <v>881</v>
          </cell>
          <cell r="DC77">
            <v>768</v>
          </cell>
          <cell r="DD77">
            <v>733</v>
          </cell>
          <cell r="DE77">
            <v>636</v>
          </cell>
          <cell r="DF77">
            <v>914</v>
          </cell>
          <cell r="DG77">
            <v>862</v>
          </cell>
          <cell r="DH77">
            <v>816</v>
          </cell>
          <cell r="DI77">
            <v>894</v>
          </cell>
          <cell r="DJ77">
            <v>857</v>
          </cell>
          <cell r="DK77">
            <v>764</v>
          </cell>
          <cell r="DL77">
            <v>819</v>
          </cell>
          <cell r="DM77">
            <v>836</v>
          </cell>
          <cell r="DN77">
            <v>686</v>
          </cell>
          <cell r="DO77">
            <v>858</v>
          </cell>
          <cell r="DP77">
            <v>764</v>
          </cell>
          <cell r="DQ77">
            <v>748</v>
          </cell>
          <cell r="DR77">
            <v>772</v>
          </cell>
          <cell r="DS77">
            <v>808</v>
          </cell>
          <cell r="DT77">
            <v>784</v>
          </cell>
          <cell r="DU77">
            <v>696</v>
          </cell>
          <cell r="DV77">
            <v>808</v>
          </cell>
          <cell r="DW77">
            <v>748</v>
          </cell>
          <cell r="DX77">
            <v>800</v>
          </cell>
          <cell r="DY77">
            <v>746</v>
          </cell>
          <cell r="DZ77">
            <v>559</v>
          </cell>
          <cell r="EA77">
            <v>763</v>
          </cell>
          <cell r="EB77">
            <v>826</v>
          </cell>
          <cell r="EC77">
            <v>778</v>
          </cell>
          <cell r="ED77">
            <v>469</v>
          </cell>
          <cell r="EE77">
            <v>573</v>
          </cell>
          <cell r="EF77">
            <v>686</v>
          </cell>
          <cell r="EG77">
            <v>625</v>
          </cell>
          <cell r="EH77">
            <v>569</v>
          </cell>
          <cell r="EI77">
            <v>530</v>
          </cell>
          <cell r="EJ77">
            <v>663</v>
          </cell>
          <cell r="EK77">
            <v>594</v>
          </cell>
          <cell r="EL77">
            <v>536</v>
          </cell>
          <cell r="EM77">
            <v>523</v>
          </cell>
          <cell r="EN77">
            <v>497</v>
          </cell>
          <cell r="EO77">
            <v>452</v>
          </cell>
          <cell r="EP77">
            <v>363</v>
          </cell>
          <cell r="EQ77">
            <v>413</v>
          </cell>
          <cell r="ER77">
            <v>328</v>
          </cell>
          <cell r="ES77">
            <v>280</v>
          </cell>
          <cell r="ET77">
            <v>252</v>
          </cell>
          <cell r="EU77">
            <v>218</v>
          </cell>
          <cell r="EV77">
            <v>149</v>
          </cell>
          <cell r="EW77">
            <v>119</v>
          </cell>
          <cell r="EX77">
            <v>83</v>
          </cell>
          <cell r="EY77">
            <v>57</v>
          </cell>
          <cell r="EZ77">
            <v>49</v>
          </cell>
          <cell r="FA77">
            <v>44</v>
          </cell>
          <cell r="FB77">
            <v>6</v>
          </cell>
        </row>
        <row r="78">
          <cell r="B78" t="str">
            <v>REBIF</v>
          </cell>
          <cell r="C78" t="str">
            <v>M-S</v>
          </cell>
          <cell r="D78">
            <v>6056</v>
          </cell>
          <cell r="E78">
            <v>4466</v>
          </cell>
          <cell r="F78">
            <v>5796</v>
          </cell>
          <cell r="G78">
            <v>5591</v>
          </cell>
          <cell r="H78">
            <v>5886</v>
          </cell>
          <cell r="I78">
            <v>5467</v>
          </cell>
          <cell r="J78">
            <v>5375</v>
          </cell>
          <cell r="K78">
            <v>5547</v>
          </cell>
          <cell r="L78">
            <v>5685</v>
          </cell>
          <cell r="M78">
            <v>5871</v>
          </cell>
          <cell r="N78">
            <v>5264</v>
          </cell>
          <cell r="O78">
            <v>6025</v>
          </cell>
          <cell r="P78">
            <v>5965</v>
          </cell>
          <cell r="Q78">
            <v>5846</v>
          </cell>
          <cell r="R78">
            <v>5905</v>
          </cell>
          <cell r="S78">
            <v>5781</v>
          </cell>
          <cell r="T78">
            <v>5650</v>
          </cell>
          <cell r="U78">
            <v>5657</v>
          </cell>
          <cell r="V78">
            <v>6096</v>
          </cell>
          <cell r="W78">
            <v>5826</v>
          </cell>
          <cell r="X78">
            <v>6405</v>
          </cell>
          <cell r="Y78">
            <v>4378</v>
          </cell>
          <cell r="Z78">
            <v>6750</v>
          </cell>
          <cell r="AA78">
            <v>6624</v>
          </cell>
          <cell r="AB78">
            <v>6713</v>
          </cell>
          <cell r="AC78">
            <v>6568</v>
          </cell>
          <cell r="AD78">
            <v>5774</v>
          </cell>
          <cell r="AE78">
            <v>5563</v>
          </cell>
          <cell r="AF78">
            <v>6471</v>
          </cell>
          <cell r="AG78">
            <v>6563</v>
          </cell>
          <cell r="AH78">
            <v>6552</v>
          </cell>
          <cell r="AI78">
            <v>6714</v>
          </cell>
          <cell r="AJ78">
            <v>6634</v>
          </cell>
          <cell r="AK78">
            <v>6418</v>
          </cell>
          <cell r="AL78">
            <v>6351</v>
          </cell>
          <cell r="AM78">
            <v>6854</v>
          </cell>
          <cell r="AN78">
            <v>6534</v>
          </cell>
          <cell r="AO78">
            <v>6000</v>
          </cell>
          <cell r="AP78">
            <v>6144</v>
          </cell>
          <cell r="AQ78">
            <v>6071</v>
          </cell>
          <cell r="AR78">
            <v>6155</v>
          </cell>
          <cell r="AS78">
            <v>6035</v>
          </cell>
          <cell r="AT78">
            <v>6020</v>
          </cell>
          <cell r="AU78">
            <v>6147</v>
          </cell>
          <cell r="AV78">
            <v>5793</v>
          </cell>
          <cell r="AW78">
            <v>5580</v>
          </cell>
          <cell r="AX78">
            <v>5811</v>
          </cell>
          <cell r="AY78">
            <v>6423</v>
          </cell>
          <cell r="AZ78">
            <v>5550</v>
          </cell>
          <cell r="BA78">
            <v>6624</v>
          </cell>
          <cell r="BB78">
            <v>6432</v>
          </cell>
          <cell r="BC78">
            <v>6760</v>
          </cell>
          <cell r="BD78">
            <v>7111</v>
          </cell>
          <cell r="BE78">
            <v>5181</v>
          </cell>
          <cell r="BF78">
            <v>7551</v>
          </cell>
          <cell r="BG78">
            <v>7253</v>
          </cell>
          <cell r="BH78">
            <v>7471</v>
          </cell>
          <cell r="BI78">
            <v>7480</v>
          </cell>
          <cell r="BJ78">
            <v>7048</v>
          </cell>
          <cell r="BK78">
            <v>7094</v>
          </cell>
          <cell r="BL78">
            <v>7071</v>
          </cell>
          <cell r="BM78">
            <v>7441</v>
          </cell>
          <cell r="BN78">
            <v>6063</v>
          </cell>
          <cell r="BO78">
            <v>7028</v>
          </cell>
          <cell r="BP78">
            <v>7163</v>
          </cell>
          <cell r="BQ78">
            <v>7027</v>
          </cell>
          <cell r="BR78">
            <v>7078</v>
          </cell>
          <cell r="BS78">
            <v>6920</v>
          </cell>
          <cell r="BT78">
            <v>7072</v>
          </cell>
          <cell r="BU78">
            <v>6848</v>
          </cell>
          <cell r="BV78">
            <v>6711</v>
          </cell>
          <cell r="BW78">
            <v>6845</v>
          </cell>
          <cell r="BX78">
            <v>7030</v>
          </cell>
          <cell r="BY78">
            <v>4947</v>
          </cell>
          <cell r="BZ78">
            <v>7498</v>
          </cell>
          <cell r="CA78">
            <v>6465</v>
          </cell>
          <cell r="CB78">
            <v>6737</v>
          </cell>
          <cell r="CC78">
            <v>7030</v>
          </cell>
          <cell r="CD78">
            <v>5648</v>
          </cell>
          <cell r="CE78">
            <v>5136</v>
          </cell>
          <cell r="CF78">
            <v>6599</v>
          </cell>
          <cell r="CG78">
            <v>6511</v>
          </cell>
          <cell r="CH78">
            <v>6433</v>
          </cell>
          <cell r="CI78">
            <v>6691</v>
          </cell>
          <cell r="CJ78">
            <v>6444</v>
          </cell>
          <cell r="CK78">
            <v>6521</v>
          </cell>
          <cell r="CL78">
            <v>6957</v>
          </cell>
          <cell r="CM78">
            <v>7003</v>
          </cell>
          <cell r="CN78">
            <v>7178</v>
          </cell>
          <cell r="CO78">
            <v>6504</v>
          </cell>
          <cell r="CP78">
            <v>6637</v>
          </cell>
          <cell r="CQ78">
            <v>6610</v>
          </cell>
          <cell r="CR78">
            <v>6838</v>
          </cell>
          <cell r="CS78">
            <v>6605</v>
          </cell>
          <cell r="CT78">
            <v>6701</v>
          </cell>
          <cell r="CU78">
            <v>6876</v>
          </cell>
          <cell r="CV78">
            <v>6904</v>
          </cell>
          <cell r="CW78">
            <v>6769</v>
          </cell>
          <cell r="CX78">
            <v>6848</v>
          </cell>
          <cell r="CY78">
            <v>7280</v>
          </cell>
          <cell r="CZ78">
            <v>6326</v>
          </cell>
          <cell r="DA78">
            <v>6922</v>
          </cell>
          <cell r="DB78">
            <v>6744</v>
          </cell>
          <cell r="DC78">
            <v>6824</v>
          </cell>
          <cell r="DD78">
            <v>7109</v>
          </cell>
          <cell r="DE78">
            <v>5819</v>
          </cell>
          <cell r="DF78">
            <v>7131</v>
          </cell>
          <cell r="DG78">
            <v>6941</v>
          </cell>
          <cell r="DH78">
            <v>6897</v>
          </cell>
          <cell r="DI78">
            <v>6861</v>
          </cell>
          <cell r="DJ78">
            <v>6964</v>
          </cell>
          <cell r="DK78">
            <v>6960</v>
          </cell>
          <cell r="DL78">
            <v>6710</v>
          </cell>
          <cell r="DM78">
            <v>6981</v>
          </cell>
          <cell r="DN78">
            <v>6171</v>
          </cell>
          <cell r="DO78">
            <v>6935</v>
          </cell>
          <cell r="DP78">
            <v>7228</v>
          </cell>
          <cell r="DQ78">
            <v>6968</v>
          </cell>
          <cell r="DR78">
            <v>6727</v>
          </cell>
          <cell r="DS78">
            <v>6912</v>
          </cell>
          <cell r="DT78">
            <v>6850</v>
          </cell>
          <cell r="DU78">
            <v>6629</v>
          </cell>
          <cell r="DV78">
            <v>6801</v>
          </cell>
          <cell r="DW78">
            <v>6654</v>
          </cell>
          <cell r="DX78">
            <v>6764</v>
          </cell>
          <cell r="DY78">
            <v>6888</v>
          </cell>
          <cell r="DZ78">
            <v>5256</v>
          </cell>
          <cell r="EA78">
            <v>7611</v>
          </cell>
          <cell r="EB78">
            <v>7193</v>
          </cell>
          <cell r="EC78">
            <v>7632</v>
          </cell>
          <cell r="ED78">
            <v>4928</v>
          </cell>
          <cell r="EE78">
            <v>6253</v>
          </cell>
          <cell r="EF78">
            <v>7068</v>
          </cell>
          <cell r="EG78">
            <v>6866</v>
          </cell>
          <cell r="EH78">
            <v>6213</v>
          </cell>
          <cell r="EI78">
            <v>6161</v>
          </cell>
          <cell r="EJ78">
            <v>6838</v>
          </cell>
          <cell r="EK78">
            <v>6692</v>
          </cell>
          <cell r="EL78">
            <v>6620</v>
          </cell>
          <cell r="EM78">
            <v>6839</v>
          </cell>
          <cell r="EN78">
            <v>6625</v>
          </cell>
          <cell r="EO78">
            <v>6690</v>
          </cell>
          <cell r="EP78">
            <v>6556</v>
          </cell>
          <cell r="EQ78">
            <v>6983</v>
          </cell>
          <cell r="ER78">
            <v>7022</v>
          </cell>
          <cell r="ES78">
            <v>6803</v>
          </cell>
          <cell r="ET78">
            <v>6625</v>
          </cell>
          <cell r="EU78">
            <v>7021</v>
          </cell>
          <cell r="EV78">
            <v>6932</v>
          </cell>
          <cell r="EW78">
            <v>7293</v>
          </cell>
          <cell r="EX78">
            <v>6875</v>
          </cell>
          <cell r="EY78">
            <v>7272</v>
          </cell>
          <cell r="EZ78">
            <v>6649</v>
          </cell>
          <cell r="FA78">
            <v>7328</v>
          </cell>
          <cell r="FB78">
            <v>6980</v>
          </cell>
          <cell r="FC78">
            <v>7004</v>
          </cell>
          <cell r="FD78">
            <v>7378</v>
          </cell>
          <cell r="FE78">
            <v>6639</v>
          </cell>
          <cell r="FF78">
            <v>7062</v>
          </cell>
          <cell r="FG78">
            <v>7053</v>
          </cell>
          <cell r="FH78">
            <v>7277</v>
          </cell>
          <cell r="FI78">
            <v>7041</v>
          </cell>
          <cell r="FJ78">
            <v>6837</v>
          </cell>
          <cell r="FK78">
            <v>6659</v>
          </cell>
          <cell r="FL78">
            <v>7003</v>
          </cell>
          <cell r="FM78">
            <v>6955</v>
          </cell>
          <cell r="FN78">
            <v>7093</v>
          </cell>
          <cell r="FO78">
            <v>6295</v>
          </cell>
          <cell r="FP78">
            <v>7468</v>
          </cell>
          <cell r="FQ78">
            <v>7155</v>
          </cell>
          <cell r="FR78">
            <v>7249</v>
          </cell>
          <cell r="FS78">
            <v>6968</v>
          </cell>
          <cell r="FT78">
            <v>6831</v>
          </cell>
          <cell r="FU78">
            <v>6979</v>
          </cell>
          <cell r="FV78">
            <v>7359</v>
          </cell>
          <cell r="FW78">
            <v>6680</v>
          </cell>
          <cell r="FX78">
            <v>6786</v>
          </cell>
          <cell r="FY78">
            <v>7286</v>
          </cell>
          <cell r="FZ78">
            <v>5122</v>
          </cell>
          <cell r="GA78">
            <v>7719</v>
          </cell>
          <cell r="GB78">
            <v>7363</v>
          </cell>
          <cell r="GC78">
            <v>7302</v>
          </cell>
          <cell r="GD78">
            <v>5359</v>
          </cell>
          <cell r="GE78">
            <v>6326</v>
          </cell>
          <cell r="GF78">
            <v>6856</v>
          </cell>
          <cell r="GG78">
            <v>6637</v>
          </cell>
          <cell r="GH78">
            <v>6390</v>
          </cell>
          <cell r="GI78">
            <v>6393</v>
          </cell>
          <cell r="GJ78">
            <v>6929</v>
          </cell>
          <cell r="GK78">
            <v>6202</v>
          </cell>
          <cell r="GL78">
            <v>6822</v>
          </cell>
          <cell r="GM78">
            <v>6967</v>
          </cell>
          <cell r="GN78">
            <v>6813</v>
          </cell>
        </row>
        <row r="79">
          <cell r="B79" t="str">
            <v>REMICADE</v>
          </cell>
          <cell r="C79" t="str">
            <v>CTO</v>
          </cell>
          <cell r="D79">
            <v>771</v>
          </cell>
          <cell r="E79">
            <v>661</v>
          </cell>
          <cell r="F79">
            <v>882</v>
          </cell>
          <cell r="G79">
            <v>780</v>
          </cell>
          <cell r="H79">
            <v>831</v>
          </cell>
          <cell r="I79">
            <v>852</v>
          </cell>
          <cell r="J79">
            <v>852</v>
          </cell>
          <cell r="K79">
            <v>1018</v>
          </cell>
          <cell r="L79">
            <v>853</v>
          </cell>
          <cell r="M79">
            <v>889</v>
          </cell>
          <cell r="N79">
            <v>906</v>
          </cell>
          <cell r="O79">
            <v>1076</v>
          </cell>
          <cell r="P79">
            <v>904</v>
          </cell>
          <cell r="Q79">
            <v>974</v>
          </cell>
          <cell r="R79">
            <v>833</v>
          </cell>
          <cell r="S79">
            <v>926</v>
          </cell>
          <cell r="T79">
            <v>886</v>
          </cell>
          <cell r="U79">
            <v>1004</v>
          </cell>
          <cell r="V79">
            <v>1094</v>
          </cell>
          <cell r="W79">
            <v>1012</v>
          </cell>
          <cell r="X79">
            <v>959</v>
          </cell>
          <cell r="Y79">
            <v>596</v>
          </cell>
          <cell r="Z79">
            <v>1044</v>
          </cell>
          <cell r="AA79">
            <v>1040</v>
          </cell>
          <cell r="AB79">
            <v>1021</v>
          </cell>
          <cell r="AC79">
            <v>970</v>
          </cell>
          <cell r="AD79">
            <v>710</v>
          </cell>
          <cell r="AE79">
            <v>795</v>
          </cell>
          <cell r="AF79">
            <v>1008</v>
          </cell>
          <cell r="AG79">
            <v>976</v>
          </cell>
          <cell r="AH79">
            <v>967</v>
          </cell>
          <cell r="AI79">
            <v>993</v>
          </cell>
          <cell r="AJ79">
            <v>982</v>
          </cell>
          <cell r="AK79">
            <v>933</v>
          </cell>
          <cell r="AL79">
            <v>869</v>
          </cell>
          <cell r="AM79">
            <v>1009</v>
          </cell>
          <cell r="AN79">
            <v>1039</v>
          </cell>
          <cell r="AO79">
            <v>861</v>
          </cell>
          <cell r="AP79">
            <v>971</v>
          </cell>
          <cell r="AQ79">
            <v>996</v>
          </cell>
          <cell r="AR79">
            <v>848</v>
          </cell>
          <cell r="AS79">
            <v>924</v>
          </cell>
          <cell r="AT79">
            <v>957</v>
          </cell>
          <cell r="AU79">
            <v>1023</v>
          </cell>
          <cell r="AV79">
            <v>919</v>
          </cell>
          <cell r="AW79">
            <v>977</v>
          </cell>
          <cell r="AX79">
            <v>903</v>
          </cell>
          <cell r="AY79">
            <v>1083</v>
          </cell>
          <cell r="AZ79">
            <v>842</v>
          </cell>
          <cell r="BA79">
            <v>1121</v>
          </cell>
          <cell r="BB79">
            <v>954</v>
          </cell>
          <cell r="BC79">
            <v>1041</v>
          </cell>
          <cell r="BD79">
            <v>1120</v>
          </cell>
          <cell r="BE79">
            <v>770</v>
          </cell>
          <cell r="BF79">
            <v>1171</v>
          </cell>
          <cell r="BG79">
            <v>1142</v>
          </cell>
          <cell r="BH79">
            <v>1016</v>
          </cell>
          <cell r="BI79">
            <v>1045</v>
          </cell>
          <cell r="BJ79">
            <v>1011</v>
          </cell>
          <cell r="BK79">
            <v>1196</v>
          </cell>
          <cell r="BL79">
            <v>1100</v>
          </cell>
          <cell r="BM79">
            <v>1191</v>
          </cell>
          <cell r="BN79">
            <v>975</v>
          </cell>
          <cell r="BO79">
            <v>1165</v>
          </cell>
          <cell r="BP79">
            <v>1093</v>
          </cell>
          <cell r="BQ79">
            <v>1175</v>
          </cell>
          <cell r="BR79">
            <v>1125</v>
          </cell>
          <cell r="BS79">
            <v>1159</v>
          </cell>
          <cell r="BT79">
            <v>1139</v>
          </cell>
          <cell r="BU79">
            <v>1150</v>
          </cell>
          <cell r="BV79">
            <v>1099</v>
          </cell>
          <cell r="BW79">
            <v>1079</v>
          </cell>
          <cell r="BX79">
            <v>1121</v>
          </cell>
          <cell r="BY79">
            <v>734</v>
          </cell>
          <cell r="BZ79">
            <v>1174</v>
          </cell>
          <cell r="CA79">
            <v>1068</v>
          </cell>
          <cell r="CB79">
            <v>1271</v>
          </cell>
          <cell r="CC79">
            <v>1099</v>
          </cell>
          <cell r="CD79">
            <v>682</v>
          </cell>
          <cell r="CE79">
            <v>835</v>
          </cell>
          <cell r="CF79">
            <v>1164</v>
          </cell>
          <cell r="CG79">
            <v>1166</v>
          </cell>
          <cell r="CH79">
            <v>1115</v>
          </cell>
          <cell r="CI79">
            <v>1171</v>
          </cell>
          <cell r="CJ79">
            <v>1066</v>
          </cell>
          <cell r="CK79">
            <v>1057</v>
          </cell>
          <cell r="CL79">
            <v>1150</v>
          </cell>
          <cell r="CM79">
            <v>1200</v>
          </cell>
          <cell r="CN79">
            <v>1209</v>
          </cell>
          <cell r="CO79">
            <v>1155</v>
          </cell>
          <cell r="CP79">
            <v>1166</v>
          </cell>
          <cell r="CQ79">
            <v>1226</v>
          </cell>
          <cell r="CR79">
            <v>1109</v>
          </cell>
          <cell r="CS79">
            <v>1047</v>
          </cell>
          <cell r="CT79">
            <v>975</v>
          </cell>
          <cell r="CU79">
            <v>1007</v>
          </cell>
          <cell r="CV79">
            <v>945</v>
          </cell>
          <cell r="CW79">
            <v>1031</v>
          </cell>
          <cell r="CX79">
            <v>1156</v>
          </cell>
          <cell r="CY79">
            <v>1081</v>
          </cell>
          <cell r="CZ79">
            <v>1152</v>
          </cell>
          <cell r="DA79">
            <v>1213</v>
          </cell>
          <cell r="DB79">
            <v>1101</v>
          </cell>
          <cell r="DC79">
            <v>1163</v>
          </cell>
          <cell r="DD79">
            <v>1173</v>
          </cell>
          <cell r="DE79">
            <v>943</v>
          </cell>
          <cell r="DF79">
            <v>1352</v>
          </cell>
          <cell r="DG79">
            <v>1260</v>
          </cell>
          <cell r="DH79">
            <v>1288</v>
          </cell>
          <cell r="DI79">
            <v>1279</v>
          </cell>
          <cell r="DJ79">
            <v>1211</v>
          </cell>
          <cell r="DK79">
            <v>1225</v>
          </cell>
          <cell r="DL79">
            <v>1307</v>
          </cell>
          <cell r="DM79">
            <v>1210</v>
          </cell>
          <cell r="DN79">
            <v>1201</v>
          </cell>
          <cell r="DO79">
            <v>1416</v>
          </cell>
          <cell r="DP79">
            <v>1283</v>
          </cell>
          <cell r="DQ79">
            <v>1233</v>
          </cell>
          <cell r="DR79">
            <v>1183</v>
          </cell>
          <cell r="DS79">
            <v>1257</v>
          </cell>
          <cell r="DT79">
            <v>1306</v>
          </cell>
          <cell r="DU79">
            <v>1224</v>
          </cell>
          <cell r="DV79">
            <v>1422</v>
          </cell>
          <cell r="DW79">
            <v>1293</v>
          </cell>
          <cell r="DX79">
            <v>1442</v>
          </cell>
          <cell r="DY79">
            <v>1443</v>
          </cell>
          <cell r="DZ79">
            <v>891</v>
          </cell>
          <cell r="EA79">
            <v>1549</v>
          </cell>
          <cell r="EB79">
            <v>1513</v>
          </cell>
          <cell r="EC79">
            <v>1604</v>
          </cell>
          <cell r="ED79">
            <v>696</v>
          </cell>
          <cell r="EE79">
            <v>838</v>
          </cell>
          <cell r="EF79">
            <v>1084</v>
          </cell>
          <cell r="EG79">
            <v>1110</v>
          </cell>
          <cell r="EH79">
            <v>973</v>
          </cell>
          <cell r="EI79">
            <v>1005</v>
          </cell>
          <cell r="EJ79">
            <v>896</v>
          </cell>
          <cell r="EK79">
            <v>896</v>
          </cell>
          <cell r="EL79">
            <v>921</v>
          </cell>
          <cell r="EM79">
            <v>1046</v>
          </cell>
          <cell r="EN79">
            <v>1025</v>
          </cell>
          <cell r="EO79">
            <v>966</v>
          </cell>
          <cell r="EP79">
            <v>997</v>
          </cell>
          <cell r="EQ79">
            <v>1043</v>
          </cell>
          <cell r="ER79">
            <v>979</v>
          </cell>
          <cell r="ES79">
            <v>991</v>
          </cell>
          <cell r="ET79">
            <v>1018</v>
          </cell>
          <cell r="EU79">
            <v>980</v>
          </cell>
          <cell r="EV79">
            <v>1138</v>
          </cell>
          <cell r="EW79">
            <v>1027</v>
          </cell>
          <cell r="EX79">
            <v>1091</v>
          </cell>
          <cell r="EY79">
            <v>1143</v>
          </cell>
          <cell r="EZ79">
            <v>924</v>
          </cell>
          <cell r="FA79">
            <v>1126</v>
          </cell>
          <cell r="FB79">
            <v>1100</v>
          </cell>
          <cell r="FC79">
            <v>1070</v>
          </cell>
          <cell r="FD79">
            <v>1194</v>
          </cell>
          <cell r="FE79">
            <v>913</v>
          </cell>
          <cell r="FF79">
            <v>1132</v>
          </cell>
          <cell r="FG79">
            <v>1182</v>
          </cell>
          <cell r="FH79">
            <v>1177</v>
          </cell>
          <cell r="FI79">
            <v>1043</v>
          </cell>
          <cell r="FJ79">
            <v>1160</v>
          </cell>
          <cell r="FK79">
            <v>1070</v>
          </cell>
          <cell r="FL79">
            <v>1094</v>
          </cell>
          <cell r="FM79">
            <v>1237</v>
          </cell>
          <cell r="FN79">
            <v>1119</v>
          </cell>
          <cell r="FO79">
            <v>873</v>
          </cell>
          <cell r="FP79">
            <v>1127</v>
          </cell>
          <cell r="FQ79">
            <v>1143</v>
          </cell>
          <cell r="FR79">
            <v>1080</v>
          </cell>
          <cell r="FS79">
            <v>1019</v>
          </cell>
          <cell r="FT79">
            <v>982</v>
          </cell>
          <cell r="FU79">
            <v>947</v>
          </cell>
          <cell r="FV79">
            <v>1228</v>
          </cell>
          <cell r="FW79">
            <v>979</v>
          </cell>
          <cell r="FX79">
            <v>1106</v>
          </cell>
          <cell r="FY79">
            <v>1091</v>
          </cell>
          <cell r="FZ79">
            <v>677</v>
          </cell>
          <cell r="GA79">
            <v>1071</v>
          </cell>
          <cell r="GB79">
            <v>1206</v>
          </cell>
          <cell r="GC79">
            <v>1156</v>
          </cell>
          <cell r="GD79">
            <v>767</v>
          </cell>
          <cell r="GE79">
            <v>758</v>
          </cell>
          <cell r="GF79">
            <v>1359</v>
          </cell>
          <cell r="GG79">
            <v>1514</v>
          </cell>
          <cell r="GH79">
            <v>1413</v>
          </cell>
          <cell r="GI79">
            <v>1577</v>
          </cell>
          <cell r="GJ79">
            <v>1399</v>
          </cell>
          <cell r="GK79">
            <v>1333</v>
          </cell>
          <cell r="GL79">
            <v>1345</v>
          </cell>
          <cell r="GM79">
            <v>1531</v>
          </cell>
          <cell r="GN79">
            <v>1587</v>
          </cell>
        </row>
        <row r="80">
          <cell r="B80" t="str">
            <v>RENAGEL</v>
          </cell>
          <cell r="C80" t="str">
            <v>GZY</v>
          </cell>
          <cell r="D80">
            <v>19189</v>
          </cell>
          <cell r="E80">
            <v>18972</v>
          </cell>
          <cell r="F80">
            <v>19353</v>
          </cell>
          <cell r="G80">
            <v>19037</v>
          </cell>
          <cell r="H80">
            <v>18730</v>
          </cell>
          <cell r="I80">
            <v>19736</v>
          </cell>
          <cell r="J80">
            <v>18636</v>
          </cell>
          <cell r="K80">
            <v>19173</v>
          </cell>
          <cell r="L80">
            <v>18879</v>
          </cell>
          <cell r="M80">
            <v>19383</v>
          </cell>
          <cell r="N80">
            <v>18583</v>
          </cell>
          <cell r="O80">
            <v>19066</v>
          </cell>
          <cell r="P80">
            <v>18750</v>
          </cell>
          <cell r="Q80">
            <v>19071</v>
          </cell>
          <cell r="R80">
            <v>20288</v>
          </cell>
          <cell r="S80">
            <v>19253</v>
          </cell>
          <cell r="T80">
            <v>19053</v>
          </cell>
          <cell r="U80">
            <v>18942</v>
          </cell>
          <cell r="V80">
            <v>19720</v>
          </cell>
          <cell r="W80">
            <v>19752</v>
          </cell>
          <cell r="X80">
            <v>19332</v>
          </cell>
          <cell r="Y80">
            <v>17389</v>
          </cell>
          <cell r="Z80">
            <v>20103</v>
          </cell>
          <cell r="AA80">
            <v>20224</v>
          </cell>
          <cell r="AB80">
            <v>19719</v>
          </cell>
          <cell r="AC80">
            <v>20214</v>
          </cell>
          <cell r="AD80">
            <v>17866</v>
          </cell>
          <cell r="AE80">
            <v>19880</v>
          </cell>
          <cell r="AF80">
            <v>20431</v>
          </cell>
          <cell r="AG80">
            <v>19667</v>
          </cell>
          <cell r="AH80">
            <v>19448</v>
          </cell>
          <cell r="AI80">
            <v>20408</v>
          </cell>
          <cell r="AJ80">
            <v>20327</v>
          </cell>
          <cell r="AK80">
            <v>19915</v>
          </cell>
          <cell r="AL80">
            <v>19703</v>
          </cell>
          <cell r="AM80">
            <v>21201</v>
          </cell>
          <cell r="AN80">
            <v>20397</v>
          </cell>
          <cell r="AO80">
            <v>19940</v>
          </cell>
          <cell r="AP80">
            <v>19914</v>
          </cell>
          <cell r="AQ80">
            <v>19587</v>
          </cell>
          <cell r="AR80">
            <v>21279</v>
          </cell>
          <cell r="AS80">
            <v>19923</v>
          </cell>
          <cell r="AT80">
            <v>20028</v>
          </cell>
          <cell r="AU80">
            <v>19478</v>
          </cell>
          <cell r="AV80">
            <v>20905</v>
          </cell>
          <cell r="AW80">
            <v>20296</v>
          </cell>
          <cell r="AX80">
            <v>19961</v>
          </cell>
          <cell r="AY80">
            <v>20454</v>
          </cell>
          <cell r="AZ80">
            <v>19400</v>
          </cell>
          <cell r="BA80">
            <v>21124</v>
          </cell>
          <cell r="BB80">
            <v>20440</v>
          </cell>
          <cell r="BC80">
            <v>20297</v>
          </cell>
          <cell r="BD80">
            <v>20411</v>
          </cell>
          <cell r="BE80">
            <v>20572</v>
          </cell>
          <cell r="BF80">
            <v>20751</v>
          </cell>
          <cell r="BG80">
            <v>20403</v>
          </cell>
          <cell r="BH80">
            <v>19993</v>
          </cell>
          <cell r="BI80">
            <v>21261</v>
          </cell>
          <cell r="BJ80">
            <v>20443</v>
          </cell>
          <cell r="BK80">
            <v>20300</v>
          </cell>
          <cell r="BL80">
            <v>19852</v>
          </cell>
          <cell r="BM80">
            <v>20571</v>
          </cell>
          <cell r="BN80">
            <v>20318</v>
          </cell>
          <cell r="BO80">
            <v>20665</v>
          </cell>
          <cell r="BP80">
            <v>20125</v>
          </cell>
          <cell r="BQ80">
            <v>19907</v>
          </cell>
          <cell r="BR80">
            <v>21458</v>
          </cell>
          <cell r="BS80">
            <v>20411</v>
          </cell>
          <cell r="BT80">
            <v>19772</v>
          </cell>
          <cell r="BU80">
            <v>19726</v>
          </cell>
          <cell r="BV80">
            <v>20306</v>
          </cell>
          <cell r="BW80">
            <v>20643</v>
          </cell>
          <cell r="BX80">
            <v>20323</v>
          </cell>
          <cell r="BY80">
            <v>17906</v>
          </cell>
          <cell r="BZ80">
            <v>20905</v>
          </cell>
          <cell r="CA80">
            <v>21509</v>
          </cell>
          <cell r="CB80">
            <v>20308</v>
          </cell>
          <cell r="CC80">
            <v>20243</v>
          </cell>
          <cell r="CD80">
            <v>17850</v>
          </cell>
          <cell r="CE80">
            <v>19855</v>
          </cell>
          <cell r="CF80">
            <v>20986</v>
          </cell>
          <cell r="CG80">
            <v>20324</v>
          </cell>
          <cell r="CH80">
            <v>20081</v>
          </cell>
          <cell r="CI80">
            <v>20458</v>
          </cell>
          <cell r="CJ80">
            <v>20718</v>
          </cell>
          <cell r="CK80">
            <v>20059</v>
          </cell>
          <cell r="CL80">
            <v>19948</v>
          </cell>
          <cell r="CM80">
            <v>20264</v>
          </cell>
          <cell r="CN80">
            <v>21330</v>
          </cell>
          <cell r="CO80">
            <v>20423</v>
          </cell>
          <cell r="CP80">
            <v>19666</v>
          </cell>
          <cell r="CQ80">
            <v>19570</v>
          </cell>
          <cell r="CR80">
            <v>21043</v>
          </cell>
          <cell r="CS80">
            <v>19858</v>
          </cell>
          <cell r="CT80">
            <v>19698</v>
          </cell>
          <cell r="CU80">
            <v>19543</v>
          </cell>
          <cell r="CV80">
            <v>20544</v>
          </cell>
          <cell r="CW80">
            <v>20547</v>
          </cell>
          <cell r="CX80">
            <v>19537</v>
          </cell>
          <cell r="CY80">
            <v>20285</v>
          </cell>
          <cell r="CZ80">
            <v>19115</v>
          </cell>
          <cell r="DA80">
            <v>21388</v>
          </cell>
          <cell r="DB80">
            <v>20394</v>
          </cell>
          <cell r="DC80">
            <v>19545</v>
          </cell>
          <cell r="DD80">
            <v>19593</v>
          </cell>
          <cell r="DE80">
            <v>19566</v>
          </cell>
          <cell r="DF80">
            <v>20967</v>
          </cell>
          <cell r="DG80">
            <v>19647</v>
          </cell>
          <cell r="DH80">
            <v>19692</v>
          </cell>
          <cell r="DI80">
            <v>20046</v>
          </cell>
          <cell r="DJ80">
            <v>20244</v>
          </cell>
          <cell r="DK80">
            <v>19703</v>
          </cell>
          <cell r="DL80">
            <v>19388</v>
          </cell>
          <cell r="DM80">
            <v>20189</v>
          </cell>
          <cell r="DN80">
            <v>20060</v>
          </cell>
          <cell r="DO80">
            <v>20332</v>
          </cell>
          <cell r="DP80">
            <v>19301</v>
          </cell>
          <cell r="DQ80">
            <v>18955</v>
          </cell>
          <cell r="DR80">
            <v>19927</v>
          </cell>
          <cell r="DS80">
            <v>19907</v>
          </cell>
          <cell r="DT80">
            <v>18846</v>
          </cell>
          <cell r="DU80">
            <v>18800</v>
          </cell>
          <cell r="DV80">
            <v>18535</v>
          </cell>
          <cell r="DW80">
            <v>20028</v>
          </cell>
          <cell r="DX80">
            <v>18774</v>
          </cell>
          <cell r="DY80">
            <v>18436</v>
          </cell>
          <cell r="DZ80">
            <v>16487</v>
          </cell>
          <cell r="EA80">
            <v>20565</v>
          </cell>
          <cell r="EB80">
            <v>19043</v>
          </cell>
          <cell r="EC80">
            <v>18064</v>
          </cell>
          <cell r="ED80">
            <v>15227</v>
          </cell>
          <cell r="EE80">
            <v>17785</v>
          </cell>
          <cell r="EF80">
            <v>19220</v>
          </cell>
          <cell r="EG80">
            <v>17976</v>
          </cell>
          <cell r="EH80">
            <v>17083</v>
          </cell>
          <cell r="EI80">
            <v>17167</v>
          </cell>
          <cell r="EJ80">
            <v>19117</v>
          </cell>
          <cell r="EK80">
            <v>17584</v>
          </cell>
          <cell r="EL80">
            <v>16522</v>
          </cell>
          <cell r="EM80">
            <v>17014</v>
          </cell>
          <cell r="EN80">
            <v>18296</v>
          </cell>
          <cell r="EO80">
            <v>17007</v>
          </cell>
          <cell r="EP80">
            <v>16268</v>
          </cell>
          <cell r="EQ80">
            <v>16149</v>
          </cell>
          <cell r="ER80">
            <v>16841</v>
          </cell>
          <cell r="ES80">
            <v>16538</v>
          </cell>
          <cell r="ET80">
            <v>16039</v>
          </cell>
          <cell r="EU80">
            <v>15644</v>
          </cell>
          <cell r="EV80">
            <v>16051</v>
          </cell>
          <cell r="EW80">
            <v>16015</v>
          </cell>
          <cell r="EX80">
            <v>15412</v>
          </cell>
          <cell r="EY80">
            <v>15540</v>
          </cell>
          <cell r="EZ80">
            <v>14669</v>
          </cell>
          <cell r="FA80">
            <v>16230</v>
          </cell>
          <cell r="FB80">
            <v>14765</v>
          </cell>
          <cell r="FC80">
            <v>14390</v>
          </cell>
          <cell r="FD80">
            <v>14126</v>
          </cell>
          <cell r="FE80">
            <v>14721</v>
          </cell>
          <cell r="FF80">
            <v>13895</v>
          </cell>
          <cell r="FG80">
            <v>13643</v>
          </cell>
          <cell r="FH80">
            <v>13420</v>
          </cell>
          <cell r="FI80">
            <v>13579</v>
          </cell>
          <cell r="FJ80">
            <v>14636</v>
          </cell>
          <cell r="FK80">
            <v>13320</v>
          </cell>
          <cell r="FL80">
            <v>13059</v>
          </cell>
          <cell r="FM80">
            <v>12730</v>
          </cell>
          <cell r="FN80">
            <v>13874</v>
          </cell>
          <cell r="FO80">
            <v>12362</v>
          </cell>
          <cell r="FP80">
            <v>12419</v>
          </cell>
          <cell r="FQ80">
            <v>12340</v>
          </cell>
          <cell r="FR80">
            <v>12965</v>
          </cell>
          <cell r="FS80">
            <v>12323</v>
          </cell>
          <cell r="FT80">
            <v>11792</v>
          </cell>
          <cell r="FU80">
            <v>11941</v>
          </cell>
          <cell r="FV80">
            <v>11487</v>
          </cell>
          <cell r="FW80">
            <v>12467</v>
          </cell>
          <cell r="FX80">
            <v>11302</v>
          </cell>
          <cell r="FY80">
            <v>11587</v>
          </cell>
          <cell r="FZ80">
            <v>10112</v>
          </cell>
          <cell r="GA80">
            <v>12900</v>
          </cell>
          <cell r="GB80">
            <v>11610</v>
          </cell>
          <cell r="GC80">
            <v>11748</v>
          </cell>
          <cell r="GD80">
            <v>9468</v>
          </cell>
          <cell r="GE80">
            <v>11158</v>
          </cell>
          <cell r="GF80">
            <v>11293</v>
          </cell>
          <cell r="GG80">
            <v>10647</v>
          </cell>
          <cell r="GH80">
            <v>9998</v>
          </cell>
          <cell r="GI80">
            <v>10178</v>
          </cell>
          <cell r="GJ80">
            <v>10523</v>
          </cell>
          <cell r="GK80">
            <v>9600</v>
          </cell>
          <cell r="GL80">
            <v>9157</v>
          </cell>
          <cell r="GM80">
            <v>9129</v>
          </cell>
          <cell r="GN80">
            <v>10014</v>
          </cell>
        </row>
        <row r="81">
          <cell r="B81" t="str">
            <v>RENVELA</v>
          </cell>
          <cell r="C81" t="str">
            <v>GZY</v>
          </cell>
          <cell r="D81">
            <v>0</v>
          </cell>
          <cell r="E81">
            <v>0</v>
          </cell>
          <cell r="F81">
            <v>0</v>
          </cell>
          <cell r="G81">
            <v>0</v>
          </cell>
          <cell r="H81">
            <v>0</v>
          </cell>
          <cell r="I81">
            <v>0</v>
          </cell>
          <cell r="J81">
            <v>0</v>
          </cell>
          <cell r="K81">
            <v>0</v>
          </cell>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1</v>
          </cell>
          <cell r="CN81">
            <v>9</v>
          </cell>
          <cell r="CO81">
            <v>46</v>
          </cell>
          <cell r="CP81">
            <v>81</v>
          </cell>
          <cell r="CQ81">
            <v>84</v>
          </cell>
          <cell r="CR81">
            <v>120</v>
          </cell>
          <cell r="CS81">
            <v>148</v>
          </cell>
          <cell r="CT81">
            <v>190</v>
          </cell>
          <cell r="CU81">
            <v>288</v>
          </cell>
          <cell r="CV81">
            <v>309</v>
          </cell>
          <cell r="CW81">
            <v>336</v>
          </cell>
          <cell r="CX81">
            <v>369</v>
          </cell>
          <cell r="CY81">
            <v>453</v>
          </cell>
          <cell r="CZ81">
            <v>416</v>
          </cell>
          <cell r="DA81">
            <v>511</v>
          </cell>
          <cell r="DB81">
            <v>607</v>
          </cell>
          <cell r="DC81">
            <v>738</v>
          </cell>
          <cell r="DD81">
            <v>707</v>
          </cell>
          <cell r="DE81">
            <v>633</v>
          </cell>
          <cell r="DF81">
            <v>830</v>
          </cell>
          <cell r="DG81">
            <v>954</v>
          </cell>
          <cell r="DH81">
            <v>1064</v>
          </cell>
          <cell r="DI81">
            <v>1037</v>
          </cell>
          <cell r="DJ81">
            <v>1231</v>
          </cell>
          <cell r="DK81">
            <v>1465</v>
          </cell>
          <cell r="DL81">
            <v>1576</v>
          </cell>
          <cell r="DM81">
            <v>1685</v>
          </cell>
          <cell r="DN81">
            <v>1517</v>
          </cell>
          <cell r="DO81">
            <v>1813</v>
          </cell>
          <cell r="DP81">
            <v>1969</v>
          </cell>
          <cell r="DQ81">
            <v>2190</v>
          </cell>
          <cell r="DR81">
            <v>2109</v>
          </cell>
          <cell r="DS81">
            <v>2061</v>
          </cell>
          <cell r="DT81">
            <v>2233</v>
          </cell>
          <cell r="DU81">
            <v>2465</v>
          </cell>
          <cell r="DV81">
            <v>2541</v>
          </cell>
          <cell r="DW81">
            <v>2555</v>
          </cell>
          <cell r="DX81">
            <v>2897</v>
          </cell>
          <cell r="DY81">
            <v>2988</v>
          </cell>
          <cell r="DZ81">
            <v>2435</v>
          </cell>
          <cell r="EA81">
            <v>3020</v>
          </cell>
          <cell r="EB81">
            <v>3036</v>
          </cell>
          <cell r="EC81">
            <v>3135</v>
          </cell>
          <cell r="ED81">
            <v>2417</v>
          </cell>
          <cell r="EE81">
            <v>3011</v>
          </cell>
          <cell r="EF81">
            <v>3247</v>
          </cell>
          <cell r="EG81">
            <v>3559</v>
          </cell>
          <cell r="EH81">
            <v>3491</v>
          </cell>
          <cell r="EI81">
            <v>3735</v>
          </cell>
          <cell r="EJ81">
            <v>4127</v>
          </cell>
          <cell r="EK81">
            <v>4357</v>
          </cell>
          <cell r="EL81">
            <v>4405</v>
          </cell>
          <cell r="EM81">
            <v>4444</v>
          </cell>
          <cell r="EN81">
            <v>4654</v>
          </cell>
          <cell r="EO81">
            <v>4600</v>
          </cell>
          <cell r="EP81">
            <v>4847</v>
          </cell>
          <cell r="EQ81">
            <v>4689</v>
          </cell>
          <cell r="ER81">
            <v>4612</v>
          </cell>
          <cell r="ES81">
            <v>4920</v>
          </cell>
          <cell r="ET81">
            <v>5199</v>
          </cell>
          <cell r="EU81">
            <v>5368</v>
          </cell>
          <cell r="EV81">
            <v>5327</v>
          </cell>
          <cell r="EW81">
            <v>5636</v>
          </cell>
          <cell r="EX81">
            <v>5890</v>
          </cell>
          <cell r="EY81">
            <v>6272</v>
          </cell>
          <cell r="EZ81">
            <v>5803</v>
          </cell>
          <cell r="FA81">
            <v>6613</v>
          </cell>
          <cell r="FB81">
            <v>6849</v>
          </cell>
          <cell r="FC81">
            <v>7228</v>
          </cell>
          <cell r="FD81">
            <v>6714</v>
          </cell>
          <cell r="FE81">
            <v>7133</v>
          </cell>
          <cell r="FF81">
            <v>7127</v>
          </cell>
          <cell r="FG81">
            <v>7656</v>
          </cell>
          <cell r="FH81">
            <v>7521</v>
          </cell>
          <cell r="FI81">
            <v>7510</v>
          </cell>
          <cell r="FJ81">
            <v>7924</v>
          </cell>
          <cell r="FK81">
            <v>7925</v>
          </cell>
          <cell r="FL81">
            <v>8085</v>
          </cell>
          <cell r="FM81">
            <v>8053</v>
          </cell>
          <cell r="FN81">
            <v>8773</v>
          </cell>
          <cell r="FO81">
            <v>7725</v>
          </cell>
          <cell r="FP81">
            <v>8646</v>
          </cell>
          <cell r="FQ81">
            <v>8563</v>
          </cell>
          <cell r="FR81">
            <v>8738</v>
          </cell>
          <cell r="FS81">
            <v>8601</v>
          </cell>
          <cell r="FT81">
            <v>8598</v>
          </cell>
          <cell r="FU81">
            <v>8636</v>
          </cell>
          <cell r="FV81">
            <v>8645</v>
          </cell>
          <cell r="FW81">
            <v>9095</v>
          </cell>
          <cell r="FX81">
            <v>9127</v>
          </cell>
          <cell r="FY81">
            <v>9349</v>
          </cell>
          <cell r="FZ81">
            <v>8280</v>
          </cell>
          <cell r="GA81">
            <v>9967</v>
          </cell>
          <cell r="GB81">
            <v>9496</v>
          </cell>
          <cell r="GC81">
            <v>10038</v>
          </cell>
          <cell r="GD81">
            <v>8548</v>
          </cell>
          <cell r="GE81">
            <v>9388</v>
          </cell>
          <cell r="GF81">
            <v>10924</v>
          </cell>
          <cell r="GG81">
            <v>11150</v>
          </cell>
          <cell r="GH81">
            <v>10887</v>
          </cell>
          <cell r="GI81">
            <v>11214</v>
          </cell>
          <cell r="GJ81">
            <v>12195</v>
          </cell>
          <cell r="GK81">
            <v>12062</v>
          </cell>
          <cell r="GL81">
            <v>12115</v>
          </cell>
          <cell r="GM81">
            <v>12133</v>
          </cell>
          <cell r="GN81">
            <v>13378</v>
          </cell>
        </row>
        <row r="82">
          <cell r="B82" t="str">
            <v>RESCRIPTOR</v>
          </cell>
          <cell r="C82" t="str">
            <v>PFZ</v>
          </cell>
          <cell r="D82">
            <v>220</v>
          </cell>
          <cell r="E82">
            <v>198</v>
          </cell>
          <cell r="F82">
            <v>187</v>
          </cell>
          <cell r="G82">
            <v>197</v>
          </cell>
          <cell r="H82">
            <v>177</v>
          </cell>
          <cell r="I82">
            <v>200</v>
          </cell>
          <cell r="J82">
            <v>185</v>
          </cell>
          <cell r="K82">
            <v>152</v>
          </cell>
          <cell r="L82">
            <v>173</v>
          </cell>
          <cell r="M82">
            <v>230</v>
          </cell>
          <cell r="N82">
            <v>172</v>
          </cell>
          <cell r="O82">
            <v>159</v>
          </cell>
          <cell r="P82">
            <v>184</v>
          </cell>
          <cell r="Q82">
            <v>199</v>
          </cell>
          <cell r="R82">
            <v>226</v>
          </cell>
          <cell r="S82">
            <v>174</v>
          </cell>
          <cell r="T82">
            <v>171</v>
          </cell>
          <cell r="U82">
            <v>193</v>
          </cell>
          <cell r="V82">
            <v>212</v>
          </cell>
          <cell r="W82">
            <v>150</v>
          </cell>
          <cell r="X82">
            <v>168</v>
          </cell>
          <cell r="Y82">
            <v>156</v>
          </cell>
          <cell r="Z82">
            <v>196</v>
          </cell>
          <cell r="AA82">
            <v>183</v>
          </cell>
          <cell r="AB82">
            <v>170</v>
          </cell>
          <cell r="AC82">
            <v>192</v>
          </cell>
          <cell r="AD82">
            <v>178</v>
          </cell>
          <cell r="AE82">
            <v>162</v>
          </cell>
          <cell r="AF82">
            <v>180</v>
          </cell>
          <cell r="AG82">
            <v>157</v>
          </cell>
          <cell r="AH82">
            <v>175</v>
          </cell>
          <cell r="AI82">
            <v>160</v>
          </cell>
          <cell r="AJ82">
            <v>166</v>
          </cell>
          <cell r="AK82">
            <v>181</v>
          </cell>
          <cell r="AL82">
            <v>137</v>
          </cell>
          <cell r="AM82">
            <v>198</v>
          </cell>
          <cell r="AN82">
            <v>190</v>
          </cell>
          <cell r="AO82">
            <v>162</v>
          </cell>
          <cell r="AP82">
            <v>157</v>
          </cell>
          <cell r="AQ82">
            <v>155</v>
          </cell>
          <cell r="AR82">
            <v>162</v>
          </cell>
          <cell r="AS82">
            <v>168</v>
          </cell>
          <cell r="AT82">
            <v>149</v>
          </cell>
          <cell r="AU82">
            <v>174</v>
          </cell>
          <cell r="AV82">
            <v>172</v>
          </cell>
          <cell r="AW82">
            <v>146</v>
          </cell>
          <cell r="AX82">
            <v>169</v>
          </cell>
          <cell r="AY82">
            <v>158</v>
          </cell>
          <cell r="AZ82">
            <v>146</v>
          </cell>
          <cell r="BA82">
            <v>168</v>
          </cell>
          <cell r="BB82">
            <v>156</v>
          </cell>
          <cell r="BC82">
            <v>171</v>
          </cell>
          <cell r="BD82">
            <v>178</v>
          </cell>
          <cell r="BE82">
            <v>154</v>
          </cell>
          <cell r="BF82">
            <v>171</v>
          </cell>
          <cell r="BG82">
            <v>158</v>
          </cell>
          <cell r="BH82">
            <v>171</v>
          </cell>
          <cell r="BI82">
            <v>171</v>
          </cell>
          <cell r="BJ82">
            <v>155</v>
          </cell>
          <cell r="BK82">
            <v>135</v>
          </cell>
          <cell r="BL82">
            <v>160</v>
          </cell>
          <cell r="BM82">
            <v>152</v>
          </cell>
          <cell r="BN82">
            <v>163</v>
          </cell>
          <cell r="BO82">
            <v>168</v>
          </cell>
          <cell r="BP82">
            <v>156</v>
          </cell>
          <cell r="BQ82">
            <v>157</v>
          </cell>
          <cell r="BR82">
            <v>158</v>
          </cell>
          <cell r="BS82">
            <v>145</v>
          </cell>
          <cell r="BT82">
            <v>143</v>
          </cell>
          <cell r="BU82">
            <v>161</v>
          </cell>
          <cell r="BV82">
            <v>139</v>
          </cell>
          <cell r="BW82">
            <v>157</v>
          </cell>
          <cell r="BX82">
            <v>133</v>
          </cell>
          <cell r="BY82">
            <v>134</v>
          </cell>
          <cell r="BZ82">
            <v>137</v>
          </cell>
          <cell r="CA82">
            <v>170</v>
          </cell>
          <cell r="CB82">
            <v>140</v>
          </cell>
          <cell r="CC82">
            <v>140</v>
          </cell>
          <cell r="CD82">
            <v>110</v>
          </cell>
          <cell r="CE82">
            <v>163</v>
          </cell>
          <cell r="CF82">
            <v>154</v>
          </cell>
          <cell r="CG82">
            <v>116</v>
          </cell>
          <cell r="CH82">
            <v>133</v>
          </cell>
          <cell r="CI82">
            <v>132</v>
          </cell>
          <cell r="CJ82">
            <v>166</v>
          </cell>
          <cell r="CK82">
            <v>106</v>
          </cell>
          <cell r="CL82">
            <v>119</v>
          </cell>
          <cell r="CM82">
            <v>143</v>
          </cell>
          <cell r="CN82">
            <v>138</v>
          </cell>
          <cell r="CO82">
            <v>122</v>
          </cell>
          <cell r="CP82">
            <v>122</v>
          </cell>
          <cell r="CQ82">
            <v>115</v>
          </cell>
          <cell r="CR82">
            <v>136</v>
          </cell>
          <cell r="CS82">
            <v>124</v>
          </cell>
          <cell r="CT82">
            <v>113</v>
          </cell>
          <cell r="CU82">
            <v>95</v>
          </cell>
          <cell r="CV82">
            <v>131</v>
          </cell>
          <cell r="CW82">
            <v>127</v>
          </cell>
          <cell r="CX82">
            <v>123</v>
          </cell>
          <cell r="CY82">
            <v>113</v>
          </cell>
          <cell r="CZ82">
            <v>114</v>
          </cell>
          <cell r="DA82">
            <v>116</v>
          </cell>
          <cell r="DB82">
            <v>120</v>
          </cell>
          <cell r="DC82">
            <v>109</v>
          </cell>
          <cell r="DD82">
            <v>98</v>
          </cell>
          <cell r="DE82">
            <v>128</v>
          </cell>
          <cell r="DF82">
            <v>126</v>
          </cell>
          <cell r="DG82">
            <v>100</v>
          </cell>
          <cell r="DH82">
            <v>108</v>
          </cell>
          <cell r="DI82">
            <v>110</v>
          </cell>
          <cell r="DJ82">
            <v>110</v>
          </cell>
          <cell r="DK82">
            <v>122</v>
          </cell>
          <cell r="DL82">
            <v>85</v>
          </cell>
          <cell r="DM82">
            <v>126</v>
          </cell>
          <cell r="DN82">
            <v>118</v>
          </cell>
          <cell r="DO82">
            <v>113</v>
          </cell>
          <cell r="DP82">
            <v>96</v>
          </cell>
          <cell r="DQ82">
            <v>124</v>
          </cell>
          <cell r="DR82">
            <v>153</v>
          </cell>
          <cell r="DS82">
            <v>117</v>
          </cell>
          <cell r="DT82">
            <v>85</v>
          </cell>
          <cell r="DU82">
            <v>100</v>
          </cell>
          <cell r="DV82">
            <v>126</v>
          </cell>
          <cell r="DW82">
            <v>114</v>
          </cell>
          <cell r="DX82">
            <v>108</v>
          </cell>
          <cell r="DY82">
            <v>88</v>
          </cell>
          <cell r="DZ82">
            <v>112</v>
          </cell>
          <cell r="EA82">
            <v>118</v>
          </cell>
          <cell r="EB82">
            <v>98</v>
          </cell>
          <cell r="EC82">
            <v>125</v>
          </cell>
          <cell r="ED82">
            <v>88</v>
          </cell>
          <cell r="EE82">
            <v>111</v>
          </cell>
          <cell r="EF82">
            <v>112</v>
          </cell>
          <cell r="EG82">
            <v>94</v>
          </cell>
          <cell r="EH82">
            <v>104</v>
          </cell>
          <cell r="EI82">
            <v>96</v>
          </cell>
          <cell r="EJ82">
            <v>115</v>
          </cell>
          <cell r="EK82">
            <v>83</v>
          </cell>
          <cell r="EL82">
            <v>98</v>
          </cell>
          <cell r="EM82">
            <v>85</v>
          </cell>
          <cell r="EN82">
            <v>91</v>
          </cell>
          <cell r="EO82">
            <v>86</v>
          </cell>
          <cell r="EP82">
            <v>87</v>
          </cell>
          <cell r="EQ82">
            <v>97</v>
          </cell>
          <cell r="ER82">
            <v>90</v>
          </cell>
          <cell r="ES82">
            <v>80</v>
          </cell>
          <cell r="ET82">
            <v>101</v>
          </cell>
          <cell r="EU82">
            <v>63</v>
          </cell>
          <cell r="EV82">
            <v>104</v>
          </cell>
          <cell r="EW82">
            <v>94</v>
          </cell>
          <cell r="EX82">
            <v>106</v>
          </cell>
          <cell r="EY82">
            <v>86</v>
          </cell>
          <cell r="EZ82">
            <v>82</v>
          </cell>
          <cell r="FA82">
            <v>100</v>
          </cell>
          <cell r="FB82">
            <v>80</v>
          </cell>
          <cell r="FC82">
            <v>91</v>
          </cell>
          <cell r="FD82">
            <v>74</v>
          </cell>
          <cell r="FE82">
            <v>108</v>
          </cell>
          <cell r="FF82">
            <v>79</v>
          </cell>
          <cell r="FG82">
            <v>87</v>
          </cell>
          <cell r="FH82">
            <v>76</v>
          </cell>
          <cell r="FI82">
            <v>82</v>
          </cell>
          <cell r="FJ82">
            <v>92</v>
          </cell>
          <cell r="FK82">
            <v>86</v>
          </cell>
          <cell r="FL82">
            <v>73</v>
          </cell>
          <cell r="FM82">
            <v>71</v>
          </cell>
          <cell r="FN82">
            <v>70</v>
          </cell>
          <cell r="FO82">
            <v>86</v>
          </cell>
          <cell r="FP82">
            <v>90</v>
          </cell>
          <cell r="FQ82">
            <v>79</v>
          </cell>
          <cell r="FR82">
            <v>81</v>
          </cell>
          <cell r="FS82">
            <v>70</v>
          </cell>
          <cell r="FT82">
            <v>68</v>
          </cell>
          <cell r="FU82">
            <v>85</v>
          </cell>
          <cell r="FV82">
            <v>98</v>
          </cell>
          <cell r="FW82">
            <v>73</v>
          </cell>
          <cell r="FX82">
            <v>76</v>
          </cell>
          <cell r="FY82">
            <v>77</v>
          </cell>
          <cell r="FZ82">
            <v>90</v>
          </cell>
          <cell r="GA82">
            <v>78</v>
          </cell>
          <cell r="GB82">
            <v>66</v>
          </cell>
          <cell r="GC82">
            <v>73</v>
          </cell>
          <cell r="GD82">
            <v>78</v>
          </cell>
          <cell r="GE82">
            <v>73</v>
          </cell>
          <cell r="GF82">
            <v>68</v>
          </cell>
          <cell r="GG82">
            <v>92</v>
          </cell>
          <cell r="GH82">
            <v>72</v>
          </cell>
          <cell r="GI82">
            <v>77</v>
          </cell>
          <cell r="GJ82">
            <v>85</v>
          </cell>
          <cell r="GK82">
            <v>75</v>
          </cell>
          <cell r="GL82">
            <v>72</v>
          </cell>
          <cell r="GM82">
            <v>66</v>
          </cell>
          <cell r="GN82">
            <v>108</v>
          </cell>
        </row>
        <row r="83">
          <cell r="B83" t="str">
            <v>RETROVIR IV INF</v>
          </cell>
          <cell r="C83" t="str">
            <v>GSK</v>
          </cell>
          <cell r="D83">
            <v>3</v>
          </cell>
          <cell r="E83">
            <v>0</v>
          </cell>
          <cell r="F83">
            <v>0</v>
          </cell>
          <cell r="G83">
            <v>0</v>
          </cell>
          <cell r="H83">
            <v>0</v>
          </cell>
          <cell r="I83">
            <v>0</v>
          </cell>
          <cell r="J83">
            <v>0</v>
          </cell>
          <cell r="K83">
            <v>0</v>
          </cell>
          <cell r="L83">
            <v>0</v>
          </cell>
          <cell r="M83">
            <v>0</v>
          </cell>
          <cell r="N83">
            <v>0</v>
          </cell>
          <cell r="O83">
            <v>0</v>
          </cell>
          <cell r="P83">
            <v>0</v>
          </cell>
          <cell r="Q83">
            <v>1</v>
          </cell>
          <cell r="R83">
            <v>0</v>
          </cell>
          <cell r="S83">
            <v>0</v>
          </cell>
          <cell r="T83">
            <v>2</v>
          </cell>
          <cell r="U83">
            <v>0</v>
          </cell>
          <cell r="V83">
            <v>0</v>
          </cell>
          <cell r="W83">
            <v>0</v>
          </cell>
          <cell r="X83">
            <v>0</v>
          </cell>
          <cell r="Y83">
            <v>0</v>
          </cell>
          <cell r="Z83">
            <v>1</v>
          </cell>
          <cell r="AA83">
            <v>0</v>
          </cell>
          <cell r="AB83">
            <v>0</v>
          </cell>
          <cell r="AC83">
            <v>1</v>
          </cell>
          <cell r="AD83">
            <v>0</v>
          </cell>
          <cell r="AE83">
            <v>0</v>
          </cell>
          <cell r="AF83">
            <v>1</v>
          </cell>
          <cell r="AG83">
            <v>1</v>
          </cell>
          <cell r="AH83">
            <v>0</v>
          </cell>
          <cell r="AI83">
            <v>0</v>
          </cell>
          <cell r="AJ83">
            <v>1</v>
          </cell>
          <cell r="AK83">
            <v>0</v>
          </cell>
          <cell r="AL83">
            <v>0</v>
          </cell>
          <cell r="AM83">
            <v>0</v>
          </cell>
          <cell r="AN83">
            <v>0</v>
          </cell>
          <cell r="AO83">
            <v>1</v>
          </cell>
          <cell r="AP83">
            <v>1</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2</v>
          </cell>
          <cell r="BM83">
            <v>0</v>
          </cell>
          <cell r="BN83">
            <v>0</v>
          </cell>
          <cell r="BO83">
            <v>0</v>
          </cell>
          <cell r="BP83">
            <v>0</v>
          </cell>
          <cell r="BQ83">
            <v>0</v>
          </cell>
          <cell r="BR83">
            <v>0</v>
          </cell>
          <cell r="BS83">
            <v>0</v>
          </cell>
          <cell r="BT83">
            <v>0</v>
          </cell>
          <cell r="BU83">
            <v>0</v>
          </cell>
          <cell r="BV83">
            <v>0</v>
          </cell>
          <cell r="BW83">
            <v>0</v>
          </cell>
          <cell r="BX83">
            <v>1</v>
          </cell>
          <cell r="BY83">
            <v>0</v>
          </cell>
          <cell r="BZ83">
            <v>0</v>
          </cell>
          <cell r="CA83">
            <v>0</v>
          </cell>
          <cell r="CB83">
            <v>0</v>
          </cell>
          <cell r="CC83">
            <v>0</v>
          </cell>
          <cell r="CD83">
            <v>0</v>
          </cell>
          <cell r="CE83">
            <v>0</v>
          </cell>
          <cell r="CF83">
            <v>0</v>
          </cell>
          <cell r="CG83">
            <v>0</v>
          </cell>
          <cell r="CH83">
            <v>0</v>
          </cell>
          <cell r="CI83">
            <v>1</v>
          </cell>
          <cell r="CJ83">
            <v>0</v>
          </cell>
          <cell r="CK83">
            <v>0</v>
          </cell>
          <cell r="CL83">
            <v>0</v>
          </cell>
          <cell r="CM83">
            <v>0</v>
          </cell>
          <cell r="CN83">
            <v>0</v>
          </cell>
          <cell r="CO83">
            <v>2</v>
          </cell>
          <cell r="CP83">
            <v>0</v>
          </cell>
          <cell r="CQ83">
            <v>0</v>
          </cell>
          <cell r="CR83">
            <v>1</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1</v>
          </cell>
          <cell r="DT83">
            <v>0</v>
          </cell>
          <cell r="DU83">
            <v>0</v>
          </cell>
          <cell r="DV83">
            <v>0</v>
          </cell>
          <cell r="DW83">
            <v>0</v>
          </cell>
          <cell r="DX83">
            <v>0</v>
          </cell>
          <cell r="DY83">
            <v>0</v>
          </cell>
          <cell r="DZ83">
            <v>0</v>
          </cell>
          <cell r="FB83">
            <v>1</v>
          </cell>
          <cell r="FI83">
            <v>1</v>
          </cell>
          <cell r="FJ83">
            <v>2</v>
          </cell>
          <cell r="GN83">
            <v>1</v>
          </cell>
        </row>
        <row r="84">
          <cell r="B84" t="str">
            <v>REVLIMID</v>
          </cell>
          <cell r="C84" t="str">
            <v>CC5</v>
          </cell>
          <cell r="D84">
            <v>70</v>
          </cell>
          <cell r="E84">
            <v>49</v>
          </cell>
          <cell r="F84">
            <v>83</v>
          </cell>
          <cell r="G84">
            <v>114</v>
          </cell>
          <cell r="H84">
            <v>175</v>
          </cell>
          <cell r="I84">
            <v>237</v>
          </cell>
          <cell r="J84">
            <v>298</v>
          </cell>
          <cell r="K84">
            <v>301</v>
          </cell>
          <cell r="L84">
            <v>322</v>
          </cell>
          <cell r="M84">
            <v>414</v>
          </cell>
          <cell r="N84">
            <v>297</v>
          </cell>
          <cell r="O84">
            <v>382</v>
          </cell>
          <cell r="P84">
            <v>376</v>
          </cell>
          <cell r="Q84">
            <v>360</v>
          </cell>
          <cell r="R84">
            <v>375</v>
          </cell>
          <cell r="S84">
            <v>410</v>
          </cell>
          <cell r="T84">
            <v>430</v>
          </cell>
          <cell r="U84">
            <v>436</v>
          </cell>
          <cell r="V84">
            <v>418</v>
          </cell>
          <cell r="W84">
            <v>519</v>
          </cell>
          <cell r="X84">
            <v>635</v>
          </cell>
          <cell r="Y84">
            <v>375</v>
          </cell>
          <cell r="Z84">
            <v>526</v>
          </cell>
          <cell r="AA84">
            <v>563</v>
          </cell>
          <cell r="AB84">
            <v>506</v>
          </cell>
          <cell r="AC84">
            <v>532</v>
          </cell>
          <cell r="AD84">
            <v>525</v>
          </cell>
          <cell r="AE84">
            <v>453</v>
          </cell>
          <cell r="AF84">
            <v>585</v>
          </cell>
          <cell r="AG84">
            <v>577</v>
          </cell>
          <cell r="AH84">
            <v>530</v>
          </cell>
          <cell r="AI84">
            <v>676</v>
          </cell>
          <cell r="AJ84">
            <v>701</v>
          </cell>
          <cell r="AK84">
            <v>603</v>
          </cell>
          <cell r="AL84">
            <v>640</v>
          </cell>
          <cell r="AM84">
            <v>691</v>
          </cell>
          <cell r="AN84">
            <v>754</v>
          </cell>
          <cell r="AO84">
            <v>659</v>
          </cell>
          <cell r="AP84">
            <v>621</v>
          </cell>
          <cell r="AQ84">
            <v>655</v>
          </cell>
          <cell r="AR84">
            <v>649</v>
          </cell>
          <cell r="AS84">
            <v>695</v>
          </cell>
          <cell r="AT84">
            <v>723</v>
          </cell>
          <cell r="AU84">
            <v>690</v>
          </cell>
          <cell r="AV84">
            <v>750</v>
          </cell>
          <cell r="AW84">
            <v>745</v>
          </cell>
          <cell r="AX84">
            <v>771</v>
          </cell>
          <cell r="AY84">
            <v>728</v>
          </cell>
          <cell r="AZ84">
            <v>649</v>
          </cell>
          <cell r="BA84">
            <v>1033</v>
          </cell>
          <cell r="BB84">
            <v>1118</v>
          </cell>
          <cell r="BC84">
            <v>976</v>
          </cell>
          <cell r="BD84">
            <v>952</v>
          </cell>
          <cell r="BE84">
            <v>775</v>
          </cell>
          <cell r="BF84">
            <v>1020</v>
          </cell>
          <cell r="BG84">
            <v>933</v>
          </cell>
          <cell r="BH84">
            <v>972</v>
          </cell>
          <cell r="BI84">
            <v>986</v>
          </cell>
          <cell r="BJ84">
            <v>1000</v>
          </cell>
          <cell r="BK84">
            <v>947</v>
          </cell>
          <cell r="BL84">
            <v>984</v>
          </cell>
          <cell r="BM84">
            <v>1070</v>
          </cell>
          <cell r="BN84">
            <v>887</v>
          </cell>
          <cell r="BO84">
            <v>1053</v>
          </cell>
          <cell r="BP84">
            <v>1022</v>
          </cell>
          <cell r="BQ84">
            <v>1019</v>
          </cell>
          <cell r="BR84">
            <v>1065</v>
          </cell>
          <cell r="BS84">
            <v>1007</v>
          </cell>
          <cell r="BT84">
            <v>979</v>
          </cell>
          <cell r="BU84">
            <v>1167</v>
          </cell>
          <cell r="BV84">
            <v>1090</v>
          </cell>
          <cell r="BW84">
            <v>1093</v>
          </cell>
          <cell r="BX84">
            <v>1089</v>
          </cell>
          <cell r="BY84">
            <v>887</v>
          </cell>
          <cell r="BZ84">
            <v>1302</v>
          </cell>
          <cell r="CA84">
            <v>1197</v>
          </cell>
          <cell r="CB84">
            <v>1075</v>
          </cell>
          <cell r="CC84">
            <v>1207</v>
          </cell>
          <cell r="CD84">
            <v>922</v>
          </cell>
          <cell r="CE84">
            <v>895</v>
          </cell>
          <cell r="CF84">
            <v>1133</v>
          </cell>
          <cell r="CG84">
            <v>1038</v>
          </cell>
          <cell r="CH84">
            <v>1063</v>
          </cell>
          <cell r="CI84">
            <v>1127</v>
          </cell>
          <cell r="CJ84">
            <v>1164</v>
          </cell>
          <cell r="CK84">
            <v>1128</v>
          </cell>
          <cell r="CL84">
            <v>1080</v>
          </cell>
          <cell r="CM84">
            <v>1153</v>
          </cell>
          <cell r="CN84">
            <v>1088</v>
          </cell>
          <cell r="CO84">
            <v>1068</v>
          </cell>
          <cell r="CP84">
            <v>1000</v>
          </cell>
          <cell r="CQ84">
            <v>1166</v>
          </cell>
          <cell r="CR84">
            <v>1056</v>
          </cell>
          <cell r="CS84">
            <v>1068</v>
          </cell>
          <cell r="CT84">
            <v>1064</v>
          </cell>
          <cell r="CU84">
            <v>1138</v>
          </cell>
          <cell r="CV84">
            <v>1080</v>
          </cell>
          <cell r="CW84">
            <v>1084</v>
          </cell>
          <cell r="CX84">
            <v>972</v>
          </cell>
          <cell r="CY84">
            <v>1212</v>
          </cell>
          <cell r="CZ84">
            <v>994</v>
          </cell>
          <cell r="DA84">
            <v>1142</v>
          </cell>
          <cell r="DB84">
            <v>1074</v>
          </cell>
          <cell r="DC84">
            <v>1114</v>
          </cell>
          <cell r="DD84">
            <v>1151</v>
          </cell>
          <cell r="DE84">
            <v>952</v>
          </cell>
          <cell r="DF84">
            <v>997</v>
          </cell>
          <cell r="DG84">
            <v>1162</v>
          </cell>
          <cell r="DH84">
            <v>1180</v>
          </cell>
          <cell r="DI84">
            <v>1121</v>
          </cell>
          <cell r="DJ84">
            <v>1103</v>
          </cell>
          <cell r="DK84">
            <v>1154</v>
          </cell>
          <cell r="DL84">
            <v>1153</v>
          </cell>
          <cell r="DM84">
            <v>1157</v>
          </cell>
          <cell r="DN84">
            <v>964</v>
          </cell>
          <cell r="DO84">
            <v>1123</v>
          </cell>
          <cell r="DP84">
            <v>1130</v>
          </cell>
          <cell r="DQ84">
            <v>1103</v>
          </cell>
          <cell r="DR84">
            <v>1094</v>
          </cell>
          <cell r="DS84">
            <v>1166</v>
          </cell>
          <cell r="DT84">
            <v>1139</v>
          </cell>
          <cell r="DU84">
            <v>1128</v>
          </cell>
          <cell r="DV84">
            <v>944</v>
          </cell>
          <cell r="DW84">
            <v>1040</v>
          </cell>
          <cell r="DX84">
            <v>968</v>
          </cell>
          <cell r="DY84">
            <v>1034</v>
          </cell>
          <cell r="DZ84">
            <v>811</v>
          </cell>
          <cell r="EA84">
            <v>1046</v>
          </cell>
          <cell r="EB84">
            <v>1048</v>
          </cell>
          <cell r="EC84">
            <v>1068</v>
          </cell>
          <cell r="ED84">
            <v>760</v>
          </cell>
          <cell r="EE84">
            <v>857</v>
          </cell>
          <cell r="EF84">
            <v>1103</v>
          </cell>
          <cell r="EG84">
            <v>1010</v>
          </cell>
          <cell r="EH84">
            <v>963</v>
          </cell>
          <cell r="EI84">
            <v>949</v>
          </cell>
          <cell r="EJ84">
            <v>1093</v>
          </cell>
          <cell r="EK84">
            <v>989</v>
          </cell>
          <cell r="EL84">
            <v>888</v>
          </cell>
          <cell r="EM84">
            <v>972</v>
          </cell>
          <cell r="EN84">
            <v>1039</v>
          </cell>
          <cell r="EO84">
            <v>1024</v>
          </cell>
          <cell r="EP84">
            <v>922</v>
          </cell>
          <cell r="EQ84">
            <v>899</v>
          </cell>
          <cell r="ER84">
            <v>1045</v>
          </cell>
          <cell r="ES84">
            <v>606</v>
          </cell>
          <cell r="ET84">
            <v>699</v>
          </cell>
          <cell r="EU84">
            <v>708</v>
          </cell>
          <cell r="EV84">
            <v>1138</v>
          </cell>
          <cell r="EW84">
            <v>1097</v>
          </cell>
          <cell r="EX84">
            <v>1074</v>
          </cell>
          <cell r="EY84">
            <v>1118</v>
          </cell>
          <cell r="EZ84">
            <v>1043</v>
          </cell>
          <cell r="FA84">
            <v>1098</v>
          </cell>
          <cell r="FB84">
            <v>1232</v>
          </cell>
          <cell r="FC84">
            <v>1063</v>
          </cell>
          <cell r="FD84">
            <v>1191</v>
          </cell>
          <cell r="FE84">
            <v>1065</v>
          </cell>
          <cell r="FF84">
            <v>1241</v>
          </cell>
          <cell r="FG84">
            <v>1086</v>
          </cell>
          <cell r="FH84">
            <v>1064</v>
          </cell>
          <cell r="FI84">
            <v>874</v>
          </cell>
          <cell r="FJ84">
            <v>767</v>
          </cell>
          <cell r="FK84">
            <v>690</v>
          </cell>
          <cell r="FL84">
            <v>683</v>
          </cell>
          <cell r="FM84">
            <v>681</v>
          </cell>
          <cell r="FN84">
            <v>705</v>
          </cell>
          <cell r="FO84">
            <v>602</v>
          </cell>
          <cell r="FP84">
            <v>712</v>
          </cell>
          <cell r="FQ84">
            <v>742</v>
          </cell>
          <cell r="FR84">
            <v>758</v>
          </cell>
          <cell r="FS84">
            <v>853</v>
          </cell>
          <cell r="FT84">
            <v>770</v>
          </cell>
          <cell r="FU84">
            <v>803</v>
          </cell>
          <cell r="FV84">
            <v>722</v>
          </cell>
          <cell r="FW84">
            <v>820</v>
          </cell>
          <cell r="FX84">
            <v>776</v>
          </cell>
          <cell r="FY84">
            <v>862</v>
          </cell>
          <cell r="FZ84">
            <v>639</v>
          </cell>
          <cell r="GA84">
            <v>813</v>
          </cell>
          <cell r="GB84">
            <v>861</v>
          </cell>
          <cell r="GC84">
            <v>807</v>
          </cell>
          <cell r="GD84">
            <v>589</v>
          </cell>
          <cell r="GE84">
            <v>688</v>
          </cell>
          <cell r="GF84">
            <v>877</v>
          </cell>
          <cell r="GG84">
            <v>919</v>
          </cell>
          <cell r="GH84">
            <v>768</v>
          </cell>
          <cell r="GI84">
            <v>934</v>
          </cell>
          <cell r="GJ84">
            <v>943</v>
          </cell>
          <cell r="GK84">
            <v>822</v>
          </cell>
          <cell r="GL84">
            <v>812</v>
          </cell>
          <cell r="GM84">
            <v>900</v>
          </cell>
          <cell r="GN84">
            <v>911</v>
          </cell>
        </row>
        <row r="85">
          <cell r="B85" t="str">
            <v>REYATAZ</v>
          </cell>
          <cell r="C85" t="str">
            <v>BHV</v>
          </cell>
          <cell r="D85">
            <v>11646</v>
          </cell>
          <cell r="E85">
            <v>10555</v>
          </cell>
          <cell r="F85">
            <v>11618</v>
          </cell>
          <cell r="G85">
            <v>11259</v>
          </cell>
          <cell r="H85">
            <v>11144</v>
          </cell>
          <cell r="I85">
            <v>11386</v>
          </cell>
          <cell r="J85">
            <v>11525</v>
          </cell>
          <cell r="K85">
            <v>11672</v>
          </cell>
          <cell r="L85">
            <v>11576</v>
          </cell>
          <cell r="M85">
            <v>11760</v>
          </cell>
          <cell r="N85">
            <v>10903</v>
          </cell>
          <cell r="O85">
            <v>11893</v>
          </cell>
          <cell r="P85">
            <v>11259</v>
          </cell>
          <cell r="Q85">
            <v>11577</v>
          </cell>
          <cell r="R85">
            <v>11925</v>
          </cell>
          <cell r="S85">
            <v>11590</v>
          </cell>
          <cell r="T85">
            <v>11692</v>
          </cell>
          <cell r="U85">
            <v>11559</v>
          </cell>
          <cell r="V85">
            <v>11673</v>
          </cell>
          <cell r="W85">
            <v>11732</v>
          </cell>
          <cell r="X85">
            <v>11585</v>
          </cell>
          <cell r="Y85">
            <v>10153</v>
          </cell>
          <cell r="Z85">
            <v>12653</v>
          </cell>
          <cell r="AA85">
            <v>12672</v>
          </cell>
          <cell r="AB85">
            <v>12094</v>
          </cell>
          <cell r="AC85">
            <v>12418</v>
          </cell>
          <cell r="AD85">
            <v>10726</v>
          </cell>
          <cell r="AE85">
            <v>11171</v>
          </cell>
          <cell r="AF85">
            <v>12417</v>
          </cell>
          <cell r="AG85">
            <v>11797</v>
          </cell>
          <cell r="AH85">
            <v>11973</v>
          </cell>
          <cell r="AI85">
            <v>12272</v>
          </cell>
          <cell r="AJ85">
            <v>11833</v>
          </cell>
          <cell r="AK85">
            <v>11839</v>
          </cell>
          <cell r="AL85">
            <v>11807</v>
          </cell>
          <cell r="AM85">
            <v>12666</v>
          </cell>
          <cell r="AN85">
            <v>12667</v>
          </cell>
          <cell r="AO85">
            <v>11961</v>
          </cell>
          <cell r="AP85">
            <v>11944</v>
          </cell>
          <cell r="AQ85">
            <v>11741</v>
          </cell>
          <cell r="AR85">
            <v>12420</v>
          </cell>
          <cell r="AS85">
            <v>12097</v>
          </cell>
          <cell r="AT85">
            <v>11915</v>
          </cell>
          <cell r="AU85">
            <v>12115</v>
          </cell>
          <cell r="AV85">
            <v>12868</v>
          </cell>
          <cell r="AW85">
            <v>12351</v>
          </cell>
          <cell r="AX85">
            <v>12156</v>
          </cell>
          <cell r="AY85">
            <v>12060</v>
          </cell>
          <cell r="AZ85">
            <v>11896</v>
          </cell>
          <cell r="BA85">
            <v>12844</v>
          </cell>
          <cell r="BB85">
            <v>12208</v>
          </cell>
          <cell r="BC85">
            <v>12219</v>
          </cell>
          <cell r="BD85">
            <v>12527</v>
          </cell>
          <cell r="BE85">
            <v>11843</v>
          </cell>
          <cell r="BF85">
            <v>12580</v>
          </cell>
          <cell r="BG85">
            <v>12437</v>
          </cell>
          <cell r="BH85">
            <v>12390</v>
          </cell>
          <cell r="BI85">
            <v>12994</v>
          </cell>
          <cell r="BJ85">
            <v>12555</v>
          </cell>
          <cell r="BK85">
            <v>12337</v>
          </cell>
          <cell r="BL85">
            <v>12150</v>
          </cell>
          <cell r="BM85">
            <v>12613</v>
          </cell>
          <cell r="BN85">
            <v>11664</v>
          </cell>
          <cell r="BO85">
            <v>13122</v>
          </cell>
          <cell r="BP85">
            <v>12875</v>
          </cell>
          <cell r="BQ85">
            <v>12768</v>
          </cell>
          <cell r="BR85">
            <v>13405</v>
          </cell>
          <cell r="BS85">
            <v>12863</v>
          </cell>
          <cell r="BT85">
            <v>12768</v>
          </cell>
          <cell r="BU85">
            <v>12799</v>
          </cell>
          <cell r="BV85">
            <v>13159</v>
          </cell>
          <cell r="BW85">
            <v>13378</v>
          </cell>
          <cell r="BX85">
            <v>12919</v>
          </cell>
          <cell r="BY85">
            <v>11389</v>
          </cell>
          <cell r="BZ85">
            <v>13914</v>
          </cell>
          <cell r="CA85">
            <v>13664</v>
          </cell>
          <cell r="CB85">
            <v>13627</v>
          </cell>
          <cell r="CC85">
            <v>13558</v>
          </cell>
          <cell r="CD85">
            <v>11584</v>
          </cell>
          <cell r="CE85">
            <v>12096</v>
          </cell>
          <cell r="CF85">
            <v>14126</v>
          </cell>
          <cell r="CG85">
            <v>13526</v>
          </cell>
          <cell r="CH85">
            <v>12607</v>
          </cell>
          <cell r="CI85">
            <v>13542</v>
          </cell>
          <cell r="CJ85">
            <v>13692</v>
          </cell>
          <cell r="CK85">
            <v>13435</v>
          </cell>
          <cell r="CL85">
            <v>13030</v>
          </cell>
          <cell r="CM85">
            <v>13878</v>
          </cell>
          <cell r="CN85">
            <v>14790</v>
          </cell>
          <cell r="CO85">
            <v>13836</v>
          </cell>
          <cell r="CP85">
            <v>13468</v>
          </cell>
          <cell r="CQ85">
            <v>13278</v>
          </cell>
          <cell r="CR85">
            <v>14213</v>
          </cell>
          <cell r="CS85">
            <v>13712</v>
          </cell>
          <cell r="CT85">
            <v>13679</v>
          </cell>
          <cell r="CU85">
            <v>13369</v>
          </cell>
          <cell r="CV85">
            <v>14220</v>
          </cell>
          <cell r="CW85">
            <v>14490</v>
          </cell>
          <cell r="CX85">
            <v>13903</v>
          </cell>
          <cell r="CY85">
            <v>13727</v>
          </cell>
          <cell r="CZ85">
            <v>13149</v>
          </cell>
          <cell r="DA85">
            <v>14887</v>
          </cell>
          <cell r="DB85">
            <v>14192</v>
          </cell>
          <cell r="DC85">
            <v>13495</v>
          </cell>
          <cell r="DD85">
            <v>14016</v>
          </cell>
          <cell r="DE85">
            <v>13467</v>
          </cell>
          <cell r="DF85">
            <v>14513</v>
          </cell>
          <cell r="DG85">
            <v>14562</v>
          </cell>
          <cell r="DH85">
            <v>13749</v>
          </cell>
          <cell r="DI85">
            <v>14399</v>
          </cell>
          <cell r="DJ85">
            <v>14801</v>
          </cell>
          <cell r="DK85">
            <v>14705</v>
          </cell>
          <cell r="DL85">
            <v>14347</v>
          </cell>
          <cell r="DM85">
            <v>14684</v>
          </cell>
          <cell r="DN85">
            <v>14488</v>
          </cell>
          <cell r="DO85">
            <v>15519</v>
          </cell>
          <cell r="DP85">
            <v>14736</v>
          </cell>
          <cell r="DQ85">
            <v>14688</v>
          </cell>
          <cell r="DR85">
            <v>15300</v>
          </cell>
          <cell r="DS85">
            <v>15127</v>
          </cell>
          <cell r="DT85">
            <v>14481</v>
          </cell>
          <cell r="DU85">
            <v>14548</v>
          </cell>
          <cell r="DV85">
            <v>14314</v>
          </cell>
          <cell r="DW85">
            <v>15398</v>
          </cell>
          <cell r="DX85">
            <v>14461</v>
          </cell>
          <cell r="DY85">
            <v>14904</v>
          </cell>
          <cell r="DZ85">
            <v>12840</v>
          </cell>
          <cell r="EA85">
            <v>16459</v>
          </cell>
          <cell r="EB85">
            <v>15555</v>
          </cell>
          <cell r="EC85">
            <v>15563</v>
          </cell>
          <cell r="ED85">
            <v>12386</v>
          </cell>
          <cell r="EE85">
            <v>14001</v>
          </cell>
          <cell r="EF85">
            <v>15836</v>
          </cell>
          <cell r="EG85">
            <v>15079</v>
          </cell>
          <cell r="EH85">
            <v>14291</v>
          </cell>
          <cell r="EI85">
            <v>14297</v>
          </cell>
          <cell r="EJ85">
            <v>15193</v>
          </cell>
          <cell r="EK85">
            <v>14494</v>
          </cell>
          <cell r="EL85">
            <v>14538</v>
          </cell>
          <cell r="EM85">
            <v>14854</v>
          </cell>
          <cell r="EN85">
            <v>15875</v>
          </cell>
          <cell r="EO85">
            <v>14934</v>
          </cell>
          <cell r="EP85">
            <v>14509</v>
          </cell>
          <cell r="EQ85">
            <v>14596</v>
          </cell>
          <cell r="ER85">
            <v>14995</v>
          </cell>
          <cell r="ES85">
            <v>14891</v>
          </cell>
          <cell r="ET85">
            <v>14633</v>
          </cell>
          <cell r="EU85">
            <v>14250</v>
          </cell>
          <cell r="EV85">
            <v>15184</v>
          </cell>
          <cell r="EW85">
            <v>16123</v>
          </cell>
          <cell r="EX85">
            <v>15032</v>
          </cell>
          <cell r="EY85">
            <v>14763</v>
          </cell>
          <cell r="EZ85">
            <v>13983</v>
          </cell>
          <cell r="FA85">
            <v>15871</v>
          </cell>
          <cell r="FB85">
            <v>15588</v>
          </cell>
          <cell r="FC85">
            <v>14631</v>
          </cell>
          <cell r="FD85">
            <v>14912</v>
          </cell>
          <cell r="FE85">
            <v>15691</v>
          </cell>
          <cell r="FF85">
            <v>14998</v>
          </cell>
          <cell r="FG85">
            <v>15603</v>
          </cell>
          <cell r="FH85">
            <v>14718</v>
          </cell>
          <cell r="FI85">
            <v>15452</v>
          </cell>
          <cell r="FJ85">
            <v>15959</v>
          </cell>
          <cell r="FK85">
            <v>15230</v>
          </cell>
          <cell r="FL85">
            <v>15217</v>
          </cell>
          <cell r="FM85">
            <v>15203</v>
          </cell>
          <cell r="FN85">
            <v>15809</v>
          </cell>
          <cell r="FO85">
            <v>14349</v>
          </cell>
          <cell r="FP85">
            <v>15819</v>
          </cell>
          <cell r="FQ85">
            <v>15306</v>
          </cell>
          <cell r="FR85">
            <v>16184</v>
          </cell>
          <cell r="FS85">
            <v>15338</v>
          </cell>
          <cell r="FT85">
            <v>15637</v>
          </cell>
          <cell r="FU85">
            <v>15432</v>
          </cell>
          <cell r="FV85">
            <v>15356</v>
          </cell>
          <cell r="FW85">
            <v>16093</v>
          </cell>
          <cell r="FX85">
            <v>15889</v>
          </cell>
          <cell r="FY85">
            <v>15647</v>
          </cell>
          <cell r="FZ85">
            <v>13743</v>
          </cell>
          <cell r="GA85">
            <v>17317</v>
          </cell>
          <cell r="GB85">
            <v>16484</v>
          </cell>
          <cell r="GC85">
            <v>16613</v>
          </cell>
          <cell r="GD85">
            <v>13395</v>
          </cell>
          <cell r="GE85">
            <v>15441</v>
          </cell>
          <cell r="GF85">
            <v>16983</v>
          </cell>
          <cell r="GG85">
            <v>16608</v>
          </cell>
          <cell r="GH85">
            <v>15322</v>
          </cell>
          <cell r="GI85">
            <v>15493</v>
          </cell>
          <cell r="GJ85">
            <v>16477</v>
          </cell>
          <cell r="GK85">
            <v>15460</v>
          </cell>
          <cell r="GL85">
            <v>15527</v>
          </cell>
          <cell r="GM85">
            <v>15811</v>
          </cell>
          <cell r="GN85">
            <v>17376</v>
          </cell>
        </row>
        <row r="86">
          <cell r="B86" t="str">
            <v>RITUXAN</v>
          </cell>
          <cell r="C86" t="str">
            <v>GTC</v>
          </cell>
          <cell r="D86">
            <v>55</v>
          </cell>
          <cell r="E86">
            <v>68</v>
          </cell>
          <cell r="F86">
            <v>76</v>
          </cell>
          <cell r="G86">
            <v>44</v>
          </cell>
          <cell r="H86">
            <v>86</v>
          </cell>
          <cell r="I86">
            <v>73</v>
          </cell>
          <cell r="J86">
            <v>130</v>
          </cell>
          <cell r="K86">
            <v>98</v>
          </cell>
          <cell r="L86">
            <v>95</v>
          </cell>
          <cell r="M86">
            <v>75</v>
          </cell>
          <cell r="N86">
            <v>77</v>
          </cell>
          <cell r="O86">
            <v>117</v>
          </cell>
          <cell r="P86">
            <v>90</v>
          </cell>
          <cell r="Q86">
            <v>97</v>
          </cell>
          <cell r="R86">
            <v>109</v>
          </cell>
          <cell r="S86">
            <v>135</v>
          </cell>
          <cell r="T86">
            <v>96</v>
          </cell>
          <cell r="U86">
            <v>114</v>
          </cell>
          <cell r="V86">
            <v>145</v>
          </cell>
          <cell r="W86">
            <v>154</v>
          </cell>
          <cell r="X86">
            <v>145</v>
          </cell>
          <cell r="Y86">
            <v>88</v>
          </cell>
          <cell r="Z86">
            <v>135</v>
          </cell>
          <cell r="AA86">
            <v>118</v>
          </cell>
          <cell r="AB86">
            <v>150</v>
          </cell>
          <cell r="AC86">
            <v>76</v>
          </cell>
          <cell r="AD86">
            <v>97</v>
          </cell>
          <cell r="AE86">
            <v>65</v>
          </cell>
          <cell r="AF86">
            <v>101</v>
          </cell>
          <cell r="AG86">
            <v>111</v>
          </cell>
          <cell r="AH86">
            <v>112</v>
          </cell>
          <cell r="AI86">
            <v>132</v>
          </cell>
          <cell r="AJ86">
            <v>141</v>
          </cell>
          <cell r="AK86">
            <v>98</v>
          </cell>
          <cell r="AL86">
            <v>104</v>
          </cell>
          <cell r="AM86">
            <v>131</v>
          </cell>
          <cell r="AN86">
            <v>121</v>
          </cell>
          <cell r="AO86">
            <v>151</v>
          </cell>
          <cell r="AP86">
            <v>139</v>
          </cell>
          <cell r="AQ86">
            <v>128</v>
          </cell>
          <cell r="AR86">
            <v>132</v>
          </cell>
          <cell r="AS86">
            <v>143</v>
          </cell>
          <cell r="AT86">
            <v>141</v>
          </cell>
          <cell r="AU86">
            <v>122</v>
          </cell>
          <cell r="AV86">
            <v>92</v>
          </cell>
          <cell r="AW86">
            <v>119</v>
          </cell>
          <cell r="AX86">
            <v>117</v>
          </cell>
          <cell r="AY86">
            <v>104</v>
          </cell>
          <cell r="AZ86">
            <v>120</v>
          </cell>
          <cell r="BA86">
            <v>125</v>
          </cell>
          <cell r="BB86">
            <v>115</v>
          </cell>
          <cell r="BC86">
            <v>100</v>
          </cell>
          <cell r="BD86">
            <v>91</v>
          </cell>
          <cell r="BE86">
            <v>67</v>
          </cell>
          <cell r="BF86">
            <v>101</v>
          </cell>
          <cell r="BG86">
            <v>105</v>
          </cell>
          <cell r="BH86">
            <v>88</v>
          </cell>
          <cell r="BI86">
            <v>90</v>
          </cell>
          <cell r="BJ86">
            <v>113</v>
          </cell>
          <cell r="BK86">
            <v>139</v>
          </cell>
          <cell r="BL86">
            <v>122</v>
          </cell>
          <cell r="BM86">
            <v>104</v>
          </cell>
          <cell r="BN86">
            <v>84</v>
          </cell>
          <cell r="BO86">
            <v>98</v>
          </cell>
          <cell r="BP86">
            <v>86</v>
          </cell>
          <cell r="BQ86">
            <v>107</v>
          </cell>
          <cell r="BR86">
            <v>101</v>
          </cell>
          <cell r="BS86">
            <v>123</v>
          </cell>
          <cell r="BT86">
            <v>124</v>
          </cell>
          <cell r="BU86">
            <v>133</v>
          </cell>
          <cell r="BV86">
            <v>107</v>
          </cell>
          <cell r="BW86">
            <v>77</v>
          </cell>
          <cell r="BX86">
            <v>123</v>
          </cell>
          <cell r="BY86">
            <v>73</v>
          </cell>
          <cell r="BZ86">
            <v>92</v>
          </cell>
          <cell r="CA86">
            <v>161</v>
          </cell>
          <cell r="CB86">
            <v>130</v>
          </cell>
          <cell r="CC86">
            <v>100</v>
          </cell>
          <cell r="CD86">
            <v>56</v>
          </cell>
          <cell r="CE86">
            <v>57</v>
          </cell>
          <cell r="CF86">
            <v>109</v>
          </cell>
          <cell r="CG86">
            <v>91</v>
          </cell>
          <cell r="CH86">
            <v>140</v>
          </cell>
          <cell r="CI86">
            <v>134</v>
          </cell>
          <cell r="CJ86">
            <v>107</v>
          </cell>
          <cell r="CK86">
            <v>103</v>
          </cell>
          <cell r="CL86">
            <v>101</v>
          </cell>
          <cell r="CM86">
            <v>106</v>
          </cell>
          <cell r="CN86">
            <v>93</v>
          </cell>
          <cell r="CO86">
            <v>105</v>
          </cell>
          <cell r="CP86">
            <v>86</v>
          </cell>
          <cell r="CQ86">
            <v>92</v>
          </cell>
          <cell r="CR86">
            <v>137</v>
          </cell>
          <cell r="CS86">
            <v>113</v>
          </cell>
          <cell r="CT86">
            <v>73</v>
          </cell>
          <cell r="CU86">
            <v>94</v>
          </cell>
          <cell r="CV86">
            <v>87</v>
          </cell>
          <cell r="CW86">
            <v>94</v>
          </cell>
          <cell r="CX86">
            <v>106</v>
          </cell>
          <cell r="CY86">
            <v>127</v>
          </cell>
          <cell r="CZ86">
            <v>103</v>
          </cell>
          <cell r="DA86">
            <v>183</v>
          </cell>
          <cell r="DB86">
            <v>175</v>
          </cell>
          <cell r="DC86">
            <v>153</v>
          </cell>
          <cell r="DD86">
            <v>136</v>
          </cell>
          <cell r="DE86">
            <v>126</v>
          </cell>
          <cell r="DF86">
            <v>137</v>
          </cell>
          <cell r="DG86">
            <v>122</v>
          </cell>
          <cell r="DH86">
            <v>145</v>
          </cell>
          <cell r="DI86">
            <v>128</v>
          </cell>
          <cell r="DJ86">
            <v>124</v>
          </cell>
          <cell r="DK86">
            <v>102</v>
          </cell>
          <cell r="DL86">
            <v>112</v>
          </cell>
          <cell r="DM86">
            <v>110</v>
          </cell>
          <cell r="DN86">
            <v>115</v>
          </cell>
          <cell r="DO86">
            <v>100</v>
          </cell>
          <cell r="DP86">
            <v>147</v>
          </cell>
          <cell r="DQ86">
            <v>108</v>
          </cell>
          <cell r="DR86">
            <v>104</v>
          </cell>
          <cell r="DS86">
            <v>101</v>
          </cell>
          <cell r="DT86">
            <v>96</v>
          </cell>
          <cell r="DU86">
            <v>111</v>
          </cell>
          <cell r="DV86">
            <v>136</v>
          </cell>
          <cell r="DW86">
            <v>135</v>
          </cell>
          <cell r="DX86">
            <v>114</v>
          </cell>
          <cell r="DY86">
            <v>125</v>
          </cell>
          <cell r="DZ86">
            <v>119</v>
          </cell>
          <cell r="EA86">
            <v>116</v>
          </cell>
          <cell r="EB86">
            <v>137</v>
          </cell>
          <cell r="EC86">
            <v>113</v>
          </cell>
          <cell r="ED86">
            <v>95</v>
          </cell>
          <cell r="EE86">
            <v>77</v>
          </cell>
          <cell r="EF86">
            <v>84</v>
          </cell>
          <cell r="EG86">
            <v>103</v>
          </cell>
          <cell r="EH86">
            <v>101</v>
          </cell>
          <cell r="EI86">
            <v>83</v>
          </cell>
          <cell r="EJ86">
            <v>112</v>
          </cell>
          <cell r="EK86">
            <v>104</v>
          </cell>
          <cell r="EL86">
            <v>85</v>
          </cell>
          <cell r="EM86">
            <v>117</v>
          </cell>
          <cell r="EN86">
            <v>108</v>
          </cell>
          <cell r="EO86">
            <v>139</v>
          </cell>
          <cell r="EP86">
            <v>142</v>
          </cell>
          <cell r="EQ86">
            <v>99</v>
          </cell>
          <cell r="ER86">
            <v>113</v>
          </cell>
          <cell r="ES86">
            <v>118</v>
          </cell>
          <cell r="ET86">
            <v>120</v>
          </cell>
          <cell r="EU86">
            <v>121</v>
          </cell>
          <cell r="EV86">
            <v>127</v>
          </cell>
          <cell r="EW86">
            <v>106</v>
          </cell>
          <cell r="EX86">
            <v>84</v>
          </cell>
          <cell r="EY86">
            <v>106</v>
          </cell>
          <cell r="EZ86">
            <v>87</v>
          </cell>
          <cell r="FA86">
            <v>113</v>
          </cell>
          <cell r="FB86">
            <v>108</v>
          </cell>
          <cell r="FC86">
            <v>104</v>
          </cell>
          <cell r="FD86">
            <v>98</v>
          </cell>
          <cell r="FE86">
            <v>100</v>
          </cell>
          <cell r="FF86">
            <v>114</v>
          </cell>
          <cell r="FG86">
            <v>104</v>
          </cell>
          <cell r="FH86">
            <v>93</v>
          </cell>
          <cell r="FI86">
            <v>87</v>
          </cell>
          <cell r="FJ86">
            <v>90</v>
          </cell>
          <cell r="FK86">
            <v>113</v>
          </cell>
          <cell r="FL86">
            <v>105</v>
          </cell>
          <cell r="FM86">
            <v>115</v>
          </cell>
          <cell r="FN86">
            <v>131</v>
          </cell>
          <cell r="FO86">
            <v>68</v>
          </cell>
          <cell r="FP86">
            <v>125</v>
          </cell>
          <cell r="FQ86">
            <v>153</v>
          </cell>
          <cell r="FR86">
            <v>131</v>
          </cell>
          <cell r="FS86">
            <v>98</v>
          </cell>
          <cell r="FT86">
            <v>138</v>
          </cell>
          <cell r="FU86">
            <v>114</v>
          </cell>
          <cell r="FV86">
            <v>101</v>
          </cell>
          <cell r="FW86">
            <v>74</v>
          </cell>
          <cell r="FX86">
            <v>107</v>
          </cell>
          <cell r="FY86">
            <v>119</v>
          </cell>
          <cell r="FZ86">
            <v>65</v>
          </cell>
          <cell r="GA86">
            <v>112</v>
          </cell>
          <cell r="GB86">
            <v>89</v>
          </cell>
          <cell r="GC86">
            <v>109</v>
          </cell>
          <cell r="GD86">
            <v>82</v>
          </cell>
          <cell r="GE86">
            <v>92</v>
          </cell>
          <cell r="GF86">
            <v>87</v>
          </cell>
          <cell r="GG86">
            <v>100</v>
          </cell>
          <cell r="GH86">
            <v>92</v>
          </cell>
          <cell r="GI86">
            <v>102</v>
          </cell>
          <cell r="GJ86">
            <v>119</v>
          </cell>
          <cell r="GK86">
            <v>112</v>
          </cell>
          <cell r="GL86">
            <v>117</v>
          </cell>
          <cell r="GM86">
            <v>115</v>
          </cell>
          <cell r="GN86">
            <v>112</v>
          </cell>
        </row>
        <row r="87">
          <cell r="B87" t="str">
            <v>SELZENTRY</v>
          </cell>
          <cell r="C87" t="str">
            <v>PFZ</v>
          </cell>
          <cell r="D87">
            <v>0</v>
          </cell>
          <cell r="E87">
            <v>0</v>
          </cell>
          <cell r="F87">
            <v>0</v>
          </cell>
          <cell r="G87">
            <v>0</v>
          </cell>
          <cell r="H87">
            <v>0</v>
          </cell>
          <cell r="I87">
            <v>0</v>
          </cell>
          <cell r="J87">
            <v>0</v>
          </cell>
          <cell r="K87">
            <v>0</v>
          </cell>
          <cell r="L87">
            <v>0</v>
          </cell>
          <cell r="M87">
            <v>0</v>
          </cell>
          <cell r="N87">
            <v>0</v>
          </cell>
          <cell r="O87">
            <v>0</v>
          </cell>
          <cell r="P87">
            <v>0</v>
          </cell>
          <cell r="Q87">
            <v>0</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3</v>
          </cell>
          <cell r="BO87">
            <v>54</v>
          </cell>
          <cell r="BP87">
            <v>43</v>
          </cell>
          <cell r="BQ87">
            <v>42</v>
          </cell>
          <cell r="BR87">
            <v>33</v>
          </cell>
          <cell r="BS87">
            <v>80</v>
          </cell>
          <cell r="BT87">
            <v>77</v>
          </cell>
          <cell r="BU87">
            <v>85</v>
          </cell>
          <cell r="BV87">
            <v>102</v>
          </cell>
          <cell r="BW87">
            <v>143</v>
          </cell>
          <cell r="BX87">
            <v>175</v>
          </cell>
          <cell r="BY87">
            <v>127</v>
          </cell>
          <cell r="BZ87">
            <v>155</v>
          </cell>
          <cell r="CA87">
            <v>203</v>
          </cell>
          <cell r="CB87">
            <v>205</v>
          </cell>
          <cell r="CC87">
            <v>193</v>
          </cell>
          <cell r="CD87">
            <v>150</v>
          </cell>
          <cell r="CE87">
            <v>187</v>
          </cell>
          <cell r="CF87">
            <v>208</v>
          </cell>
          <cell r="CG87">
            <v>216</v>
          </cell>
          <cell r="CH87">
            <v>214</v>
          </cell>
          <cell r="CI87">
            <v>259</v>
          </cell>
          <cell r="CJ87">
            <v>308</v>
          </cell>
          <cell r="CK87">
            <v>319</v>
          </cell>
          <cell r="CL87">
            <v>260</v>
          </cell>
          <cell r="CM87">
            <v>278</v>
          </cell>
          <cell r="CN87">
            <v>389</v>
          </cell>
          <cell r="CO87">
            <v>340</v>
          </cell>
          <cell r="CP87">
            <v>306</v>
          </cell>
          <cell r="CQ87">
            <v>330</v>
          </cell>
          <cell r="CR87">
            <v>344</v>
          </cell>
          <cell r="CS87">
            <v>388</v>
          </cell>
          <cell r="CT87">
            <v>363</v>
          </cell>
          <cell r="CU87">
            <v>348</v>
          </cell>
          <cell r="CV87">
            <v>379</v>
          </cell>
          <cell r="CW87">
            <v>421</v>
          </cell>
          <cell r="CX87">
            <v>344</v>
          </cell>
          <cell r="CY87">
            <v>346</v>
          </cell>
          <cell r="CZ87">
            <v>366</v>
          </cell>
          <cell r="DA87">
            <v>405</v>
          </cell>
          <cell r="DB87">
            <v>437</v>
          </cell>
          <cell r="DC87">
            <v>418</v>
          </cell>
          <cell r="DD87">
            <v>445</v>
          </cell>
          <cell r="DE87">
            <v>458</v>
          </cell>
          <cell r="DF87">
            <v>485</v>
          </cell>
          <cell r="DG87">
            <v>439</v>
          </cell>
          <cell r="DH87">
            <v>461</v>
          </cell>
          <cell r="DI87">
            <v>446</v>
          </cell>
          <cell r="DJ87">
            <v>446</v>
          </cell>
          <cell r="DK87">
            <v>449</v>
          </cell>
          <cell r="DL87">
            <v>455</v>
          </cell>
          <cell r="DM87">
            <v>462</v>
          </cell>
          <cell r="DN87">
            <v>510</v>
          </cell>
          <cell r="DO87">
            <v>514</v>
          </cell>
          <cell r="DP87">
            <v>508</v>
          </cell>
          <cell r="DQ87">
            <v>529</v>
          </cell>
          <cell r="DR87">
            <v>574</v>
          </cell>
          <cell r="DS87">
            <v>472</v>
          </cell>
          <cell r="DT87">
            <v>532</v>
          </cell>
          <cell r="DU87">
            <v>522</v>
          </cell>
          <cell r="DV87">
            <v>504</v>
          </cell>
          <cell r="DW87">
            <v>535</v>
          </cell>
          <cell r="DX87">
            <v>598</v>
          </cell>
          <cell r="DY87">
            <v>585</v>
          </cell>
          <cell r="DZ87">
            <v>528</v>
          </cell>
          <cell r="EA87">
            <v>568</v>
          </cell>
          <cell r="EB87">
            <v>599</v>
          </cell>
          <cell r="EC87">
            <v>626</v>
          </cell>
          <cell r="ED87">
            <v>469</v>
          </cell>
          <cell r="EE87">
            <v>473</v>
          </cell>
          <cell r="EF87">
            <v>631</v>
          </cell>
          <cell r="EG87">
            <v>602</v>
          </cell>
          <cell r="EH87">
            <v>587</v>
          </cell>
          <cell r="EI87">
            <v>550</v>
          </cell>
          <cell r="EJ87">
            <v>609</v>
          </cell>
          <cell r="EK87">
            <v>591</v>
          </cell>
          <cell r="EL87">
            <v>551</v>
          </cell>
          <cell r="EM87">
            <v>589</v>
          </cell>
          <cell r="EN87">
            <v>627</v>
          </cell>
          <cell r="EO87">
            <v>656</v>
          </cell>
          <cell r="EP87">
            <v>596</v>
          </cell>
          <cell r="EQ87">
            <v>575</v>
          </cell>
          <cell r="ER87">
            <v>567</v>
          </cell>
          <cell r="ES87">
            <v>592</v>
          </cell>
          <cell r="ET87">
            <v>679</v>
          </cell>
          <cell r="EU87">
            <v>577</v>
          </cell>
          <cell r="EV87">
            <v>597</v>
          </cell>
          <cell r="EW87">
            <v>631</v>
          </cell>
          <cell r="EX87">
            <v>670</v>
          </cell>
          <cell r="EY87">
            <v>596</v>
          </cell>
          <cell r="EZ87">
            <v>574</v>
          </cell>
          <cell r="FA87">
            <v>597</v>
          </cell>
          <cell r="FB87">
            <v>736</v>
          </cell>
          <cell r="FC87">
            <v>675</v>
          </cell>
          <cell r="FD87">
            <v>640</v>
          </cell>
          <cell r="FE87">
            <v>692</v>
          </cell>
          <cell r="FF87">
            <v>688</v>
          </cell>
          <cell r="FG87">
            <v>751</v>
          </cell>
          <cell r="FH87">
            <v>608</v>
          </cell>
          <cell r="FI87">
            <v>720</v>
          </cell>
          <cell r="FJ87">
            <v>744</v>
          </cell>
          <cell r="FK87">
            <v>759</v>
          </cell>
          <cell r="FL87">
            <v>661</v>
          </cell>
          <cell r="FM87">
            <v>648</v>
          </cell>
          <cell r="FN87">
            <v>782</v>
          </cell>
          <cell r="FO87">
            <v>664</v>
          </cell>
          <cell r="FP87">
            <v>733</v>
          </cell>
          <cell r="FQ87">
            <v>696</v>
          </cell>
          <cell r="FR87">
            <v>716</v>
          </cell>
          <cell r="FS87">
            <v>771</v>
          </cell>
          <cell r="FT87">
            <v>671</v>
          </cell>
          <cell r="FU87">
            <v>711</v>
          </cell>
          <cell r="FV87">
            <v>735</v>
          </cell>
          <cell r="FW87">
            <v>754</v>
          </cell>
          <cell r="FX87">
            <v>754</v>
          </cell>
          <cell r="FY87">
            <v>658</v>
          </cell>
          <cell r="FZ87">
            <v>679</v>
          </cell>
          <cell r="GA87">
            <v>869</v>
          </cell>
          <cell r="GB87">
            <v>798</v>
          </cell>
          <cell r="GC87">
            <v>755</v>
          </cell>
          <cell r="GD87">
            <v>662</v>
          </cell>
          <cell r="GE87">
            <v>763</v>
          </cell>
          <cell r="GF87">
            <v>812</v>
          </cell>
          <cell r="GG87">
            <v>762</v>
          </cell>
          <cell r="GH87">
            <v>680</v>
          </cell>
          <cell r="GI87">
            <v>720</v>
          </cell>
          <cell r="GJ87">
            <v>816</v>
          </cell>
          <cell r="GK87">
            <v>801</v>
          </cell>
          <cell r="GL87">
            <v>732</v>
          </cell>
          <cell r="GM87">
            <v>769</v>
          </cell>
          <cell r="GN87">
            <v>902</v>
          </cell>
        </row>
        <row r="88">
          <cell r="B88" t="str">
            <v>SENSIPAR</v>
          </cell>
          <cell r="C88" t="str">
            <v>AAI</v>
          </cell>
          <cell r="D88">
            <v>9537</v>
          </cell>
          <cell r="E88">
            <v>9015</v>
          </cell>
          <cell r="F88">
            <v>9893</v>
          </cell>
          <cell r="G88">
            <v>10059</v>
          </cell>
          <cell r="H88">
            <v>9683</v>
          </cell>
          <cell r="I88">
            <v>10347</v>
          </cell>
          <cell r="J88">
            <v>9719</v>
          </cell>
          <cell r="K88">
            <v>10072</v>
          </cell>
          <cell r="L88">
            <v>10314</v>
          </cell>
          <cell r="M88">
            <v>10500</v>
          </cell>
          <cell r="N88">
            <v>10061</v>
          </cell>
          <cell r="O88">
            <v>10321</v>
          </cell>
          <cell r="P88">
            <v>10601</v>
          </cell>
          <cell r="Q88">
            <v>10464</v>
          </cell>
          <cell r="R88">
            <v>11007</v>
          </cell>
          <cell r="S88">
            <v>10604</v>
          </cell>
          <cell r="T88">
            <v>10786</v>
          </cell>
          <cell r="U88">
            <v>10659</v>
          </cell>
          <cell r="V88">
            <v>11162</v>
          </cell>
          <cell r="W88">
            <v>11338</v>
          </cell>
          <cell r="X88">
            <v>11024</v>
          </cell>
          <cell r="Y88">
            <v>9560</v>
          </cell>
          <cell r="Z88">
            <v>11423</v>
          </cell>
          <cell r="AA88">
            <v>11470</v>
          </cell>
          <cell r="AB88">
            <v>11321</v>
          </cell>
          <cell r="AC88">
            <v>11353</v>
          </cell>
          <cell r="AD88">
            <v>9895</v>
          </cell>
          <cell r="AE88">
            <v>10836</v>
          </cell>
          <cell r="AF88">
            <v>11980</v>
          </cell>
          <cell r="AG88">
            <v>11948</v>
          </cell>
          <cell r="AH88">
            <v>11417</v>
          </cell>
          <cell r="AI88">
            <v>11576</v>
          </cell>
          <cell r="AJ88">
            <v>11710</v>
          </cell>
          <cell r="AK88">
            <v>11485</v>
          </cell>
          <cell r="AL88">
            <v>11609</v>
          </cell>
          <cell r="AM88">
            <v>12326</v>
          </cell>
          <cell r="AN88">
            <v>12036</v>
          </cell>
          <cell r="AO88">
            <v>11595</v>
          </cell>
          <cell r="AP88">
            <v>11589</v>
          </cell>
          <cell r="AQ88">
            <v>11003</v>
          </cell>
          <cell r="AR88">
            <v>12221</v>
          </cell>
          <cell r="AS88">
            <v>12022</v>
          </cell>
          <cell r="AT88">
            <v>12176</v>
          </cell>
          <cell r="AU88">
            <v>11705</v>
          </cell>
          <cell r="AV88">
            <v>12528</v>
          </cell>
          <cell r="AW88">
            <v>11912</v>
          </cell>
          <cell r="AX88">
            <v>12207</v>
          </cell>
          <cell r="AY88">
            <v>11846</v>
          </cell>
          <cell r="AZ88">
            <v>11518</v>
          </cell>
          <cell r="BA88">
            <v>12518</v>
          </cell>
          <cell r="BB88">
            <v>12613</v>
          </cell>
          <cell r="BC88">
            <v>12196</v>
          </cell>
          <cell r="BD88">
            <v>12365</v>
          </cell>
          <cell r="BE88">
            <v>11854</v>
          </cell>
          <cell r="BF88">
            <v>12754</v>
          </cell>
          <cell r="BG88">
            <v>12302</v>
          </cell>
          <cell r="BH88">
            <v>12033</v>
          </cell>
          <cell r="BI88">
            <v>12657</v>
          </cell>
          <cell r="BJ88">
            <v>12161</v>
          </cell>
          <cell r="BK88">
            <v>12178</v>
          </cell>
          <cell r="BL88">
            <v>11775</v>
          </cell>
          <cell r="BM88">
            <v>12168</v>
          </cell>
          <cell r="BN88">
            <v>12033</v>
          </cell>
          <cell r="BO88">
            <v>12350</v>
          </cell>
          <cell r="BP88">
            <v>12076</v>
          </cell>
          <cell r="BQ88">
            <v>11860</v>
          </cell>
          <cell r="BR88">
            <v>13050</v>
          </cell>
          <cell r="BS88">
            <v>12570</v>
          </cell>
          <cell r="BT88">
            <v>12572</v>
          </cell>
          <cell r="BU88">
            <v>12055</v>
          </cell>
          <cell r="BV88">
            <v>12320</v>
          </cell>
          <cell r="BW88">
            <v>12609</v>
          </cell>
          <cell r="BX88">
            <v>12687</v>
          </cell>
          <cell r="BY88">
            <v>11008</v>
          </cell>
          <cell r="BZ88">
            <v>12885</v>
          </cell>
          <cell r="CA88">
            <v>13466</v>
          </cell>
          <cell r="CB88">
            <v>12849</v>
          </cell>
          <cell r="CC88">
            <v>12704</v>
          </cell>
          <cell r="CD88">
            <v>10589</v>
          </cell>
          <cell r="CE88">
            <v>12368</v>
          </cell>
          <cell r="CF88">
            <v>13197</v>
          </cell>
          <cell r="CG88">
            <v>12899</v>
          </cell>
          <cell r="CH88">
            <v>12440</v>
          </cell>
          <cell r="CI88">
            <v>12953</v>
          </cell>
          <cell r="CJ88">
            <v>12909</v>
          </cell>
          <cell r="CK88">
            <v>12918</v>
          </cell>
          <cell r="CL88">
            <v>12957</v>
          </cell>
          <cell r="CM88">
            <v>13120</v>
          </cell>
          <cell r="CN88">
            <v>14151</v>
          </cell>
          <cell r="CO88">
            <v>13173</v>
          </cell>
          <cell r="CP88">
            <v>12924</v>
          </cell>
          <cell r="CQ88">
            <v>12896</v>
          </cell>
          <cell r="CR88">
            <v>13360</v>
          </cell>
          <cell r="CS88">
            <v>13175</v>
          </cell>
          <cell r="CT88">
            <v>12791</v>
          </cell>
          <cell r="CU88">
            <v>12786</v>
          </cell>
          <cell r="CV88">
            <v>13589</v>
          </cell>
          <cell r="CW88">
            <v>13482</v>
          </cell>
          <cell r="CX88">
            <v>12908</v>
          </cell>
          <cell r="CY88">
            <v>13276</v>
          </cell>
          <cell r="CZ88">
            <v>12538</v>
          </cell>
          <cell r="DA88">
            <v>14404</v>
          </cell>
          <cell r="DB88">
            <v>13477</v>
          </cell>
          <cell r="DC88">
            <v>13193</v>
          </cell>
          <cell r="DD88">
            <v>13182</v>
          </cell>
          <cell r="DE88">
            <v>12638</v>
          </cell>
          <cell r="DF88">
            <v>14009</v>
          </cell>
          <cell r="DG88">
            <v>13579</v>
          </cell>
          <cell r="DH88">
            <v>13352</v>
          </cell>
          <cell r="DI88">
            <v>13744</v>
          </cell>
          <cell r="DJ88">
            <v>13700</v>
          </cell>
          <cell r="DK88">
            <v>13296</v>
          </cell>
          <cell r="DL88">
            <v>13403</v>
          </cell>
          <cell r="DM88">
            <v>13310</v>
          </cell>
          <cell r="DN88">
            <v>13457</v>
          </cell>
          <cell r="DO88">
            <v>13957</v>
          </cell>
          <cell r="DP88">
            <v>13611</v>
          </cell>
          <cell r="DQ88">
            <v>13334</v>
          </cell>
          <cell r="DR88">
            <v>13728</v>
          </cell>
          <cell r="DS88">
            <v>13947</v>
          </cell>
          <cell r="DT88">
            <v>13767</v>
          </cell>
          <cell r="DU88">
            <v>13308</v>
          </cell>
          <cell r="DV88">
            <v>13407</v>
          </cell>
          <cell r="DW88">
            <v>14221</v>
          </cell>
          <cell r="DX88">
            <v>13722</v>
          </cell>
          <cell r="DY88">
            <v>14080</v>
          </cell>
          <cell r="DZ88">
            <v>11625</v>
          </cell>
          <cell r="EA88">
            <v>15451</v>
          </cell>
          <cell r="EB88">
            <v>14209</v>
          </cell>
          <cell r="EC88">
            <v>13985</v>
          </cell>
          <cell r="ED88">
            <v>11022</v>
          </cell>
          <cell r="EE88">
            <v>13070</v>
          </cell>
          <cell r="EF88">
            <v>13909</v>
          </cell>
          <cell r="EG88">
            <v>13827</v>
          </cell>
          <cell r="EH88">
            <v>13335</v>
          </cell>
          <cell r="EI88">
            <v>13120</v>
          </cell>
          <cell r="EJ88">
            <v>14354</v>
          </cell>
          <cell r="EK88">
            <v>13073</v>
          </cell>
          <cell r="EL88">
            <v>13397</v>
          </cell>
          <cell r="EM88">
            <v>13473</v>
          </cell>
          <cell r="EN88">
            <v>14695</v>
          </cell>
          <cell r="EO88">
            <v>13526</v>
          </cell>
          <cell r="EP88">
            <v>13320</v>
          </cell>
          <cell r="EQ88">
            <v>12564</v>
          </cell>
          <cell r="ER88">
            <v>13253</v>
          </cell>
          <cell r="ES88">
            <v>13264</v>
          </cell>
          <cell r="ET88">
            <v>13139</v>
          </cell>
          <cell r="EU88">
            <v>12811</v>
          </cell>
          <cell r="EV88">
            <v>13480</v>
          </cell>
          <cell r="EW88">
            <v>13801</v>
          </cell>
          <cell r="EX88">
            <v>13007</v>
          </cell>
          <cell r="EY88">
            <v>13273</v>
          </cell>
          <cell r="EZ88">
            <v>12069</v>
          </cell>
          <cell r="FA88">
            <v>14283</v>
          </cell>
          <cell r="FB88">
            <v>13500</v>
          </cell>
          <cell r="FC88">
            <v>12898</v>
          </cell>
          <cell r="FD88">
            <v>12990</v>
          </cell>
          <cell r="FE88">
            <v>13466</v>
          </cell>
          <cell r="FF88">
            <v>13239</v>
          </cell>
          <cell r="FG88">
            <v>13101</v>
          </cell>
          <cell r="FH88">
            <v>12779</v>
          </cell>
          <cell r="FI88">
            <v>12870</v>
          </cell>
          <cell r="FJ88">
            <v>13979</v>
          </cell>
          <cell r="FK88">
            <v>13102</v>
          </cell>
          <cell r="FL88">
            <v>12686</v>
          </cell>
          <cell r="FM88">
            <v>12679</v>
          </cell>
          <cell r="FN88">
            <v>13930</v>
          </cell>
          <cell r="FO88">
            <v>12340</v>
          </cell>
          <cell r="FP88">
            <v>12804</v>
          </cell>
          <cell r="FQ88">
            <v>12616</v>
          </cell>
          <cell r="FR88">
            <v>13279</v>
          </cell>
          <cell r="FS88">
            <v>12722</v>
          </cell>
          <cell r="FT88">
            <v>12862</v>
          </cell>
          <cell r="FU88">
            <v>13040</v>
          </cell>
          <cell r="FV88">
            <v>12587</v>
          </cell>
          <cell r="FW88">
            <v>13586</v>
          </cell>
          <cell r="FX88">
            <v>12927</v>
          </cell>
          <cell r="FY88">
            <v>13061</v>
          </cell>
          <cell r="FZ88">
            <v>11274</v>
          </cell>
          <cell r="GA88">
            <v>13865</v>
          </cell>
          <cell r="GB88">
            <v>13230</v>
          </cell>
          <cell r="GC88">
            <v>13304</v>
          </cell>
          <cell r="GD88">
            <v>10864</v>
          </cell>
          <cell r="GE88">
            <v>12640</v>
          </cell>
          <cell r="GF88">
            <v>13606</v>
          </cell>
          <cell r="GG88">
            <v>13538</v>
          </cell>
          <cell r="GH88">
            <v>13394</v>
          </cell>
          <cell r="GI88">
            <v>13110</v>
          </cell>
          <cell r="GJ88">
            <v>13906</v>
          </cell>
          <cell r="GK88">
            <v>12964</v>
          </cell>
          <cell r="GL88">
            <v>12949</v>
          </cell>
          <cell r="GM88">
            <v>13321</v>
          </cell>
          <cell r="GN88">
            <v>13871</v>
          </cell>
        </row>
        <row r="89">
          <cell r="B89" t="str">
            <v>SUPARTZ</v>
          </cell>
          <cell r="C89" t="str">
            <v>S6O</v>
          </cell>
          <cell r="D89">
            <v>247</v>
          </cell>
          <cell r="E89">
            <v>188</v>
          </cell>
          <cell r="F89">
            <v>273</v>
          </cell>
          <cell r="G89">
            <v>251</v>
          </cell>
          <cell r="H89">
            <v>261</v>
          </cell>
          <cell r="I89">
            <v>255</v>
          </cell>
          <cell r="J89">
            <v>236</v>
          </cell>
          <cell r="K89">
            <v>290</v>
          </cell>
          <cell r="L89">
            <v>292</v>
          </cell>
          <cell r="M89">
            <v>319</v>
          </cell>
          <cell r="N89">
            <v>278</v>
          </cell>
          <cell r="O89">
            <v>312</v>
          </cell>
          <cell r="P89">
            <v>333</v>
          </cell>
          <cell r="Q89">
            <v>350</v>
          </cell>
          <cell r="R89">
            <v>278</v>
          </cell>
          <cell r="S89">
            <v>274</v>
          </cell>
          <cell r="T89">
            <v>301</v>
          </cell>
          <cell r="U89">
            <v>315</v>
          </cell>
          <cell r="V89">
            <v>306</v>
          </cell>
          <cell r="W89">
            <v>334</v>
          </cell>
          <cell r="X89">
            <v>302</v>
          </cell>
          <cell r="Y89">
            <v>176</v>
          </cell>
          <cell r="Z89">
            <v>303</v>
          </cell>
          <cell r="AA89">
            <v>278</v>
          </cell>
          <cell r="AB89">
            <v>263</v>
          </cell>
          <cell r="AC89">
            <v>264</v>
          </cell>
          <cell r="AD89">
            <v>187</v>
          </cell>
          <cell r="AE89">
            <v>208</v>
          </cell>
          <cell r="AF89">
            <v>296</v>
          </cell>
          <cell r="AG89">
            <v>257</v>
          </cell>
          <cell r="AH89">
            <v>283</v>
          </cell>
          <cell r="AI89">
            <v>308</v>
          </cell>
          <cell r="AJ89">
            <v>296</v>
          </cell>
          <cell r="AK89">
            <v>279</v>
          </cell>
          <cell r="AL89">
            <v>303</v>
          </cell>
          <cell r="AM89">
            <v>337</v>
          </cell>
          <cell r="AN89">
            <v>413</v>
          </cell>
          <cell r="AO89">
            <v>328</v>
          </cell>
          <cell r="AP89">
            <v>365</v>
          </cell>
          <cell r="AQ89">
            <v>376</v>
          </cell>
          <cell r="AR89">
            <v>340</v>
          </cell>
          <cell r="AS89">
            <v>385</v>
          </cell>
          <cell r="AT89">
            <v>431</v>
          </cell>
          <cell r="AU89">
            <v>343</v>
          </cell>
          <cell r="AV89">
            <v>353</v>
          </cell>
          <cell r="AW89">
            <v>425</v>
          </cell>
          <cell r="AX89">
            <v>412</v>
          </cell>
          <cell r="AY89">
            <v>399</v>
          </cell>
          <cell r="AZ89">
            <v>349</v>
          </cell>
          <cell r="BA89">
            <v>333</v>
          </cell>
          <cell r="BB89">
            <v>341</v>
          </cell>
          <cell r="BC89">
            <v>293</v>
          </cell>
          <cell r="BD89">
            <v>322</v>
          </cell>
          <cell r="BE89">
            <v>223</v>
          </cell>
          <cell r="BF89">
            <v>312</v>
          </cell>
          <cell r="BG89">
            <v>313</v>
          </cell>
          <cell r="BH89">
            <v>315</v>
          </cell>
          <cell r="BI89">
            <v>273</v>
          </cell>
          <cell r="BJ89">
            <v>292</v>
          </cell>
          <cell r="BK89">
            <v>309</v>
          </cell>
          <cell r="BL89">
            <v>311</v>
          </cell>
          <cell r="BM89">
            <v>303</v>
          </cell>
          <cell r="BN89">
            <v>233</v>
          </cell>
          <cell r="BO89">
            <v>274</v>
          </cell>
          <cell r="BP89">
            <v>288</v>
          </cell>
          <cell r="BQ89">
            <v>272</v>
          </cell>
          <cell r="BR89">
            <v>296</v>
          </cell>
          <cell r="BS89">
            <v>279</v>
          </cell>
          <cell r="BT89">
            <v>336</v>
          </cell>
          <cell r="BU89">
            <v>338</v>
          </cell>
          <cell r="BV89">
            <v>319</v>
          </cell>
          <cell r="BW89">
            <v>304</v>
          </cell>
          <cell r="BX89">
            <v>306</v>
          </cell>
          <cell r="BY89">
            <v>225</v>
          </cell>
          <cell r="BZ89">
            <v>284</v>
          </cell>
          <cell r="CA89">
            <v>267</v>
          </cell>
          <cell r="CB89">
            <v>293</v>
          </cell>
          <cell r="CC89">
            <v>269</v>
          </cell>
          <cell r="CD89">
            <v>141</v>
          </cell>
          <cell r="CE89">
            <v>170</v>
          </cell>
          <cell r="CF89">
            <v>243</v>
          </cell>
          <cell r="CG89">
            <v>257</v>
          </cell>
          <cell r="CH89">
            <v>291</v>
          </cell>
          <cell r="CI89">
            <v>296</v>
          </cell>
          <cell r="CJ89">
            <v>302</v>
          </cell>
          <cell r="CK89">
            <v>328</v>
          </cell>
          <cell r="CL89">
            <v>297</v>
          </cell>
          <cell r="CM89">
            <v>346</v>
          </cell>
          <cell r="CN89">
            <v>358</v>
          </cell>
          <cell r="CO89">
            <v>294</v>
          </cell>
          <cell r="CP89">
            <v>348</v>
          </cell>
          <cell r="CQ89">
            <v>344</v>
          </cell>
          <cell r="CR89">
            <v>320</v>
          </cell>
          <cell r="CS89">
            <v>320</v>
          </cell>
          <cell r="CT89">
            <v>360</v>
          </cell>
          <cell r="CU89">
            <v>403</v>
          </cell>
          <cell r="CV89">
            <v>350</v>
          </cell>
          <cell r="CW89">
            <v>360</v>
          </cell>
          <cell r="CX89">
            <v>391</v>
          </cell>
          <cell r="CY89">
            <v>343</v>
          </cell>
          <cell r="CZ89">
            <v>315</v>
          </cell>
          <cell r="DA89">
            <v>418</v>
          </cell>
          <cell r="DB89">
            <v>419</v>
          </cell>
          <cell r="DC89">
            <v>410</v>
          </cell>
          <cell r="DD89">
            <v>408</v>
          </cell>
          <cell r="DE89">
            <v>323</v>
          </cell>
          <cell r="DF89">
            <v>515</v>
          </cell>
          <cell r="DG89">
            <v>477</v>
          </cell>
          <cell r="DH89">
            <v>544</v>
          </cell>
          <cell r="DI89">
            <v>566</v>
          </cell>
          <cell r="DJ89">
            <v>428</v>
          </cell>
          <cell r="DK89">
            <v>371</v>
          </cell>
          <cell r="DL89">
            <v>349</v>
          </cell>
          <cell r="DM89">
            <v>474</v>
          </cell>
          <cell r="DN89">
            <v>427</v>
          </cell>
          <cell r="DO89">
            <v>425</v>
          </cell>
          <cell r="DP89">
            <v>386</v>
          </cell>
          <cell r="DQ89">
            <v>401</v>
          </cell>
          <cell r="DR89">
            <v>359</v>
          </cell>
          <cell r="DS89">
            <v>319</v>
          </cell>
          <cell r="DT89">
            <v>363</v>
          </cell>
          <cell r="DU89">
            <v>336</v>
          </cell>
          <cell r="DV89">
            <v>294</v>
          </cell>
          <cell r="DW89">
            <v>315</v>
          </cell>
          <cell r="DX89">
            <v>390</v>
          </cell>
          <cell r="DY89">
            <v>332</v>
          </cell>
          <cell r="DZ89">
            <v>241</v>
          </cell>
          <cell r="EA89">
            <v>338</v>
          </cell>
          <cell r="EB89">
            <v>322</v>
          </cell>
          <cell r="EC89">
            <v>346</v>
          </cell>
          <cell r="ED89">
            <v>185</v>
          </cell>
          <cell r="EE89">
            <v>172</v>
          </cell>
          <cell r="EF89">
            <v>212</v>
          </cell>
          <cell r="EG89">
            <v>276</v>
          </cell>
          <cell r="EH89">
            <v>237</v>
          </cell>
          <cell r="EI89">
            <v>215</v>
          </cell>
          <cell r="EJ89">
            <v>284</v>
          </cell>
          <cell r="EK89">
            <v>302</v>
          </cell>
          <cell r="EL89">
            <v>274</v>
          </cell>
          <cell r="EM89">
            <v>280</v>
          </cell>
          <cell r="EN89">
            <v>342</v>
          </cell>
          <cell r="EO89">
            <v>288</v>
          </cell>
          <cell r="EP89">
            <v>352</v>
          </cell>
          <cell r="EQ89">
            <v>367</v>
          </cell>
          <cell r="ER89">
            <v>411</v>
          </cell>
          <cell r="ES89">
            <v>313</v>
          </cell>
          <cell r="ET89">
            <v>254</v>
          </cell>
          <cell r="EU89">
            <v>333</v>
          </cell>
          <cell r="EV89">
            <v>326</v>
          </cell>
          <cell r="EW89">
            <v>291</v>
          </cell>
          <cell r="EX89">
            <v>311</v>
          </cell>
          <cell r="EY89">
            <v>265</v>
          </cell>
          <cell r="EZ89">
            <v>215</v>
          </cell>
          <cell r="FA89">
            <v>300</v>
          </cell>
          <cell r="FB89">
            <v>290</v>
          </cell>
          <cell r="FC89">
            <v>258</v>
          </cell>
          <cell r="FD89">
            <v>298</v>
          </cell>
          <cell r="FE89">
            <v>230</v>
          </cell>
          <cell r="FF89">
            <v>248</v>
          </cell>
          <cell r="FG89">
            <v>309</v>
          </cell>
          <cell r="FH89">
            <v>281</v>
          </cell>
          <cell r="FI89">
            <v>316</v>
          </cell>
          <cell r="FJ89">
            <v>274</v>
          </cell>
          <cell r="FK89">
            <v>273</v>
          </cell>
          <cell r="FL89">
            <v>263</v>
          </cell>
          <cell r="FM89">
            <v>272</v>
          </cell>
          <cell r="FN89">
            <v>253</v>
          </cell>
          <cell r="FO89">
            <v>229</v>
          </cell>
          <cell r="FP89">
            <v>238</v>
          </cell>
          <cell r="FQ89">
            <v>282</v>
          </cell>
          <cell r="FR89">
            <v>264</v>
          </cell>
          <cell r="FS89">
            <v>236</v>
          </cell>
          <cell r="FT89">
            <v>287</v>
          </cell>
          <cell r="FU89">
            <v>247</v>
          </cell>
          <cell r="FV89">
            <v>310</v>
          </cell>
          <cell r="FW89">
            <v>250</v>
          </cell>
          <cell r="FX89">
            <v>230</v>
          </cell>
          <cell r="FY89">
            <v>224</v>
          </cell>
          <cell r="FZ89">
            <v>152</v>
          </cell>
          <cell r="GA89">
            <v>201</v>
          </cell>
          <cell r="GB89">
            <v>243</v>
          </cell>
          <cell r="GC89">
            <v>217</v>
          </cell>
          <cell r="GD89">
            <v>136</v>
          </cell>
          <cell r="GE89">
            <v>134</v>
          </cell>
          <cell r="GF89">
            <v>251</v>
          </cell>
          <cell r="GG89">
            <v>201</v>
          </cell>
          <cell r="GH89">
            <v>332</v>
          </cell>
          <cell r="GI89">
            <v>296</v>
          </cell>
          <cell r="GJ89">
            <v>291</v>
          </cell>
          <cell r="GK89">
            <v>210</v>
          </cell>
          <cell r="GL89">
            <v>382</v>
          </cell>
          <cell r="GM89">
            <v>322</v>
          </cell>
          <cell r="GN89">
            <v>333</v>
          </cell>
        </row>
        <row r="90">
          <cell r="B90" t="str">
            <v>SUSTIVA</v>
          </cell>
          <cell r="C90" t="str">
            <v>DPT</v>
          </cell>
          <cell r="D90">
            <v>18521</v>
          </cell>
          <cell r="E90">
            <v>17252</v>
          </cell>
          <cell r="F90">
            <v>18333</v>
          </cell>
          <cell r="G90">
            <v>17306</v>
          </cell>
          <cell r="H90">
            <v>17239</v>
          </cell>
          <cell r="I90">
            <v>17733</v>
          </cell>
          <cell r="J90">
            <v>17470</v>
          </cell>
          <cell r="K90">
            <v>16460</v>
          </cell>
          <cell r="L90">
            <v>16310</v>
          </cell>
          <cell r="M90">
            <v>16958</v>
          </cell>
          <cell r="N90">
            <v>15357</v>
          </cell>
          <cell r="O90">
            <v>15599</v>
          </cell>
          <cell r="P90">
            <v>15418</v>
          </cell>
          <cell r="Q90">
            <v>14963</v>
          </cell>
          <cell r="R90">
            <v>15781</v>
          </cell>
          <cell r="S90">
            <v>14462</v>
          </cell>
          <cell r="T90">
            <v>14018</v>
          </cell>
          <cell r="U90">
            <v>13805</v>
          </cell>
          <cell r="V90">
            <v>14501</v>
          </cell>
          <cell r="W90">
            <v>13541</v>
          </cell>
          <cell r="X90">
            <v>13252</v>
          </cell>
          <cell r="Y90">
            <v>11804</v>
          </cell>
          <cell r="Z90">
            <v>14355</v>
          </cell>
          <cell r="AA90">
            <v>13518</v>
          </cell>
          <cell r="AB90">
            <v>12888</v>
          </cell>
          <cell r="AC90">
            <v>13343</v>
          </cell>
          <cell r="AD90">
            <v>11820</v>
          </cell>
          <cell r="AE90">
            <v>12420</v>
          </cell>
          <cell r="AF90">
            <v>12560</v>
          </cell>
          <cell r="AG90">
            <v>12051</v>
          </cell>
          <cell r="AH90">
            <v>11918</v>
          </cell>
          <cell r="AI90">
            <v>12796</v>
          </cell>
          <cell r="AJ90">
            <v>11905</v>
          </cell>
          <cell r="AK90">
            <v>11422</v>
          </cell>
          <cell r="AL90">
            <v>11392</v>
          </cell>
          <cell r="AM90">
            <v>12452</v>
          </cell>
          <cell r="AN90">
            <v>12154</v>
          </cell>
          <cell r="AO90">
            <v>11399</v>
          </cell>
          <cell r="AP90">
            <v>11320</v>
          </cell>
          <cell r="AQ90">
            <v>11331</v>
          </cell>
          <cell r="AR90">
            <v>11599</v>
          </cell>
          <cell r="AS90">
            <v>11001</v>
          </cell>
          <cell r="AT90">
            <v>10456</v>
          </cell>
          <cell r="AU90">
            <v>10894</v>
          </cell>
          <cell r="AV90">
            <v>11706</v>
          </cell>
          <cell r="AW90">
            <v>10844</v>
          </cell>
          <cell r="AX90">
            <v>10286</v>
          </cell>
          <cell r="AY90">
            <v>10650</v>
          </cell>
          <cell r="AZ90">
            <v>10309</v>
          </cell>
          <cell r="BA90">
            <v>11228</v>
          </cell>
          <cell r="BB90">
            <v>10417</v>
          </cell>
          <cell r="BC90">
            <v>9978</v>
          </cell>
          <cell r="BD90">
            <v>10784</v>
          </cell>
          <cell r="BE90">
            <v>10412</v>
          </cell>
          <cell r="BF90">
            <v>10383</v>
          </cell>
          <cell r="BG90">
            <v>10084</v>
          </cell>
          <cell r="BH90">
            <v>10009</v>
          </cell>
          <cell r="BI90">
            <v>10837</v>
          </cell>
          <cell r="BJ90">
            <v>10225</v>
          </cell>
          <cell r="BK90">
            <v>9443</v>
          </cell>
          <cell r="BL90">
            <v>9535</v>
          </cell>
          <cell r="BM90">
            <v>10290</v>
          </cell>
          <cell r="BN90">
            <v>9458</v>
          </cell>
          <cell r="BO90">
            <v>10118</v>
          </cell>
          <cell r="BP90">
            <v>9694</v>
          </cell>
          <cell r="BQ90">
            <v>9871</v>
          </cell>
          <cell r="BR90">
            <v>10526</v>
          </cell>
          <cell r="BS90">
            <v>9547</v>
          </cell>
          <cell r="BT90">
            <v>9752</v>
          </cell>
          <cell r="BU90">
            <v>9381</v>
          </cell>
          <cell r="BV90">
            <v>9942</v>
          </cell>
          <cell r="BW90">
            <v>9815</v>
          </cell>
          <cell r="BX90">
            <v>9265</v>
          </cell>
          <cell r="BY90">
            <v>8143</v>
          </cell>
          <cell r="BZ90">
            <v>9567</v>
          </cell>
          <cell r="CA90">
            <v>10053</v>
          </cell>
          <cell r="CB90">
            <v>9544</v>
          </cell>
          <cell r="CC90">
            <v>9641</v>
          </cell>
          <cell r="CD90">
            <v>7996</v>
          </cell>
          <cell r="CE90">
            <v>8764</v>
          </cell>
          <cell r="CF90">
            <v>9600</v>
          </cell>
          <cell r="CG90">
            <v>9106</v>
          </cell>
          <cell r="CH90">
            <v>8717</v>
          </cell>
          <cell r="CI90">
            <v>9360</v>
          </cell>
          <cell r="CJ90">
            <v>9505</v>
          </cell>
          <cell r="CK90">
            <v>9002</v>
          </cell>
          <cell r="CL90">
            <v>8881</v>
          </cell>
          <cell r="CM90">
            <v>9148</v>
          </cell>
          <cell r="CN90">
            <v>10107</v>
          </cell>
          <cell r="CO90">
            <v>9295</v>
          </cell>
          <cell r="CP90">
            <v>8928</v>
          </cell>
          <cell r="CQ90">
            <v>8770</v>
          </cell>
          <cell r="CR90">
            <v>9343</v>
          </cell>
          <cell r="CS90">
            <v>9019</v>
          </cell>
          <cell r="CT90">
            <v>8468</v>
          </cell>
          <cell r="CU90">
            <v>8454</v>
          </cell>
          <cell r="CV90">
            <v>9176</v>
          </cell>
          <cell r="CW90">
            <v>8864</v>
          </cell>
          <cell r="CX90">
            <v>8439</v>
          </cell>
          <cell r="CY90">
            <v>8502</v>
          </cell>
          <cell r="CZ90">
            <v>8097</v>
          </cell>
          <cell r="DA90">
            <v>9229</v>
          </cell>
          <cell r="DB90">
            <v>8328</v>
          </cell>
          <cell r="DC90">
            <v>8257</v>
          </cell>
          <cell r="DD90">
            <v>8491</v>
          </cell>
          <cell r="DE90">
            <v>8228</v>
          </cell>
          <cell r="DF90">
            <v>8776</v>
          </cell>
          <cell r="DG90">
            <v>8291</v>
          </cell>
          <cell r="DH90">
            <v>8119</v>
          </cell>
          <cell r="DI90">
            <v>8502</v>
          </cell>
          <cell r="DJ90">
            <v>8619</v>
          </cell>
          <cell r="DK90">
            <v>8105</v>
          </cell>
          <cell r="DL90">
            <v>8167</v>
          </cell>
          <cell r="DM90">
            <v>8349</v>
          </cell>
          <cell r="DN90">
            <v>8336</v>
          </cell>
          <cell r="DO90">
            <v>8496</v>
          </cell>
          <cell r="DP90">
            <v>8344</v>
          </cell>
          <cell r="DQ90">
            <v>8217</v>
          </cell>
          <cell r="DR90">
            <v>8692</v>
          </cell>
          <cell r="DS90">
            <v>8232</v>
          </cell>
          <cell r="DT90">
            <v>7790</v>
          </cell>
          <cell r="DU90">
            <v>8077</v>
          </cell>
          <cell r="DV90">
            <v>8161</v>
          </cell>
          <cell r="DW90">
            <v>8433</v>
          </cell>
          <cell r="DX90">
            <v>7997</v>
          </cell>
          <cell r="DY90">
            <v>7992</v>
          </cell>
          <cell r="DZ90">
            <v>6933</v>
          </cell>
          <cell r="EA90">
            <v>8961</v>
          </cell>
          <cell r="EB90">
            <v>8256</v>
          </cell>
          <cell r="EC90">
            <v>8289</v>
          </cell>
          <cell r="ED90">
            <v>6848</v>
          </cell>
          <cell r="EE90">
            <v>7625</v>
          </cell>
          <cell r="EF90">
            <v>8395</v>
          </cell>
          <cell r="EG90">
            <v>7842</v>
          </cell>
          <cell r="EH90">
            <v>7572</v>
          </cell>
          <cell r="EI90">
            <v>7554</v>
          </cell>
          <cell r="EJ90">
            <v>7746</v>
          </cell>
          <cell r="EK90">
            <v>7441</v>
          </cell>
          <cell r="EL90">
            <v>7428</v>
          </cell>
          <cell r="EM90">
            <v>7353</v>
          </cell>
          <cell r="EN90">
            <v>7961</v>
          </cell>
          <cell r="EO90">
            <v>7280</v>
          </cell>
          <cell r="EP90">
            <v>7385</v>
          </cell>
          <cell r="EQ90">
            <v>6997</v>
          </cell>
          <cell r="ER90">
            <v>7567</v>
          </cell>
          <cell r="ES90">
            <v>7333</v>
          </cell>
          <cell r="ET90">
            <v>7083</v>
          </cell>
          <cell r="EU90">
            <v>7017</v>
          </cell>
          <cell r="EV90">
            <v>7306</v>
          </cell>
          <cell r="EW90">
            <v>7640</v>
          </cell>
          <cell r="EX90">
            <v>6768</v>
          </cell>
          <cell r="EY90">
            <v>7070</v>
          </cell>
          <cell r="EZ90">
            <v>6538</v>
          </cell>
          <cell r="FA90">
            <v>7677</v>
          </cell>
          <cell r="FB90">
            <v>6834</v>
          </cell>
          <cell r="FC90">
            <v>6767</v>
          </cell>
          <cell r="FD90">
            <v>6740</v>
          </cell>
          <cell r="FE90">
            <v>7441</v>
          </cell>
          <cell r="FF90">
            <v>7178</v>
          </cell>
          <cell r="FG90">
            <v>6722</v>
          </cell>
          <cell r="FH90">
            <v>6642</v>
          </cell>
          <cell r="FI90">
            <v>6964</v>
          </cell>
          <cell r="FJ90">
            <v>7359</v>
          </cell>
          <cell r="FK90">
            <v>6709</v>
          </cell>
          <cell r="FL90">
            <v>6735</v>
          </cell>
          <cell r="FM90">
            <v>6896</v>
          </cell>
          <cell r="FN90">
            <v>7425</v>
          </cell>
          <cell r="FO90">
            <v>6328</v>
          </cell>
          <cell r="FP90">
            <v>6832</v>
          </cell>
          <cell r="FQ90">
            <v>6757</v>
          </cell>
          <cell r="FR90">
            <v>7194</v>
          </cell>
          <cell r="FS90">
            <v>6930</v>
          </cell>
          <cell r="FT90">
            <v>6647</v>
          </cell>
          <cell r="FU90">
            <v>6572</v>
          </cell>
          <cell r="FV90">
            <v>6740</v>
          </cell>
          <cell r="FW90">
            <v>6825</v>
          </cell>
          <cell r="FX90">
            <v>6736</v>
          </cell>
          <cell r="FY90">
            <v>6747</v>
          </cell>
          <cell r="FZ90">
            <v>6035</v>
          </cell>
          <cell r="GA90">
            <v>7590</v>
          </cell>
          <cell r="GB90">
            <v>6710</v>
          </cell>
          <cell r="GC90">
            <v>6963</v>
          </cell>
          <cell r="GD90">
            <v>5728</v>
          </cell>
          <cell r="GE90">
            <v>6713</v>
          </cell>
          <cell r="GF90">
            <v>7124</v>
          </cell>
          <cell r="GG90">
            <v>6726</v>
          </cell>
          <cell r="GH90">
            <v>6039</v>
          </cell>
          <cell r="GI90">
            <v>6605</v>
          </cell>
          <cell r="GJ90">
            <v>6977</v>
          </cell>
          <cell r="GK90">
            <v>6286</v>
          </cell>
          <cell r="GL90">
            <v>6247</v>
          </cell>
          <cell r="GM90">
            <v>6468</v>
          </cell>
          <cell r="GN90">
            <v>7150</v>
          </cell>
        </row>
        <row r="91">
          <cell r="B91" t="str">
            <v>TARCEVA</v>
          </cell>
          <cell r="C91" t="str">
            <v>GTC</v>
          </cell>
          <cell r="D91">
            <v>2788</v>
          </cell>
          <cell r="E91">
            <v>2361</v>
          </cell>
          <cell r="F91">
            <v>2658</v>
          </cell>
          <cell r="G91">
            <v>2591</v>
          </cell>
          <cell r="H91">
            <v>2673</v>
          </cell>
          <cell r="I91">
            <v>2640</v>
          </cell>
          <cell r="J91">
            <v>2650</v>
          </cell>
          <cell r="K91">
            <v>2626</v>
          </cell>
          <cell r="L91">
            <v>2682</v>
          </cell>
          <cell r="M91">
            <v>2845</v>
          </cell>
          <cell r="N91">
            <v>2398</v>
          </cell>
          <cell r="O91">
            <v>2782</v>
          </cell>
          <cell r="P91">
            <v>2730</v>
          </cell>
          <cell r="Q91">
            <v>2785</v>
          </cell>
          <cell r="R91">
            <v>2847</v>
          </cell>
          <cell r="S91">
            <v>2632</v>
          </cell>
          <cell r="T91">
            <v>2743</v>
          </cell>
          <cell r="U91">
            <v>2744</v>
          </cell>
          <cell r="V91">
            <v>2884</v>
          </cell>
          <cell r="W91">
            <v>2710</v>
          </cell>
          <cell r="X91">
            <v>2754</v>
          </cell>
          <cell r="Y91">
            <v>2208</v>
          </cell>
          <cell r="Z91">
            <v>2827</v>
          </cell>
          <cell r="AA91">
            <v>2786</v>
          </cell>
          <cell r="AB91">
            <v>2738</v>
          </cell>
          <cell r="AC91">
            <v>2788</v>
          </cell>
          <cell r="AD91">
            <v>2277</v>
          </cell>
          <cell r="AE91">
            <v>2469</v>
          </cell>
          <cell r="AF91">
            <v>2774</v>
          </cell>
          <cell r="AG91">
            <v>2535</v>
          </cell>
          <cell r="AH91">
            <v>2603</v>
          </cell>
          <cell r="AI91">
            <v>2701</v>
          </cell>
          <cell r="AJ91">
            <v>2826</v>
          </cell>
          <cell r="AK91">
            <v>2638</v>
          </cell>
          <cell r="AL91">
            <v>2567</v>
          </cell>
          <cell r="AM91">
            <v>2867</v>
          </cell>
          <cell r="AN91">
            <v>2755</v>
          </cell>
          <cell r="AO91">
            <v>2804</v>
          </cell>
          <cell r="AP91">
            <v>2595</v>
          </cell>
          <cell r="AQ91">
            <v>2676</v>
          </cell>
          <cell r="AR91">
            <v>2718</v>
          </cell>
          <cell r="AS91">
            <v>2850</v>
          </cell>
          <cell r="AT91">
            <v>2875</v>
          </cell>
          <cell r="AU91">
            <v>2637</v>
          </cell>
          <cell r="AV91">
            <v>2772</v>
          </cell>
          <cell r="AW91">
            <v>2607</v>
          </cell>
          <cell r="AX91">
            <v>2603</v>
          </cell>
          <cell r="AY91">
            <v>2800</v>
          </cell>
          <cell r="AZ91">
            <v>2519</v>
          </cell>
          <cell r="BA91">
            <v>2860</v>
          </cell>
          <cell r="BB91">
            <v>2726</v>
          </cell>
          <cell r="BC91">
            <v>2644</v>
          </cell>
          <cell r="BD91">
            <v>2826</v>
          </cell>
          <cell r="BE91">
            <v>2505</v>
          </cell>
          <cell r="BF91">
            <v>2690</v>
          </cell>
          <cell r="BG91">
            <v>2679</v>
          </cell>
          <cell r="BH91">
            <v>2812</v>
          </cell>
          <cell r="BI91">
            <v>2557</v>
          </cell>
          <cell r="BJ91">
            <v>2650</v>
          </cell>
          <cell r="BK91">
            <v>2504</v>
          </cell>
          <cell r="BL91">
            <v>2648</v>
          </cell>
          <cell r="BM91">
            <v>2879</v>
          </cell>
          <cell r="BN91">
            <v>2328</v>
          </cell>
          <cell r="BO91">
            <v>2693</v>
          </cell>
          <cell r="BP91">
            <v>2574</v>
          </cell>
          <cell r="BQ91">
            <v>2828</v>
          </cell>
          <cell r="BR91">
            <v>2647</v>
          </cell>
          <cell r="BS91">
            <v>2645</v>
          </cell>
          <cell r="BT91">
            <v>2533</v>
          </cell>
          <cell r="BU91">
            <v>2628</v>
          </cell>
          <cell r="BV91">
            <v>2750</v>
          </cell>
          <cell r="BW91">
            <v>2649</v>
          </cell>
          <cell r="BX91">
            <v>2581</v>
          </cell>
          <cell r="BY91">
            <v>2268</v>
          </cell>
          <cell r="BZ91">
            <v>2852</v>
          </cell>
          <cell r="CA91">
            <v>2733</v>
          </cell>
          <cell r="CB91">
            <v>2546</v>
          </cell>
          <cell r="CC91">
            <v>2619</v>
          </cell>
          <cell r="CD91">
            <v>2285</v>
          </cell>
          <cell r="CE91">
            <v>2201</v>
          </cell>
          <cell r="CF91">
            <v>2757</v>
          </cell>
          <cell r="CG91">
            <v>2623</v>
          </cell>
          <cell r="CH91">
            <v>2646</v>
          </cell>
          <cell r="CI91">
            <v>2588</v>
          </cell>
          <cell r="CJ91">
            <v>2568</v>
          </cell>
          <cell r="CK91">
            <v>2701</v>
          </cell>
          <cell r="CL91">
            <v>2692</v>
          </cell>
          <cell r="CM91">
            <v>2833</v>
          </cell>
          <cell r="CN91">
            <v>2910</v>
          </cell>
          <cell r="CO91">
            <v>2769</v>
          </cell>
          <cell r="CP91">
            <v>2684</v>
          </cell>
          <cell r="CQ91">
            <v>2645</v>
          </cell>
          <cell r="CR91">
            <v>2808</v>
          </cell>
          <cell r="CS91">
            <v>2537</v>
          </cell>
          <cell r="CT91">
            <v>2615</v>
          </cell>
          <cell r="CU91">
            <v>2570</v>
          </cell>
          <cell r="CV91">
            <v>2645</v>
          </cell>
          <cell r="CW91">
            <v>2697</v>
          </cell>
          <cell r="CX91">
            <v>2535</v>
          </cell>
          <cell r="CY91">
            <v>2623</v>
          </cell>
          <cell r="CZ91">
            <v>2404</v>
          </cell>
          <cell r="DA91">
            <v>2764</v>
          </cell>
          <cell r="DB91">
            <v>2562</v>
          </cell>
          <cell r="DC91">
            <v>2546</v>
          </cell>
          <cell r="DD91">
            <v>2733</v>
          </cell>
          <cell r="DE91">
            <v>2324</v>
          </cell>
          <cell r="DF91">
            <v>2619</v>
          </cell>
          <cell r="DG91">
            <v>2554</v>
          </cell>
          <cell r="DH91">
            <v>2537</v>
          </cell>
          <cell r="DI91">
            <v>2649</v>
          </cell>
          <cell r="DJ91">
            <v>2600</v>
          </cell>
          <cell r="DK91">
            <v>2665</v>
          </cell>
          <cell r="DL91">
            <v>2656</v>
          </cell>
          <cell r="DM91">
            <v>2668</v>
          </cell>
          <cell r="DN91">
            <v>2294</v>
          </cell>
          <cell r="DO91">
            <v>2530</v>
          </cell>
          <cell r="DP91">
            <v>2558</v>
          </cell>
          <cell r="DQ91">
            <v>2550</v>
          </cell>
          <cell r="DR91">
            <v>2497</v>
          </cell>
          <cell r="DS91">
            <v>2527</v>
          </cell>
          <cell r="DT91">
            <v>2523</v>
          </cell>
          <cell r="DU91">
            <v>2681</v>
          </cell>
          <cell r="DV91">
            <v>2664</v>
          </cell>
          <cell r="DW91">
            <v>2541</v>
          </cell>
          <cell r="DX91">
            <v>2567</v>
          </cell>
          <cell r="DY91">
            <v>2571</v>
          </cell>
          <cell r="DZ91">
            <v>2186</v>
          </cell>
          <cell r="EA91">
            <v>2780</v>
          </cell>
          <cell r="EB91">
            <v>2533</v>
          </cell>
          <cell r="EC91">
            <v>2783</v>
          </cell>
          <cell r="ED91">
            <v>2083</v>
          </cell>
          <cell r="EE91">
            <v>2358</v>
          </cell>
          <cell r="EF91">
            <v>2447</v>
          </cell>
          <cell r="EG91">
            <v>2453</v>
          </cell>
          <cell r="EH91">
            <v>2356</v>
          </cell>
          <cell r="EI91">
            <v>2511</v>
          </cell>
          <cell r="EJ91">
            <v>2643</v>
          </cell>
          <cell r="EK91">
            <v>2498</v>
          </cell>
          <cell r="EL91">
            <v>2457</v>
          </cell>
          <cell r="EM91">
            <v>2550</v>
          </cell>
          <cell r="EN91">
            <v>2649</v>
          </cell>
          <cell r="EO91">
            <v>2361</v>
          </cell>
          <cell r="EP91">
            <v>2394</v>
          </cell>
          <cell r="EQ91">
            <v>2495</v>
          </cell>
          <cell r="ER91">
            <v>2473</v>
          </cell>
          <cell r="ES91">
            <v>2265</v>
          </cell>
          <cell r="ET91">
            <v>2321</v>
          </cell>
          <cell r="EU91">
            <v>2468</v>
          </cell>
          <cell r="EV91">
            <v>2457</v>
          </cell>
          <cell r="EW91">
            <v>2449</v>
          </cell>
          <cell r="EX91">
            <v>2405</v>
          </cell>
          <cell r="EY91">
            <v>2522</v>
          </cell>
          <cell r="EZ91">
            <v>2339</v>
          </cell>
          <cell r="FA91">
            <v>2437</v>
          </cell>
          <cell r="FB91">
            <v>2552</v>
          </cell>
          <cell r="FC91">
            <v>2420</v>
          </cell>
          <cell r="FD91">
            <v>2522</v>
          </cell>
          <cell r="FE91">
            <v>2304</v>
          </cell>
          <cell r="FF91">
            <v>2445</v>
          </cell>
          <cell r="FG91">
            <v>2456</v>
          </cell>
          <cell r="FH91">
            <v>2397</v>
          </cell>
          <cell r="FI91">
            <v>2322</v>
          </cell>
          <cell r="FJ91">
            <v>2414</v>
          </cell>
          <cell r="FK91">
            <v>2433</v>
          </cell>
          <cell r="FL91">
            <v>2536</v>
          </cell>
          <cell r="FM91">
            <v>2542</v>
          </cell>
          <cell r="FN91">
            <v>2419</v>
          </cell>
          <cell r="FO91">
            <v>2256</v>
          </cell>
          <cell r="FP91">
            <v>2594</v>
          </cell>
          <cell r="FQ91">
            <v>2639</v>
          </cell>
          <cell r="FR91">
            <v>2457</v>
          </cell>
          <cell r="FS91">
            <v>2454</v>
          </cell>
          <cell r="FT91">
            <v>2531</v>
          </cell>
          <cell r="FU91">
            <v>2558</v>
          </cell>
          <cell r="FV91">
            <v>2510</v>
          </cell>
          <cell r="FW91">
            <v>2523</v>
          </cell>
          <cell r="FX91">
            <v>2526</v>
          </cell>
          <cell r="FY91">
            <v>2636</v>
          </cell>
          <cell r="FZ91">
            <v>1994</v>
          </cell>
          <cell r="GA91">
            <v>2740</v>
          </cell>
          <cell r="GB91">
            <v>2626</v>
          </cell>
          <cell r="GC91">
            <v>2557</v>
          </cell>
          <cell r="GD91">
            <v>2018</v>
          </cell>
          <cell r="GE91">
            <v>2093</v>
          </cell>
          <cell r="GF91">
            <v>2511</v>
          </cell>
          <cell r="GG91">
            <v>2580</v>
          </cell>
          <cell r="GH91">
            <v>2321</v>
          </cell>
          <cell r="GI91">
            <v>2421</v>
          </cell>
          <cell r="GJ91">
            <v>2457</v>
          </cell>
          <cell r="GK91">
            <v>2397</v>
          </cell>
          <cell r="GL91">
            <v>2364</v>
          </cell>
          <cell r="GM91">
            <v>2486</v>
          </cell>
          <cell r="GN91">
            <v>2388</v>
          </cell>
        </row>
        <row r="92">
          <cell r="B92" t="str">
            <v>TAXOTERE</v>
          </cell>
          <cell r="C92" t="str">
            <v>S.A</v>
          </cell>
          <cell r="D92">
            <v>96</v>
          </cell>
          <cell r="E92">
            <v>103</v>
          </cell>
          <cell r="F92">
            <v>93</v>
          </cell>
          <cell r="G92">
            <v>87</v>
          </cell>
          <cell r="H92">
            <v>111</v>
          </cell>
          <cell r="I92">
            <v>78</v>
          </cell>
          <cell r="J92">
            <v>98</v>
          </cell>
          <cell r="K92">
            <v>126</v>
          </cell>
          <cell r="L92">
            <v>107</v>
          </cell>
          <cell r="M92">
            <v>91</v>
          </cell>
          <cell r="N92">
            <v>92</v>
          </cell>
          <cell r="O92">
            <v>98</v>
          </cell>
          <cell r="P92">
            <v>81</v>
          </cell>
          <cell r="Q92">
            <v>101</v>
          </cell>
          <cell r="R92">
            <v>84</v>
          </cell>
          <cell r="S92">
            <v>87</v>
          </cell>
          <cell r="T92">
            <v>97</v>
          </cell>
          <cell r="U92">
            <v>115</v>
          </cell>
          <cell r="V92">
            <v>94</v>
          </cell>
          <cell r="W92">
            <v>94</v>
          </cell>
          <cell r="X92">
            <v>100</v>
          </cell>
          <cell r="Y92">
            <v>78</v>
          </cell>
          <cell r="Z92">
            <v>95</v>
          </cell>
          <cell r="AA92">
            <v>100</v>
          </cell>
          <cell r="AB92">
            <v>100</v>
          </cell>
          <cell r="AC92">
            <v>93</v>
          </cell>
          <cell r="AD92">
            <v>65</v>
          </cell>
          <cell r="AE92">
            <v>77</v>
          </cell>
          <cell r="AF92">
            <v>91</v>
          </cell>
          <cell r="AG92">
            <v>101</v>
          </cell>
          <cell r="AH92">
            <v>128</v>
          </cell>
          <cell r="AI92">
            <v>113</v>
          </cell>
          <cell r="AJ92">
            <v>105</v>
          </cell>
          <cell r="AK92">
            <v>108</v>
          </cell>
          <cell r="AL92">
            <v>115</v>
          </cell>
          <cell r="AM92">
            <v>110</v>
          </cell>
          <cell r="AN92">
            <v>117</v>
          </cell>
          <cell r="AO92">
            <v>103</v>
          </cell>
          <cell r="AP92">
            <v>137</v>
          </cell>
          <cell r="AQ92">
            <v>108</v>
          </cell>
          <cell r="AR92">
            <v>130</v>
          </cell>
          <cell r="AS92">
            <v>109</v>
          </cell>
          <cell r="AT92">
            <v>115</v>
          </cell>
          <cell r="AU92">
            <v>114</v>
          </cell>
          <cell r="AV92">
            <v>107</v>
          </cell>
          <cell r="AW92">
            <v>101</v>
          </cell>
          <cell r="AX92">
            <v>141</v>
          </cell>
          <cell r="AY92">
            <v>97</v>
          </cell>
          <cell r="AZ92">
            <v>103</v>
          </cell>
          <cell r="BA92">
            <v>120</v>
          </cell>
          <cell r="BB92">
            <v>122</v>
          </cell>
          <cell r="BC92">
            <v>102</v>
          </cell>
          <cell r="BD92">
            <v>100</v>
          </cell>
          <cell r="BE92">
            <v>71</v>
          </cell>
          <cell r="BF92">
            <v>84</v>
          </cell>
          <cell r="BG92">
            <v>95</v>
          </cell>
          <cell r="BH92">
            <v>113</v>
          </cell>
          <cell r="BI92">
            <v>114</v>
          </cell>
          <cell r="BJ92">
            <v>91</v>
          </cell>
          <cell r="BK92">
            <v>92</v>
          </cell>
          <cell r="BL92">
            <v>90</v>
          </cell>
          <cell r="BM92">
            <v>109</v>
          </cell>
          <cell r="BN92">
            <v>75</v>
          </cell>
          <cell r="BO92">
            <v>113</v>
          </cell>
          <cell r="BP92">
            <v>111</v>
          </cell>
          <cell r="BQ92">
            <v>96</v>
          </cell>
          <cell r="BR92">
            <v>90</v>
          </cell>
          <cell r="BS92">
            <v>88</v>
          </cell>
          <cell r="BT92">
            <v>117</v>
          </cell>
          <cell r="BU92">
            <v>100</v>
          </cell>
          <cell r="BV92">
            <v>118</v>
          </cell>
          <cell r="BW92">
            <v>86</v>
          </cell>
          <cell r="BX92">
            <v>93</v>
          </cell>
          <cell r="BY92">
            <v>75</v>
          </cell>
          <cell r="BZ92">
            <v>109</v>
          </cell>
          <cell r="CA92">
            <v>113</v>
          </cell>
          <cell r="CB92">
            <v>122</v>
          </cell>
          <cell r="CC92">
            <v>121</v>
          </cell>
          <cell r="CD92">
            <v>114</v>
          </cell>
          <cell r="CE92">
            <v>113</v>
          </cell>
          <cell r="CF92">
            <v>102</v>
          </cell>
          <cell r="CG92">
            <v>89</v>
          </cell>
          <cell r="CH92">
            <v>108</v>
          </cell>
          <cell r="CI92">
            <v>142</v>
          </cell>
          <cell r="CJ92">
            <v>109</v>
          </cell>
          <cell r="CK92">
            <v>81</v>
          </cell>
          <cell r="CL92">
            <v>97</v>
          </cell>
          <cell r="CM92">
            <v>78</v>
          </cell>
          <cell r="CN92">
            <v>121</v>
          </cell>
          <cell r="CO92">
            <v>118</v>
          </cell>
          <cell r="CP92">
            <v>92</v>
          </cell>
          <cell r="CQ92">
            <v>122</v>
          </cell>
          <cell r="CR92">
            <v>119</v>
          </cell>
          <cell r="CS92">
            <v>113</v>
          </cell>
          <cell r="CT92">
            <v>104</v>
          </cell>
          <cell r="CU92">
            <v>146</v>
          </cell>
          <cell r="CV92">
            <v>95</v>
          </cell>
          <cell r="CW92">
            <v>130</v>
          </cell>
          <cell r="CX92">
            <v>140</v>
          </cell>
          <cell r="CY92">
            <v>158</v>
          </cell>
          <cell r="CZ92">
            <v>136</v>
          </cell>
          <cell r="DA92">
            <v>161</v>
          </cell>
          <cell r="DB92">
            <v>189</v>
          </cell>
          <cell r="DC92">
            <v>181</v>
          </cell>
          <cell r="DD92">
            <v>177</v>
          </cell>
          <cell r="DE92">
            <v>163</v>
          </cell>
          <cell r="DF92">
            <v>278</v>
          </cell>
          <cell r="DG92">
            <v>218</v>
          </cell>
          <cell r="DH92">
            <v>178</v>
          </cell>
          <cell r="DI92">
            <v>180</v>
          </cell>
          <cell r="DJ92">
            <v>182</v>
          </cell>
          <cell r="DK92">
            <v>212</v>
          </cell>
          <cell r="DL92">
            <v>103</v>
          </cell>
          <cell r="DM92">
            <v>156</v>
          </cell>
          <cell r="DN92">
            <v>130</v>
          </cell>
          <cell r="DO92">
            <v>129</v>
          </cell>
          <cell r="DP92">
            <v>142</v>
          </cell>
          <cell r="DQ92">
            <v>155</v>
          </cell>
          <cell r="DR92">
            <v>109</v>
          </cell>
          <cell r="DS92">
            <v>97</v>
          </cell>
          <cell r="DT92">
            <v>144</v>
          </cell>
          <cell r="DU92">
            <v>117</v>
          </cell>
          <cell r="DV92">
            <v>137</v>
          </cell>
          <cell r="DW92">
            <v>123</v>
          </cell>
          <cell r="DX92">
            <v>114</v>
          </cell>
          <cell r="DY92">
            <v>138</v>
          </cell>
          <cell r="DZ92">
            <v>88</v>
          </cell>
          <cell r="EA92">
            <v>128</v>
          </cell>
          <cell r="EB92">
            <v>127</v>
          </cell>
          <cell r="EC92">
            <v>110</v>
          </cell>
          <cell r="ED92">
            <v>98</v>
          </cell>
          <cell r="EE92">
            <v>87</v>
          </cell>
          <cell r="EF92">
            <v>131</v>
          </cell>
          <cell r="EG92">
            <v>103</v>
          </cell>
          <cell r="EH92">
            <v>102</v>
          </cell>
          <cell r="EI92">
            <v>125</v>
          </cell>
          <cell r="EJ92">
            <v>104</v>
          </cell>
          <cell r="EK92">
            <v>124</v>
          </cell>
          <cell r="EL92">
            <v>115</v>
          </cell>
          <cell r="EM92">
            <v>103</v>
          </cell>
          <cell r="EN92">
            <v>118</v>
          </cell>
          <cell r="EO92">
            <v>115</v>
          </cell>
          <cell r="EP92">
            <v>110</v>
          </cell>
          <cell r="EQ92">
            <v>113</v>
          </cell>
          <cell r="ER92">
            <v>118</v>
          </cell>
          <cell r="ES92">
            <v>148</v>
          </cell>
          <cell r="ET92">
            <v>114</v>
          </cell>
          <cell r="EU92">
            <v>113</v>
          </cell>
          <cell r="EV92">
            <v>132</v>
          </cell>
          <cell r="EW92">
            <v>107</v>
          </cell>
          <cell r="EX92">
            <v>98</v>
          </cell>
          <cell r="EY92">
            <v>132</v>
          </cell>
          <cell r="EZ92">
            <v>92</v>
          </cell>
          <cell r="FA92">
            <v>122</v>
          </cell>
          <cell r="FB92">
            <v>103</v>
          </cell>
          <cell r="FC92">
            <v>138</v>
          </cell>
          <cell r="FD92">
            <v>106</v>
          </cell>
          <cell r="FE92">
            <v>110</v>
          </cell>
          <cell r="FF92">
            <v>107</v>
          </cell>
          <cell r="FG92">
            <v>94</v>
          </cell>
          <cell r="FH92">
            <v>136</v>
          </cell>
          <cell r="FI92">
            <v>107</v>
          </cell>
          <cell r="FJ92">
            <v>77</v>
          </cell>
          <cell r="FK92">
            <v>113</v>
          </cell>
          <cell r="FL92">
            <v>128</v>
          </cell>
          <cell r="FM92">
            <v>108</v>
          </cell>
          <cell r="FN92">
            <v>140</v>
          </cell>
          <cell r="FO92">
            <v>105</v>
          </cell>
          <cell r="FP92">
            <v>143</v>
          </cell>
          <cell r="FQ92">
            <v>140</v>
          </cell>
          <cell r="FR92">
            <v>126</v>
          </cell>
          <cell r="FS92">
            <v>114</v>
          </cell>
          <cell r="FT92">
            <v>143</v>
          </cell>
          <cell r="FU92">
            <v>109</v>
          </cell>
          <cell r="FV92">
            <v>140</v>
          </cell>
          <cell r="FW92">
            <v>117</v>
          </cell>
          <cell r="FX92">
            <v>157</v>
          </cell>
          <cell r="FY92">
            <v>138</v>
          </cell>
          <cell r="FZ92">
            <v>94</v>
          </cell>
          <cell r="GA92">
            <v>121</v>
          </cell>
          <cell r="GB92">
            <v>134</v>
          </cell>
          <cell r="GC92">
            <v>109</v>
          </cell>
          <cell r="GD92">
            <v>81</v>
          </cell>
          <cell r="GE92">
            <v>116</v>
          </cell>
          <cell r="GF92">
            <v>162</v>
          </cell>
          <cell r="GG92">
            <v>123</v>
          </cell>
          <cell r="GH92">
            <v>95</v>
          </cell>
          <cell r="GI92">
            <v>141</v>
          </cell>
          <cell r="GJ92">
            <v>138</v>
          </cell>
          <cell r="GK92">
            <v>104</v>
          </cell>
          <cell r="GL92">
            <v>112</v>
          </cell>
          <cell r="GM92">
            <v>111</v>
          </cell>
          <cell r="GN92">
            <v>127</v>
          </cell>
        </row>
        <row r="93">
          <cell r="B93" t="str">
            <v>THALOMID</v>
          </cell>
          <cell r="C93" t="str">
            <v>CC5</v>
          </cell>
          <cell r="D93">
            <v>2434</v>
          </cell>
          <cell r="E93">
            <v>1962</v>
          </cell>
          <cell r="F93">
            <v>2439</v>
          </cell>
          <cell r="G93">
            <v>2121</v>
          </cell>
          <cell r="H93">
            <v>2223</v>
          </cell>
          <cell r="I93">
            <v>2151</v>
          </cell>
          <cell r="J93">
            <v>2216</v>
          </cell>
          <cell r="K93">
            <v>2144</v>
          </cell>
          <cell r="L93">
            <v>2203</v>
          </cell>
          <cell r="M93">
            <v>2182</v>
          </cell>
          <cell r="N93">
            <v>1912</v>
          </cell>
          <cell r="O93">
            <v>2117</v>
          </cell>
          <cell r="P93">
            <v>2127</v>
          </cell>
          <cell r="Q93">
            <v>2061</v>
          </cell>
          <cell r="R93">
            <v>2005</v>
          </cell>
          <cell r="S93">
            <v>2128</v>
          </cell>
          <cell r="T93">
            <v>2086</v>
          </cell>
          <cell r="U93">
            <v>2095</v>
          </cell>
          <cell r="V93">
            <v>2083</v>
          </cell>
          <cell r="W93">
            <v>2149</v>
          </cell>
          <cell r="X93">
            <v>2064</v>
          </cell>
          <cell r="Y93">
            <v>1726</v>
          </cell>
          <cell r="Z93">
            <v>2109</v>
          </cell>
          <cell r="AA93">
            <v>2368</v>
          </cell>
          <cell r="AB93">
            <v>2114</v>
          </cell>
          <cell r="AC93">
            <v>2130</v>
          </cell>
          <cell r="AD93">
            <v>1674</v>
          </cell>
          <cell r="AE93">
            <v>1821</v>
          </cell>
          <cell r="AF93">
            <v>2259</v>
          </cell>
          <cell r="AG93">
            <v>2057</v>
          </cell>
          <cell r="AH93">
            <v>1967</v>
          </cell>
          <cell r="AI93">
            <v>1986</v>
          </cell>
          <cell r="AJ93">
            <v>2140</v>
          </cell>
          <cell r="AK93">
            <v>2021</v>
          </cell>
          <cell r="AL93">
            <v>1905</v>
          </cell>
          <cell r="AM93">
            <v>2059</v>
          </cell>
          <cell r="AN93">
            <v>2042</v>
          </cell>
          <cell r="AO93">
            <v>1952</v>
          </cell>
          <cell r="AP93">
            <v>2047</v>
          </cell>
          <cell r="AQ93">
            <v>1922</v>
          </cell>
          <cell r="AR93">
            <v>1959</v>
          </cell>
          <cell r="AS93">
            <v>1964</v>
          </cell>
          <cell r="AT93">
            <v>1962</v>
          </cell>
          <cell r="AU93">
            <v>1984</v>
          </cell>
          <cell r="AV93">
            <v>2084</v>
          </cell>
          <cell r="AW93">
            <v>1894</v>
          </cell>
          <cell r="AX93">
            <v>2043</v>
          </cell>
          <cell r="AY93">
            <v>1959</v>
          </cell>
          <cell r="AZ93">
            <v>1674</v>
          </cell>
          <cell r="BA93">
            <v>2034</v>
          </cell>
          <cell r="BB93">
            <v>2051</v>
          </cell>
          <cell r="BC93">
            <v>1919</v>
          </cell>
          <cell r="BD93">
            <v>1994</v>
          </cell>
          <cell r="BE93">
            <v>1696</v>
          </cell>
          <cell r="BF93">
            <v>1948</v>
          </cell>
          <cell r="BG93">
            <v>1851</v>
          </cell>
          <cell r="BH93">
            <v>2058</v>
          </cell>
          <cell r="BI93">
            <v>1783</v>
          </cell>
          <cell r="BJ93">
            <v>1789</v>
          </cell>
          <cell r="BK93">
            <v>1987</v>
          </cell>
          <cell r="BL93">
            <v>1929</v>
          </cell>
          <cell r="BM93">
            <v>1855</v>
          </cell>
          <cell r="BN93">
            <v>1567</v>
          </cell>
          <cell r="BO93">
            <v>2053</v>
          </cell>
          <cell r="BP93">
            <v>1890</v>
          </cell>
          <cell r="BQ93">
            <v>1748</v>
          </cell>
          <cell r="BR93">
            <v>1750</v>
          </cell>
          <cell r="BS93">
            <v>1937</v>
          </cell>
          <cell r="BT93">
            <v>1806</v>
          </cell>
          <cell r="BU93">
            <v>1811</v>
          </cell>
          <cell r="BV93">
            <v>1720</v>
          </cell>
          <cell r="BW93">
            <v>1854</v>
          </cell>
          <cell r="BX93">
            <v>1879</v>
          </cell>
          <cell r="BY93">
            <v>1640</v>
          </cell>
          <cell r="BZ93">
            <v>1826</v>
          </cell>
          <cell r="CA93">
            <v>1945</v>
          </cell>
          <cell r="CB93">
            <v>1783</v>
          </cell>
          <cell r="CC93">
            <v>1917</v>
          </cell>
          <cell r="CD93">
            <v>1494</v>
          </cell>
          <cell r="CE93">
            <v>1472</v>
          </cell>
          <cell r="CF93">
            <v>2078</v>
          </cell>
          <cell r="CG93">
            <v>1917</v>
          </cell>
          <cell r="CH93">
            <v>1768</v>
          </cell>
          <cell r="CI93">
            <v>1754</v>
          </cell>
          <cell r="CJ93">
            <v>1750</v>
          </cell>
          <cell r="CK93">
            <v>1827</v>
          </cell>
          <cell r="CL93">
            <v>1576</v>
          </cell>
          <cell r="CM93">
            <v>1820</v>
          </cell>
          <cell r="CN93">
            <v>1857</v>
          </cell>
          <cell r="CO93">
            <v>1850</v>
          </cell>
          <cell r="CP93">
            <v>1554</v>
          </cell>
          <cell r="CQ93">
            <v>1701</v>
          </cell>
          <cell r="CR93">
            <v>1749</v>
          </cell>
          <cell r="CS93">
            <v>1742</v>
          </cell>
          <cell r="CT93">
            <v>1660</v>
          </cell>
          <cell r="CU93">
            <v>1611</v>
          </cell>
          <cell r="CV93">
            <v>1703</v>
          </cell>
          <cell r="CW93">
            <v>1631</v>
          </cell>
          <cell r="CX93">
            <v>1571</v>
          </cell>
          <cell r="CY93">
            <v>1633</v>
          </cell>
          <cell r="CZ93">
            <v>1440</v>
          </cell>
          <cell r="DA93">
            <v>1654</v>
          </cell>
          <cell r="DB93">
            <v>1602</v>
          </cell>
          <cell r="DC93">
            <v>1601</v>
          </cell>
          <cell r="DD93">
            <v>1672</v>
          </cell>
          <cell r="DE93">
            <v>1348</v>
          </cell>
          <cell r="DF93">
            <v>1581</v>
          </cell>
          <cell r="DG93">
            <v>1691</v>
          </cell>
          <cell r="DH93">
            <v>1551</v>
          </cell>
          <cell r="DI93">
            <v>1518</v>
          </cell>
          <cell r="DJ93">
            <v>1562</v>
          </cell>
          <cell r="DK93">
            <v>1620</v>
          </cell>
          <cell r="DL93">
            <v>1514</v>
          </cell>
          <cell r="DM93">
            <v>1569</v>
          </cell>
          <cell r="DN93">
            <v>1302</v>
          </cell>
          <cell r="DO93">
            <v>1564</v>
          </cell>
          <cell r="DP93">
            <v>1537</v>
          </cell>
          <cell r="DQ93">
            <v>1506</v>
          </cell>
          <cell r="DR93">
            <v>1453</v>
          </cell>
          <cell r="DS93">
            <v>1489</v>
          </cell>
          <cell r="DT93">
            <v>1488</v>
          </cell>
          <cell r="DU93">
            <v>1529</v>
          </cell>
          <cell r="DV93">
            <v>1386</v>
          </cell>
          <cell r="DW93">
            <v>1329</v>
          </cell>
          <cell r="DX93">
            <v>1399</v>
          </cell>
          <cell r="DY93">
            <v>1461</v>
          </cell>
          <cell r="DZ93">
            <v>1235</v>
          </cell>
          <cell r="EA93">
            <v>1547</v>
          </cell>
          <cell r="EB93">
            <v>1447</v>
          </cell>
          <cell r="EC93">
            <v>1418</v>
          </cell>
          <cell r="ED93">
            <v>1160</v>
          </cell>
          <cell r="EE93">
            <v>1023</v>
          </cell>
          <cell r="EF93">
            <v>1204</v>
          </cell>
          <cell r="EG93">
            <v>1575</v>
          </cell>
          <cell r="EH93">
            <v>1226</v>
          </cell>
          <cell r="EI93">
            <v>1134</v>
          </cell>
          <cell r="EJ93">
            <v>1257</v>
          </cell>
          <cell r="EK93">
            <v>1214</v>
          </cell>
          <cell r="EL93">
            <v>1193</v>
          </cell>
          <cell r="EM93">
            <v>1173</v>
          </cell>
          <cell r="EN93">
            <v>1148</v>
          </cell>
          <cell r="EO93">
            <v>1219</v>
          </cell>
          <cell r="EP93">
            <v>1149</v>
          </cell>
          <cell r="EQ93">
            <v>1105</v>
          </cell>
          <cell r="ER93">
            <v>1027</v>
          </cell>
          <cell r="ES93">
            <v>1078</v>
          </cell>
          <cell r="ET93">
            <v>1008</v>
          </cell>
          <cell r="EU93">
            <v>956</v>
          </cell>
          <cell r="EV93">
            <v>1044</v>
          </cell>
          <cell r="EW93">
            <v>1134</v>
          </cell>
          <cell r="EX93">
            <v>1074</v>
          </cell>
          <cell r="EY93">
            <v>1100</v>
          </cell>
          <cell r="EZ93">
            <v>878</v>
          </cell>
          <cell r="FA93">
            <v>1196</v>
          </cell>
          <cell r="FB93">
            <v>1179</v>
          </cell>
          <cell r="FC93">
            <v>1005</v>
          </cell>
          <cell r="FD93">
            <v>994</v>
          </cell>
          <cell r="FE93">
            <v>1043</v>
          </cell>
          <cell r="FF93">
            <v>1122</v>
          </cell>
          <cell r="FG93">
            <v>1096</v>
          </cell>
          <cell r="FH93">
            <v>930</v>
          </cell>
          <cell r="FI93">
            <v>1038</v>
          </cell>
          <cell r="FJ93">
            <v>1109</v>
          </cell>
          <cell r="FK93">
            <v>1020</v>
          </cell>
          <cell r="FL93">
            <v>1022</v>
          </cell>
          <cell r="FM93">
            <v>1056</v>
          </cell>
          <cell r="FN93">
            <v>992</v>
          </cell>
          <cell r="FO93">
            <v>803</v>
          </cell>
          <cell r="FP93">
            <v>914</v>
          </cell>
          <cell r="FQ93">
            <v>1020</v>
          </cell>
          <cell r="FR93">
            <v>909</v>
          </cell>
          <cell r="FS93">
            <v>1011</v>
          </cell>
          <cell r="FT93">
            <v>973</v>
          </cell>
          <cell r="FU93">
            <v>995</v>
          </cell>
          <cell r="FV93">
            <v>1067</v>
          </cell>
          <cell r="FW93">
            <v>1010</v>
          </cell>
          <cell r="FX93">
            <v>870</v>
          </cell>
          <cell r="FY93">
            <v>1075</v>
          </cell>
          <cell r="FZ93">
            <v>789</v>
          </cell>
          <cell r="GA93">
            <v>1086</v>
          </cell>
          <cell r="GB93">
            <v>970</v>
          </cell>
          <cell r="GC93">
            <v>1118</v>
          </cell>
          <cell r="GD93">
            <v>880</v>
          </cell>
          <cell r="GE93">
            <v>769</v>
          </cell>
          <cell r="GF93">
            <v>943</v>
          </cell>
          <cell r="GG93">
            <v>968</v>
          </cell>
          <cell r="GH93">
            <v>840</v>
          </cell>
          <cell r="GI93">
            <v>870</v>
          </cell>
          <cell r="GJ93">
            <v>923</v>
          </cell>
          <cell r="GK93">
            <v>837</v>
          </cell>
          <cell r="GL93">
            <v>872</v>
          </cell>
          <cell r="GM93">
            <v>954</v>
          </cell>
          <cell r="GN93">
            <v>880</v>
          </cell>
        </row>
        <row r="94">
          <cell r="B94" t="str">
            <v>THYROGEN</v>
          </cell>
          <cell r="C94" t="str">
            <v>GZY</v>
          </cell>
          <cell r="D94">
            <v>269</v>
          </cell>
          <cell r="E94">
            <v>203</v>
          </cell>
          <cell r="F94">
            <v>313</v>
          </cell>
          <cell r="G94">
            <v>272</v>
          </cell>
          <cell r="H94">
            <v>285</v>
          </cell>
          <cell r="I94">
            <v>270</v>
          </cell>
          <cell r="J94">
            <v>228</v>
          </cell>
          <cell r="K94">
            <v>271</v>
          </cell>
          <cell r="L94">
            <v>234</v>
          </cell>
          <cell r="M94">
            <v>270</v>
          </cell>
          <cell r="N94">
            <v>175</v>
          </cell>
          <cell r="O94">
            <v>399</v>
          </cell>
          <cell r="P94">
            <v>372</v>
          </cell>
          <cell r="Q94">
            <v>307</v>
          </cell>
          <cell r="R94">
            <v>297</v>
          </cell>
          <cell r="S94">
            <v>298</v>
          </cell>
          <cell r="T94">
            <v>275</v>
          </cell>
          <cell r="U94">
            <v>265</v>
          </cell>
          <cell r="V94">
            <v>338</v>
          </cell>
          <cell r="W94">
            <v>276</v>
          </cell>
          <cell r="X94">
            <v>261</v>
          </cell>
          <cell r="Y94">
            <v>174</v>
          </cell>
          <cell r="Z94">
            <v>287</v>
          </cell>
          <cell r="AA94">
            <v>337</v>
          </cell>
          <cell r="AB94">
            <v>296</v>
          </cell>
          <cell r="AC94">
            <v>247</v>
          </cell>
          <cell r="AD94">
            <v>190</v>
          </cell>
          <cell r="AE94">
            <v>220</v>
          </cell>
          <cell r="AF94">
            <v>347</v>
          </cell>
          <cell r="AG94">
            <v>325</v>
          </cell>
          <cell r="AH94">
            <v>357</v>
          </cell>
          <cell r="AI94">
            <v>407</v>
          </cell>
          <cell r="AJ94">
            <v>381</v>
          </cell>
          <cell r="AK94">
            <v>332</v>
          </cell>
          <cell r="AL94">
            <v>287</v>
          </cell>
          <cell r="AM94">
            <v>284</v>
          </cell>
          <cell r="AN94">
            <v>326</v>
          </cell>
          <cell r="AO94">
            <v>332</v>
          </cell>
          <cell r="AP94">
            <v>289</v>
          </cell>
          <cell r="AQ94">
            <v>350</v>
          </cell>
          <cell r="AR94">
            <v>294</v>
          </cell>
          <cell r="AS94">
            <v>326</v>
          </cell>
          <cell r="AT94">
            <v>360</v>
          </cell>
          <cell r="AU94">
            <v>347</v>
          </cell>
          <cell r="AV94">
            <v>313</v>
          </cell>
          <cell r="AW94">
            <v>273</v>
          </cell>
          <cell r="AX94">
            <v>332</v>
          </cell>
          <cell r="AY94">
            <v>250</v>
          </cell>
          <cell r="AZ94">
            <v>245</v>
          </cell>
          <cell r="BA94">
            <v>294</v>
          </cell>
          <cell r="BB94">
            <v>342</v>
          </cell>
          <cell r="BC94">
            <v>338</v>
          </cell>
          <cell r="BD94">
            <v>302</v>
          </cell>
          <cell r="BE94">
            <v>205</v>
          </cell>
          <cell r="BF94">
            <v>308</v>
          </cell>
          <cell r="BG94">
            <v>355</v>
          </cell>
          <cell r="BH94">
            <v>298</v>
          </cell>
          <cell r="BI94">
            <v>314</v>
          </cell>
          <cell r="BJ94">
            <v>299</v>
          </cell>
          <cell r="BK94">
            <v>288</v>
          </cell>
          <cell r="BL94">
            <v>311</v>
          </cell>
          <cell r="BM94">
            <v>324</v>
          </cell>
          <cell r="BN94">
            <v>264</v>
          </cell>
          <cell r="BO94">
            <v>283</v>
          </cell>
          <cell r="BP94">
            <v>357</v>
          </cell>
          <cell r="BQ94">
            <v>282</v>
          </cell>
          <cell r="BR94">
            <v>336</v>
          </cell>
          <cell r="BS94">
            <v>261</v>
          </cell>
          <cell r="BT94">
            <v>344</v>
          </cell>
          <cell r="BU94">
            <v>293</v>
          </cell>
          <cell r="BV94">
            <v>286</v>
          </cell>
          <cell r="BW94">
            <v>328</v>
          </cell>
          <cell r="BX94">
            <v>328</v>
          </cell>
          <cell r="BY94">
            <v>163</v>
          </cell>
          <cell r="BZ94">
            <v>327</v>
          </cell>
          <cell r="CA94">
            <v>341</v>
          </cell>
          <cell r="CB94">
            <v>327</v>
          </cell>
          <cell r="CC94">
            <v>228</v>
          </cell>
          <cell r="CD94">
            <v>155</v>
          </cell>
          <cell r="CE94">
            <v>155</v>
          </cell>
          <cell r="CF94">
            <v>282</v>
          </cell>
          <cell r="CG94">
            <v>342</v>
          </cell>
          <cell r="CH94">
            <v>330</v>
          </cell>
          <cell r="CI94">
            <v>350</v>
          </cell>
          <cell r="CJ94">
            <v>372</v>
          </cell>
          <cell r="CK94">
            <v>337</v>
          </cell>
          <cell r="CL94">
            <v>325</v>
          </cell>
          <cell r="CM94">
            <v>427</v>
          </cell>
          <cell r="CN94">
            <v>371</v>
          </cell>
          <cell r="CO94">
            <v>376</v>
          </cell>
          <cell r="CP94">
            <v>341</v>
          </cell>
          <cell r="CQ94">
            <v>355</v>
          </cell>
          <cell r="CR94">
            <v>346</v>
          </cell>
          <cell r="CS94">
            <v>358</v>
          </cell>
          <cell r="CT94">
            <v>320</v>
          </cell>
          <cell r="CU94">
            <v>341</v>
          </cell>
          <cell r="CV94">
            <v>348</v>
          </cell>
          <cell r="CW94">
            <v>337</v>
          </cell>
          <cell r="CX94">
            <v>366</v>
          </cell>
          <cell r="CY94">
            <v>334</v>
          </cell>
          <cell r="CZ94">
            <v>265</v>
          </cell>
          <cell r="DA94">
            <v>360</v>
          </cell>
          <cell r="DB94">
            <v>293</v>
          </cell>
          <cell r="DC94">
            <v>329</v>
          </cell>
          <cell r="DD94">
            <v>383</v>
          </cell>
          <cell r="DE94">
            <v>278</v>
          </cell>
          <cell r="DF94">
            <v>368</v>
          </cell>
          <cell r="DG94">
            <v>387</v>
          </cell>
          <cell r="DH94">
            <v>386</v>
          </cell>
          <cell r="DI94">
            <v>339</v>
          </cell>
          <cell r="DJ94">
            <v>341</v>
          </cell>
          <cell r="DK94">
            <v>342</v>
          </cell>
          <cell r="DL94">
            <v>286</v>
          </cell>
          <cell r="DM94">
            <v>374</v>
          </cell>
          <cell r="DN94">
            <v>253</v>
          </cell>
          <cell r="DO94">
            <v>434</v>
          </cell>
          <cell r="DP94">
            <v>369</v>
          </cell>
          <cell r="DQ94">
            <v>445</v>
          </cell>
          <cell r="DR94">
            <v>384</v>
          </cell>
          <cell r="DS94">
            <v>331</v>
          </cell>
          <cell r="DT94">
            <v>358</v>
          </cell>
          <cell r="DU94">
            <v>394</v>
          </cell>
          <cell r="DV94">
            <v>325</v>
          </cell>
          <cell r="DW94">
            <v>385</v>
          </cell>
          <cell r="DX94">
            <v>424</v>
          </cell>
          <cell r="DY94">
            <v>344</v>
          </cell>
          <cell r="DZ94">
            <v>221</v>
          </cell>
          <cell r="EA94">
            <v>377</v>
          </cell>
          <cell r="EB94">
            <v>327</v>
          </cell>
          <cell r="EC94">
            <v>295</v>
          </cell>
          <cell r="ED94">
            <v>157</v>
          </cell>
          <cell r="EE94">
            <v>205</v>
          </cell>
          <cell r="EF94">
            <v>265</v>
          </cell>
          <cell r="EG94">
            <v>301</v>
          </cell>
          <cell r="EH94">
            <v>311</v>
          </cell>
          <cell r="EI94">
            <v>301</v>
          </cell>
          <cell r="EJ94">
            <v>354</v>
          </cell>
          <cell r="EK94">
            <v>310</v>
          </cell>
          <cell r="EL94">
            <v>308</v>
          </cell>
          <cell r="EM94">
            <v>328</v>
          </cell>
          <cell r="EN94">
            <v>315</v>
          </cell>
          <cell r="EO94">
            <v>350</v>
          </cell>
          <cell r="EP94">
            <v>331</v>
          </cell>
          <cell r="EQ94">
            <v>299</v>
          </cell>
          <cell r="ER94">
            <v>307</v>
          </cell>
          <cell r="ES94">
            <v>331</v>
          </cell>
          <cell r="ET94">
            <v>324</v>
          </cell>
          <cell r="EU94">
            <v>272</v>
          </cell>
          <cell r="EV94">
            <v>312</v>
          </cell>
          <cell r="EW94">
            <v>352</v>
          </cell>
          <cell r="EX94">
            <v>348</v>
          </cell>
          <cell r="EY94">
            <v>316</v>
          </cell>
          <cell r="EZ94">
            <v>240</v>
          </cell>
          <cell r="FA94">
            <v>305</v>
          </cell>
          <cell r="FB94">
            <v>337</v>
          </cell>
          <cell r="FC94">
            <v>340</v>
          </cell>
          <cell r="FD94">
            <v>322</v>
          </cell>
          <cell r="FE94">
            <v>261</v>
          </cell>
          <cell r="FF94">
            <v>300</v>
          </cell>
          <cell r="FG94">
            <v>374</v>
          </cell>
          <cell r="FH94">
            <v>333</v>
          </cell>
          <cell r="FI94">
            <v>308</v>
          </cell>
          <cell r="FJ94">
            <v>284</v>
          </cell>
          <cell r="FK94">
            <v>273</v>
          </cell>
          <cell r="FL94">
            <v>260</v>
          </cell>
          <cell r="FM94">
            <v>284</v>
          </cell>
          <cell r="FN94">
            <v>280</v>
          </cell>
          <cell r="FO94">
            <v>265</v>
          </cell>
          <cell r="FP94">
            <v>343</v>
          </cell>
          <cell r="FQ94">
            <v>314</v>
          </cell>
          <cell r="FR94">
            <v>283</v>
          </cell>
          <cell r="FS94">
            <v>359</v>
          </cell>
          <cell r="FT94">
            <v>335</v>
          </cell>
          <cell r="FU94">
            <v>325</v>
          </cell>
          <cell r="FV94">
            <v>309</v>
          </cell>
          <cell r="FW94">
            <v>296</v>
          </cell>
          <cell r="FX94">
            <v>316</v>
          </cell>
          <cell r="FY94">
            <v>292</v>
          </cell>
          <cell r="FZ94">
            <v>150</v>
          </cell>
          <cell r="GA94">
            <v>280</v>
          </cell>
          <cell r="GB94">
            <v>262</v>
          </cell>
          <cell r="GC94">
            <v>214</v>
          </cell>
          <cell r="GD94">
            <v>125</v>
          </cell>
          <cell r="GE94">
            <v>164</v>
          </cell>
          <cell r="GF94">
            <v>234</v>
          </cell>
          <cell r="GG94">
            <v>314</v>
          </cell>
          <cell r="GH94">
            <v>292</v>
          </cell>
          <cell r="GI94">
            <v>336</v>
          </cell>
          <cell r="GJ94">
            <v>295</v>
          </cell>
          <cell r="GK94">
            <v>278</v>
          </cell>
        </row>
        <row r="95">
          <cell r="B95" t="str">
            <v>TRIZIVIR</v>
          </cell>
          <cell r="C95" t="str">
            <v>GSK</v>
          </cell>
          <cell r="D95">
            <v>5146</v>
          </cell>
          <cell r="E95">
            <v>4885</v>
          </cell>
          <cell r="F95">
            <v>4881</v>
          </cell>
          <cell r="G95">
            <v>4625</v>
          </cell>
          <cell r="H95">
            <v>4797</v>
          </cell>
          <cell r="I95">
            <v>4812</v>
          </cell>
          <cell r="J95">
            <v>4830</v>
          </cell>
          <cell r="K95">
            <v>4703</v>
          </cell>
          <cell r="L95">
            <v>4746</v>
          </cell>
          <cell r="M95">
            <v>4969</v>
          </cell>
          <cell r="N95">
            <v>4545</v>
          </cell>
          <cell r="O95">
            <v>4763</v>
          </cell>
          <cell r="P95">
            <v>4664</v>
          </cell>
          <cell r="Q95">
            <v>4624</v>
          </cell>
          <cell r="R95">
            <v>4816</v>
          </cell>
          <cell r="S95">
            <v>4827</v>
          </cell>
          <cell r="T95">
            <v>4501</v>
          </cell>
          <cell r="U95">
            <v>4770</v>
          </cell>
          <cell r="V95">
            <v>4867</v>
          </cell>
          <cell r="W95">
            <v>4416</v>
          </cell>
          <cell r="X95">
            <v>4230</v>
          </cell>
          <cell r="Y95">
            <v>3814</v>
          </cell>
          <cell r="Z95">
            <v>4746</v>
          </cell>
          <cell r="AA95">
            <v>4613</v>
          </cell>
          <cell r="AB95">
            <v>4478</v>
          </cell>
          <cell r="AC95">
            <v>4718</v>
          </cell>
          <cell r="AD95">
            <v>4055</v>
          </cell>
          <cell r="AE95">
            <v>4293</v>
          </cell>
          <cell r="AF95">
            <v>4662</v>
          </cell>
          <cell r="AG95">
            <v>4447</v>
          </cell>
          <cell r="AH95">
            <v>4427</v>
          </cell>
          <cell r="AI95">
            <v>4517</v>
          </cell>
          <cell r="AJ95">
            <v>4497</v>
          </cell>
          <cell r="AK95">
            <v>4290</v>
          </cell>
          <cell r="AL95">
            <v>4265</v>
          </cell>
          <cell r="AM95">
            <v>4677</v>
          </cell>
          <cell r="AN95">
            <v>4603</v>
          </cell>
          <cell r="AO95">
            <v>4451</v>
          </cell>
          <cell r="AP95">
            <v>4240</v>
          </cell>
          <cell r="AQ95">
            <v>4127</v>
          </cell>
          <cell r="AR95">
            <v>4459</v>
          </cell>
          <cell r="AS95">
            <v>4247</v>
          </cell>
          <cell r="AT95">
            <v>4187</v>
          </cell>
          <cell r="AU95">
            <v>4143</v>
          </cell>
          <cell r="AV95">
            <v>4303</v>
          </cell>
          <cell r="AW95">
            <v>4392</v>
          </cell>
          <cell r="AX95">
            <v>4277</v>
          </cell>
          <cell r="AY95">
            <v>4267</v>
          </cell>
          <cell r="AZ95">
            <v>3963</v>
          </cell>
          <cell r="BA95">
            <v>4393</v>
          </cell>
          <cell r="BB95">
            <v>4171</v>
          </cell>
          <cell r="BC95">
            <v>4080</v>
          </cell>
          <cell r="BD95">
            <v>4083</v>
          </cell>
          <cell r="BE95">
            <v>4042</v>
          </cell>
          <cell r="BF95">
            <v>4151</v>
          </cell>
          <cell r="BG95">
            <v>3948</v>
          </cell>
          <cell r="BH95">
            <v>3927</v>
          </cell>
          <cell r="BI95">
            <v>4137</v>
          </cell>
          <cell r="BJ95">
            <v>3976</v>
          </cell>
          <cell r="BK95">
            <v>3836</v>
          </cell>
          <cell r="BL95">
            <v>3785</v>
          </cell>
          <cell r="BM95">
            <v>3851</v>
          </cell>
          <cell r="BN95">
            <v>3676</v>
          </cell>
          <cell r="BO95">
            <v>4038</v>
          </cell>
          <cell r="BP95">
            <v>3857</v>
          </cell>
          <cell r="BQ95">
            <v>3898</v>
          </cell>
          <cell r="BR95">
            <v>4042</v>
          </cell>
          <cell r="BS95">
            <v>3676</v>
          </cell>
          <cell r="BT95">
            <v>3957</v>
          </cell>
          <cell r="BU95">
            <v>3816</v>
          </cell>
          <cell r="BV95">
            <v>3867</v>
          </cell>
          <cell r="BW95">
            <v>3801</v>
          </cell>
          <cell r="BX95">
            <v>3826</v>
          </cell>
          <cell r="BY95">
            <v>3427</v>
          </cell>
          <cell r="BZ95">
            <v>3901</v>
          </cell>
          <cell r="CA95">
            <v>3939</v>
          </cell>
          <cell r="CB95">
            <v>3826</v>
          </cell>
          <cell r="CC95">
            <v>3857</v>
          </cell>
          <cell r="CD95">
            <v>3265</v>
          </cell>
          <cell r="CE95">
            <v>3580</v>
          </cell>
          <cell r="CF95">
            <v>3853</v>
          </cell>
          <cell r="CG95">
            <v>3812</v>
          </cell>
          <cell r="CH95">
            <v>3669</v>
          </cell>
          <cell r="CI95">
            <v>3707</v>
          </cell>
          <cell r="CJ95">
            <v>3763</v>
          </cell>
          <cell r="CK95">
            <v>3617</v>
          </cell>
          <cell r="CL95">
            <v>3776</v>
          </cell>
          <cell r="CM95">
            <v>3667</v>
          </cell>
          <cell r="CN95">
            <v>3949</v>
          </cell>
          <cell r="CO95">
            <v>3590</v>
          </cell>
          <cell r="CP95">
            <v>3646</v>
          </cell>
          <cell r="CQ95">
            <v>3525</v>
          </cell>
          <cell r="CR95">
            <v>3792</v>
          </cell>
          <cell r="CS95">
            <v>3608</v>
          </cell>
          <cell r="CT95">
            <v>3543</v>
          </cell>
          <cell r="CU95">
            <v>3473</v>
          </cell>
          <cell r="CV95">
            <v>3736</v>
          </cell>
          <cell r="CW95">
            <v>3579</v>
          </cell>
          <cell r="CX95">
            <v>3527</v>
          </cell>
          <cell r="CY95">
            <v>3579</v>
          </cell>
          <cell r="CZ95">
            <v>3351</v>
          </cell>
          <cell r="DA95">
            <v>3785</v>
          </cell>
          <cell r="DB95">
            <v>3265</v>
          </cell>
          <cell r="DC95">
            <v>3321</v>
          </cell>
          <cell r="DD95">
            <v>3336</v>
          </cell>
          <cell r="DE95">
            <v>3310</v>
          </cell>
          <cell r="DF95">
            <v>3529</v>
          </cell>
          <cell r="DG95">
            <v>3367</v>
          </cell>
          <cell r="DH95">
            <v>3222</v>
          </cell>
          <cell r="DI95">
            <v>3356</v>
          </cell>
          <cell r="DJ95">
            <v>3465</v>
          </cell>
          <cell r="DK95">
            <v>3368</v>
          </cell>
          <cell r="DL95">
            <v>3203</v>
          </cell>
          <cell r="DM95">
            <v>3345</v>
          </cell>
          <cell r="DN95">
            <v>3393</v>
          </cell>
          <cell r="DO95">
            <v>3507</v>
          </cell>
          <cell r="DP95">
            <v>3380</v>
          </cell>
          <cell r="DQ95">
            <v>3331</v>
          </cell>
          <cell r="DR95">
            <v>3370</v>
          </cell>
          <cell r="DS95">
            <v>3452</v>
          </cell>
          <cell r="DT95">
            <v>3314</v>
          </cell>
          <cell r="DU95">
            <v>3270</v>
          </cell>
          <cell r="DV95">
            <v>3277</v>
          </cell>
          <cell r="DW95">
            <v>3439</v>
          </cell>
          <cell r="DX95">
            <v>3344</v>
          </cell>
          <cell r="DY95">
            <v>3408</v>
          </cell>
          <cell r="DZ95">
            <v>2791</v>
          </cell>
          <cell r="EA95">
            <v>3561</v>
          </cell>
          <cell r="EB95">
            <v>3290</v>
          </cell>
          <cell r="EC95">
            <v>3462</v>
          </cell>
          <cell r="ED95">
            <v>2649</v>
          </cell>
          <cell r="EE95">
            <v>3000</v>
          </cell>
          <cell r="EF95">
            <v>3341</v>
          </cell>
          <cell r="EG95">
            <v>3192</v>
          </cell>
          <cell r="EH95">
            <v>3142</v>
          </cell>
          <cell r="EI95">
            <v>2958</v>
          </cell>
          <cell r="EJ95">
            <v>3145</v>
          </cell>
          <cell r="EK95">
            <v>3055</v>
          </cell>
          <cell r="EL95">
            <v>2960</v>
          </cell>
          <cell r="EM95">
            <v>3045</v>
          </cell>
          <cell r="EN95">
            <v>3186</v>
          </cell>
          <cell r="EO95">
            <v>2879</v>
          </cell>
          <cell r="EP95">
            <v>2882</v>
          </cell>
          <cell r="EQ95">
            <v>2911</v>
          </cell>
          <cell r="ER95">
            <v>3033</v>
          </cell>
          <cell r="ES95">
            <v>2851</v>
          </cell>
          <cell r="ET95">
            <v>2819</v>
          </cell>
          <cell r="EU95">
            <v>2807</v>
          </cell>
          <cell r="EV95">
            <v>2940</v>
          </cell>
          <cell r="EW95">
            <v>2923</v>
          </cell>
          <cell r="EX95">
            <v>2826</v>
          </cell>
          <cell r="EY95">
            <v>2733</v>
          </cell>
          <cell r="EZ95">
            <v>2621</v>
          </cell>
          <cell r="FA95">
            <v>2954</v>
          </cell>
          <cell r="FB95">
            <v>2854</v>
          </cell>
          <cell r="FC95">
            <v>2738</v>
          </cell>
          <cell r="FD95">
            <v>2750</v>
          </cell>
          <cell r="FE95">
            <v>2743</v>
          </cell>
          <cell r="FF95">
            <v>2768</v>
          </cell>
          <cell r="FG95">
            <v>2710</v>
          </cell>
          <cell r="FH95">
            <v>2854</v>
          </cell>
          <cell r="FI95">
            <v>2704</v>
          </cell>
          <cell r="FJ95">
            <v>2749</v>
          </cell>
          <cell r="FK95">
            <v>2756</v>
          </cell>
          <cell r="FL95">
            <v>2712</v>
          </cell>
          <cell r="FM95">
            <v>2727</v>
          </cell>
          <cell r="FN95">
            <v>2748</v>
          </cell>
          <cell r="FO95">
            <v>2508</v>
          </cell>
          <cell r="FP95">
            <v>2706</v>
          </cell>
          <cell r="FQ95">
            <v>2559</v>
          </cell>
          <cell r="FR95">
            <v>2782</v>
          </cell>
          <cell r="FS95">
            <v>2507</v>
          </cell>
          <cell r="FT95">
            <v>2563</v>
          </cell>
          <cell r="FU95">
            <v>2626</v>
          </cell>
          <cell r="FV95">
            <v>2617</v>
          </cell>
          <cell r="FW95">
            <v>2494</v>
          </cell>
          <cell r="FX95">
            <v>2528</v>
          </cell>
          <cell r="FY95">
            <v>2575</v>
          </cell>
          <cell r="FZ95">
            <v>2294</v>
          </cell>
          <cell r="GA95">
            <v>2992</v>
          </cell>
          <cell r="GB95">
            <v>2665</v>
          </cell>
          <cell r="GC95">
            <v>2568</v>
          </cell>
          <cell r="GD95">
            <v>2155</v>
          </cell>
          <cell r="GE95">
            <v>2530</v>
          </cell>
          <cell r="GF95">
            <v>2615</v>
          </cell>
          <cell r="GG95">
            <v>2492</v>
          </cell>
          <cell r="GH95">
            <v>2339</v>
          </cell>
          <cell r="GI95">
            <v>2414</v>
          </cell>
          <cell r="GJ95">
            <v>2635</v>
          </cell>
          <cell r="GK95">
            <v>2262</v>
          </cell>
          <cell r="GL95">
            <v>355</v>
          </cell>
          <cell r="GM95">
            <v>330</v>
          </cell>
          <cell r="GN95">
            <v>366</v>
          </cell>
        </row>
        <row r="96">
          <cell r="B96" t="str">
            <v>TRUVADA</v>
          </cell>
          <cell r="C96" t="str">
            <v>GS-</v>
          </cell>
          <cell r="D96">
            <v>19683</v>
          </cell>
          <cell r="E96">
            <v>18298</v>
          </cell>
          <cell r="F96">
            <v>19728</v>
          </cell>
          <cell r="G96">
            <v>19199</v>
          </cell>
          <cell r="H96">
            <v>18906</v>
          </cell>
          <cell r="I96">
            <v>19383</v>
          </cell>
          <cell r="J96">
            <v>19305</v>
          </cell>
          <cell r="K96">
            <v>18605</v>
          </cell>
          <cell r="L96">
            <v>18572</v>
          </cell>
          <cell r="M96">
            <v>19053</v>
          </cell>
          <cell r="N96">
            <v>17536</v>
          </cell>
          <cell r="O96">
            <v>18324</v>
          </cell>
          <cell r="P96">
            <v>17996</v>
          </cell>
          <cell r="Q96">
            <v>17820</v>
          </cell>
          <cell r="R96">
            <v>18577</v>
          </cell>
          <cell r="S96">
            <v>17873</v>
          </cell>
          <cell r="T96">
            <v>17043</v>
          </cell>
          <cell r="U96">
            <v>18681</v>
          </cell>
          <cell r="V96">
            <v>19451</v>
          </cell>
          <cell r="W96">
            <v>16772</v>
          </cell>
          <cell r="X96">
            <v>16177</v>
          </cell>
          <cell r="Y96">
            <v>14307</v>
          </cell>
          <cell r="Z96">
            <v>17617</v>
          </cell>
          <cell r="AA96">
            <v>17191</v>
          </cell>
          <cell r="AB96">
            <v>17193</v>
          </cell>
          <cell r="AC96">
            <v>17272</v>
          </cell>
          <cell r="AD96">
            <v>15236</v>
          </cell>
          <cell r="AE96">
            <v>16340</v>
          </cell>
          <cell r="AF96">
            <v>17521</v>
          </cell>
          <cell r="AG96">
            <v>16571</v>
          </cell>
          <cell r="AH96">
            <v>16346</v>
          </cell>
          <cell r="AI96">
            <v>17544</v>
          </cell>
          <cell r="AJ96">
            <v>17101</v>
          </cell>
          <cell r="AK96">
            <v>16665</v>
          </cell>
          <cell r="AL96">
            <v>16295</v>
          </cell>
          <cell r="AM96">
            <v>17921</v>
          </cell>
          <cell r="AN96">
            <v>18067</v>
          </cell>
          <cell r="AO96">
            <v>17114</v>
          </cell>
          <cell r="AP96">
            <v>16703</v>
          </cell>
          <cell r="AQ96">
            <v>16574</v>
          </cell>
          <cell r="AR96">
            <v>17859</v>
          </cell>
          <cell r="AS96">
            <v>17175</v>
          </cell>
          <cell r="AT96">
            <v>16548</v>
          </cell>
          <cell r="AU96">
            <v>16740</v>
          </cell>
          <cell r="AV96">
            <v>18310</v>
          </cell>
          <cell r="AW96">
            <v>17209</v>
          </cell>
          <cell r="AX96">
            <v>16951</v>
          </cell>
          <cell r="AY96">
            <v>16875</v>
          </cell>
          <cell r="AZ96">
            <v>16389</v>
          </cell>
          <cell r="BA96">
            <v>18349</v>
          </cell>
          <cell r="BB96">
            <v>17278</v>
          </cell>
          <cell r="BC96">
            <v>16851</v>
          </cell>
          <cell r="BD96">
            <v>17631</v>
          </cell>
          <cell r="BE96">
            <v>16938</v>
          </cell>
          <cell r="BF96">
            <v>17835</v>
          </cell>
          <cell r="BG96">
            <v>17069</v>
          </cell>
          <cell r="BH96">
            <v>16915</v>
          </cell>
          <cell r="BI96">
            <v>18344</v>
          </cell>
          <cell r="BJ96">
            <v>17836</v>
          </cell>
          <cell r="BK96">
            <v>17178</v>
          </cell>
          <cell r="BL96">
            <v>16937</v>
          </cell>
          <cell r="BM96">
            <v>17828</v>
          </cell>
          <cell r="BN96">
            <v>16856</v>
          </cell>
          <cell r="BO96">
            <v>18075</v>
          </cell>
          <cell r="BP96">
            <v>17617</v>
          </cell>
          <cell r="BQ96">
            <v>17938</v>
          </cell>
          <cell r="BR96">
            <v>18546</v>
          </cell>
          <cell r="BS96">
            <v>17808</v>
          </cell>
          <cell r="BT96">
            <v>17968</v>
          </cell>
          <cell r="BU96">
            <v>17663</v>
          </cell>
          <cell r="BV96">
            <v>18172</v>
          </cell>
          <cell r="BW96">
            <v>18671</v>
          </cell>
          <cell r="BX96">
            <v>18304</v>
          </cell>
          <cell r="BY96">
            <v>15630</v>
          </cell>
          <cell r="BZ96">
            <v>19161</v>
          </cell>
          <cell r="CA96">
            <v>19284</v>
          </cell>
          <cell r="CB96">
            <v>19060</v>
          </cell>
          <cell r="CC96">
            <v>18940</v>
          </cell>
          <cell r="CD96">
            <v>15915</v>
          </cell>
          <cell r="CE96">
            <v>17108</v>
          </cell>
          <cell r="CF96">
            <v>19359</v>
          </cell>
          <cell r="CG96">
            <v>18964</v>
          </cell>
          <cell r="CH96">
            <v>17933</v>
          </cell>
          <cell r="CI96">
            <v>18903</v>
          </cell>
          <cell r="CJ96">
            <v>19120</v>
          </cell>
          <cell r="CK96">
            <v>19368</v>
          </cell>
          <cell r="CL96">
            <v>18236</v>
          </cell>
          <cell r="CM96">
            <v>19582</v>
          </cell>
          <cell r="CN96">
            <v>20813</v>
          </cell>
          <cell r="CO96">
            <v>19579</v>
          </cell>
          <cell r="CP96">
            <v>19548</v>
          </cell>
          <cell r="CQ96">
            <v>18953</v>
          </cell>
          <cell r="CR96">
            <v>20085</v>
          </cell>
          <cell r="CS96">
            <v>20022</v>
          </cell>
          <cell r="CT96">
            <v>19890</v>
          </cell>
          <cell r="CU96">
            <v>19461</v>
          </cell>
          <cell r="CV96">
            <v>20601</v>
          </cell>
          <cell r="CW96">
            <v>20007</v>
          </cell>
          <cell r="CX96">
            <v>19489</v>
          </cell>
          <cell r="CY96">
            <v>19525</v>
          </cell>
          <cell r="CZ96">
            <v>18871</v>
          </cell>
          <cell r="DA96">
            <v>21405</v>
          </cell>
          <cell r="DB96">
            <v>19722</v>
          </cell>
          <cell r="DC96">
            <v>19449</v>
          </cell>
          <cell r="DD96">
            <v>19666</v>
          </cell>
          <cell r="DE96">
            <v>19391</v>
          </cell>
          <cell r="DF96">
            <v>21323</v>
          </cell>
          <cell r="DG96">
            <v>20539</v>
          </cell>
          <cell r="DH96">
            <v>20230</v>
          </cell>
          <cell r="DI96">
            <v>21044</v>
          </cell>
          <cell r="DJ96">
            <v>20846</v>
          </cell>
          <cell r="DK96">
            <v>21151</v>
          </cell>
          <cell r="DL96">
            <v>20928</v>
          </cell>
          <cell r="DM96">
            <v>21390</v>
          </cell>
          <cell r="DN96">
            <v>20461</v>
          </cell>
          <cell r="DO96">
            <v>22478</v>
          </cell>
          <cell r="DP96">
            <v>21902</v>
          </cell>
          <cell r="DQ96">
            <v>21583</v>
          </cell>
          <cell r="DR96">
            <v>22625</v>
          </cell>
          <cell r="DS96">
            <v>21971</v>
          </cell>
          <cell r="DT96">
            <v>21638</v>
          </cell>
          <cell r="DU96">
            <v>21439</v>
          </cell>
          <cell r="DV96">
            <v>21511</v>
          </cell>
          <cell r="DW96">
            <v>22826</v>
          </cell>
          <cell r="DX96">
            <v>22068</v>
          </cell>
          <cell r="DY96">
            <v>22206</v>
          </cell>
          <cell r="DZ96">
            <v>19231</v>
          </cell>
          <cell r="EA96">
            <v>24697</v>
          </cell>
          <cell r="EB96">
            <v>23271</v>
          </cell>
          <cell r="EC96">
            <v>23808</v>
          </cell>
          <cell r="ED96">
            <v>18934</v>
          </cell>
          <cell r="EE96">
            <v>21250</v>
          </cell>
          <cell r="EF96">
            <v>24198</v>
          </cell>
          <cell r="EG96">
            <v>23234</v>
          </cell>
          <cell r="EH96">
            <v>21571</v>
          </cell>
          <cell r="EI96">
            <v>21828</v>
          </cell>
          <cell r="EJ96">
            <v>23792</v>
          </cell>
          <cell r="EK96">
            <v>22199</v>
          </cell>
          <cell r="EL96">
            <v>22281</v>
          </cell>
          <cell r="EM96">
            <v>22572</v>
          </cell>
          <cell r="EN96">
            <v>24552</v>
          </cell>
          <cell r="EO96">
            <v>22909</v>
          </cell>
          <cell r="EP96">
            <v>22514</v>
          </cell>
          <cell r="EQ96">
            <v>22473</v>
          </cell>
          <cell r="ER96">
            <v>23371</v>
          </cell>
          <cell r="ES96">
            <v>23206</v>
          </cell>
          <cell r="ET96">
            <v>22753</v>
          </cell>
          <cell r="EU96">
            <v>22273</v>
          </cell>
          <cell r="EV96">
            <v>23595</v>
          </cell>
          <cell r="EW96">
            <v>24634</v>
          </cell>
          <cell r="EX96">
            <v>23354</v>
          </cell>
          <cell r="EY96">
            <v>23400</v>
          </cell>
          <cell r="EZ96">
            <v>21759</v>
          </cell>
          <cell r="FA96">
            <v>25231</v>
          </cell>
          <cell r="FB96">
            <v>24071</v>
          </cell>
          <cell r="FC96">
            <v>23189</v>
          </cell>
          <cell r="FD96">
            <v>23615</v>
          </cell>
          <cell r="FE96">
            <v>24957</v>
          </cell>
          <cell r="FF96">
            <v>23921</v>
          </cell>
          <cell r="FG96">
            <v>24349</v>
          </cell>
          <cell r="FH96">
            <v>23525</v>
          </cell>
          <cell r="FI96">
            <v>24597</v>
          </cell>
          <cell r="FJ96">
            <v>25395</v>
          </cell>
          <cell r="FK96">
            <v>24537</v>
          </cell>
          <cell r="FL96">
            <v>24137</v>
          </cell>
          <cell r="FM96">
            <v>24615</v>
          </cell>
          <cell r="FN96">
            <v>26390</v>
          </cell>
          <cell r="FO96">
            <v>22987</v>
          </cell>
          <cell r="FP96">
            <v>25123</v>
          </cell>
          <cell r="FQ96">
            <v>25095</v>
          </cell>
          <cell r="FR96">
            <v>26472</v>
          </cell>
          <cell r="FS96">
            <v>24694</v>
          </cell>
          <cell r="FT96">
            <v>25004</v>
          </cell>
          <cell r="FU96">
            <v>24704</v>
          </cell>
          <cell r="FV96">
            <v>25175</v>
          </cell>
          <cell r="FW96">
            <v>25683</v>
          </cell>
          <cell r="FX96">
            <v>25321</v>
          </cell>
          <cell r="FY96">
            <v>25566</v>
          </cell>
          <cell r="FZ96">
            <v>22835</v>
          </cell>
          <cell r="GA96">
            <v>28293</v>
          </cell>
          <cell r="GB96">
            <v>26816</v>
          </cell>
          <cell r="GC96">
            <v>26942</v>
          </cell>
          <cell r="GD96">
            <v>21481</v>
          </cell>
          <cell r="GE96">
            <v>25349</v>
          </cell>
          <cell r="GF96">
            <v>27790</v>
          </cell>
          <cell r="GG96">
            <v>27022</v>
          </cell>
          <cell r="GH96">
            <v>24973</v>
          </cell>
          <cell r="GI96">
            <v>25726</v>
          </cell>
          <cell r="GJ96">
            <v>27642</v>
          </cell>
          <cell r="GK96">
            <v>25464</v>
          </cell>
          <cell r="GL96">
            <v>2324</v>
          </cell>
          <cell r="GM96">
            <v>2353</v>
          </cell>
          <cell r="GN96">
            <v>2566</v>
          </cell>
        </row>
        <row r="97">
          <cell r="B97" t="str">
            <v>TYSABRI</v>
          </cell>
          <cell r="C97" t="str">
            <v>ELA</v>
          </cell>
          <cell r="D97">
            <v>0</v>
          </cell>
          <cell r="E97">
            <v>0</v>
          </cell>
          <cell r="F97">
            <v>0</v>
          </cell>
          <cell r="G97">
            <v>0</v>
          </cell>
          <cell r="H97">
            <v>0</v>
          </cell>
          <cell r="I97">
            <v>0</v>
          </cell>
          <cell r="J97">
            <v>4</v>
          </cell>
          <cell r="K97">
            <v>14</v>
          </cell>
          <cell r="L97">
            <v>36</v>
          </cell>
          <cell r="M97">
            <v>26</v>
          </cell>
          <cell r="N97">
            <v>27</v>
          </cell>
          <cell r="O97">
            <v>29</v>
          </cell>
          <cell r="P97">
            <v>58</v>
          </cell>
          <cell r="Q97">
            <v>55</v>
          </cell>
          <cell r="R97">
            <v>47</v>
          </cell>
          <cell r="S97">
            <v>55</v>
          </cell>
          <cell r="T97">
            <v>85</v>
          </cell>
          <cell r="U97">
            <v>42</v>
          </cell>
          <cell r="V97">
            <v>64</v>
          </cell>
          <cell r="W97">
            <v>117</v>
          </cell>
          <cell r="X97">
            <v>50</v>
          </cell>
          <cell r="Y97">
            <v>41</v>
          </cell>
          <cell r="Z97">
            <v>90</v>
          </cell>
          <cell r="AA97">
            <v>77</v>
          </cell>
          <cell r="AB97">
            <v>43</v>
          </cell>
          <cell r="AC97">
            <v>77</v>
          </cell>
          <cell r="AD97">
            <v>46</v>
          </cell>
          <cell r="AE97">
            <v>95</v>
          </cell>
          <cell r="AF97">
            <v>82</v>
          </cell>
          <cell r="AG97">
            <v>45</v>
          </cell>
          <cell r="AH97">
            <v>71</v>
          </cell>
          <cell r="AI97">
            <v>109</v>
          </cell>
          <cell r="AJ97">
            <v>69</v>
          </cell>
          <cell r="AK97">
            <v>42</v>
          </cell>
          <cell r="AL97">
            <v>85</v>
          </cell>
          <cell r="AM97">
            <v>114</v>
          </cell>
          <cell r="AN97">
            <v>75</v>
          </cell>
          <cell r="AO97">
            <v>77</v>
          </cell>
          <cell r="AP97">
            <v>75</v>
          </cell>
          <cell r="AQ97">
            <v>62</v>
          </cell>
          <cell r="AR97">
            <v>109</v>
          </cell>
          <cell r="AS97">
            <v>76</v>
          </cell>
          <cell r="AT97">
            <v>83</v>
          </cell>
          <cell r="AU97">
            <v>75</v>
          </cell>
          <cell r="AV97">
            <v>93</v>
          </cell>
          <cell r="AW97">
            <v>110</v>
          </cell>
          <cell r="AX97">
            <v>92</v>
          </cell>
          <cell r="AY97">
            <v>97</v>
          </cell>
          <cell r="AZ97">
            <v>94</v>
          </cell>
          <cell r="BA97">
            <v>123</v>
          </cell>
          <cell r="BB97">
            <v>123</v>
          </cell>
          <cell r="BC97">
            <v>115</v>
          </cell>
          <cell r="BD97">
            <v>126</v>
          </cell>
          <cell r="BE97">
            <v>97</v>
          </cell>
          <cell r="BF97">
            <v>121</v>
          </cell>
          <cell r="BG97">
            <v>108</v>
          </cell>
          <cell r="BH97">
            <v>107</v>
          </cell>
          <cell r="BI97">
            <v>93</v>
          </cell>
          <cell r="BJ97">
            <v>131</v>
          </cell>
          <cell r="BK97">
            <v>118</v>
          </cell>
          <cell r="BL97">
            <v>105</v>
          </cell>
          <cell r="BM97">
            <v>144</v>
          </cell>
          <cell r="BN97">
            <v>105</v>
          </cell>
          <cell r="BO97">
            <v>138</v>
          </cell>
          <cell r="BP97">
            <v>125</v>
          </cell>
          <cell r="BQ97">
            <v>121</v>
          </cell>
          <cell r="BR97">
            <v>127</v>
          </cell>
          <cell r="BS97">
            <v>120</v>
          </cell>
          <cell r="BT97">
            <v>166</v>
          </cell>
          <cell r="BU97">
            <v>102</v>
          </cell>
          <cell r="BV97">
            <v>136</v>
          </cell>
          <cell r="BW97">
            <v>146</v>
          </cell>
          <cell r="BX97">
            <v>163</v>
          </cell>
          <cell r="BY97">
            <v>95</v>
          </cell>
          <cell r="BZ97">
            <v>162</v>
          </cell>
          <cell r="CA97">
            <v>149</v>
          </cell>
          <cell r="CB97">
            <v>131</v>
          </cell>
          <cell r="CC97">
            <v>154</v>
          </cell>
          <cell r="CD97">
            <v>131</v>
          </cell>
          <cell r="CE97">
            <v>98</v>
          </cell>
          <cell r="CF97">
            <v>149</v>
          </cell>
          <cell r="CG97">
            <v>129</v>
          </cell>
          <cell r="CH97">
            <v>126</v>
          </cell>
          <cell r="CI97">
            <v>170</v>
          </cell>
          <cell r="CJ97">
            <v>164</v>
          </cell>
          <cell r="CK97">
            <v>116</v>
          </cell>
          <cell r="CL97">
            <v>154</v>
          </cell>
          <cell r="CM97">
            <v>176</v>
          </cell>
          <cell r="CN97">
            <v>148</v>
          </cell>
          <cell r="CO97">
            <v>152</v>
          </cell>
          <cell r="CP97">
            <v>158</v>
          </cell>
          <cell r="CQ97">
            <v>178</v>
          </cell>
          <cell r="CR97">
            <v>164</v>
          </cell>
          <cell r="CS97">
            <v>142</v>
          </cell>
          <cell r="CT97">
            <v>173</v>
          </cell>
          <cell r="CU97">
            <v>183</v>
          </cell>
          <cell r="CV97">
            <v>159</v>
          </cell>
          <cell r="CW97">
            <v>175</v>
          </cell>
          <cell r="CX97">
            <v>194</v>
          </cell>
          <cell r="CY97">
            <v>166</v>
          </cell>
          <cell r="CZ97">
            <v>159</v>
          </cell>
          <cell r="DA97">
            <v>180</v>
          </cell>
          <cell r="DB97">
            <v>177</v>
          </cell>
          <cell r="DC97">
            <v>190</v>
          </cell>
          <cell r="DD97">
            <v>178</v>
          </cell>
          <cell r="DE97">
            <v>206</v>
          </cell>
          <cell r="DF97">
            <v>200</v>
          </cell>
          <cell r="DG97">
            <v>193</v>
          </cell>
          <cell r="DH97">
            <v>185</v>
          </cell>
          <cell r="DI97">
            <v>187</v>
          </cell>
          <cell r="DJ97">
            <v>242</v>
          </cell>
          <cell r="DK97">
            <v>179</v>
          </cell>
          <cell r="DL97">
            <v>222</v>
          </cell>
          <cell r="DM97">
            <v>222</v>
          </cell>
          <cell r="DN97">
            <v>173</v>
          </cell>
          <cell r="DO97">
            <v>217</v>
          </cell>
          <cell r="DP97">
            <v>205</v>
          </cell>
          <cell r="DQ97">
            <v>190</v>
          </cell>
          <cell r="DR97">
            <v>222</v>
          </cell>
          <cell r="DS97">
            <v>211</v>
          </cell>
          <cell r="DT97">
            <v>202</v>
          </cell>
          <cell r="DU97">
            <v>181</v>
          </cell>
          <cell r="DV97">
            <v>217</v>
          </cell>
          <cell r="DW97">
            <v>194</v>
          </cell>
          <cell r="DX97">
            <v>249</v>
          </cell>
          <cell r="DY97">
            <v>198</v>
          </cell>
          <cell r="DZ97">
            <v>150</v>
          </cell>
          <cell r="EA97">
            <v>202</v>
          </cell>
          <cell r="EB97">
            <v>242</v>
          </cell>
          <cell r="EC97">
            <v>189</v>
          </cell>
          <cell r="ED97">
            <v>113</v>
          </cell>
          <cell r="EE97">
            <v>170</v>
          </cell>
          <cell r="EF97">
            <v>203</v>
          </cell>
          <cell r="EG97">
            <v>119</v>
          </cell>
          <cell r="EH97">
            <v>127</v>
          </cell>
          <cell r="EI97">
            <v>142</v>
          </cell>
          <cell r="EJ97">
            <v>192</v>
          </cell>
          <cell r="EK97">
            <v>112</v>
          </cell>
          <cell r="EL97">
            <v>95</v>
          </cell>
          <cell r="EM97">
            <v>146</v>
          </cell>
          <cell r="EN97">
            <v>112</v>
          </cell>
          <cell r="EO97">
            <v>83</v>
          </cell>
          <cell r="EP97">
            <v>121</v>
          </cell>
          <cell r="EQ97">
            <v>100</v>
          </cell>
          <cell r="ER97">
            <v>93</v>
          </cell>
          <cell r="ES97">
            <v>80</v>
          </cell>
          <cell r="ET97">
            <v>105</v>
          </cell>
          <cell r="EU97">
            <v>80</v>
          </cell>
          <cell r="EV97">
            <v>105</v>
          </cell>
          <cell r="EW97">
            <v>77</v>
          </cell>
          <cell r="EX97">
            <v>92</v>
          </cell>
          <cell r="EY97">
            <v>98</v>
          </cell>
          <cell r="EZ97">
            <v>87</v>
          </cell>
          <cell r="FA97">
            <v>75</v>
          </cell>
          <cell r="FB97">
            <v>87</v>
          </cell>
          <cell r="FC97">
            <v>91</v>
          </cell>
          <cell r="FD97">
            <v>101</v>
          </cell>
          <cell r="FE97">
            <v>79</v>
          </cell>
          <cell r="FF97">
            <v>85</v>
          </cell>
          <cell r="FG97">
            <v>89</v>
          </cell>
          <cell r="FH97">
            <v>70</v>
          </cell>
          <cell r="FI97">
            <v>115</v>
          </cell>
          <cell r="FJ97">
            <v>72</v>
          </cell>
          <cell r="FK97">
            <v>89</v>
          </cell>
          <cell r="FL97">
            <v>75</v>
          </cell>
          <cell r="FM97">
            <v>80</v>
          </cell>
          <cell r="FN97">
            <v>117</v>
          </cell>
          <cell r="FO97">
            <v>66</v>
          </cell>
          <cell r="FP97">
            <v>86</v>
          </cell>
          <cell r="FQ97">
            <v>81</v>
          </cell>
          <cell r="FR97">
            <v>124</v>
          </cell>
          <cell r="FS97">
            <v>73</v>
          </cell>
          <cell r="FT97">
            <v>92</v>
          </cell>
          <cell r="FU97">
            <v>78</v>
          </cell>
          <cell r="FV97">
            <v>116</v>
          </cell>
          <cell r="FW97">
            <v>77</v>
          </cell>
          <cell r="FX97">
            <v>85</v>
          </cell>
          <cell r="FY97">
            <v>84</v>
          </cell>
          <cell r="FZ97">
            <v>87</v>
          </cell>
          <cell r="GA97">
            <v>95</v>
          </cell>
          <cell r="GB97">
            <v>114</v>
          </cell>
          <cell r="GC97">
            <v>60</v>
          </cell>
          <cell r="GD97">
            <v>74</v>
          </cell>
          <cell r="GE97">
            <v>114</v>
          </cell>
          <cell r="GF97">
            <v>81</v>
          </cell>
          <cell r="GG97">
            <v>56</v>
          </cell>
          <cell r="GH97">
            <v>72</v>
          </cell>
          <cell r="GI97">
            <v>93</v>
          </cell>
          <cell r="GJ97">
            <v>86</v>
          </cell>
          <cell r="GK97">
            <v>64</v>
          </cell>
          <cell r="GL97">
            <v>25529</v>
          </cell>
          <cell r="GM97">
            <v>26271</v>
          </cell>
          <cell r="GN97">
            <v>28765</v>
          </cell>
        </row>
        <row r="98">
          <cell r="B98" t="str">
            <v>TYZEKA</v>
          </cell>
          <cell r="C98" t="str">
            <v>NVR</v>
          </cell>
          <cell r="D98">
            <v>0</v>
          </cell>
          <cell r="E98">
            <v>0</v>
          </cell>
          <cell r="F98">
            <v>0</v>
          </cell>
          <cell r="G98">
            <v>0</v>
          </cell>
          <cell r="H98">
            <v>0</v>
          </cell>
          <cell r="I98">
            <v>0</v>
          </cell>
          <cell r="J98">
            <v>0</v>
          </cell>
          <cell r="K98">
            <v>0</v>
          </cell>
          <cell r="L98">
            <v>0</v>
          </cell>
          <cell r="M98">
            <v>0</v>
          </cell>
          <cell r="N98">
            <v>0</v>
          </cell>
          <cell r="O98">
            <v>0</v>
          </cell>
          <cell r="P98">
            <v>0</v>
          </cell>
          <cell r="Q98">
            <v>0</v>
          </cell>
          <cell r="R98">
            <v>0</v>
          </cell>
          <cell r="S98">
            <v>0</v>
          </cell>
          <cell r="T98">
            <v>0</v>
          </cell>
          <cell r="U98">
            <v>0</v>
          </cell>
          <cell r="V98">
            <v>0</v>
          </cell>
          <cell r="W98">
            <v>0</v>
          </cell>
          <cell r="X98">
            <v>2</v>
          </cell>
          <cell r="Y98">
            <v>5</v>
          </cell>
          <cell r="Z98">
            <v>15</v>
          </cell>
          <cell r="AA98">
            <v>29</v>
          </cell>
          <cell r="AB98">
            <v>31</v>
          </cell>
          <cell r="AC98">
            <v>32</v>
          </cell>
          <cell r="AD98">
            <v>47</v>
          </cell>
          <cell r="AE98">
            <v>34</v>
          </cell>
          <cell r="AF98">
            <v>51</v>
          </cell>
          <cell r="AG98">
            <v>55</v>
          </cell>
          <cell r="AH98">
            <v>60</v>
          </cell>
          <cell r="AI98">
            <v>68</v>
          </cell>
          <cell r="AJ98">
            <v>81</v>
          </cell>
          <cell r="AK98">
            <v>86</v>
          </cell>
          <cell r="AL98">
            <v>90</v>
          </cell>
          <cell r="AM98">
            <v>110</v>
          </cell>
          <cell r="AN98">
            <v>107</v>
          </cell>
          <cell r="AO98">
            <v>103</v>
          </cell>
          <cell r="AP98">
            <v>88</v>
          </cell>
          <cell r="AQ98">
            <v>148</v>
          </cell>
          <cell r="AR98">
            <v>136</v>
          </cell>
          <cell r="AS98">
            <v>133</v>
          </cell>
          <cell r="AT98">
            <v>150</v>
          </cell>
          <cell r="AU98">
            <v>158</v>
          </cell>
          <cell r="AV98">
            <v>177</v>
          </cell>
          <cell r="AW98">
            <v>187</v>
          </cell>
          <cell r="AX98">
            <v>149</v>
          </cell>
          <cell r="AY98">
            <v>168</v>
          </cell>
          <cell r="AZ98">
            <v>165</v>
          </cell>
          <cell r="BA98">
            <v>191</v>
          </cell>
          <cell r="BB98">
            <v>210</v>
          </cell>
          <cell r="BC98">
            <v>197</v>
          </cell>
          <cell r="BD98">
            <v>223</v>
          </cell>
          <cell r="BE98">
            <v>180</v>
          </cell>
          <cell r="BF98">
            <v>286</v>
          </cell>
          <cell r="BG98">
            <v>225</v>
          </cell>
          <cell r="BH98">
            <v>268</v>
          </cell>
          <cell r="BI98">
            <v>265</v>
          </cell>
          <cell r="BJ98">
            <v>270</v>
          </cell>
          <cell r="BK98">
            <v>254</v>
          </cell>
          <cell r="BL98">
            <v>280</v>
          </cell>
          <cell r="BM98">
            <v>318</v>
          </cell>
          <cell r="BN98">
            <v>242</v>
          </cell>
          <cell r="BO98">
            <v>277</v>
          </cell>
          <cell r="BP98">
            <v>252</v>
          </cell>
          <cell r="BQ98">
            <v>299</v>
          </cell>
          <cell r="BR98">
            <v>314</v>
          </cell>
          <cell r="BS98">
            <v>304</v>
          </cell>
          <cell r="BT98">
            <v>245</v>
          </cell>
          <cell r="BU98">
            <v>356</v>
          </cell>
          <cell r="BV98">
            <v>315</v>
          </cell>
          <cell r="BW98">
            <v>249</v>
          </cell>
          <cell r="BX98">
            <v>349</v>
          </cell>
          <cell r="BY98">
            <v>269</v>
          </cell>
          <cell r="BZ98">
            <v>346</v>
          </cell>
          <cell r="CA98">
            <v>341</v>
          </cell>
          <cell r="CB98">
            <v>387</v>
          </cell>
          <cell r="CC98">
            <v>290</v>
          </cell>
          <cell r="CD98">
            <v>281</v>
          </cell>
          <cell r="CE98">
            <v>354</v>
          </cell>
          <cell r="CF98">
            <v>314</v>
          </cell>
          <cell r="CG98">
            <v>323</v>
          </cell>
          <cell r="CH98">
            <v>292</v>
          </cell>
          <cell r="CI98">
            <v>320</v>
          </cell>
          <cell r="CJ98">
            <v>296</v>
          </cell>
          <cell r="CK98">
            <v>341</v>
          </cell>
          <cell r="CL98">
            <v>319</v>
          </cell>
          <cell r="CM98">
            <v>390</v>
          </cell>
          <cell r="CN98">
            <v>356</v>
          </cell>
          <cell r="CO98">
            <v>397</v>
          </cell>
          <cell r="CP98">
            <v>330</v>
          </cell>
          <cell r="CQ98">
            <v>428</v>
          </cell>
          <cell r="CR98">
            <v>401</v>
          </cell>
          <cell r="CS98">
            <v>368</v>
          </cell>
          <cell r="CT98">
            <v>359</v>
          </cell>
          <cell r="CU98">
            <v>391</v>
          </cell>
          <cell r="CV98">
            <v>450</v>
          </cell>
          <cell r="CW98">
            <v>370</v>
          </cell>
          <cell r="CX98">
            <v>387</v>
          </cell>
          <cell r="CY98">
            <v>396</v>
          </cell>
          <cell r="CZ98">
            <v>383</v>
          </cell>
          <cell r="DA98">
            <v>372</v>
          </cell>
          <cell r="DB98">
            <v>409</v>
          </cell>
          <cell r="DC98">
            <v>443</v>
          </cell>
          <cell r="DD98">
            <v>434</v>
          </cell>
          <cell r="DE98">
            <v>338</v>
          </cell>
          <cell r="DF98">
            <v>373</v>
          </cell>
          <cell r="DG98">
            <v>451</v>
          </cell>
          <cell r="DH98">
            <v>392</v>
          </cell>
          <cell r="DI98">
            <v>400</v>
          </cell>
          <cell r="DJ98">
            <v>460</v>
          </cell>
          <cell r="DK98">
            <v>466</v>
          </cell>
          <cell r="DL98">
            <v>387</v>
          </cell>
          <cell r="DM98">
            <v>413</v>
          </cell>
          <cell r="DN98">
            <v>371</v>
          </cell>
          <cell r="DO98">
            <v>473</v>
          </cell>
          <cell r="DP98">
            <v>423</v>
          </cell>
          <cell r="DQ98">
            <v>389</v>
          </cell>
          <cell r="DR98">
            <v>417</v>
          </cell>
          <cell r="DS98">
            <v>369</v>
          </cell>
          <cell r="DT98">
            <v>395</v>
          </cell>
          <cell r="DU98">
            <v>399</v>
          </cell>
          <cell r="DV98">
            <v>331</v>
          </cell>
          <cell r="DW98">
            <v>431</v>
          </cell>
          <cell r="DX98">
            <v>340</v>
          </cell>
          <cell r="DY98">
            <v>417</v>
          </cell>
          <cell r="DZ98">
            <v>288</v>
          </cell>
          <cell r="EA98">
            <v>326</v>
          </cell>
          <cell r="EB98">
            <v>374</v>
          </cell>
          <cell r="EC98">
            <v>338</v>
          </cell>
          <cell r="ED98">
            <v>291</v>
          </cell>
          <cell r="EE98">
            <v>285</v>
          </cell>
          <cell r="EF98">
            <v>288</v>
          </cell>
          <cell r="EG98">
            <v>322</v>
          </cell>
          <cell r="EH98">
            <v>265</v>
          </cell>
          <cell r="EI98">
            <v>314</v>
          </cell>
          <cell r="EJ98">
            <v>287</v>
          </cell>
          <cell r="EK98">
            <v>268</v>
          </cell>
          <cell r="EL98">
            <v>258</v>
          </cell>
          <cell r="EM98">
            <v>270</v>
          </cell>
          <cell r="EN98">
            <v>277</v>
          </cell>
          <cell r="EO98">
            <v>273</v>
          </cell>
          <cell r="EP98">
            <v>252</v>
          </cell>
          <cell r="EQ98">
            <v>256</v>
          </cell>
          <cell r="ER98">
            <v>240</v>
          </cell>
          <cell r="ES98">
            <v>264</v>
          </cell>
          <cell r="ET98">
            <v>250</v>
          </cell>
          <cell r="EU98">
            <v>236</v>
          </cell>
          <cell r="EV98">
            <v>238</v>
          </cell>
          <cell r="EW98">
            <v>243</v>
          </cell>
          <cell r="EX98">
            <v>224</v>
          </cell>
          <cell r="EY98">
            <v>192</v>
          </cell>
          <cell r="EZ98">
            <v>184</v>
          </cell>
          <cell r="FA98">
            <v>221</v>
          </cell>
          <cell r="FB98">
            <v>210</v>
          </cell>
          <cell r="FC98">
            <v>237</v>
          </cell>
          <cell r="FD98">
            <v>207</v>
          </cell>
          <cell r="FE98">
            <v>220</v>
          </cell>
          <cell r="FF98">
            <v>215</v>
          </cell>
          <cell r="FG98">
            <v>217</v>
          </cell>
          <cell r="FH98">
            <v>168</v>
          </cell>
          <cell r="FI98">
            <v>192</v>
          </cell>
          <cell r="FJ98">
            <v>197</v>
          </cell>
          <cell r="FK98">
            <v>188</v>
          </cell>
          <cell r="FL98">
            <v>191</v>
          </cell>
          <cell r="FM98">
            <v>173</v>
          </cell>
          <cell r="FN98">
            <v>202</v>
          </cell>
          <cell r="FO98">
            <v>248</v>
          </cell>
          <cell r="FP98">
            <v>192</v>
          </cell>
          <cell r="FQ98">
            <v>280</v>
          </cell>
          <cell r="FR98">
            <v>221</v>
          </cell>
          <cell r="FS98">
            <v>235</v>
          </cell>
          <cell r="FT98">
            <v>211</v>
          </cell>
          <cell r="FU98">
            <v>211</v>
          </cell>
          <cell r="FV98">
            <v>221</v>
          </cell>
          <cell r="FW98">
            <v>259</v>
          </cell>
          <cell r="FX98">
            <v>220</v>
          </cell>
          <cell r="FY98">
            <v>245</v>
          </cell>
          <cell r="FZ98">
            <v>190</v>
          </cell>
          <cell r="GA98">
            <v>268</v>
          </cell>
          <cell r="GB98">
            <v>239</v>
          </cell>
          <cell r="GC98">
            <v>264</v>
          </cell>
          <cell r="GD98">
            <v>166</v>
          </cell>
          <cell r="GE98">
            <v>176</v>
          </cell>
          <cell r="GF98">
            <v>201</v>
          </cell>
          <cell r="GG98">
            <v>225</v>
          </cell>
          <cell r="GH98">
            <v>191</v>
          </cell>
          <cell r="GI98">
            <v>191</v>
          </cell>
          <cell r="GJ98">
            <v>227</v>
          </cell>
          <cell r="GK98">
            <v>190</v>
          </cell>
          <cell r="GL98">
            <v>87</v>
          </cell>
          <cell r="GM98">
            <v>88</v>
          </cell>
          <cell r="GN98">
            <v>85</v>
          </cell>
        </row>
        <row r="99">
          <cell r="B99" t="str">
            <v>VELCADE</v>
          </cell>
          <cell r="C99" t="str">
            <v>MNN</v>
          </cell>
          <cell r="D99">
            <v>4</v>
          </cell>
          <cell r="E99">
            <v>9</v>
          </cell>
          <cell r="F99">
            <v>15</v>
          </cell>
          <cell r="G99">
            <v>17</v>
          </cell>
          <cell r="H99">
            <v>18</v>
          </cell>
          <cell r="I99">
            <v>15</v>
          </cell>
          <cell r="J99">
            <v>15</v>
          </cell>
          <cell r="K99">
            <v>8</v>
          </cell>
          <cell r="L99">
            <v>14</v>
          </cell>
          <cell r="M99">
            <v>14</v>
          </cell>
          <cell r="N99">
            <v>19</v>
          </cell>
          <cell r="O99">
            <v>26</v>
          </cell>
          <cell r="P99">
            <v>15</v>
          </cell>
          <cell r="Q99">
            <v>9</v>
          </cell>
          <cell r="R99">
            <v>21</v>
          </cell>
          <cell r="S99">
            <v>22</v>
          </cell>
          <cell r="T99">
            <v>19</v>
          </cell>
          <cell r="U99">
            <v>9</v>
          </cell>
          <cell r="V99">
            <v>21</v>
          </cell>
          <cell r="W99">
            <v>10</v>
          </cell>
          <cell r="X99">
            <v>14</v>
          </cell>
          <cell r="Y99">
            <v>11</v>
          </cell>
          <cell r="Z99">
            <v>7</v>
          </cell>
          <cell r="AA99">
            <v>22</v>
          </cell>
          <cell r="AB99">
            <v>14</v>
          </cell>
          <cell r="AC99">
            <v>18</v>
          </cell>
          <cell r="AD99">
            <v>7</v>
          </cell>
          <cell r="AE99">
            <v>10</v>
          </cell>
          <cell r="AF99">
            <v>19</v>
          </cell>
          <cell r="AG99">
            <v>17</v>
          </cell>
          <cell r="AH99">
            <v>29</v>
          </cell>
          <cell r="AI99">
            <v>18</v>
          </cell>
          <cell r="AJ99">
            <v>18</v>
          </cell>
          <cell r="AK99">
            <v>12</v>
          </cell>
          <cell r="AL99">
            <v>15</v>
          </cell>
          <cell r="AM99">
            <v>18</v>
          </cell>
          <cell r="AN99">
            <v>15</v>
          </cell>
          <cell r="AO99">
            <v>15</v>
          </cell>
          <cell r="AP99">
            <v>17</v>
          </cell>
          <cell r="AQ99">
            <v>10</v>
          </cell>
          <cell r="AR99">
            <v>12</v>
          </cell>
          <cell r="AS99">
            <v>26</v>
          </cell>
          <cell r="AT99">
            <v>16</v>
          </cell>
          <cell r="AU99">
            <v>14</v>
          </cell>
          <cell r="AV99">
            <v>27</v>
          </cell>
          <cell r="AW99">
            <v>12</v>
          </cell>
          <cell r="AX99">
            <v>15</v>
          </cell>
          <cell r="AY99">
            <v>18</v>
          </cell>
          <cell r="AZ99">
            <v>9</v>
          </cell>
          <cell r="BA99">
            <v>19</v>
          </cell>
          <cell r="BB99">
            <v>12</v>
          </cell>
          <cell r="BC99">
            <v>15</v>
          </cell>
          <cell r="BD99">
            <v>11</v>
          </cell>
          <cell r="BE99">
            <v>8</v>
          </cell>
          <cell r="BF99">
            <v>7</v>
          </cell>
          <cell r="BG99">
            <v>14</v>
          </cell>
          <cell r="BH99">
            <v>11</v>
          </cell>
          <cell r="BI99">
            <v>13</v>
          </cell>
          <cell r="BJ99">
            <v>12</v>
          </cell>
          <cell r="BK99">
            <v>9</v>
          </cell>
          <cell r="BL99">
            <v>19</v>
          </cell>
          <cell r="BM99">
            <v>14</v>
          </cell>
          <cell r="BN99">
            <v>11</v>
          </cell>
          <cell r="BO99">
            <v>13</v>
          </cell>
          <cell r="BP99">
            <v>11</v>
          </cell>
          <cell r="BQ99">
            <v>21</v>
          </cell>
          <cell r="BR99">
            <v>16</v>
          </cell>
          <cell r="BS99">
            <v>14</v>
          </cell>
          <cell r="BT99">
            <v>14</v>
          </cell>
          <cell r="BU99">
            <v>21</v>
          </cell>
          <cell r="BV99">
            <v>13</v>
          </cell>
          <cell r="BW99">
            <v>18</v>
          </cell>
          <cell r="BX99">
            <v>16</v>
          </cell>
          <cell r="BY99">
            <v>14</v>
          </cell>
          <cell r="BZ99">
            <v>16</v>
          </cell>
          <cell r="CA99">
            <v>18</v>
          </cell>
          <cell r="CB99">
            <v>16</v>
          </cell>
          <cell r="CC99">
            <v>8</v>
          </cell>
          <cell r="CD99">
            <v>12</v>
          </cell>
          <cell r="CE99">
            <v>10</v>
          </cell>
          <cell r="CF99">
            <v>25</v>
          </cell>
          <cell r="CG99">
            <v>24</v>
          </cell>
          <cell r="CH99">
            <v>14</v>
          </cell>
          <cell r="CI99">
            <v>18</v>
          </cell>
          <cell r="CJ99">
            <v>16</v>
          </cell>
          <cell r="CK99">
            <v>24</v>
          </cell>
          <cell r="CL99">
            <v>36</v>
          </cell>
          <cell r="CM99">
            <v>31</v>
          </cell>
          <cell r="CN99">
            <v>22</v>
          </cell>
          <cell r="CO99">
            <v>20</v>
          </cell>
          <cell r="CP99">
            <v>20</v>
          </cell>
          <cell r="CQ99">
            <v>20</v>
          </cell>
          <cell r="CR99">
            <v>29</v>
          </cell>
          <cell r="CS99">
            <v>25</v>
          </cell>
          <cell r="CT99">
            <v>29</v>
          </cell>
          <cell r="CU99">
            <v>25</v>
          </cell>
          <cell r="CV99">
            <v>30</v>
          </cell>
          <cell r="CW99">
            <v>20</v>
          </cell>
          <cell r="CX99">
            <v>18</v>
          </cell>
          <cell r="CY99">
            <v>21</v>
          </cell>
          <cell r="CZ99">
            <v>29</v>
          </cell>
          <cell r="DA99">
            <v>26</v>
          </cell>
          <cell r="DB99">
            <v>32</v>
          </cell>
          <cell r="DC99">
            <v>29</v>
          </cell>
          <cell r="DD99">
            <v>43</v>
          </cell>
          <cell r="DE99">
            <v>21</v>
          </cell>
          <cell r="DF99">
            <v>28</v>
          </cell>
          <cell r="DG99">
            <v>34</v>
          </cell>
          <cell r="DH99">
            <v>26</v>
          </cell>
          <cell r="DI99">
            <v>28</v>
          </cell>
          <cell r="DJ99">
            <v>34</v>
          </cell>
          <cell r="DK99">
            <v>31</v>
          </cell>
          <cell r="DL99">
            <v>24</v>
          </cell>
          <cell r="DM99">
            <v>33</v>
          </cell>
          <cell r="DN99">
            <v>22</v>
          </cell>
          <cell r="DO99">
            <v>49</v>
          </cell>
          <cell r="DP99">
            <v>33</v>
          </cell>
          <cell r="DQ99">
            <v>22</v>
          </cell>
          <cell r="DR99">
            <v>22</v>
          </cell>
          <cell r="DS99">
            <v>26</v>
          </cell>
          <cell r="DT99">
            <v>25</v>
          </cell>
          <cell r="DU99">
            <v>27</v>
          </cell>
          <cell r="DV99">
            <v>26</v>
          </cell>
          <cell r="DW99">
            <v>45</v>
          </cell>
          <cell r="DX99">
            <v>27</v>
          </cell>
          <cell r="DY99">
            <v>30</v>
          </cell>
          <cell r="DZ99">
            <v>23</v>
          </cell>
          <cell r="EA99">
            <v>32</v>
          </cell>
          <cell r="EB99">
            <v>38</v>
          </cell>
          <cell r="EC99">
            <v>20</v>
          </cell>
          <cell r="ED99">
            <v>21</v>
          </cell>
          <cell r="EE99">
            <v>24</v>
          </cell>
          <cell r="EF99">
            <v>32</v>
          </cell>
          <cell r="EG99">
            <v>20</v>
          </cell>
          <cell r="EH99">
            <v>20</v>
          </cell>
          <cell r="EI99">
            <v>19</v>
          </cell>
          <cell r="EJ99">
            <v>26</v>
          </cell>
          <cell r="EK99">
            <v>37</v>
          </cell>
          <cell r="EL99">
            <v>20</v>
          </cell>
          <cell r="EM99">
            <v>31</v>
          </cell>
          <cell r="EN99">
            <v>27</v>
          </cell>
          <cell r="EO99">
            <v>30</v>
          </cell>
          <cell r="EP99">
            <v>26</v>
          </cell>
          <cell r="EQ99">
            <v>21</v>
          </cell>
          <cell r="ER99">
            <v>20</v>
          </cell>
          <cell r="ES99">
            <v>24</v>
          </cell>
          <cell r="ET99">
            <v>23</v>
          </cell>
          <cell r="EU99">
            <v>26</v>
          </cell>
          <cell r="EV99">
            <v>32</v>
          </cell>
          <cell r="EW99">
            <v>24</v>
          </cell>
          <cell r="EX99">
            <v>25</v>
          </cell>
          <cell r="EY99">
            <v>15</v>
          </cell>
          <cell r="EZ99">
            <v>25</v>
          </cell>
          <cell r="FA99">
            <v>29</v>
          </cell>
          <cell r="FB99">
            <v>16</v>
          </cell>
          <cell r="FC99">
            <v>28</v>
          </cell>
          <cell r="FD99">
            <v>38</v>
          </cell>
          <cell r="FE99">
            <v>15</v>
          </cell>
          <cell r="FF99">
            <v>23</v>
          </cell>
          <cell r="FG99">
            <v>19</v>
          </cell>
          <cell r="FH99">
            <v>24</v>
          </cell>
          <cell r="FI99">
            <v>26</v>
          </cell>
          <cell r="FJ99">
            <v>19</v>
          </cell>
          <cell r="FK99">
            <v>29</v>
          </cell>
          <cell r="FL99">
            <v>59</v>
          </cell>
          <cell r="FM99">
            <v>19</v>
          </cell>
          <cell r="FN99">
            <v>29</v>
          </cell>
          <cell r="FO99">
            <v>18</v>
          </cell>
          <cell r="FP99">
            <v>19</v>
          </cell>
          <cell r="FQ99">
            <v>24</v>
          </cell>
          <cell r="FR99">
            <v>28</v>
          </cell>
          <cell r="FS99">
            <v>19</v>
          </cell>
          <cell r="FT99">
            <v>26</v>
          </cell>
          <cell r="FU99">
            <v>28</v>
          </cell>
          <cell r="FV99">
            <v>15</v>
          </cell>
          <cell r="FW99">
            <v>28</v>
          </cell>
          <cell r="FX99">
            <v>28</v>
          </cell>
          <cell r="FY99">
            <v>27</v>
          </cell>
          <cell r="FZ99">
            <v>19</v>
          </cell>
          <cell r="GA99">
            <v>25</v>
          </cell>
          <cell r="GB99">
            <v>25</v>
          </cell>
          <cell r="GC99">
            <v>30</v>
          </cell>
          <cell r="GD99">
            <v>22</v>
          </cell>
          <cell r="GE99">
            <v>24</v>
          </cell>
          <cell r="GF99">
            <v>41</v>
          </cell>
          <cell r="GG99">
            <v>31</v>
          </cell>
          <cell r="GH99">
            <v>24</v>
          </cell>
          <cell r="GI99">
            <v>26</v>
          </cell>
          <cell r="GJ99">
            <v>31</v>
          </cell>
          <cell r="GK99">
            <v>25</v>
          </cell>
          <cell r="GL99">
            <v>183</v>
          </cell>
          <cell r="GM99">
            <v>196</v>
          </cell>
          <cell r="GN99">
            <v>217</v>
          </cell>
        </row>
        <row r="100">
          <cell r="B100" t="str">
            <v>XOLAIR</v>
          </cell>
          <cell r="C100" t="str">
            <v>GTC</v>
          </cell>
          <cell r="D100">
            <v>1216</v>
          </cell>
          <cell r="E100">
            <v>761</v>
          </cell>
          <cell r="F100">
            <v>1229</v>
          </cell>
          <cell r="G100">
            <v>1049</v>
          </cell>
          <cell r="H100">
            <v>1097</v>
          </cell>
          <cell r="I100">
            <v>1104</v>
          </cell>
          <cell r="J100">
            <v>1471</v>
          </cell>
          <cell r="K100">
            <v>1619</v>
          </cell>
          <cell r="L100">
            <v>1409</v>
          </cell>
          <cell r="M100">
            <v>1338</v>
          </cell>
          <cell r="N100">
            <v>1392</v>
          </cell>
          <cell r="O100">
            <v>1664</v>
          </cell>
          <cell r="P100">
            <v>1636</v>
          </cell>
          <cell r="Q100">
            <v>1461</v>
          </cell>
          <cell r="R100">
            <v>1637</v>
          </cell>
          <cell r="S100">
            <v>1523</v>
          </cell>
          <cell r="T100">
            <v>1477</v>
          </cell>
          <cell r="U100">
            <v>1532</v>
          </cell>
          <cell r="V100">
            <v>1569</v>
          </cell>
          <cell r="W100">
            <v>1472</v>
          </cell>
          <cell r="X100">
            <v>1743</v>
          </cell>
          <cell r="Y100">
            <v>1067</v>
          </cell>
          <cell r="Z100">
            <v>1814</v>
          </cell>
          <cell r="AA100">
            <v>1707</v>
          </cell>
          <cell r="AB100">
            <v>1777</v>
          </cell>
          <cell r="AC100">
            <v>1494</v>
          </cell>
          <cell r="AD100">
            <v>1108</v>
          </cell>
          <cell r="AE100">
            <v>1066</v>
          </cell>
          <cell r="AF100">
            <v>1388</v>
          </cell>
          <cell r="AG100">
            <v>1422</v>
          </cell>
          <cell r="AH100">
            <v>1477</v>
          </cell>
          <cell r="AI100">
            <v>1599</v>
          </cell>
          <cell r="AJ100">
            <v>1640</v>
          </cell>
          <cell r="AK100">
            <v>1683</v>
          </cell>
          <cell r="AL100">
            <v>1588</v>
          </cell>
          <cell r="AM100">
            <v>1723</v>
          </cell>
          <cell r="AN100">
            <v>1338</v>
          </cell>
          <cell r="AO100">
            <v>1359</v>
          </cell>
          <cell r="AP100">
            <v>1544</v>
          </cell>
          <cell r="AQ100">
            <v>1600</v>
          </cell>
          <cell r="AR100">
            <v>1435</v>
          </cell>
          <cell r="AS100">
            <v>1476</v>
          </cell>
          <cell r="AT100">
            <v>1446</v>
          </cell>
          <cell r="AU100">
            <v>1517</v>
          </cell>
          <cell r="AV100">
            <v>1398</v>
          </cell>
          <cell r="AW100">
            <v>1299</v>
          </cell>
          <cell r="AX100">
            <v>1353</v>
          </cell>
          <cell r="AY100">
            <v>1734</v>
          </cell>
          <cell r="AZ100">
            <v>1343</v>
          </cell>
          <cell r="BA100">
            <v>1771</v>
          </cell>
          <cell r="BB100">
            <v>1704</v>
          </cell>
          <cell r="BC100">
            <v>1679</v>
          </cell>
          <cell r="BD100">
            <v>1752</v>
          </cell>
          <cell r="BE100">
            <v>1151</v>
          </cell>
          <cell r="BF100">
            <v>1844</v>
          </cell>
          <cell r="BG100">
            <v>1734</v>
          </cell>
          <cell r="BH100">
            <v>1732</v>
          </cell>
          <cell r="BI100">
            <v>1578</v>
          </cell>
          <cell r="BJ100">
            <v>1693</v>
          </cell>
          <cell r="BK100">
            <v>1761</v>
          </cell>
          <cell r="BL100">
            <v>1663</v>
          </cell>
          <cell r="BM100">
            <v>1866</v>
          </cell>
          <cell r="BN100">
            <v>1289</v>
          </cell>
          <cell r="BO100">
            <v>1737</v>
          </cell>
          <cell r="BP100">
            <v>1819</v>
          </cell>
          <cell r="BQ100">
            <v>1855</v>
          </cell>
          <cell r="BR100">
            <v>1582</v>
          </cell>
          <cell r="BS100">
            <v>1620</v>
          </cell>
          <cell r="BT100">
            <v>1756</v>
          </cell>
          <cell r="BU100">
            <v>1681</v>
          </cell>
          <cell r="BV100">
            <v>1665</v>
          </cell>
          <cell r="BW100">
            <v>1695</v>
          </cell>
          <cell r="BX100">
            <v>1854</v>
          </cell>
          <cell r="BY100">
            <v>1191</v>
          </cell>
          <cell r="BZ100">
            <v>2108</v>
          </cell>
          <cell r="CA100">
            <v>1669</v>
          </cell>
          <cell r="CB100">
            <v>1759</v>
          </cell>
          <cell r="CC100">
            <v>1852</v>
          </cell>
          <cell r="CD100">
            <v>1245</v>
          </cell>
          <cell r="CE100">
            <v>1006</v>
          </cell>
          <cell r="CF100">
            <v>1732</v>
          </cell>
          <cell r="CG100">
            <v>1578</v>
          </cell>
          <cell r="CH100">
            <v>1418</v>
          </cell>
          <cell r="CI100">
            <v>1536</v>
          </cell>
          <cell r="CJ100">
            <v>1682</v>
          </cell>
          <cell r="CK100">
            <v>1585</v>
          </cell>
          <cell r="CL100">
            <v>1454</v>
          </cell>
          <cell r="CM100">
            <v>1563</v>
          </cell>
          <cell r="CN100">
            <v>1675</v>
          </cell>
          <cell r="CO100">
            <v>1658</v>
          </cell>
          <cell r="CP100">
            <v>1525</v>
          </cell>
          <cell r="CQ100">
            <v>626</v>
          </cell>
          <cell r="CR100">
            <v>582</v>
          </cell>
          <cell r="CS100">
            <v>558</v>
          </cell>
          <cell r="CT100">
            <v>1406</v>
          </cell>
          <cell r="CU100">
            <v>1515</v>
          </cell>
          <cell r="CV100">
            <v>1444</v>
          </cell>
          <cell r="CW100">
            <v>1387</v>
          </cell>
          <cell r="CX100">
            <v>1515</v>
          </cell>
          <cell r="CY100">
            <v>1627</v>
          </cell>
          <cell r="CZ100">
            <v>1407</v>
          </cell>
          <cell r="DA100">
            <v>1773</v>
          </cell>
          <cell r="DB100">
            <v>1771</v>
          </cell>
          <cell r="DC100">
            <v>1773</v>
          </cell>
          <cell r="DD100">
            <v>1717</v>
          </cell>
          <cell r="DE100">
            <v>1379</v>
          </cell>
          <cell r="DF100">
            <v>1810</v>
          </cell>
          <cell r="DG100">
            <v>1838</v>
          </cell>
          <cell r="DH100">
            <v>1652</v>
          </cell>
          <cell r="DI100">
            <v>1577</v>
          </cell>
          <cell r="DJ100">
            <v>1784</v>
          </cell>
          <cell r="DK100">
            <v>1668</v>
          </cell>
          <cell r="DL100">
            <v>1626</v>
          </cell>
          <cell r="DM100">
            <v>1933</v>
          </cell>
          <cell r="DN100">
            <v>1351</v>
          </cell>
          <cell r="DO100">
            <v>1835</v>
          </cell>
          <cell r="DP100">
            <v>1702</v>
          </cell>
          <cell r="DQ100">
            <v>1628</v>
          </cell>
          <cell r="DR100">
            <v>1675</v>
          </cell>
          <cell r="DS100">
            <v>1583</v>
          </cell>
          <cell r="DT100">
            <v>1818</v>
          </cell>
          <cell r="DU100">
            <v>1381</v>
          </cell>
          <cell r="DV100">
            <v>1742</v>
          </cell>
          <cell r="DW100">
            <v>1471</v>
          </cell>
          <cell r="DX100">
            <v>1649</v>
          </cell>
          <cell r="DY100">
            <v>1742</v>
          </cell>
          <cell r="DZ100">
            <v>1035</v>
          </cell>
          <cell r="EA100">
            <v>1841</v>
          </cell>
          <cell r="EB100">
            <v>1692</v>
          </cell>
          <cell r="EC100">
            <v>1755</v>
          </cell>
          <cell r="ED100">
            <v>840</v>
          </cell>
          <cell r="EE100">
            <v>1083</v>
          </cell>
          <cell r="EF100">
            <v>1427</v>
          </cell>
          <cell r="EG100">
            <v>1255</v>
          </cell>
          <cell r="EH100">
            <v>1093</v>
          </cell>
          <cell r="EI100">
            <v>1159</v>
          </cell>
          <cell r="EJ100">
            <v>1201</v>
          </cell>
          <cell r="EK100">
            <v>1248</v>
          </cell>
          <cell r="EL100">
            <v>1252</v>
          </cell>
          <cell r="EM100">
            <v>1441</v>
          </cell>
          <cell r="EN100">
            <v>1414</v>
          </cell>
          <cell r="EO100">
            <v>1301</v>
          </cell>
          <cell r="EP100">
            <v>1274</v>
          </cell>
          <cell r="EQ100">
            <v>1299</v>
          </cell>
          <cell r="ER100">
            <v>1316</v>
          </cell>
          <cell r="ES100">
            <v>1205</v>
          </cell>
          <cell r="ET100">
            <v>1317</v>
          </cell>
          <cell r="EU100">
            <v>1352</v>
          </cell>
          <cell r="EV100">
            <v>1380</v>
          </cell>
          <cell r="EW100">
            <v>1295</v>
          </cell>
          <cell r="EX100">
            <v>1293</v>
          </cell>
          <cell r="EY100">
            <v>1398</v>
          </cell>
          <cell r="EZ100">
            <v>1067</v>
          </cell>
          <cell r="FA100">
            <v>1332</v>
          </cell>
          <cell r="FB100">
            <v>1339</v>
          </cell>
          <cell r="FC100">
            <v>1266</v>
          </cell>
          <cell r="FD100">
            <v>1344</v>
          </cell>
          <cell r="FE100">
            <v>1155</v>
          </cell>
          <cell r="FF100">
            <v>1276</v>
          </cell>
          <cell r="FG100">
            <v>1275</v>
          </cell>
          <cell r="FH100">
            <v>1308</v>
          </cell>
          <cell r="FI100">
            <v>1414</v>
          </cell>
          <cell r="FJ100">
            <v>1096</v>
          </cell>
          <cell r="FK100">
            <v>1181</v>
          </cell>
          <cell r="FL100">
            <v>1224</v>
          </cell>
          <cell r="FM100">
            <v>1233</v>
          </cell>
          <cell r="FN100">
            <v>1076</v>
          </cell>
          <cell r="FO100">
            <v>811</v>
          </cell>
          <cell r="FP100">
            <v>1154</v>
          </cell>
          <cell r="FQ100">
            <v>1239</v>
          </cell>
          <cell r="FR100">
            <v>1175</v>
          </cell>
          <cell r="FS100">
            <v>1046</v>
          </cell>
          <cell r="FT100">
            <v>1066</v>
          </cell>
          <cell r="FU100">
            <v>1099</v>
          </cell>
          <cell r="FV100">
            <v>1230</v>
          </cell>
          <cell r="FW100">
            <v>1036</v>
          </cell>
          <cell r="FX100">
            <v>1160</v>
          </cell>
          <cell r="FY100">
            <v>1179</v>
          </cell>
          <cell r="FZ100">
            <v>750</v>
          </cell>
          <cell r="GA100">
            <v>1187</v>
          </cell>
          <cell r="GB100">
            <v>1161</v>
          </cell>
          <cell r="GC100">
            <v>1204</v>
          </cell>
          <cell r="GD100">
            <v>773</v>
          </cell>
          <cell r="GE100">
            <v>909</v>
          </cell>
          <cell r="GF100">
            <v>1480</v>
          </cell>
          <cell r="GG100">
            <v>1525</v>
          </cell>
          <cell r="GH100">
            <v>1376</v>
          </cell>
          <cell r="GI100">
            <v>1628</v>
          </cell>
          <cell r="GJ100">
            <v>1382</v>
          </cell>
          <cell r="GK100">
            <v>1422</v>
          </cell>
          <cell r="GL100">
            <v>29</v>
          </cell>
          <cell r="GM100">
            <v>27</v>
          </cell>
          <cell r="GN100">
            <v>32</v>
          </cell>
        </row>
        <row r="101">
          <cell r="B101" t="str">
            <v>VIDAZA</v>
          </cell>
          <cell r="C101" t="str">
            <v>PM6</v>
          </cell>
          <cell r="D101">
            <v>12</v>
          </cell>
          <cell r="E101">
            <v>6</v>
          </cell>
          <cell r="F101">
            <v>9</v>
          </cell>
          <cell r="G101">
            <v>5</v>
          </cell>
          <cell r="H101">
            <v>14</v>
          </cell>
          <cell r="I101">
            <v>5</v>
          </cell>
          <cell r="J101">
            <v>13</v>
          </cell>
          <cell r="K101">
            <v>7</v>
          </cell>
          <cell r="L101">
            <v>9</v>
          </cell>
          <cell r="M101">
            <v>9</v>
          </cell>
          <cell r="N101">
            <v>14</v>
          </cell>
          <cell r="O101">
            <v>3</v>
          </cell>
          <cell r="P101">
            <v>4</v>
          </cell>
          <cell r="Q101">
            <v>10</v>
          </cell>
          <cell r="R101">
            <v>8</v>
          </cell>
          <cell r="S101">
            <v>8</v>
          </cell>
          <cell r="T101">
            <v>6</v>
          </cell>
          <cell r="U101">
            <v>6</v>
          </cell>
          <cell r="V101">
            <v>8</v>
          </cell>
          <cell r="W101">
            <v>16</v>
          </cell>
          <cell r="X101">
            <v>6</v>
          </cell>
          <cell r="Y101">
            <v>6</v>
          </cell>
          <cell r="Z101">
            <v>5</v>
          </cell>
          <cell r="AA101">
            <v>10</v>
          </cell>
          <cell r="AB101">
            <v>8</v>
          </cell>
          <cell r="AC101">
            <v>9</v>
          </cell>
          <cell r="AD101">
            <v>4</v>
          </cell>
          <cell r="AE101">
            <v>11</v>
          </cell>
          <cell r="AF101">
            <v>3</v>
          </cell>
          <cell r="AG101">
            <v>7</v>
          </cell>
          <cell r="AH101">
            <v>15</v>
          </cell>
          <cell r="AI101">
            <v>8</v>
          </cell>
          <cell r="AJ101">
            <v>6</v>
          </cell>
          <cell r="AK101">
            <v>9</v>
          </cell>
          <cell r="AL101">
            <v>9</v>
          </cell>
          <cell r="AM101">
            <v>9</v>
          </cell>
          <cell r="AN101">
            <v>9</v>
          </cell>
          <cell r="AO101">
            <v>4</v>
          </cell>
          <cell r="AP101">
            <v>5</v>
          </cell>
          <cell r="AQ101">
            <v>7</v>
          </cell>
          <cell r="AR101">
            <v>11</v>
          </cell>
          <cell r="AS101">
            <v>3</v>
          </cell>
          <cell r="AT101">
            <v>8</v>
          </cell>
          <cell r="AU101">
            <v>10</v>
          </cell>
          <cell r="AV101">
            <v>4</v>
          </cell>
          <cell r="AW101">
            <v>13</v>
          </cell>
          <cell r="AX101">
            <v>6</v>
          </cell>
          <cell r="AY101">
            <v>5</v>
          </cell>
          <cell r="AZ101">
            <v>9</v>
          </cell>
          <cell r="BA101">
            <v>11</v>
          </cell>
          <cell r="BB101">
            <v>9</v>
          </cell>
          <cell r="BC101">
            <v>11</v>
          </cell>
          <cell r="BD101">
            <v>5</v>
          </cell>
          <cell r="BE101">
            <v>6</v>
          </cell>
          <cell r="BF101">
            <v>5</v>
          </cell>
          <cell r="BG101">
            <v>6</v>
          </cell>
          <cell r="BH101">
            <v>11</v>
          </cell>
          <cell r="BI101">
            <v>15</v>
          </cell>
          <cell r="BJ101">
            <v>14</v>
          </cell>
          <cell r="BK101">
            <v>10</v>
          </cell>
          <cell r="BL101">
            <v>7</v>
          </cell>
          <cell r="BM101">
            <v>4</v>
          </cell>
          <cell r="BN101">
            <v>9</v>
          </cell>
          <cell r="BO101">
            <v>6</v>
          </cell>
          <cell r="BP101">
            <v>11</v>
          </cell>
          <cell r="BQ101">
            <v>5</v>
          </cell>
          <cell r="BR101">
            <v>11</v>
          </cell>
          <cell r="BS101">
            <v>11</v>
          </cell>
          <cell r="BT101">
            <v>17</v>
          </cell>
          <cell r="BU101">
            <v>6</v>
          </cell>
          <cell r="BV101">
            <v>6</v>
          </cell>
          <cell r="BW101">
            <v>8</v>
          </cell>
          <cell r="BX101">
            <v>15</v>
          </cell>
          <cell r="BY101">
            <v>6</v>
          </cell>
          <cell r="BZ101">
            <v>6</v>
          </cell>
          <cell r="CA101">
            <v>12</v>
          </cell>
          <cell r="CB101">
            <v>3</v>
          </cell>
          <cell r="CC101">
            <v>10</v>
          </cell>
          <cell r="CD101">
            <v>5</v>
          </cell>
          <cell r="CE101">
            <v>8</v>
          </cell>
          <cell r="CF101">
            <v>8</v>
          </cell>
          <cell r="CG101">
            <v>9</v>
          </cell>
          <cell r="CH101">
            <v>4</v>
          </cell>
          <cell r="CI101">
            <v>5</v>
          </cell>
          <cell r="CJ101">
            <v>12</v>
          </cell>
          <cell r="CK101">
            <v>8</v>
          </cell>
          <cell r="CL101">
            <v>7</v>
          </cell>
          <cell r="CM101">
            <v>7</v>
          </cell>
          <cell r="CN101">
            <v>7</v>
          </cell>
          <cell r="CO101">
            <v>8</v>
          </cell>
          <cell r="CP101">
            <v>11</v>
          </cell>
          <cell r="CQ101">
            <v>13</v>
          </cell>
          <cell r="CR101">
            <v>6</v>
          </cell>
          <cell r="CS101">
            <v>14</v>
          </cell>
          <cell r="CT101">
            <v>12</v>
          </cell>
          <cell r="CU101">
            <v>9</v>
          </cell>
          <cell r="CV101">
            <v>14</v>
          </cell>
          <cell r="CW101">
            <v>14</v>
          </cell>
          <cell r="CX101">
            <v>10</v>
          </cell>
          <cell r="CY101">
            <v>9</v>
          </cell>
          <cell r="CZ101">
            <v>9</v>
          </cell>
          <cell r="DA101">
            <v>5</v>
          </cell>
          <cell r="DB101">
            <v>14</v>
          </cell>
          <cell r="DC101">
            <v>14</v>
          </cell>
          <cell r="DD101">
            <v>8</v>
          </cell>
          <cell r="DE101">
            <v>8</v>
          </cell>
          <cell r="DF101">
            <v>13</v>
          </cell>
          <cell r="DG101">
            <v>8</v>
          </cell>
          <cell r="DH101">
            <v>11</v>
          </cell>
          <cell r="DI101">
            <v>12</v>
          </cell>
          <cell r="DJ101">
            <v>10</v>
          </cell>
          <cell r="DK101">
            <v>5</v>
          </cell>
          <cell r="DL101">
            <v>13</v>
          </cell>
          <cell r="DM101">
            <v>7</v>
          </cell>
          <cell r="DN101">
            <v>7</v>
          </cell>
          <cell r="DO101">
            <v>13</v>
          </cell>
          <cell r="DP101">
            <v>8</v>
          </cell>
          <cell r="DQ101">
            <v>9</v>
          </cell>
          <cell r="DR101">
            <v>10</v>
          </cell>
          <cell r="DS101">
            <v>9</v>
          </cell>
          <cell r="DT101">
            <v>5</v>
          </cell>
          <cell r="DU101">
            <v>10</v>
          </cell>
          <cell r="DV101">
            <v>9</v>
          </cell>
          <cell r="DW101">
            <v>6</v>
          </cell>
          <cell r="DX101">
            <v>11</v>
          </cell>
          <cell r="DY101">
            <v>13</v>
          </cell>
          <cell r="DZ101">
            <v>5</v>
          </cell>
          <cell r="EA101">
            <v>11</v>
          </cell>
          <cell r="EB101">
            <v>16</v>
          </cell>
          <cell r="EC101">
            <v>10</v>
          </cell>
          <cell r="ED101">
            <v>4</v>
          </cell>
          <cell r="EE101">
            <v>6</v>
          </cell>
          <cell r="EF101">
            <v>22</v>
          </cell>
          <cell r="EG101">
            <v>13</v>
          </cell>
          <cell r="EH101">
            <v>4</v>
          </cell>
          <cell r="EI101">
            <v>13</v>
          </cell>
          <cell r="EJ101">
            <v>10</v>
          </cell>
          <cell r="EK101">
            <v>8</v>
          </cell>
          <cell r="EL101">
            <v>9</v>
          </cell>
          <cell r="EM101">
            <v>12</v>
          </cell>
          <cell r="EN101">
            <v>20</v>
          </cell>
          <cell r="EO101">
            <v>16</v>
          </cell>
          <cell r="EP101">
            <v>6</v>
          </cell>
          <cell r="EQ101">
            <v>8</v>
          </cell>
          <cell r="ER101">
            <v>12</v>
          </cell>
          <cell r="ES101">
            <v>11</v>
          </cell>
          <cell r="ET101">
            <v>10</v>
          </cell>
          <cell r="EU101">
            <v>6</v>
          </cell>
          <cell r="EV101">
            <v>12</v>
          </cell>
          <cell r="EW101">
            <v>5</v>
          </cell>
          <cell r="EX101">
            <v>6</v>
          </cell>
          <cell r="EY101">
            <v>16</v>
          </cell>
          <cell r="EZ101">
            <v>6</v>
          </cell>
          <cell r="FA101">
            <v>9</v>
          </cell>
          <cell r="FB101">
            <v>19</v>
          </cell>
          <cell r="FC101">
            <v>15</v>
          </cell>
          <cell r="FD101">
            <v>9</v>
          </cell>
          <cell r="FE101">
            <v>14</v>
          </cell>
          <cell r="FF101">
            <v>12</v>
          </cell>
          <cell r="FG101">
            <v>9</v>
          </cell>
          <cell r="FH101">
            <v>8</v>
          </cell>
          <cell r="FI101">
            <v>7</v>
          </cell>
          <cell r="FJ101">
            <v>8</v>
          </cell>
          <cell r="FK101">
            <v>17</v>
          </cell>
          <cell r="FL101">
            <v>6</v>
          </cell>
          <cell r="FM101">
            <v>10</v>
          </cell>
          <cell r="FN101">
            <v>17</v>
          </cell>
          <cell r="FO101">
            <v>7</v>
          </cell>
          <cell r="FP101">
            <v>6</v>
          </cell>
          <cell r="FQ101">
            <v>8</v>
          </cell>
          <cell r="FR101">
            <v>9</v>
          </cell>
          <cell r="FS101">
            <v>9</v>
          </cell>
          <cell r="FT101">
            <v>12</v>
          </cell>
          <cell r="FU101">
            <v>12</v>
          </cell>
          <cell r="FV101">
            <v>12</v>
          </cell>
          <cell r="FW101">
            <v>7</v>
          </cell>
          <cell r="FX101">
            <v>13</v>
          </cell>
          <cell r="FY101">
            <v>8</v>
          </cell>
          <cell r="FZ101">
            <v>8</v>
          </cell>
          <cell r="GA101">
            <v>12</v>
          </cell>
          <cell r="GB101">
            <v>9</v>
          </cell>
          <cell r="GC101">
            <v>14</v>
          </cell>
          <cell r="GD101">
            <v>5</v>
          </cell>
          <cell r="GE101">
            <v>12</v>
          </cell>
          <cell r="GF101">
            <v>11</v>
          </cell>
          <cell r="GG101">
            <v>12</v>
          </cell>
          <cell r="GH101">
            <v>4</v>
          </cell>
          <cell r="GI101">
            <v>12</v>
          </cell>
          <cell r="GJ101">
            <v>20</v>
          </cell>
          <cell r="GK101">
            <v>7</v>
          </cell>
          <cell r="GL101">
            <v>1654</v>
          </cell>
          <cell r="GM101">
            <v>1521</v>
          </cell>
          <cell r="GN101">
            <v>1606</v>
          </cell>
        </row>
        <row r="102">
          <cell r="B102" t="str">
            <v>VIDEX</v>
          </cell>
          <cell r="C102" t="str">
            <v>BHV</v>
          </cell>
          <cell r="D102">
            <v>148</v>
          </cell>
          <cell r="E102">
            <v>126</v>
          </cell>
          <cell r="F102">
            <v>135</v>
          </cell>
          <cell r="G102">
            <v>105</v>
          </cell>
          <cell r="H102">
            <v>81</v>
          </cell>
          <cell r="I102">
            <v>128</v>
          </cell>
          <cell r="J102">
            <v>122</v>
          </cell>
          <cell r="K102">
            <v>113</v>
          </cell>
          <cell r="L102">
            <v>90</v>
          </cell>
          <cell r="M102">
            <v>107</v>
          </cell>
          <cell r="N102">
            <v>95</v>
          </cell>
          <cell r="O102">
            <v>109</v>
          </cell>
          <cell r="P102">
            <v>96</v>
          </cell>
          <cell r="Q102">
            <v>119</v>
          </cell>
          <cell r="R102">
            <v>104</v>
          </cell>
          <cell r="S102">
            <v>109</v>
          </cell>
          <cell r="T102">
            <v>100</v>
          </cell>
          <cell r="U102">
            <v>86</v>
          </cell>
          <cell r="V102">
            <v>102</v>
          </cell>
          <cell r="W102">
            <v>71</v>
          </cell>
          <cell r="X102">
            <v>76</v>
          </cell>
          <cell r="Y102">
            <v>68</v>
          </cell>
          <cell r="Z102">
            <v>111</v>
          </cell>
          <cell r="AA102">
            <v>71</v>
          </cell>
          <cell r="AB102">
            <v>67</v>
          </cell>
          <cell r="AC102">
            <v>89</v>
          </cell>
          <cell r="AD102">
            <v>73</v>
          </cell>
          <cell r="AE102">
            <v>82</v>
          </cell>
          <cell r="AF102">
            <v>70</v>
          </cell>
          <cell r="AG102">
            <v>97</v>
          </cell>
          <cell r="AH102">
            <v>70</v>
          </cell>
          <cell r="AI102">
            <v>65</v>
          </cell>
          <cell r="AJ102">
            <v>76</v>
          </cell>
          <cell r="AK102">
            <v>94</v>
          </cell>
          <cell r="AL102">
            <v>66</v>
          </cell>
          <cell r="AM102">
            <v>74</v>
          </cell>
          <cell r="AN102">
            <v>86</v>
          </cell>
          <cell r="AO102">
            <v>105</v>
          </cell>
          <cell r="AP102">
            <v>84</v>
          </cell>
          <cell r="AQ102">
            <v>63</v>
          </cell>
          <cell r="AR102">
            <v>86</v>
          </cell>
          <cell r="AS102">
            <v>87</v>
          </cell>
          <cell r="AT102">
            <v>80</v>
          </cell>
          <cell r="AU102">
            <v>61</v>
          </cell>
          <cell r="AV102">
            <v>79</v>
          </cell>
          <cell r="AW102">
            <v>77</v>
          </cell>
          <cell r="AX102">
            <v>87</v>
          </cell>
          <cell r="AY102">
            <v>65</v>
          </cell>
          <cell r="AZ102">
            <v>75</v>
          </cell>
          <cell r="BA102">
            <v>74</v>
          </cell>
          <cell r="BB102">
            <v>85</v>
          </cell>
          <cell r="BC102">
            <v>58</v>
          </cell>
          <cell r="BD102">
            <v>81</v>
          </cell>
          <cell r="BE102">
            <v>66</v>
          </cell>
          <cell r="BF102">
            <v>98</v>
          </cell>
          <cell r="BG102">
            <v>58</v>
          </cell>
          <cell r="BH102">
            <v>75</v>
          </cell>
          <cell r="BI102">
            <v>73</v>
          </cell>
          <cell r="BJ102">
            <v>87</v>
          </cell>
          <cell r="BK102">
            <v>66</v>
          </cell>
          <cell r="BL102">
            <v>67</v>
          </cell>
          <cell r="BM102">
            <v>71</v>
          </cell>
          <cell r="BN102">
            <v>68</v>
          </cell>
          <cell r="BO102">
            <v>69</v>
          </cell>
          <cell r="BP102">
            <v>70</v>
          </cell>
          <cell r="BQ102">
            <v>61</v>
          </cell>
          <cell r="BR102">
            <v>65</v>
          </cell>
          <cell r="BS102">
            <v>67</v>
          </cell>
          <cell r="BT102">
            <v>65</v>
          </cell>
          <cell r="BU102">
            <v>78</v>
          </cell>
          <cell r="BV102">
            <v>55</v>
          </cell>
          <cell r="BW102">
            <v>75</v>
          </cell>
          <cell r="BX102">
            <v>52</v>
          </cell>
          <cell r="BY102">
            <v>65</v>
          </cell>
          <cell r="BZ102">
            <v>61</v>
          </cell>
          <cell r="CA102">
            <v>87</v>
          </cell>
          <cell r="CB102">
            <v>70</v>
          </cell>
          <cell r="CC102">
            <v>70</v>
          </cell>
          <cell r="CD102">
            <v>46</v>
          </cell>
          <cell r="CE102">
            <v>48</v>
          </cell>
          <cell r="CF102">
            <v>74</v>
          </cell>
          <cell r="CG102">
            <v>55</v>
          </cell>
          <cell r="CH102">
            <v>60</v>
          </cell>
          <cell r="CI102">
            <v>62</v>
          </cell>
          <cell r="CJ102">
            <v>77</v>
          </cell>
          <cell r="CK102">
            <v>61</v>
          </cell>
          <cell r="CL102">
            <v>56</v>
          </cell>
          <cell r="CM102">
            <v>74</v>
          </cell>
          <cell r="CN102">
            <v>60</v>
          </cell>
          <cell r="CO102">
            <v>59</v>
          </cell>
          <cell r="CP102">
            <v>49</v>
          </cell>
          <cell r="CQ102">
            <v>65</v>
          </cell>
          <cell r="CR102">
            <v>48</v>
          </cell>
          <cell r="CS102">
            <v>52</v>
          </cell>
          <cell r="CT102">
            <v>49</v>
          </cell>
          <cell r="CU102">
            <v>74</v>
          </cell>
          <cell r="CV102">
            <v>59</v>
          </cell>
          <cell r="CW102">
            <v>50</v>
          </cell>
          <cell r="CX102">
            <v>42</v>
          </cell>
          <cell r="CY102">
            <v>70</v>
          </cell>
          <cell r="CZ102">
            <v>56</v>
          </cell>
          <cell r="DA102">
            <v>56</v>
          </cell>
          <cell r="DB102">
            <v>60</v>
          </cell>
          <cell r="DC102">
            <v>46</v>
          </cell>
          <cell r="DD102">
            <v>58</v>
          </cell>
          <cell r="DE102">
            <v>56</v>
          </cell>
          <cell r="DF102">
            <v>53</v>
          </cell>
          <cell r="DG102">
            <v>52</v>
          </cell>
          <cell r="DH102">
            <v>63</v>
          </cell>
          <cell r="DI102">
            <v>60</v>
          </cell>
          <cell r="DJ102">
            <v>53</v>
          </cell>
          <cell r="DK102">
            <v>48</v>
          </cell>
          <cell r="DL102">
            <v>64</v>
          </cell>
          <cell r="DM102">
            <v>46</v>
          </cell>
          <cell r="DN102">
            <v>64</v>
          </cell>
          <cell r="DO102">
            <v>56</v>
          </cell>
          <cell r="DP102">
            <v>45</v>
          </cell>
          <cell r="DQ102">
            <v>46</v>
          </cell>
          <cell r="DR102">
            <v>65</v>
          </cell>
          <cell r="DS102">
            <v>58</v>
          </cell>
          <cell r="DT102">
            <v>47</v>
          </cell>
          <cell r="DU102">
            <v>52</v>
          </cell>
          <cell r="DV102">
            <v>36</v>
          </cell>
          <cell r="DW102">
            <v>80</v>
          </cell>
          <cell r="DX102">
            <v>51</v>
          </cell>
          <cell r="DY102">
            <v>48</v>
          </cell>
          <cell r="DZ102">
            <v>48</v>
          </cell>
          <cell r="EA102">
            <v>65</v>
          </cell>
          <cell r="EB102">
            <v>46</v>
          </cell>
          <cell r="EC102">
            <v>70</v>
          </cell>
          <cell r="ED102">
            <v>42</v>
          </cell>
          <cell r="EE102">
            <v>53</v>
          </cell>
          <cell r="EF102">
            <v>49</v>
          </cell>
          <cell r="EG102">
            <v>44</v>
          </cell>
          <cell r="EH102">
            <v>44</v>
          </cell>
          <cell r="EI102">
            <v>55</v>
          </cell>
          <cell r="EJ102">
            <v>50</v>
          </cell>
          <cell r="EK102">
            <v>25</v>
          </cell>
          <cell r="EL102">
            <v>43</v>
          </cell>
          <cell r="EM102">
            <v>70</v>
          </cell>
          <cell r="EN102">
            <v>43</v>
          </cell>
          <cell r="EO102">
            <v>50</v>
          </cell>
          <cell r="EP102">
            <v>35</v>
          </cell>
          <cell r="EQ102">
            <v>53</v>
          </cell>
          <cell r="ER102">
            <v>41</v>
          </cell>
          <cell r="ES102">
            <v>36</v>
          </cell>
          <cell r="ET102">
            <v>49</v>
          </cell>
          <cell r="EU102">
            <v>50</v>
          </cell>
          <cell r="EV102">
            <v>53</v>
          </cell>
          <cell r="EW102">
            <v>52</v>
          </cell>
          <cell r="EX102">
            <v>24</v>
          </cell>
          <cell r="EY102">
            <v>36</v>
          </cell>
          <cell r="EZ102">
            <v>48</v>
          </cell>
          <cell r="FA102">
            <v>46</v>
          </cell>
          <cell r="FB102">
            <v>42</v>
          </cell>
          <cell r="FC102">
            <v>35</v>
          </cell>
          <cell r="FD102">
            <v>41</v>
          </cell>
          <cell r="FE102">
            <v>54</v>
          </cell>
          <cell r="FF102">
            <v>37</v>
          </cell>
          <cell r="FG102">
            <v>51</v>
          </cell>
          <cell r="FH102">
            <v>45</v>
          </cell>
          <cell r="FI102">
            <v>41</v>
          </cell>
          <cell r="FJ102">
            <v>36</v>
          </cell>
          <cell r="FK102">
            <v>44</v>
          </cell>
          <cell r="FL102">
            <v>39</v>
          </cell>
          <cell r="FM102">
            <v>40</v>
          </cell>
          <cell r="FN102">
            <v>38</v>
          </cell>
          <cell r="FO102">
            <v>42</v>
          </cell>
          <cell r="FP102">
            <v>37</v>
          </cell>
          <cell r="FQ102">
            <v>35</v>
          </cell>
          <cell r="FR102">
            <v>60</v>
          </cell>
          <cell r="FS102">
            <v>34</v>
          </cell>
          <cell r="FT102">
            <v>43</v>
          </cell>
          <cell r="FU102">
            <v>42</v>
          </cell>
          <cell r="FV102">
            <v>32</v>
          </cell>
          <cell r="FW102">
            <v>34</v>
          </cell>
          <cell r="FX102">
            <v>43</v>
          </cell>
          <cell r="FY102">
            <v>37</v>
          </cell>
          <cell r="FZ102">
            <v>37</v>
          </cell>
          <cell r="GA102">
            <v>51</v>
          </cell>
          <cell r="GB102">
            <v>56</v>
          </cell>
          <cell r="GC102">
            <v>33</v>
          </cell>
          <cell r="GD102">
            <v>23</v>
          </cell>
          <cell r="GE102">
            <v>62</v>
          </cell>
          <cell r="GF102">
            <v>44</v>
          </cell>
          <cell r="GG102">
            <v>40</v>
          </cell>
          <cell r="GH102">
            <v>37</v>
          </cell>
          <cell r="GI102">
            <v>48</v>
          </cell>
          <cell r="GJ102">
            <v>44</v>
          </cell>
          <cell r="GK102">
            <v>46</v>
          </cell>
          <cell r="GL102">
            <v>6</v>
          </cell>
          <cell r="GM102">
            <v>7</v>
          </cell>
          <cell r="GN102">
            <v>12</v>
          </cell>
        </row>
        <row r="103">
          <cell r="B103" t="str">
            <v>VIDEX EC</v>
          </cell>
          <cell r="C103" t="str">
            <v>BHV</v>
          </cell>
          <cell r="D103">
            <v>1096</v>
          </cell>
          <cell r="E103">
            <v>997</v>
          </cell>
          <cell r="F103">
            <v>989</v>
          </cell>
          <cell r="G103">
            <v>1070</v>
          </cell>
          <cell r="H103">
            <v>968</v>
          </cell>
          <cell r="I103">
            <v>962</v>
          </cell>
          <cell r="J103">
            <v>932</v>
          </cell>
          <cell r="K103">
            <v>944</v>
          </cell>
          <cell r="L103">
            <v>959</v>
          </cell>
          <cell r="M103">
            <v>1009</v>
          </cell>
          <cell r="N103">
            <v>856</v>
          </cell>
          <cell r="O103">
            <v>872</v>
          </cell>
          <cell r="P103">
            <v>889</v>
          </cell>
          <cell r="Q103">
            <v>921</v>
          </cell>
          <cell r="R103">
            <v>942</v>
          </cell>
          <cell r="S103">
            <v>851</v>
          </cell>
          <cell r="T103">
            <v>873</v>
          </cell>
          <cell r="U103">
            <v>853</v>
          </cell>
          <cell r="V103">
            <v>814</v>
          </cell>
          <cell r="W103">
            <v>770</v>
          </cell>
          <cell r="X103">
            <v>813</v>
          </cell>
          <cell r="Y103">
            <v>743</v>
          </cell>
          <cell r="Z103">
            <v>812</v>
          </cell>
          <cell r="AA103">
            <v>792</v>
          </cell>
          <cell r="AB103">
            <v>753</v>
          </cell>
          <cell r="AC103">
            <v>808</v>
          </cell>
          <cell r="AD103">
            <v>678</v>
          </cell>
          <cell r="AE103">
            <v>670</v>
          </cell>
          <cell r="AF103">
            <v>757</v>
          </cell>
          <cell r="AG103">
            <v>699</v>
          </cell>
          <cell r="AH103">
            <v>700</v>
          </cell>
          <cell r="AI103">
            <v>812</v>
          </cell>
          <cell r="AJ103">
            <v>696</v>
          </cell>
          <cell r="AK103">
            <v>664</v>
          </cell>
          <cell r="AL103">
            <v>667</v>
          </cell>
          <cell r="AM103">
            <v>751</v>
          </cell>
          <cell r="AN103">
            <v>724</v>
          </cell>
          <cell r="AO103">
            <v>693</v>
          </cell>
          <cell r="AP103">
            <v>670</v>
          </cell>
          <cell r="AQ103">
            <v>600</v>
          </cell>
          <cell r="AR103">
            <v>744</v>
          </cell>
          <cell r="AS103">
            <v>618</v>
          </cell>
          <cell r="AT103">
            <v>643</v>
          </cell>
          <cell r="AU103">
            <v>604</v>
          </cell>
          <cell r="AV103">
            <v>683</v>
          </cell>
          <cell r="AW103">
            <v>691</v>
          </cell>
          <cell r="AX103">
            <v>591</v>
          </cell>
          <cell r="AY103">
            <v>593</v>
          </cell>
          <cell r="AZ103">
            <v>566</v>
          </cell>
          <cell r="BA103">
            <v>687</v>
          </cell>
          <cell r="BB103">
            <v>581</v>
          </cell>
          <cell r="BC103">
            <v>558</v>
          </cell>
          <cell r="BD103">
            <v>632</v>
          </cell>
          <cell r="BE103">
            <v>587</v>
          </cell>
          <cell r="BF103">
            <v>585</v>
          </cell>
          <cell r="BG103">
            <v>570</v>
          </cell>
          <cell r="BH103">
            <v>579</v>
          </cell>
          <cell r="BI103">
            <v>581</v>
          </cell>
          <cell r="BJ103">
            <v>508</v>
          </cell>
          <cell r="BK103">
            <v>519</v>
          </cell>
          <cell r="BL103">
            <v>527</v>
          </cell>
          <cell r="BM103">
            <v>541</v>
          </cell>
          <cell r="BN103">
            <v>508</v>
          </cell>
          <cell r="BO103">
            <v>514</v>
          </cell>
          <cell r="BP103">
            <v>473</v>
          </cell>
          <cell r="BQ103">
            <v>524</v>
          </cell>
          <cell r="BR103">
            <v>530</v>
          </cell>
          <cell r="BS103">
            <v>517</v>
          </cell>
          <cell r="BT103">
            <v>468</v>
          </cell>
          <cell r="BU103">
            <v>505</v>
          </cell>
          <cell r="BV103">
            <v>524</v>
          </cell>
          <cell r="BW103">
            <v>507</v>
          </cell>
          <cell r="BX103">
            <v>473</v>
          </cell>
          <cell r="BY103">
            <v>441</v>
          </cell>
          <cell r="BZ103">
            <v>515</v>
          </cell>
          <cell r="CA103">
            <v>523</v>
          </cell>
          <cell r="CB103">
            <v>490</v>
          </cell>
          <cell r="CC103">
            <v>493</v>
          </cell>
          <cell r="CD103">
            <v>427</v>
          </cell>
          <cell r="CE103">
            <v>433</v>
          </cell>
          <cell r="CF103">
            <v>506</v>
          </cell>
          <cell r="CG103">
            <v>474</v>
          </cell>
          <cell r="CH103">
            <v>469</v>
          </cell>
          <cell r="CI103">
            <v>466</v>
          </cell>
          <cell r="CJ103">
            <v>493</v>
          </cell>
          <cell r="CK103">
            <v>472</v>
          </cell>
          <cell r="CL103">
            <v>424</v>
          </cell>
          <cell r="CM103">
            <v>459</v>
          </cell>
          <cell r="CN103">
            <v>508</v>
          </cell>
          <cell r="CO103">
            <v>484</v>
          </cell>
          <cell r="CP103">
            <v>399</v>
          </cell>
          <cell r="CQ103">
            <v>436</v>
          </cell>
          <cell r="CR103">
            <v>430</v>
          </cell>
          <cell r="CS103">
            <v>457</v>
          </cell>
          <cell r="CT103">
            <v>368</v>
          </cell>
          <cell r="CU103">
            <v>387</v>
          </cell>
          <cell r="CV103">
            <v>437</v>
          </cell>
          <cell r="CW103">
            <v>404</v>
          </cell>
          <cell r="CX103">
            <v>328</v>
          </cell>
          <cell r="CY103">
            <v>383</v>
          </cell>
          <cell r="CZ103">
            <v>331</v>
          </cell>
          <cell r="DA103">
            <v>417</v>
          </cell>
          <cell r="DB103">
            <v>377</v>
          </cell>
          <cell r="DC103">
            <v>302</v>
          </cell>
          <cell r="DD103">
            <v>364</v>
          </cell>
          <cell r="DE103">
            <v>354</v>
          </cell>
          <cell r="DF103">
            <v>394</v>
          </cell>
          <cell r="DG103">
            <v>357</v>
          </cell>
          <cell r="DH103">
            <v>369</v>
          </cell>
          <cell r="DI103">
            <v>343</v>
          </cell>
          <cell r="DJ103">
            <v>395</v>
          </cell>
          <cell r="DK103">
            <v>360</v>
          </cell>
          <cell r="DL103">
            <v>327</v>
          </cell>
          <cell r="DM103">
            <v>330</v>
          </cell>
          <cell r="DN103">
            <v>363</v>
          </cell>
          <cell r="DO103">
            <v>380</v>
          </cell>
          <cell r="DP103">
            <v>346</v>
          </cell>
          <cell r="DQ103">
            <v>318</v>
          </cell>
          <cell r="DR103">
            <v>365</v>
          </cell>
          <cell r="DS103">
            <v>391</v>
          </cell>
          <cell r="DT103">
            <v>327</v>
          </cell>
          <cell r="DU103">
            <v>339</v>
          </cell>
          <cell r="DV103">
            <v>341</v>
          </cell>
          <cell r="DW103">
            <v>403</v>
          </cell>
          <cell r="DX103">
            <v>338</v>
          </cell>
          <cell r="DY103">
            <v>319</v>
          </cell>
          <cell r="DZ103">
            <v>316</v>
          </cell>
          <cell r="EA103">
            <v>347</v>
          </cell>
          <cell r="EB103">
            <v>320</v>
          </cell>
          <cell r="EC103">
            <v>343</v>
          </cell>
          <cell r="ED103">
            <v>291</v>
          </cell>
          <cell r="EE103">
            <v>330</v>
          </cell>
          <cell r="EF103">
            <v>370</v>
          </cell>
          <cell r="EG103">
            <v>291</v>
          </cell>
          <cell r="EH103">
            <v>292</v>
          </cell>
          <cell r="EI103">
            <v>291</v>
          </cell>
          <cell r="EJ103">
            <v>306</v>
          </cell>
          <cell r="EK103">
            <v>288</v>
          </cell>
          <cell r="EL103">
            <v>311</v>
          </cell>
          <cell r="EM103">
            <v>286</v>
          </cell>
          <cell r="EN103">
            <v>301</v>
          </cell>
          <cell r="EO103">
            <v>264</v>
          </cell>
          <cell r="EP103">
            <v>268</v>
          </cell>
          <cell r="EQ103">
            <v>277</v>
          </cell>
          <cell r="ER103">
            <v>255</v>
          </cell>
          <cell r="ES103">
            <v>272</v>
          </cell>
          <cell r="ET103">
            <v>240</v>
          </cell>
          <cell r="EU103">
            <v>297</v>
          </cell>
          <cell r="EV103">
            <v>266</v>
          </cell>
          <cell r="EW103">
            <v>266</v>
          </cell>
          <cell r="EX103">
            <v>256</v>
          </cell>
          <cell r="EY103">
            <v>271</v>
          </cell>
          <cell r="EZ103">
            <v>248</v>
          </cell>
          <cell r="FA103">
            <v>283</v>
          </cell>
          <cell r="FB103">
            <v>241</v>
          </cell>
          <cell r="FC103">
            <v>287</v>
          </cell>
          <cell r="FD103">
            <v>233</v>
          </cell>
          <cell r="FE103">
            <v>272</v>
          </cell>
          <cell r="FF103">
            <v>243</v>
          </cell>
          <cell r="FG103">
            <v>268</v>
          </cell>
          <cell r="FH103">
            <v>250</v>
          </cell>
          <cell r="FI103">
            <v>208</v>
          </cell>
          <cell r="FJ103">
            <v>229</v>
          </cell>
          <cell r="FK103">
            <v>266</v>
          </cell>
          <cell r="FL103">
            <v>257</v>
          </cell>
          <cell r="FM103">
            <v>223</v>
          </cell>
          <cell r="FN103">
            <v>201</v>
          </cell>
          <cell r="FO103">
            <v>238</v>
          </cell>
          <cell r="FP103">
            <v>227</v>
          </cell>
          <cell r="FQ103">
            <v>232</v>
          </cell>
          <cell r="FR103">
            <v>220</v>
          </cell>
          <cell r="FS103">
            <v>224</v>
          </cell>
          <cell r="FT103">
            <v>211</v>
          </cell>
          <cell r="FU103">
            <v>227</v>
          </cell>
          <cell r="FV103">
            <v>199</v>
          </cell>
          <cell r="FW103">
            <v>202</v>
          </cell>
          <cell r="FX103">
            <v>192</v>
          </cell>
          <cell r="FY103">
            <v>205</v>
          </cell>
          <cell r="FZ103">
            <v>193</v>
          </cell>
          <cell r="GA103">
            <v>192</v>
          </cell>
          <cell r="GB103">
            <v>175</v>
          </cell>
          <cell r="GC103">
            <v>219</v>
          </cell>
          <cell r="GD103">
            <v>191</v>
          </cell>
          <cell r="GE103">
            <v>175</v>
          </cell>
          <cell r="GF103">
            <v>180</v>
          </cell>
          <cell r="GG103">
            <v>196</v>
          </cell>
          <cell r="GH103">
            <v>196</v>
          </cell>
          <cell r="GI103">
            <v>184</v>
          </cell>
          <cell r="GJ103">
            <v>176</v>
          </cell>
          <cell r="GK103">
            <v>177</v>
          </cell>
          <cell r="GL103">
            <v>38</v>
          </cell>
          <cell r="GM103">
            <v>38</v>
          </cell>
          <cell r="GN103">
            <v>30</v>
          </cell>
        </row>
        <row r="104">
          <cell r="B104" t="str">
            <v>VIRACEPT</v>
          </cell>
          <cell r="C104" t="str">
            <v>PFZ</v>
          </cell>
          <cell r="D104">
            <v>4131</v>
          </cell>
          <cell r="E104">
            <v>3931</v>
          </cell>
          <cell r="F104">
            <v>4004</v>
          </cell>
          <cell r="G104">
            <v>3833</v>
          </cell>
          <cell r="H104">
            <v>3882</v>
          </cell>
          <cell r="I104">
            <v>4063</v>
          </cell>
          <cell r="J104">
            <v>4065</v>
          </cell>
          <cell r="K104">
            <v>3704</v>
          </cell>
          <cell r="L104">
            <v>3919</v>
          </cell>
          <cell r="M104">
            <v>4196</v>
          </cell>
          <cell r="N104">
            <v>3691</v>
          </cell>
          <cell r="O104">
            <v>3813</v>
          </cell>
          <cell r="P104">
            <v>3613</v>
          </cell>
          <cell r="Q104">
            <v>4023</v>
          </cell>
          <cell r="R104">
            <v>4187</v>
          </cell>
          <cell r="S104">
            <v>3686</v>
          </cell>
          <cell r="T104">
            <v>3644</v>
          </cell>
          <cell r="U104">
            <v>3811</v>
          </cell>
          <cell r="V104">
            <v>3901</v>
          </cell>
          <cell r="W104">
            <v>3891</v>
          </cell>
          <cell r="X104">
            <v>3736</v>
          </cell>
          <cell r="Y104">
            <v>3165</v>
          </cell>
          <cell r="Z104">
            <v>4006</v>
          </cell>
          <cell r="AA104">
            <v>3834</v>
          </cell>
          <cell r="AB104">
            <v>3591</v>
          </cell>
          <cell r="AC104">
            <v>3623</v>
          </cell>
          <cell r="AD104">
            <v>3420</v>
          </cell>
          <cell r="AE104">
            <v>3449</v>
          </cell>
          <cell r="AF104">
            <v>3643</v>
          </cell>
          <cell r="AG104">
            <v>3548</v>
          </cell>
          <cell r="AH104">
            <v>3475</v>
          </cell>
          <cell r="AI104">
            <v>3769</v>
          </cell>
          <cell r="AJ104">
            <v>3529</v>
          </cell>
          <cell r="AK104">
            <v>3346</v>
          </cell>
          <cell r="AL104">
            <v>3340</v>
          </cell>
          <cell r="AM104">
            <v>3558</v>
          </cell>
          <cell r="AN104">
            <v>3723</v>
          </cell>
          <cell r="AO104">
            <v>3356</v>
          </cell>
          <cell r="AP104">
            <v>3298</v>
          </cell>
          <cell r="AQ104">
            <v>3308</v>
          </cell>
          <cell r="AR104">
            <v>3639</v>
          </cell>
          <cell r="AS104">
            <v>3255</v>
          </cell>
          <cell r="AT104">
            <v>3180</v>
          </cell>
          <cell r="AU104">
            <v>3271</v>
          </cell>
          <cell r="AV104">
            <v>3498</v>
          </cell>
          <cell r="AW104">
            <v>3319</v>
          </cell>
          <cell r="AX104">
            <v>3334</v>
          </cell>
          <cell r="AY104">
            <v>3271</v>
          </cell>
          <cell r="AZ104">
            <v>3191</v>
          </cell>
          <cell r="BA104">
            <v>3467</v>
          </cell>
          <cell r="BB104">
            <v>3209</v>
          </cell>
          <cell r="BC104">
            <v>3199</v>
          </cell>
          <cell r="BD104">
            <v>3308</v>
          </cell>
          <cell r="BE104">
            <v>3152</v>
          </cell>
          <cell r="BF104">
            <v>3185</v>
          </cell>
          <cell r="BG104">
            <v>3170</v>
          </cell>
          <cell r="BH104">
            <v>3142</v>
          </cell>
          <cell r="BI104">
            <v>3363</v>
          </cell>
          <cell r="BJ104">
            <v>3060</v>
          </cell>
          <cell r="BK104">
            <v>3159</v>
          </cell>
          <cell r="BL104">
            <v>2874</v>
          </cell>
          <cell r="BM104">
            <v>3120</v>
          </cell>
          <cell r="BN104">
            <v>2926</v>
          </cell>
          <cell r="BO104">
            <v>3042</v>
          </cell>
          <cell r="BP104">
            <v>2969</v>
          </cell>
          <cell r="BQ104">
            <v>3086</v>
          </cell>
          <cell r="BR104">
            <v>3113</v>
          </cell>
          <cell r="BS104">
            <v>2793</v>
          </cell>
          <cell r="BT104">
            <v>2825</v>
          </cell>
          <cell r="BU104">
            <v>2812</v>
          </cell>
          <cell r="BV104">
            <v>2965</v>
          </cell>
          <cell r="BW104">
            <v>2907</v>
          </cell>
          <cell r="BX104">
            <v>2709</v>
          </cell>
          <cell r="BY104">
            <v>2396</v>
          </cell>
          <cell r="BZ104">
            <v>2998</v>
          </cell>
          <cell r="CA104">
            <v>2904</v>
          </cell>
          <cell r="CB104">
            <v>2757</v>
          </cell>
          <cell r="CC104">
            <v>2756</v>
          </cell>
          <cell r="CD104">
            <v>2340</v>
          </cell>
          <cell r="CE104">
            <v>2586</v>
          </cell>
          <cell r="CF104">
            <v>2826</v>
          </cell>
          <cell r="CG104">
            <v>2631</v>
          </cell>
          <cell r="CH104">
            <v>2488</v>
          </cell>
          <cell r="CI104">
            <v>2582</v>
          </cell>
          <cell r="CJ104">
            <v>2753</v>
          </cell>
          <cell r="CK104">
            <v>2754</v>
          </cell>
          <cell r="CL104">
            <v>2563</v>
          </cell>
          <cell r="CM104">
            <v>2719</v>
          </cell>
          <cell r="CN104">
            <v>2812</v>
          </cell>
          <cell r="CO104">
            <v>2601</v>
          </cell>
          <cell r="CP104">
            <v>2679</v>
          </cell>
          <cell r="CQ104">
            <v>2471</v>
          </cell>
          <cell r="CR104">
            <v>2574</v>
          </cell>
          <cell r="CS104">
            <v>2663</v>
          </cell>
          <cell r="CT104">
            <v>2613</v>
          </cell>
          <cell r="CU104">
            <v>2437</v>
          </cell>
          <cell r="CV104">
            <v>2653</v>
          </cell>
          <cell r="CW104">
            <v>2474</v>
          </cell>
          <cell r="CX104">
            <v>2513</v>
          </cell>
          <cell r="CY104">
            <v>2325</v>
          </cell>
          <cell r="CZ104">
            <v>2375</v>
          </cell>
          <cell r="DA104">
            <v>2610</v>
          </cell>
          <cell r="DB104">
            <v>2472</v>
          </cell>
          <cell r="DC104">
            <v>2358</v>
          </cell>
          <cell r="DD104">
            <v>2332</v>
          </cell>
          <cell r="DE104">
            <v>2380</v>
          </cell>
          <cell r="DF104">
            <v>2544</v>
          </cell>
          <cell r="DG104">
            <v>2363</v>
          </cell>
          <cell r="DH104">
            <v>2309</v>
          </cell>
          <cell r="DI104">
            <v>2503</v>
          </cell>
          <cell r="DJ104">
            <v>2424</v>
          </cell>
          <cell r="DK104">
            <v>2287</v>
          </cell>
          <cell r="DL104">
            <v>2220</v>
          </cell>
          <cell r="DM104">
            <v>2418</v>
          </cell>
          <cell r="DN104">
            <v>2453</v>
          </cell>
          <cell r="DO104">
            <v>2518</v>
          </cell>
          <cell r="DP104">
            <v>2433</v>
          </cell>
          <cell r="DQ104">
            <v>2400</v>
          </cell>
          <cell r="DR104">
            <v>2610</v>
          </cell>
          <cell r="DS104">
            <v>2324</v>
          </cell>
          <cell r="DT104">
            <v>2251</v>
          </cell>
          <cell r="DU104">
            <v>2283</v>
          </cell>
          <cell r="DV104">
            <v>2329</v>
          </cell>
          <cell r="DW104">
            <v>2370</v>
          </cell>
          <cell r="DX104">
            <v>2208</v>
          </cell>
          <cell r="DY104">
            <v>2141</v>
          </cell>
          <cell r="DZ104">
            <v>2031</v>
          </cell>
          <cell r="EA104">
            <v>2500</v>
          </cell>
          <cell r="EB104">
            <v>2283</v>
          </cell>
          <cell r="EC104">
            <v>2229</v>
          </cell>
          <cell r="ED104">
            <v>1913</v>
          </cell>
          <cell r="EE104">
            <v>2189</v>
          </cell>
          <cell r="EF104">
            <v>2245</v>
          </cell>
          <cell r="EG104">
            <v>2117</v>
          </cell>
          <cell r="EH104">
            <v>2137</v>
          </cell>
          <cell r="EI104">
            <v>2136</v>
          </cell>
          <cell r="EJ104">
            <v>2329</v>
          </cell>
          <cell r="EK104">
            <v>2085</v>
          </cell>
          <cell r="EL104">
            <v>2017</v>
          </cell>
          <cell r="EM104">
            <v>2237</v>
          </cell>
          <cell r="EN104">
            <v>2382</v>
          </cell>
          <cell r="EO104">
            <v>2076</v>
          </cell>
          <cell r="EP104">
            <v>1972</v>
          </cell>
          <cell r="EQ104">
            <v>2128</v>
          </cell>
          <cell r="ER104">
            <v>2151</v>
          </cell>
          <cell r="ES104">
            <v>2059</v>
          </cell>
          <cell r="ET104">
            <v>1974</v>
          </cell>
          <cell r="EU104">
            <v>2046</v>
          </cell>
          <cell r="EV104">
            <v>2141</v>
          </cell>
          <cell r="EW104">
            <v>2159</v>
          </cell>
          <cell r="EX104">
            <v>2004</v>
          </cell>
          <cell r="EY104">
            <v>1868</v>
          </cell>
          <cell r="EZ104">
            <v>2066</v>
          </cell>
          <cell r="FA104">
            <v>2127</v>
          </cell>
          <cell r="FB104">
            <v>1951</v>
          </cell>
          <cell r="FC104">
            <v>1917</v>
          </cell>
          <cell r="FD104">
            <v>2033</v>
          </cell>
          <cell r="FE104">
            <v>2126</v>
          </cell>
          <cell r="FF104">
            <v>2074</v>
          </cell>
          <cell r="FG104">
            <v>1916</v>
          </cell>
          <cell r="FH104">
            <v>1902</v>
          </cell>
          <cell r="FI104">
            <v>1938</v>
          </cell>
          <cell r="FJ104">
            <v>2149</v>
          </cell>
          <cell r="FK104">
            <v>1915</v>
          </cell>
          <cell r="FL104">
            <v>1813</v>
          </cell>
          <cell r="FM104">
            <v>1935</v>
          </cell>
          <cell r="FN104">
            <v>2016</v>
          </cell>
          <cell r="FO104">
            <v>1774</v>
          </cell>
          <cell r="FP104">
            <v>2000</v>
          </cell>
          <cell r="FQ104">
            <v>1923</v>
          </cell>
          <cell r="FR104">
            <v>1944</v>
          </cell>
          <cell r="FS104">
            <v>1897</v>
          </cell>
          <cell r="FT104">
            <v>1833</v>
          </cell>
          <cell r="FU104">
            <v>1893</v>
          </cell>
          <cell r="FV104">
            <v>1897</v>
          </cell>
          <cell r="FW104">
            <v>1903</v>
          </cell>
          <cell r="FX104">
            <v>1805</v>
          </cell>
          <cell r="FY104">
            <v>1911</v>
          </cell>
          <cell r="FZ104">
            <v>1617</v>
          </cell>
          <cell r="GA104">
            <v>2106</v>
          </cell>
          <cell r="GB104">
            <v>1869</v>
          </cell>
          <cell r="GC104">
            <v>1941</v>
          </cell>
          <cell r="GD104">
            <v>1571</v>
          </cell>
          <cell r="GE104">
            <v>1818</v>
          </cell>
          <cell r="GF104">
            <v>1921</v>
          </cell>
          <cell r="GG104">
            <v>1826</v>
          </cell>
          <cell r="GH104">
            <v>1668</v>
          </cell>
          <cell r="GI104">
            <v>1782</v>
          </cell>
          <cell r="GJ104">
            <v>1912</v>
          </cell>
          <cell r="GK104">
            <v>1632</v>
          </cell>
          <cell r="GL104">
            <v>166</v>
          </cell>
          <cell r="GM104">
            <v>191</v>
          </cell>
          <cell r="GN104">
            <v>166</v>
          </cell>
        </row>
        <row r="105">
          <cell r="B105" t="str">
            <v>VIRAMUNE</v>
          </cell>
          <cell r="C105" t="str">
            <v>B.I</v>
          </cell>
          <cell r="D105">
            <v>6798</v>
          </cell>
          <cell r="E105">
            <v>6526</v>
          </cell>
          <cell r="F105">
            <v>6610</v>
          </cell>
          <cell r="G105">
            <v>6152</v>
          </cell>
          <cell r="H105">
            <v>6361</v>
          </cell>
          <cell r="I105">
            <v>7039</v>
          </cell>
          <cell r="J105">
            <v>6585</v>
          </cell>
          <cell r="K105">
            <v>6282</v>
          </cell>
          <cell r="L105">
            <v>6353</v>
          </cell>
          <cell r="M105">
            <v>6857</v>
          </cell>
          <cell r="N105">
            <v>6273</v>
          </cell>
          <cell r="O105">
            <v>6471</v>
          </cell>
          <cell r="P105">
            <v>6182</v>
          </cell>
          <cell r="Q105">
            <v>6467</v>
          </cell>
          <cell r="R105">
            <v>6781</v>
          </cell>
          <cell r="S105">
            <v>6444</v>
          </cell>
          <cell r="T105">
            <v>6034</v>
          </cell>
          <cell r="U105">
            <v>6127</v>
          </cell>
          <cell r="V105">
            <v>6652</v>
          </cell>
          <cell r="W105">
            <v>6578</v>
          </cell>
          <cell r="X105">
            <v>6189</v>
          </cell>
          <cell r="Y105">
            <v>5435</v>
          </cell>
          <cell r="Z105">
            <v>6968</v>
          </cell>
          <cell r="AA105">
            <v>6657</v>
          </cell>
          <cell r="AB105">
            <v>6286</v>
          </cell>
          <cell r="AC105">
            <v>6443</v>
          </cell>
          <cell r="AD105">
            <v>5745</v>
          </cell>
          <cell r="AE105">
            <v>6174</v>
          </cell>
          <cell r="AF105">
            <v>6435</v>
          </cell>
          <cell r="AG105">
            <v>6038</v>
          </cell>
          <cell r="AH105">
            <v>5954</v>
          </cell>
          <cell r="AI105">
            <v>6341</v>
          </cell>
          <cell r="AJ105">
            <v>6314</v>
          </cell>
          <cell r="AK105">
            <v>5949</v>
          </cell>
          <cell r="AL105">
            <v>6004</v>
          </cell>
          <cell r="AM105">
            <v>6530</v>
          </cell>
          <cell r="AN105">
            <v>6568</v>
          </cell>
          <cell r="AO105">
            <v>6015</v>
          </cell>
          <cell r="AP105">
            <v>5964</v>
          </cell>
          <cell r="AQ105">
            <v>6173</v>
          </cell>
          <cell r="AR105">
            <v>6482</v>
          </cell>
          <cell r="AS105">
            <v>5945</v>
          </cell>
          <cell r="AT105">
            <v>5816</v>
          </cell>
          <cell r="AU105">
            <v>5975</v>
          </cell>
          <cell r="AV105">
            <v>6566</v>
          </cell>
          <cell r="AW105">
            <v>6241</v>
          </cell>
          <cell r="AX105">
            <v>5959</v>
          </cell>
          <cell r="AY105">
            <v>5950</v>
          </cell>
          <cell r="AZ105">
            <v>5874</v>
          </cell>
          <cell r="BA105">
            <v>6441</v>
          </cell>
          <cell r="BB105">
            <v>5858</v>
          </cell>
          <cell r="BC105">
            <v>5885</v>
          </cell>
          <cell r="BD105">
            <v>6223</v>
          </cell>
          <cell r="BE105">
            <v>6017</v>
          </cell>
          <cell r="BF105">
            <v>6097</v>
          </cell>
          <cell r="BG105">
            <v>5847</v>
          </cell>
          <cell r="BH105">
            <v>5835</v>
          </cell>
          <cell r="BI105">
            <v>6345</v>
          </cell>
          <cell r="BJ105">
            <v>5982</v>
          </cell>
          <cell r="BK105">
            <v>5791</v>
          </cell>
          <cell r="BL105">
            <v>5731</v>
          </cell>
          <cell r="BM105">
            <v>6010</v>
          </cell>
          <cell r="BN105">
            <v>5889</v>
          </cell>
          <cell r="BO105">
            <v>5938</v>
          </cell>
          <cell r="BP105">
            <v>5879</v>
          </cell>
          <cell r="BQ105">
            <v>5963</v>
          </cell>
          <cell r="BR105">
            <v>6449</v>
          </cell>
          <cell r="BS105">
            <v>5793</v>
          </cell>
          <cell r="BT105">
            <v>5758</v>
          </cell>
          <cell r="BU105">
            <v>5713</v>
          </cell>
          <cell r="BV105">
            <v>6133</v>
          </cell>
          <cell r="BW105">
            <v>5862</v>
          </cell>
          <cell r="BX105">
            <v>5795</v>
          </cell>
          <cell r="BY105">
            <v>5016</v>
          </cell>
          <cell r="BZ105">
            <v>6233</v>
          </cell>
          <cell r="CA105">
            <v>6167</v>
          </cell>
          <cell r="CB105">
            <v>5809</v>
          </cell>
          <cell r="CC105">
            <v>6059</v>
          </cell>
          <cell r="CD105">
            <v>5128</v>
          </cell>
          <cell r="CE105">
            <v>5507</v>
          </cell>
          <cell r="CF105">
            <v>5823</v>
          </cell>
          <cell r="CG105">
            <v>5905</v>
          </cell>
          <cell r="CH105">
            <v>5515</v>
          </cell>
          <cell r="CI105">
            <v>5993</v>
          </cell>
          <cell r="CJ105">
            <v>5836</v>
          </cell>
          <cell r="CK105">
            <v>5628</v>
          </cell>
          <cell r="CL105">
            <v>5541</v>
          </cell>
          <cell r="CM105">
            <v>5814</v>
          </cell>
          <cell r="CN105">
            <v>6355</v>
          </cell>
          <cell r="CO105">
            <v>5724</v>
          </cell>
          <cell r="CP105">
            <v>5567</v>
          </cell>
          <cell r="CQ105">
            <v>5750</v>
          </cell>
          <cell r="CR105">
            <v>6077</v>
          </cell>
          <cell r="CS105">
            <v>5458</v>
          </cell>
          <cell r="CT105">
            <v>5609</v>
          </cell>
          <cell r="CU105">
            <v>5438</v>
          </cell>
          <cell r="CV105">
            <v>6032</v>
          </cell>
          <cell r="CW105">
            <v>5524</v>
          </cell>
          <cell r="CX105">
            <v>5487</v>
          </cell>
          <cell r="CY105">
            <v>5480</v>
          </cell>
          <cell r="CZ105">
            <v>5194</v>
          </cell>
          <cell r="DA105">
            <v>5941</v>
          </cell>
          <cell r="DB105">
            <v>5397</v>
          </cell>
          <cell r="DC105">
            <v>5333</v>
          </cell>
          <cell r="DD105">
            <v>5455</v>
          </cell>
          <cell r="DE105">
            <v>5593</v>
          </cell>
          <cell r="DF105">
            <v>5804</v>
          </cell>
          <cell r="DG105">
            <v>5541</v>
          </cell>
          <cell r="DH105">
            <v>5409</v>
          </cell>
          <cell r="DI105">
            <v>5651</v>
          </cell>
          <cell r="DJ105">
            <v>5758</v>
          </cell>
          <cell r="DK105">
            <v>5335</v>
          </cell>
          <cell r="DL105">
            <v>5423</v>
          </cell>
          <cell r="DM105">
            <v>5510</v>
          </cell>
          <cell r="DN105">
            <v>5565</v>
          </cell>
          <cell r="DO105">
            <v>5755</v>
          </cell>
          <cell r="DP105">
            <v>5565</v>
          </cell>
          <cell r="DQ105">
            <v>5441</v>
          </cell>
          <cell r="DR105">
            <v>6091</v>
          </cell>
          <cell r="DS105">
            <v>5585</v>
          </cell>
          <cell r="DT105">
            <v>5335</v>
          </cell>
          <cell r="DU105">
            <v>5286</v>
          </cell>
          <cell r="DV105">
            <v>5460</v>
          </cell>
          <cell r="DW105">
            <v>5914</v>
          </cell>
          <cell r="DX105">
            <v>5204</v>
          </cell>
          <cell r="DY105">
            <v>5555</v>
          </cell>
          <cell r="DZ105">
            <v>4869</v>
          </cell>
          <cell r="EA105">
            <v>6288</v>
          </cell>
          <cell r="EB105">
            <v>5460</v>
          </cell>
          <cell r="EC105">
            <v>5786</v>
          </cell>
          <cell r="ED105">
            <v>4883</v>
          </cell>
          <cell r="EE105">
            <v>5348</v>
          </cell>
          <cell r="EF105">
            <v>5695</v>
          </cell>
          <cell r="EG105">
            <v>5550</v>
          </cell>
          <cell r="EH105">
            <v>5226</v>
          </cell>
          <cell r="EI105">
            <v>5303</v>
          </cell>
          <cell r="EJ105">
            <v>5611</v>
          </cell>
          <cell r="EK105">
            <v>5171</v>
          </cell>
          <cell r="EL105">
            <v>5229</v>
          </cell>
          <cell r="EM105">
            <v>5395</v>
          </cell>
          <cell r="EN105">
            <v>5769</v>
          </cell>
          <cell r="EO105">
            <v>5274</v>
          </cell>
          <cell r="EP105">
            <v>5231</v>
          </cell>
          <cell r="EQ105">
            <v>5065</v>
          </cell>
          <cell r="ER105">
            <v>5347</v>
          </cell>
          <cell r="ES105">
            <v>5252</v>
          </cell>
          <cell r="ET105">
            <v>5048</v>
          </cell>
          <cell r="EU105">
            <v>5156</v>
          </cell>
          <cell r="EV105">
            <v>5351</v>
          </cell>
          <cell r="EW105">
            <v>5363</v>
          </cell>
          <cell r="EX105">
            <v>5212</v>
          </cell>
          <cell r="EY105">
            <v>5266</v>
          </cell>
          <cell r="EZ105">
            <v>4721</v>
          </cell>
          <cell r="FA105">
            <v>5686</v>
          </cell>
          <cell r="FB105">
            <v>5134</v>
          </cell>
          <cell r="FC105">
            <v>5078</v>
          </cell>
          <cell r="FD105">
            <v>4978</v>
          </cell>
          <cell r="FE105">
            <v>5536</v>
          </cell>
          <cell r="FF105">
            <v>5237</v>
          </cell>
          <cell r="FG105">
            <v>5008</v>
          </cell>
          <cell r="FH105">
            <v>5026</v>
          </cell>
          <cell r="FI105">
            <v>5071</v>
          </cell>
          <cell r="FJ105">
            <v>5450</v>
          </cell>
          <cell r="FK105">
            <v>5064</v>
          </cell>
          <cell r="FL105">
            <v>4987</v>
          </cell>
          <cell r="FM105">
            <v>5185</v>
          </cell>
          <cell r="FN105">
            <v>5630</v>
          </cell>
          <cell r="FO105">
            <v>4668</v>
          </cell>
          <cell r="FP105">
            <v>5104</v>
          </cell>
          <cell r="FQ105">
            <v>5240</v>
          </cell>
          <cell r="FR105">
            <v>5545</v>
          </cell>
          <cell r="FS105">
            <v>5054</v>
          </cell>
          <cell r="FT105">
            <v>4948</v>
          </cell>
          <cell r="FU105">
            <v>4954</v>
          </cell>
          <cell r="FV105">
            <v>5207</v>
          </cell>
          <cell r="FW105">
            <v>5344</v>
          </cell>
          <cell r="FX105">
            <v>4876</v>
          </cell>
          <cell r="FY105">
            <v>5058</v>
          </cell>
          <cell r="FZ105">
            <v>4594</v>
          </cell>
          <cell r="GA105">
            <v>5954</v>
          </cell>
          <cell r="GB105">
            <v>5034</v>
          </cell>
          <cell r="GC105">
            <v>5209</v>
          </cell>
          <cell r="GD105">
            <v>4402</v>
          </cell>
          <cell r="GE105">
            <v>5225</v>
          </cell>
          <cell r="GF105">
            <v>5458</v>
          </cell>
          <cell r="GG105">
            <v>5203</v>
          </cell>
          <cell r="GH105">
            <v>4812</v>
          </cell>
          <cell r="GI105">
            <v>5036</v>
          </cell>
          <cell r="GJ105">
            <v>5394</v>
          </cell>
          <cell r="GK105">
            <v>4718</v>
          </cell>
          <cell r="GL105">
            <v>1720</v>
          </cell>
          <cell r="GM105">
            <v>1703</v>
          </cell>
          <cell r="GN105">
            <v>1955</v>
          </cell>
        </row>
        <row r="106">
          <cell r="B106" t="str">
            <v>VIREAD</v>
          </cell>
          <cell r="C106" t="str">
            <v>GS-</v>
          </cell>
          <cell r="D106">
            <v>12076</v>
          </cell>
          <cell r="E106">
            <v>11271</v>
          </cell>
          <cell r="F106">
            <v>11671</v>
          </cell>
          <cell r="G106">
            <v>11131</v>
          </cell>
          <cell r="H106">
            <v>11365</v>
          </cell>
          <cell r="I106">
            <v>11895</v>
          </cell>
          <cell r="J106">
            <v>11385</v>
          </cell>
          <cell r="K106">
            <v>11249</v>
          </cell>
          <cell r="L106">
            <v>11296</v>
          </cell>
          <cell r="M106">
            <v>11955</v>
          </cell>
          <cell r="N106">
            <v>10836</v>
          </cell>
          <cell r="O106">
            <v>11230</v>
          </cell>
          <cell r="P106">
            <v>10878</v>
          </cell>
          <cell r="Q106">
            <v>11080</v>
          </cell>
          <cell r="R106">
            <v>11541</v>
          </cell>
          <cell r="S106">
            <v>10890</v>
          </cell>
          <cell r="T106">
            <v>10700</v>
          </cell>
          <cell r="U106">
            <v>10828</v>
          </cell>
          <cell r="V106">
            <v>11112</v>
          </cell>
          <cell r="W106">
            <v>10855</v>
          </cell>
          <cell r="X106">
            <v>10486</v>
          </cell>
          <cell r="Y106">
            <v>9363</v>
          </cell>
          <cell r="Z106">
            <v>11738</v>
          </cell>
          <cell r="AA106">
            <v>11228</v>
          </cell>
          <cell r="AB106">
            <v>10727</v>
          </cell>
          <cell r="AC106">
            <v>10762</v>
          </cell>
          <cell r="AD106">
            <v>9664</v>
          </cell>
          <cell r="AE106">
            <v>10076</v>
          </cell>
          <cell r="AF106">
            <v>10746</v>
          </cell>
          <cell r="AG106">
            <v>10042</v>
          </cell>
          <cell r="AH106">
            <v>10212</v>
          </cell>
          <cell r="AI106">
            <v>10865</v>
          </cell>
          <cell r="AJ106">
            <v>10281</v>
          </cell>
          <cell r="AK106">
            <v>10164</v>
          </cell>
          <cell r="AL106">
            <v>9861</v>
          </cell>
          <cell r="AM106">
            <v>10904</v>
          </cell>
          <cell r="AN106">
            <v>10336</v>
          </cell>
          <cell r="AO106">
            <v>10037</v>
          </cell>
          <cell r="AP106">
            <v>9834</v>
          </cell>
          <cell r="AQ106">
            <v>9600</v>
          </cell>
          <cell r="AR106">
            <v>10497</v>
          </cell>
          <cell r="AS106">
            <v>9801</v>
          </cell>
          <cell r="AT106">
            <v>9508</v>
          </cell>
          <cell r="AU106">
            <v>9400</v>
          </cell>
          <cell r="AV106">
            <v>10614</v>
          </cell>
          <cell r="AW106">
            <v>10102</v>
          </cell>
          <cell r="AX106">
            <v>9727</v>
          </cell>
          <cell r="AY106">
            <v>9554</v>
          </cell>
          <cell r="AZ106">
            <v>9464</v>
          </cell>
          <cell r="BA106">
            <v>10348</v>
          </cell>
          <cell r="BB106">
            <v>9621</v>
          </cell>
          <cell r="BC106">
            <v>9419</v>
          </cell>
          <cell r="BD106">
            <v>9737</v>
          </cell>
          <cell r="BE106">
            <v>9596</v>
          </cell>
          <cell r="BF106">
            <v>9778</v>
          </cell>
          <cell r="BG106">
            <v>9416</v>
          </cell>
          <cell r="BH106">
            <v>9328</v>
          </cell>
          <cell r="BI106">
            <v>10067</v>
          </cell>
          <cell r="BJ106">
            <v>9228</v>
          </cell>
          <cell r="BK106">
            <v>9265</v>
          </cell>
          <cell r="BL106">
            <v>8932</v>
          </cell>
          <cell r="BM106">
            <v>9523</v>
          </cell>
          <cell r="BN106">
            <v>8681</v>
          </cell>
          <cell r="BO106">
            <v>9424</v>
          </cell>
          <cell r="BP106">
            <v>9110</v>
          </cell>
          <cell r="BQ106">
            <v>9308</v>
          </cell>
          <cell r="BR106">
            <v>9827</v>
          </cell>
          <cell r="BS106">
            <v>9157</v>
          </cell>
          <cell r="BT106">
            <v>8971</v>
          </cell>
          <cell r="BU106">
            <v>8920</v>
          </cell>
          <cell r="BV106">
            <v>9400</v>
          </cell>
          <cell r="BW106">
            <v>9474</v>
          </cell>
          <cell r="BX106">
            <v>8888</v>
          </cell>
          <cell r="BY106">
            <v>7728</v>
          </cell>
          <cell r="BZ106">
            <v>9728</v>
          </cell>
          <cell r="CA106">
            <v>9597</v>
          </cell>
          <cell r="CB106">
            <v>9002</v>
          </cell>
          <cell r="CC106">
            <v>8910</v>
          </cell>
          <cell r="CD106">
            <v>8019</v>
          </cell>
          <cell r="CE106">
            <v>8649</v>
          </cell>
          <cell r="CF106">
            <v>9300</v>
          </cell>
          <cell r="CG106">
            <v>8859</v>
          </cell>
          <cell r="CH106">
            <v>8583</v>
          </cell>
          <cell r="CI106">
            <v>9305</v>
          </cell>
          <cell r="CJ106">
            <v>9174</v>
          </cell>
          <cell r="CK106">
            <v>8578</v>
          </cell>
          <cell r="CL106">
            <v>8516</v>
          </cell>
          <cell r="CM106">
            <v>8936</v>
          </cell>
          <cell r="CN106">
            <v>9837</v>
          </cell>
          <cell r="CO106">
            <v>8741</v>
          </cell>
          <cell r="CP106">
            <v>8579</v>
          </cell>
          <cell r="CQ106">
            <v>8830</v>
          </cell>
          <cell r="CR106">
            <v>9309</v>
          </cell>
          <cell r="CS106">
            <v>8894</v>
          </cell>
          <cell r="CT106">
            <v>8560</v>
          </cell>
          <cell r="CU106">
            <v>8454</v>
          </cell>
          <cell r="CV106">
            <v>9244</v>
          </cell>
          <cell r="CW106">
            <v>9082</v>
          </cell>
          <cell r="CX106">
            <v>8476</v>
          </cell>
          <cell r="CY106">
            <v>8516</v>
          </cell>
          <cell r="CZ106">
            <v>8331</v>
          </cell>
          <cell r="DA106">
            <v>9270</v>
          </cell>
          <cell r="DB106">
            <v>8546</v>
          </cell>
          <cell r="DC106">
            <v>8455</v>
          </cell>
          <cell r="DD106">
            <v>8756</v>
          </cell>
          <cell r="DE106">
            <v>8506</v>
          </cell>
          <cell r="DF106">
            <v>8671</v>
          </cell>
          <cell r="DG106">
            <v>8427</v>
          </cell>
          <cell r="DH106">
            <v>8274</v>
          </cell>
          <cell r="DI106">
            <v>8745</v>
          </cell>
          <cell r="DJ106">
            <v>8818</v>
          </cell>
          <cell r="DK106">
            <v>8378</v>
          </cell>
          <cell r="DL106">
            <v>8228</v>
          </cell>
          <cell r="DM106">
            <v>8727</v>
          </cell>
          <cell r="DN106">
            <v>8689</v>
          </cell>
          <cell r="DO106">
            <v>9187</v>
          </cell>
          <cell r="DP106">
            <v>8578</v>
          </cell>
          <cell r="DQ106">
            <v>8731</v>
          </cell>
          <cell r="DR106">
            <v>9463</v>
          </cell>
          <cell r="DS106">
            <v>9059</v>
          </cell>
          <cell r="DT106">
            <v>8413</v>
          </cell>
          <cell r="DU106">
            <v>8628</v>
          </cell>
          <cell r="DV106">
            <v>8838</v>
          </cell>
          <cell r="DW106">
            <v>9565</v>
          </cell>
          <cell r="DX106">
            <v>8999</v>
          </cell>
          <cell r="DY106">
            <v>9136</v>
          </cell>
          <cell r="DZ106">
            <v>8065</v>
          </cell>
          <cell r="EA106">
            <v>10285</v>
          </cell>
          <cell r="EB106">
            <v>9614</v>
          </cell>
          <cell r="EC106">
            <v>9468</v>
          </cell>
          <cell r="ED106">
            <v>7667</v>
          </cell>
          <cell r="EE106">
            <v>8815</v>
          </cell>
          <cell r="EF106">
            <v>10032</v>
          </cell>
          <cell r="EG106">
            <v>9548</v>
          </cell>
          <cell r="EH106">
            <v>8486</v>
          </cell>
          <cell r="EI106">
            <v>9110</v>
          </cell>
          <cell r="EJ106">
            <v>9636</v>
          </cell>
          <cell r="EK106">
            <v>9215</v>
          </cell>
          <cell r="EL106">
            <v>8978</v>
          </cell>
          <cell r="EM106">
            <v>9216</v>
          </cell>
          <cell r="EN106">
            <v>10324</v>
          </cell>
          <cell r="EO106">
            <v>9503</v>
          </cell>
          <cell r="EP106">
            <v>9303</v>
          </cell>
          <cell r="EQ106">
            <v>9098</v>
          </cell>
          <cell r="ER106">
            <v>10017</v>
          </cell>
          <cell r="ES106">
            <v>9527</v>
          </cell>
          <cell r="ET106">
            <v>9305</v>
          </cell>
          <cell r="EU106">
            <v>9337</v>
          </cell>
          <cell r="EV106">
            <v>9776</v>
          </cell>
          <cell r="EW106">
            <v>10214</v>
          </cell>
          <cell r="EX106">
            <v>9597</v>
          </cell>
          <cell r="EY106">
            <v>9587</v>
          </cell>
          <cell r="EZ106">
            <v>9147</v>
          </cell>
          <cell r="FA106">
            <v>10347</v>
          </cell>
          <cell r="FB106">
            <v>10024</v>
          </cell>
          <cell r="FC106">
            <v>9665</v>
          </cell>
          <cell r="FD106">
            <v>9583</v>
          </cell>
          <cell r="FE106">
            <v>10455</v>
          </cell>
          <cell r="FF106">
            <v>9875</v>
          </cell>
          <cell r="FG106">
            <v>9912</v>
          </cell>
          <cell r="FH106">
            <v>9662</v>
          </cell>
          <cell r="FI106">
            <v>10044</v>
          </cell>
          <cell r="FJ106">
            <v>10405</v>
          </cell>
          <cell r="FK106">
            <v>10014</v>
          </cell>
          <cell r="FL106">
            <v>9811</v>
          </cell>
          <cell r="FM106">
            <v>9958</v>
          </cell>
          <cell r="FN106">
            <v>10542</v>
          </cell>
          <cell r="FO106">
            <v>9293</v>
          </cell>
          <cell r="FP106">
            <v>10179</v>
          </cell>
          <cell r="FQ106">
            <v>10196</v>
          </cell>
          <cell r="FR106">
            <v>10606</v>
          </cell>
          <cell r="FS106">
            <v>10049</v>
          </cell>
          <cell r="FT106">
            <v>10068</v>
          </cell>
          <cell r="FU106">
            <v>9995</v>
          </cell>
          <cell r="FV106">
            <v>10190</v>
          </cell>
          <cell r="FW106">
            <v>10316</v>
          </cell>
          <cell r="FX106">
            <v>10292</v>
          </cell>
          <cell r="FY106">
            <v>10234</v>
          </cell>
          <cell r="FZ106">
            <v>9259</v>
          </cell>
          <cell r="GA106">
            <v>11473</v>
          </cell>
          <cell r="GB106">
            <v>10803</v>
          </cell>
          <cell r="GC106">
            <v>10651</v>
          </cell>
          <cell r="GD106">
            <v>8966</v>
          </cell>
          <cell r="GE106">
            <v>10059</v>
          </cell>
          <cell r="GF106">
            <v>11406</v>
          </cell>
          <cell r="GG106">
            <v>10676</v>
          </cell>
          <cell r="GH106">
            <v>9860</v>
          </cell>
          <cell r="GI106">
            <v>10340</v>
          </cell>
          <cell r="GJ106">
            <v>11058</v>
          </cell>
          <cell r="GK106">
            <v>9840</v>
          </cell>
          <cell r="GL106">
            <v>4886</v>
          </cell>
          <cell r="GM106">
            <v>5154</v>
          </cell>
          <cell r="GN106">
            <v>5413</v>
          </cell>
        </row>
        <row r="107">
          <cell r="B107" t="str">
            <v>VISUDYNE</v>
          </cell>
          <cell r="C107" t="str">
            <v>NSV</v>
          </cell>
          <cell r="D107">
            <v>1</v>
          </cell>
          <cell r="E107">
            <v>4</v>
          </cell>
          <cell r="F107">
            <v>2</v>
          </cell>
          <cell r="G107">
            <v>2</v>
          </cell>
          <cell r="H107">
            <v>2</v>
          </cell>
          <cell r="I107">
            <v>1</v>
          </cell>
          <cell r="J107">
            <v>14</v>
          </cell>
          <cell r="K107">
            <v>13</v>
          </cell>
          <cell r="L107">
            <v>2</v>
          </cell>
          <cell r="M107">
            <v>12</v>
          </cell>
          <cell r="N107">
            <v>1</v>
          </cell>
          <cell r="O107">
            <v>4</v>
          </cell>
          <cell r="P107">
            <v>4</v>
          </cell>
          <cell r="Q107">
            <v>3</v>
          </cell>
          <cell r="R107">
            <v>4</v>
          </cell>
          <cell r="S107">
            <v>5</v>
          </cell>
          <cell r="T107">
            <v>4</v>
          </cell>
          <cell r="U107">
            <v>9</v>
          </cell>
          <cell r="V107">
            <v>4</v>
          </cell>
          <cell r="W107">
            <v>4</v>
          </cell>
          <cell r="X107">
            <v>6</v>
          </cell>
          <cell r="Y107">
            <v>1</v>
          </cell>
          <cell r="Z107">
            <v>4</v>
          </cell>
          <cell r="AA107">
            <v>4</v>
          </cell>
          <cell r="AB107">
            <v>4</v>
          </cell>
          <cell r="AC107">
            <v>6</v>
          </cell>
          <cell r="AD107">
            <v>0</v>
          </cell>
          <cell r="AE107">
            <v>5</v>
          </cell>
          <cell r="AF107">
            <v>6</v>
          </cell>
          <cell r="AG107">
            <v>3</v>
          </cell>
          <cell r="AH107">
            <v>2</v>
          </cell>
          <cell r="AI107">
            <v>5</v>
          </cell>
          <cell r="AJ107">
            <v>1</v>
          </cell>
          <cell r="AK107">
            <v>3</v>
          </cell>
          <cell r="AL107">
            <v>2</v>
          </cell>
          <cell r="AM107">
            <v>5</v>
          </cell>
          <cell r="AN107">
            <v>7</v>
          </cell>
          <cell r="AO107">
            <v>7</v>
          </cell>
          <cell r="AP107">
            <v>5</v>
          </cell>
          <cell r="AQ107">
            <v>4</v>
          </cell>
          <cell r="AR107">
            <v>3</v>
          </cell>
          <cell r="AS107">
            <v>6</v>
          </cell>
          <cell r="AT107">
            <v>12</v>
          </cell>
          <cell r="AU107">
            <v>9</v>
          </cell>
          <cell r="AV107">
            <v>10</v>
          </cell>
          <cell r="AW107">
            <v>4</v>
          </cell>
          <cell r="AX107">
            <v>3</v>
          </cell>
          <cell r="AY107">
            <v>6</v>
          </cell>
          <cell r="AZ107">
            <v>3</v>
          </cell>
          <cell r="BA107">
            <v>9</v>
          </cell>
          <cell r="BB107">
            <v>5</v>
          </cell>
          <cell r="BC107">
            <v>8</v>
          </cell>
          <cell r="BD107">
            <v>5</v>
          </cell>
          <cell r="BE107">
            <v>1</v>
          </cell>
          <cell r="BF107">
            <v>4</v>
          </cell>
          <cell r="BG107">
            <v>7</v>
          </cell>
          <cell r="BH107">
            <v>4</v>
          </cell>
          <cell r="BI107">
            <v>0</v>
          </cell>
          <cell r="BJ107">
            <v>2</v>
          </cell>
          <cell r="BK107">
            <v>4</v>
          </cell>
          <cell r="BL107">
            <v>8</v>
          </cell>
          <cell r="BM107">
            <v>3</v>
          </cell>
          <cell r="BN107">
            <v>7</v>
          </cell>
          <cell r="BO107">
            <v>3</v>
          </cell>
          <cell r="BP107">
            <v>4</v>
          </cell>
          <cell r="BQ107">
            <v>8</v>
          </cell>
          <cell r="BR107">
            <v>2</v>
          </cell>
          <cell r="BS107">
            <v>0</v>
          </cell>
          <cell r="BT107">
            <v>3</v>
          </cell>
          <cell r="BU107">
            <v>1</v>
          </cell>
          <cell r="BV107">
            <v>3</v>
          </cell>
          <cell r="BW107">
            <v>8</v>
          </cell>
          <cell r="BX107">
            <v>3</v>
          </cell>
          <cell r="BY107">
            <v>4</v>
          </cell>
          <cell r="BZ107">
            <v>5</v>
          </cell>
          <cell r="CA107">
            <v>4</v>
          </cell>
          <cell r="CB107">
            <v>2</v>
          </cell>
          <cell r="CC107">
            <v>0</v>
          </cell>
          <cell r="CD107">
            <v>0</v>
          </cell>
          <cell r="CE107">
            <v>4</v>
          </cell>
          <cell r="CF107">
            <v>2</v>
          </cell>
          <cell r="CG107">
            <v>4</v>
          </cell>
          <cell r="CH107">
            <v>3</v>
          </cell>
          <cell r="CI107">
            <v>5</v>
          </cell>
          <cell r="CJ107">
            <v>5</v>
          </cell>
          <cell r="CK107">
            <v>2</v>
          </cell>
          <cell r="CL107">
            <v>0</v>
          </cell>
          <cell r="CM107">
            <v>5</v>
          </cell>
          <cell r="CN107">
            <v>2</v>
          </cell>
          <cell r="CO107">
            <v>1</v>
          </cell>
          <cell r="CP107">
            <v>0</v>
          </cell>
          <cell r="CQ107">
            <v>5</v>
          </cell>
          <cell r="CR107">
            <v>3</v>
          </cell>
          <cell r="CS107">
            <v>1</v>
          </cell>
          <cell r="CT107">
            <v>0</v>
          </cell>
          <cell r="CU107">
            <v>0</v>
          </cell>
          <cell r="CV107">
            <v>2</v>
          </cell>
          <cell r="CW107">
            <v>1</v>
          </cell>
          <cell r="CX107">
            <v>4</v>
          </cell>
          <cell r="CY107">
            <v>0</v>
          </cell>
          <cell r="CZ107">
            <v>3</v>
          </cell>
          <cell r="DA107">
            <v>2</v>
          </cell>
          <cell r="DB107">
            <v>3</v>
          </cell>
          <cell r="DC107">
            <v>2</v>
          </cell>
          <cell r="DD107">
            <v>5</v>
          </cell>
          <cell r="DE107">
            <v>4</v>
          </cell>
          <cell r="DF107">
            <v>6</v>
          </cell>
          <cell r="DG107">
            <v>2</v>
          </cell>
          <cell r="DH107">
            <v>3</v>
          </cell>
          <cell r="DI107">
            <v>3</v>
          </cell>
          <cell r="DJ107">
            <v>4</v>
          </cell>
          <cell r="DK107">
            <v>4</v>
          </cell>
          <cell r="DL107">
            <v>1</v>
          </cell>
          <cell r="DM107">
            <v>6</v>
          </cell>
          <cell r="DN107">
            <v>4</v>
          </cell>
          <cell r="DO107">
            <v>5</v>
          </cell>
          <cell r="DP107">
            <v>1</v>
          </cell>
          <cell r="DQ107">
            <v>5</v>
          </cell>
          <cell r="DR107">
            <v>1</v>
          </cell>
          <cell r="DS107">
            <v>3</v>
          </cell>
          <cell r="DT107">
            <v>0</v>
          </cell>
          <cell r="DU107">
            <v>4</v>
          </cell>
          <cell r="DV107">
            <v>2</v>
          </cell>
          <cell r="DW107">
            <v>8</v>
          </cell>
          <cell r="DX107">
            <v>4</v>
          </cell>
          <cell r="DY107">
            <v>5</v>
          </cell>
          <cell r="DZ107">
            <v>0</v>
          </cell>
          <cell r="EA107">
            <v>1</v>
          </cell>
          <cell r="EB107">
            <v>2</v>
          </cell>
          <cell r="EC107">
            <v>2</v>
          </cell>
          <cell r="EE107">
            <v>0</v>
          </cell>
          <cell r="EF107">
            <v>0</v>
          </cell>
          <cell r="EH107">
            <v>1</v>
          </cell>
          <cell r="EM107">
            <v>1</v>
          </cell>
          <cell r="EQ107">
            <v>1</v>
          </cell>
          <cell r="EX107">
            <v>1</v>
          </cell>
          <cell r="EY107">
            <v>1</v>
          </cell>
          <cell r="FE107">
            <v>2</v>
          </cell>
          <cell r="FG107">
            <v>2</v>
          </cell>
          <cell r="FS107">
            <v>2</v>
          </cell>
          <cell r="FW107">
            <v>1</v>
          </cell>
          <cell r="GD107">
            <v>1</v>
          </cell>
          <cell r="GF107">
            <v>1</v>
          </cell>
          <cell r="GH107">
            <v>3</v>
          </cell>
          <cell r="GI107">
            <v>3</v>
          </cell>
          <cell r="GJ107">
            <v>2</v>
          </cell>
          <cell r="GK107">
            <v>9840</v>
          </cell>
          <cell r="GL107">
            <v>10115</v>
          </cell>
          <cell r="GM107">
            <v>10328</v>
          </cell>
          <cell r="GN107">
            <v>11438</v>
          </cell>
        </row>
        <row r="108">
          <cell r="B108" t="str">
            <v>ZEMPLAR</v>
          </cell>
          <cell r="C108" t="str">
            <v>ABT</v>
          </cell>
          <cell r="D108">
            <v>2480</v>
          </cell>
          <cell r="E108">
            <v>2371</v>
          </cell>
          <cell r="F108">
            <v>2432</v>
          </cell>
          <cell r="G108">
            <v>2619</v>
          </cell>
          <cell r="H108">
            <v>2680</v>
          </cell>
          <cell r="I108">
            <v>2721</v>
          </cell>
          <cell r="J108">
            <v>2764</v>
          </cell>
          <cell r="K108">
            <v>2732</v>
          </cell>
          <cell r="L108">
            <v>2899</v>
          </cell>
          <cell r="M108">
            <v>2854</v>
          </cell>
          <cell r="N108">
            <v>2736</v>
          </cell>
          <cell r="O108">
            <v>2923</v>
          </cell>
          <cell r="P108">
            <v>3061</v>
          </cell>
          <cell r="Q108">
            <v>3190</v>
          </cell>
          <cell r="R108">
            <v>3104</v>
          </cell>
          <cell r="S108">
            <v>3081</v>
          </cell>
          <cell r="T108">
            <v>3152</v>
          </cell>
          <cell r="U108">
            <v>3130</v>
          </cell>
          <cell r="V108">
            <v>3524</v>
          </cell>
          <cell r="W108">
            <v>3427</v>
          </cell>
          <cell r="X108">
            <v>3296</v>
          </cell>
          <cell r="Y108">
            <v>2686</v>
          </cell>
          <cell r="Z108">
            <v>3669</v>
          </cell>
          <cell r="AA108">
            <v>3728</v>
          </cell>
          <cell r="AB108">
            <v>3676</v>
          </cell>
          <cell r="AC108">
            <v>3628</v>
          </cell>
          <cell r="AD108">
            <v>3105</v>
          </cell>
          <cell r="AE108">
            <v>3358</v>
          </cell>
          <cell r="AF108">
            <v>3693</v>
          </cell>
          <cell r="AG108">
            <v>3521</v>
          </cell>
          <cell r="AH108">
            <v>3560</v>
          </cell>
          <cell r="AI108">
            <v>3807</v>
          </cell>
          <cell r="AJ108">
            <v>3907</v>
          </cell>
          <cell r="AK108">
            <v>3631</v>
          </cell>
          <cell r="AL108">
            <v>3643</v>
          </cell>
          <cell r="AM108">
            <v>4000</v>
          </cell>
          <cell r="AN108">
            <v>4053</v>
          </cell>
          <cell r="AO108">
            <v>3886</v>
          </cell>
          <cell r="AP108">
            <v>3856</v>
          </cell>
          <cell r="AQ108">
            <v>3866</v>
          </cell>
          <cell r="AR108">
            <v>4163</v>
          </cell>
          <cell r="AS108">
            <v>3773</v>
          </cell>
          <cell r="AT108">
            <v>3742</v>
          </cell>
          <cell r="AU108">
            <v>3941</v>
          </cell>
          <cell r="AV108">
            <v>4359</v>
          </cell>
          <cell r="AW108">
            <v>4035</v>
          </cell>
          <cell r="AX108">
            <v>4059</v>
          </cell>
          <cell r="AY108">
            <v>3896</v>
          </cell>
          <cell r="AZ108">
            <v>4058</v>
          </cell>
          <cell r="BA108">
            <v>4348</v>
          </cell>
          <cell r="BB108">
            <v>4376</v>
          </cell>
          <cell r="BC108">
            <v>4105</v>
          </cell>
          <cell r="BD108">
            <v>4333</v>
          </cell>
          <cell r="BE108">
            <v>4368</v>
          </cell>
          <cell r="BF108">
            <v>4414</v>
          </cell>
          <cell r="BG108">
            <v>4298</v>
          </cell>
          <cell r="BH108">
            <v>4325</v>
          </cell>
          <cell r="BI108">
            <v>4644</v>
          </cell>
          <cell r="BJ108">
            <v>4471</v>
          </cell>
          <cell r="BK108">
            <v>4319</v>
          </cell>
          <cell r="BL108">
            <v>4288</v>
          </cell>
          <cell r="BM108">
            <v>4774</v>
          </cell>
          <cell r="BN108">
            <v>4215</v>
          </cell>
          <cell r="BO108">
            <v>4453</v>
          </cell>
          <cell r="BP108">
            <v>4477</v>
          </cell>
          <cell r="BQ108">
            <v>4710</v>
          </cell>
          <cell r="BR108">
            <v>4898</v>
          </cell>
          <cell r="BS108">
            <v>4494</v>
          </cell>
          <cell r="BT108">
            <v>4563</v>
          </cell>
          <cell r="BU108">
            <v>4804</v>
          </cell>
          <cell r="BV108">
            <v>4931</v>
          </cell>
          <cell r="BW108">
            <v>4843</v>
          </cell>
          <cell r="BX108">
            <v>4719</v>
          </cell>
          <cell r="BY108">
            <v>4167</v>
          </cell>
          <cell r="BZ108">
            <v>5258</v>
          </cell>
          <cell r="CA108">
            <v>5495</v>
          </cell>
          <cell r="CB108">
            <v>4814</v>
          </cell>
          <cell r="CC108">
            <v>5320</v>
          </cell>
          <cell r="CD108">
            <v>4442</v>
          </cell>
          <cell r="CE108">
            <v>4836</v>
          </cell>
          <cell r="CF108">
            <v>5148</v>
          </cell>
          <cell r="CG108">
            <v>5160</v>
          </cell>
          <cell r="CH108">
            <v>5172</v>
          </cell>
          <cell r="CI108">
            <v>5156</v>
          </cell>
          <cell r="CJ108">
            <v>5158</v>
          </cell>
          <cell r="CK108">
            <v>5242</v>
          </cell>
          <cell r="CL108">
            <v>5228</v>
          </cell>
          <cell r="CM108">
            <v>5359</v>
          </cell>
          <cell r="CN108">
            <v>5750</v>
          </cell>
          <cell r="CO108">
            <v>5588</v>
          </cell>
          <cell r="CP108">
            <v>5423</v>
          </cell>
          <cell r="CQ108">
            <v>5516</v>
          </cell>
          <cell r="CR108">
            <v>5963</v>
          </cell>
          <cell r="CS108">
            <v>5836</v>
          </cell>
          <cell r="CT108">
            <v>5804</v>
          </cell>
          <cell r="CU108">
            <v>5829</v>
          </cell>
          <cell r="CV108">
            <v>6058</v>
          </cell>
          <cell r="CW108">
            <v>6100</v>
          </cell>
          <cell r="CX108">
            <v>6056</v>
          </cell>
          <cell r="CY108">
            <v>5853</v>
          </cell>
          <cell r="CZ108">
            <v>5744</v>
          </cell>
          <cell r="DA108">
            <v>6356</v>
          </cell>
          <cell r="DB108">
            <v>6320</v>
          </cell>
          <cell r="DC108">
            <v>6088</v>
          </cell>
          <cell r="DD108">
            <v>6059</v>
          </cell>
          <cell r="DE108">
            <v>5995</v>
          </cell>
          <cell r="DF108">
            <v>6308</v>
          </cell>
          <cell r="DG108">
            <v>6049</v>
          </cell>
          <cell r="DH108">
            <v>5965</v>
          </cell>
          <cell r="DI108">
            <v>6218</v>
          </cell>
          <cell r="DJ108">
            <v>6396</v>
          </cell>
          <cell r="DK108">
            <v>5938</v>
          </cell>
          <cell r="DL108">
            <v>6066</v>
          </cell>
          <cell r="DM108">
            <v>6351</v>
          </cell>
          <cell r="DN108">
            <v>5999</v>
          </cell>
          <cell r="DO108">
            <v>6581</v>
          </cell>
          <cell r="DP108">
            <v>6097</v>
          </cell>
          <cell r="DQ108">
            <v>6236</v>
          </cell>
          <cell r="DR108">
            <v>6875</v>
          </cell>
          <cell r="DS108">
            <v>6524</v>
          </cell>
          <cell r="DT108">
            <v>5943</v>
          </cell>
          <cell r="DU108">
            <v>5807</v>
          </cell>
          <cell r="DV108">
            <v>6350</v>
          </cell>
          <cell r="DW108">
            <v>6947</v>
          </cell>
          <cell r="DX108">
            <v>6423</v>
          </cell>
          <cell r="DY108">
            <v>6270</v>
          </cell>
          <cell r="DZ108">
            <v>5362</v>
          </cell>
          <cell r="EA108">
            <v>6903</v>
          </cell>
          <cell r="EB108">
            <v>6269</v>
          </cell>
          <cell r="EC108">
            <v>6208</v>
          </cell>
          <cell r="ED108">
            <v>5264</v>
          </cell>
          <cell r="EE108">
            <v>6455</v>
          </cell>
          <cell r="EF108">
            <v>6873</v>
          </cell>
          <cell r="EG108">
            <v>6346</v>
          </cell>
          <cell r="EH108">
            <v>6245</v>
          </cell>
          <cell r="EI108">
            <v>6426</v>
          </cell>
          <cell r="EJ108">
            <v>6961</v>
          </cell>
          <cell r="EK108">
            <v>6463</v>
          </cell>
          <cell r="EL108">
            <v>6210</v>
          </cell>
          <cell r="EM108">
            <v>6588</v>
          </cell>
          <cell r="EN108">
            <v>7265</v>
          </cell>
          <cell r="EO108">
            <v>6905</v>
          </cell>
          <cell r="EP108">
            <v>6839</v>
          </cell>
          <cell r="EQ108">
            <v>6969</v>
          </cell>
          <cell r="ER108">
            <v>7128</v>
          </cell>
          <cell r="ES108">
            <v>6886</v>
          </cell>
          <cell r="ET108">
            <v>6777</v>
          </cell>
          <cell r="EU108">
            <v>7033</v>
          </cell>
          <cell r="EV108">
            <v>7363</v>
          </cell>
          <cell r="EW108">
            <v>7481</v>
          </cell>
          <cell r="EX108">
            <v>7397</v>
          </cell>
          <cell r="EY108">
            <v>7202</v>
          </cell>
          <cell r="EZ108">
            <v>7030</v>
          </cell>
          <cell r="FA108">
            <v>7802</v>
          </cell>
          <cell r="FB108">
            <v>7380</v>
          </cell>
          <cell r="FC108">
            <v>7414</v>
          </cell>
          <cell r="FD108">
            <v>7370</v>
          </cell>
          <cell r="FE108">
            <v>7539</v>
          </cell>
          <cell r="FF108">
            <v>7623</v>
          </cell>
          <cell r="FG108">
            <v>7701</v>
          </cell>
          <cell r="FH108">
            <v>7502</v>
          </cell>
          <cell r="FI108">
            <v>7560</v>
          </cell>
          <cell r="FJ108">
            <v>8016</v>
          </cell>
          <cell r="FK108">
            <v>7495</v>
          </cell>
          <cell r="FL108">
            <v>7365</v>
          </cell>
          <cell r="FM108">
            <v>7475</v>
          </cell>
          <cell r="FN108">
            <v>8451</v>
          </cell>
          <cell r="FO108">
            <v>7389</v>
          </cell>
          <cell r="FP108">
            <v>7877</v>
          </cell>
          <cell r="FQ108">
            <v>7476</v>
          </cell>
          <cell r="FR108">
            <v>7891</v>
          </cell>
          <cell r="FS108">
            <v>7906</v>
          </cell>
          <cell r="FT108">
            <v>7656</v>
          </cell>
          <cell r="FU108">
            <v>7607</v>
          </cell>
          <cell r="FV108">
            <v>7592</v>
          </cell>
          <cell r="FW108">
            <v>8344</v>
          </cell>
          <cell r="FX108">
            <v>7590</v>
          </cell>
          <cell r="FY108">
            <v>7372</v>
          </cell>
          <cell r="FZ108">
            <v>6412</v>
          </cell>
          <cell r="GA108">
            <v>8448</v>
          </cell>
          <cell r="GB108">
            <v>7622</v>
          </cell>
          <cell r="GC108">
            <v>7615</v>
          </cell>
          <cell r="GD108">
            <v>6293</v>
          </cell>
          <cell r="GE108">
            <v>7367</v>
          </cell>
          <cell r="GF108">
            <v>8327</v>
          </cell>
          <cell r="GG108">
            <v>7814</v>
          </cell>
          <cell r="GH108">
            <v>7326</v>
          </cell>
          <cell r="GI108">
            <v>7270</v>
          </cell>
          <cell r="GJ108">
            <v>7866</v>
          </cell>
          <cell r="GK108">
            <v>7510</v>
          </cell>
          <cell r="GL108">
            <v>7379</v>
          </cell>
          <cell r="GM108">
            <v>7218</v>
          </cell>
          <cell r="GN108">
            <v>8103</v>
          </cell>
        </row>
        <row r="109">
          <cell r="B109" t="str">
            <v>ZERIT</v>
          </cell>
          <cell r="C109" t="str">
            <v>BHV</v>
          </cell>
          <cell r="D109">
            <v>4690</v>
          </cell>
          <cell r="E109">
            <v>4207</v>
          </cell>
          <cell r="F109">
            <v>4594</v>
          </cell>
          <cell r="G109">
            <v>4108</v>
          </cell>
          <cell r="H109">
            <v>4255</v>
          </cell>
          <cell r="I109">
            <v>4502</v>
          </cell>
          <cell r="J109">
            <v>4553</v>
          </cell>
          <cell r="K109">
            <v>4205</v>
          </cell>
          <cell r="L109">
            <v>4250</v>
          </cell>
          <cell r="M109">
            <v>4370</v>
          </cell>
          <cell r="N109">
            <v>3975</v>
          </cell>
          <cell r="O109">
            <v>4283</v>
          </cell>
          <cell r="P109">
            <v>4116</v>
          </cell>
          <cell r="Q109">
            <v>4050</v>
          </cell>
          <cell r="R109">
            <v>4244</v>
          </cell>
          <cell r="S109">
            <v>3980</v>
          </cell>
          <cell r="T109">
            <v>3865</v>
          </cell>
          <cell r="U109">
            <v>4042</v>
          </cell>
          <cell r="V109">
            <v>4022</v>
          </cell>
          <cell r="W109">
            <v>3971</v>
          </cell>
          <cell r="X109">
            <v>3810</v>
          </cell>
          <cell r="Y109">
            <v>3340</v>
          </cell>
          <cell r="Z109">
            <v>4102</v>
          </cell>
          <cell r="AA109">
            <v>3971</v>
          </cell>
          <cell r="AB109">
            <v>3875</v>
          </cell>
          <cell r="AC109">
            <v>3899</v>
          </cell>
          <cell r="AD109">
            <v>3562</v>
          </cell>
          <cell r="AE109">
            <v>3646</v>
          </cell>
          <cell r="AF109">
            <v>3799</v>
          </cell>
          <cell r="AG109">
            <v>3596</v>
          </cell>
          <cell r="AH109">
            <v>3611</v>
          </cell>
          <cell r="AI109">
            <v>3862</v>
          </cell>
          <cell r="AJ109">
            <v>3630</v>
          </cell>
          <cell r="AK109">
            <v>3588</v>
          </cell>
          <cell r="AL109">
            <v>3489</v>
          </cell>
          <cell r="AM109">
            <v>3707</v>
          </cell>
          <cell r="AN109">
            <v>3665</v>
          </cell>
          <cell r="AO109">
            <v>3554</v>
          </cell>
          <cell r="AP109">
            <v>3400</v>
          </cell>
          <cell r="AQ109">
            <v>3337</v>
          </cell>
          <cell r="AR109">
            <v>3439</v>
          </cell>
          <cell r="AS109">
            <v>3397</v>
          </cell>
          <cell r="AT109">
            <v>3178</v>
          </cell>
          <cell r="AU109">
            <v>3258</v>
          </cell>
          <cell r="AV109">
            <v>3533</v>
          </cell>
          <cell r="AW109">
            <v>3395</v>
          </cell>
          <cell r="AX109">
            <v>3175</v>
          </cell>
          <cell r="AY109">
            <v>3343</v>
          </cell>
          <cell r="AZ109">
            <v>3139</v>
          </cell>
          <cell r="BA109">
            <v>3643</v>
          </cell>
          <cell r="BB109">
            <v>3257</v>
          </cell>
          <cell r="BC109">
            <v>3093</v>
          </cell>
          <cell r="BD109">
            <v>3291</v>
          </cell>
          <cell r="BE109">
            <v>3059</v>
          </cell>
          <cell r="BF109">
            <v>3236</v>
          </cell>
          <cell r="BG109">
            <v>3157</v>
          </cell>
          <cell r="BH109">
            <v>3060</v>
          </cell>
          <cell r="BI109">
            <v>3187</v>
          </cell>
          <cell r="BJ109">
            <v>3060</v>
          </cell>
          <cell r="BK109">
            <v>2990</v>
          </cell>
          <cell r="BL109">
            <v>2803</v>
          </cell>
          <cell r="BM109">
            <v>3058</v>
          </cell>
          <cell r="BN109">
            <v>2921</v>
          </cell>
          <cell r="BO109">
            <v>3084</v>
          </cell>
          <cell r="BP109">
            <v>2946</v>
          </cell>
          <cell r="BQ109">
            <v>2985</v>
          </cell>
          <cell r="BR109">
            <v>3139</v>
          </cell>
          <cell r="BS109">
            <v>2946</v>
          </cell>
          <cell r="BT109">
            <v>2861</v>
          </cell>
          <cell r="BU109">
            <v>2893</v>
          </cell>
          <cell r="BV109">
            <v>2981</v>
          </cell>
          <cell r="BW109">
            <v>2869</v>
          </cell>
          <cell r="BX109">
            <v>2879</v>
          </cell>
          <cell r="BY109">
            <v>2347</v>
          </cell>
          <cell r="BZ109">
            <v>3027</v>
          </cell>
          <cell r="CA109">
            <v>2969</v>
          </cell>
          <cell r="CB109">
            <v>2895</v>
          </cell>
          <cell r="CC109">
            <v>2745</v>
          </cell>
          <cell r="CD109">
            <v>2364</v>
          </cell>
          <cell r="CE109">
            <v>2591</v>
          </cell>
          <cell r="CF109">
            <v>2943</v>
          </cell>
          <cell r="CG109">
            <v>2741</v>
          </cell>
          <cell r="CH109">
            <v>2404</v>
          </cell>
          <cell r="CI109">
            <v>2805</v>
          </cell>
          <cell r="CJ109">
            <v>2717</v>
          </cell>
          <cell r="CK109">
            <v>2592</v>
          </cell>
          <cell r="CL109">
            <v>2453</v>
          </cell>
          <cell r="CM109">
            <v>2618</v>
          </cell>
          <cell r="CN109">
            <v>2769</v>
          </cell>
          <cell r="CO109">
            <v>2663</v>
          </cell>
          <cell r="CP109">
            <v>2514</v>
          </cell>
          <cell r="CQ109">
            <v>2452</v>
          </cell>
          <cell r="CR109">
            <v>2490</v>
          </cell>
          <cell r="CS109">
            <v>2482</v>
          </cell>
          <cell r="CT109">
            <v>2367</v>
          </cell>
          <cell r="CU109">
            <v>2429</v>
          </cell>
          <cell r="CV109">
            <v>2507</v>
          </cell>
          <cell r="CW109">
            <v>2387</v>
          </cell>
          <cell r="CX109">
            <v>2394</v>
          </cell>
          <cell r="CY109">
            <v>2272</v>
          </cell>
          <cell r="CZ109">
            <v>2130</v>
          </cell>
          <cell r="DA109">
            <v>2413</v>
          </cell>
          <cell r="DB109">
            <v>2293</v>
          </cell>
          <cell r="DC109">
            <v>2244</v>
          </cell>
          <cell r="DD109">
            <v>2186</v>
          </cell>
          <cell r="DE109">
            <v>2126</v>
          </cell>
          <cell r="DF109">
            <v>2350</v>
          </cell>
          <cell r="DG109">
            <v>2173</v>
          </cell>
          <cell r="DH109">
            <v>1968</v>
          </cell>
          <cell r="DI109">
            <v>2256</v>
          </cell>
          <cell r="DJ109">
            <v>2291</v>
          </cell>
          <cell r="DK109">
            <v>2119</v>
          </cell>
          <cell r="DL109">
            <v>2073</v>
          </cell>
          <cell r="DM109">
            <v>2079</v>
          </cell>
          <cell r="DN109">
            <v>2230</v>
          </cell>
          <cell r="DO109">
            <v>2319</v>
          </cell>
          <cell r="DP109">
            <v>2136</v>
          </cell>
          <cell r="DQ109">
            <v>2148</v>
          </cell>
          <cell r="DR109">
            <v>2195</v>
          </cell>
          <cell r="DS109">
            <v>2171</v>
          </cell>
          <cell r="DT109">
            <v>2014</v>
          </cell>
          <cell r="DU109">
            <v>2043</v>
          </cell>
          <cell r="DV109">
            <v>1969</v>
          </cell>
          <cell r="DW109">
            <v>2034</v>
          </cell>
          <cell r="DX109">
            <v>2056</v>
          </cell>
          <cell r="DY109">
            <v>1981</v>
          </cell>
          <cell r="DZ109">
            <v>1749</v>
          </cell>
          <cell r="EA109">
            <v>2203</v>
          </cell>
          <cell r="EB109">
            <v>1989</v>
          </cell>
          <cell r="EC109">
            <v>2023</v>
          </cell>
          <cell r="ED109">
            <v>1590</v>
          </cell>
          <cell r="EE109">
            <v>1951</v>
          </cell>
          <cell r="EF109">
            <v>1869</v>
          </cell>
          <cell r="EG109">
            <v>1508</v>
          </cell>
          <cell r="EH109">
            <v>1188</v>
          </cell>
          <cell r="EI109">
            <v>1040</v>
          </cell>
          <cell r="EJ109">
            <v>1016</v>
          </cell>
          <cell r="EK109">
            <v>941</v>
          </cell>
          <cell r="EL109">
            <v>799</v>
          </cell>
          <cell r="EM109">
            <v>718</v>
          </cell>
          <cell r="EN109">
            <v>860</v>
          </cell>
          <cell r="EO109">
            <v>669</v>
          </cell>
          <cell r="EP109">
            <v>689</v>
          </cell>
          <cell r="EQ109">
            <v>640</v>
          </cell>
          <cell r="ER109">
            <v>691</v>
          </cell>
          <cell r="ES109">
            <v>583</v>
          </cell>
          <cell r="ET109">
            <v>553</v>
          </cell>
          <cell r="EU109">
            <v>543</v>
          </cell>
          <cell r="EV109">
            <v>558</v>
          </cell>
          <cell r="EW109">
            <v>583</v>
          </cell>
          <cell r="EX109">
            <v>475</v>
          </cell>
          <cell r="EY109">
            <v>489</v>
          </cell>
          <cell r="EZ109">
            <v>379</v>
          </cell>
          <cell r="FA109">
            <v>524</v>
          </cell>
          <cell r="FB109">
            <v>490</v>
          </cell>
          <cell r="FC109">
            <v>420</v>
          </cell>
          <cell r="FD109">
            <v>387</v>
          </cell>
          <cell r="FE109">
            <v>434</v>
          </cell>
          <cell r="FF109">
            <v>405</v>
          </cell>
          <cell r="FG109">
            <v>352</v>
          </cell>
          <cell r="FH109">
            <v>368</v>
          </cell>
          <cell r="FI109">
            <v>354</v>
          </cell>
          <cell r="FJ109">
            <v>443</v>
          </cell>
          <cell r="FK109">
            <v>281</v>
          </cell>
          <cell r="FL109">
            <v>288</v>
          </cell>
          <cell r="FM109">
            <v>321</v>
          </cell>
          <cell r="FN109">
            <v>318</v>
          </cell>
          <cell r="FO109">
            <v>259</v>
          </cell>
          <cell r="FP109">
            <v>251</v>
          </cell>
          <cell r="FQ109">
            <v>280</v>
          </cell>
          <cell r="FR109">
            <v>261</v>
          </cell>
          <cell r="FS109">
            <v>244</v>
          </cell>
          <cell r="FT109">
            <v>238</v>
          </cell>
          <cell r="FU109">
            <v>258</v>
          </cell>
          <cell r="FV109">
            <v>229</v>
          </cell>
          <cell r="FW109">
            <v>271</v>
          </cell>
          <cell r="FX109">
            <v>240</v>
          </cell>
          <cell r="FY109">
            <v>231</v>
          </cell>
          <cell r="FZ109">
            <v>190</v>
          </cell>
          <cell r="GA109">
            <v>251</v>
          </cell>
          <cell r="GB109">
            <v>214</v>
          </cell>
          <cell r="GC109">
            <v>197</v>
          </cell>
          <cell r="GD109">
            <v>183</v>
          </cell>
          <cell r="GE109">
            <v>200</v>
          </cell>
          <cell r="GF109">
            <v>227</v>
          </cell>
          <cell r="GG109">
            <v>165</v>
          </cell>
          <cell r="GH109">
            <v>178</v>
          </cell>
          <cell r="GI109">
            <v>180</v>
          </cell>
          <cell r="GJ109">
            <v>158</v>
          </cell>
          <cell r="GK109">
            <v>145</v>
          </cell>
          <cell r="GL109">
            <v>188</v>
          </cell>
          <cell r="GM109">
            <v>161</v>
          </cell>
          <cell r="GN109">
            <v>172</v>
          </cell>
        </row>
        <row r="110">
          <cell r="B110" t="str">
            <v>ZIAGEN</v>
          </cell>
          <cell r="C110" t="str">
            <v>GSK</v>
          </cell>
          <cell r="D110">
            <v>4103</v>
          </cell>
          <cell r="E110">
            <v>3748</v>
          </cell>
          <cell r="F110">
            <v>3914</v>
          </cell>
          <cell r="G110">
            <v>3926</v>
          </cell>
          <cell r="H110">
            <v>3701</v>
          </cell>
          <cell r="I110">
            <v>4167</v>
          </cell>
          <cell r="J110">
            <v>4050</v>
          </cell>
          <cell r="K110">
            <v>3780</v>
          </cell>
          <cell r="L110">
            <v>3639</v>
          </cell>
          <cell r="M110">
            <v>4202</v>
          </cell>
          <cell r="N110">
            <v>3718</v>
          </cell>
          <cell r="O110">
            <v>3964</v>
          </cell>
          <cell r="P110">
            <v>3688</v>
          </cell>
          <cell r="Q110">
            <v>3890</v>
          </cell>
          <cell r="R110">
            <v>4123</v>
          </cell>
          <cell r="S110">
            <v>3732</v>
          </cell>
          <cell r="T110">
            <v>3801</v>
          </cell>
          <cell r="U110">
            <v>3800</v>
          </cell>
          <cell r="V110">
            <v>3936</v>
          </cell>
          <cell r="W110">
            <v>3946</v>
          </cell>
          <cell r="X110">
            <v>3694</v>
          </cell>
          <cell r="Y110">
            <v>3374</v>
          </cell>
          <cell r="Z110">
            <v>4102</v>
          </cell>
          <cell r="AA110">
            <v>3919</v>
          </cell>
          <cell r="AB110">
            <v>3695</v>
          </cell>
          <cell r="AC110">
            <v>3913</v>
          </cell>
          <cell r="AD110">
            <v>3458</v>
          </cell>
          <cell r="AE110">
            <v>3638</v>
          </cell>
          <cell r="AF110">
            <v>3810</v>
          </cell>
          <cell r="AG110">
            <v>3697</v>
          </cell>
          <cell r="AH110">
            <v>3605</v>
          </cell>
          <cell r="AI110">
            <v>3990</v>
          </cell>
          <cell r="AJ110">
            <v>3785</v>
          </cell>
          <cell r="AK110">
            <v>3738</v>
          </cell>
          <cell r="AL110">
            <v>3494</v>
          </cell>
          <cell r="AM110">
            <v>3896</v>
          </cell>
          <cell r="AN110">
            <v>3829</v>
          </cell>
          <cell r="AO110">
            <v>3684</v>
          </cell>
          <cell r="AP110">
            <v>3576</v>
          </cell>
          <cell r="AQ110">
            <v>3484</v>
          </cell>
          <cell r="AR110">
            <v>3838</v>
          </cell>
          <cell r="AS110">
            <v>3625</v>
          </cell>
          <cell r="AT110">
            <v>3536</v>
          </cell>
          <cell r="AU110">
            <v>3551</v>
          </cell>
          <cell r="AV110">
            <v>3922</v>
          </cell>
          <cell r="AW110">
            <v>3635</v>
          </cell>
          <cell r="AX110">
            <v>3584</v>
          </cell>
          <cell r="AY110">
            <v>3433</v>
          </cell>
          <cell r="AZ110">
            <v>3398</v>
          </cell>
          <cell r="BA110">
            <v>4030</v>
          </cell>
          <cell r="BB110">
            <v>3614</v>
          </cell>
          <cell r="BC110">
            <v>3277</v>
          </cell>
          <cell r="BD110">
            <v>3574</v>
          </cell>
          <cell r="BE110">
            <v>3648</v>
          </cell>
          <cell r="BF110">
            <v>3643</v>
          </cell>
          <cell r="BG110">
            <v>3493</v>
          </cell>
          <cell r="BH110">
            <v>3449</v>
          </cell>
          <cell r="BI110">
            <v>3816</v>
          </cell>
          <cell r="BJ110">
            <v>3644</v>
          </cell>
          <cell r="BK110">
            <v>3376</v>
          </cell>
          <cell r="BL110">
            <v>3409</v>
          </cell>
          <cell r="BM110">
            <v>3572</v>
          </cell>
          <cell r="BN110">
            <v>3469</v>
          </cell>
          <cell r="BO110">
            <v>3618</v>
          </cell>
          <cell r="BP110">
            <v>3485</v>
          </cell>
          <cell r="BQ110">
            <v>3495</v>
          </cell>
          <cell r="BR110">
            <v>3948</v>
          </cell>
          <cell r="BS110">
            <v>3532</v>
          </cell>
          <cell r="BT110">
            <v>3573</v>
          </cell>
          <cell r="BU110">
            <v>3412</v>
          </cell>
          <cell r="BV110">
            <v>3593</v>
          </cell>
          <cell r="BW110">
            <v>3711</v>
          </cell>
          <cell r="BX110">
            <v>3550</v>
          </cell>
          <cell r="BY110">
            <v>2991</v>
          </cell>
          <cell r="BZ110">
            <v>3602</v>
          </cell>
          <cell r="CA110">
            <v>3760</v>
          </cell>
          <cell r="CB110">
            <v>3598</v>
          </cell>
          <cell r="CC110">
            <v>3537</v>
          </cell>
          <cell r="CD110">
            <v>2926</v>
          </cell>
          <cell r="CE110">
            <v>3286</v>
          </cell>
          <cell r="CF110">
            <v>3654</v>
          </cell>
          <cell r="CG110">
            <v>3497</v>
          </cell>
          <cell r="CH110">
            <v>3274</v>
          </cell>
          <cell r="CI110">
            <v>3491</v>
          </cell>
          <cell r="CJ110">
            <v>3449</v>
          </cell>
          <cell r="CK110">
            <v>3456</v>
          </cell>
          <cell r="CL110">
            <v>3313</v>
          </cell>
          <cell r="CM110">
            <v>3436</v>
          </cell>
          <cell r="CN110">
            <v>3731</v>
          </cell>
          <cell r="CO110">
            <v>3413</v>
          </cell>
          <cell r="CP110">
            <v>3430</v>
          </cell>
          <cell r="CQ110">
            <v>3064</v>
          </cell>
          <cell r="CR110">
            <v>3563</v>
          </cell>
          <cell r="CS110">
            <v>3355</v>
          </cell>
          <cell r="CT110">
            <v>3360</v>
          </cell>
          <cell r="CU110">
            <v>3222</v>
          </cell>
          <cell r="CV110">
            <v>3544</v>
          </cell>
          <cell r="CW110">
            <v>3394</v>
          </cell>
          <cell r="CX110">
            <v>3280</v>
          </cell>
          <cell r="CY110">
            <v>3282</v>
          </cell>
          <cell r="CZ110">
            <v>3073</v>
          </cell>
          <cell r="DA110">
            <v>3680</v>
          </cell>
          <cell r="DB110">
            <v>3269</v>
          </cell>
          <cell r="DC110">
            <v>3207</v>
          </cell>
          <cell r="DD110">
            <v>3209</v>
          </cell>
          <cell r="DE110">
            <v>3214</v>
          </cell>
          <cell r="DF110">
            <v>3447</v>
          </cell>
          <cell r="DG110">
            <v>3397</v>
          </cell>
          <cell r="DH110">
            <v>3093</v>
          </cell>
          <cell r="DI110">
            <v>3336</v>
          </cell>
          <cell r="DJ110">
            <v>3335</v>
          </cell>
          <cell r="DK110">
            <v>3342</v>
          </cell>
          <cell r="DL110">
            <v>3195</v>
          </cell>
          <cell r="DM110">
            <v>3317</v>
          </cell>
          <cell r="DN110">
            <v>3356</v>
          </cell>
          <cell r="DO110">
            <v>3406</v>
          </cell>
          <cell r="DP110">
            <v>3371</v>
          </cell>
          <cell r="DQ110">
            <v>3194</v>
          </cell>
          <cell r="DR110">
            <v>3653</v>
          </cell>
          <cell r="DS110">
            <v>3361</v>
          </cell>
          <cell r="DT110">
            <v>3178</v>
          </cell>
          <cell r="DU110">
            <v>3037</v>
          </cell>
          <cell r="DV110">
            <v>3226</v>
          </cell>
          <cell r="DW110">
            <v>3482</v>
          </cell>
          <cell r="DX110">
            <v>3295</v>
          </cell>
          <cell r="DY110">
            <v>3245</v>
          </cell>
          <cell r="DZ110">
            <v>2837</v>
          </cell>
          <cell r="EA110">
            <v>3697</v>
          </cell>
          <cell r="EB110">
            <v>3378</v>
          </cell>
          <cell r="EC110">
            <v>3430</v>
          </cell>
          <cell r="ED110">
            <v>2630</v>
          </cell>
          <cell r="EE110">
            <v>3146</v>
          </cell>
          <cell r="EF110">
            <v>3497</v>
          </cell>
          <cell r="EG110">
            <v>3355</v>
          </cell>
          <cell r="EH110">
            <v>2876</v>
          </cell>
          <cell r="EI110">
            <v>3099</v>
          </cell>
          <cell r="EJ110">
            <v>3371</v>
          </cell>
          <cell r="EK110">
            <v>3220</v>
          </cell>
          <cell r="EL110">
            <v>3119</v>
          </cell>
          <cell r="EM110">
            <v>3100</v>
          </cell>
          <cell r="EN110">
            <v>3488</v>
          </cell>
          <cell r="EO110">
            <v>3227</v>
          </cell>
          <cell r="EP110">
            <v>3138</v>
          </cell>
          <cell r="EQ110">
            <v>3067</v>
          </cell>
          <cell r="ER110">
            <v>3161</v>
          </cell>
          <cell r="ES110">
            <v>3241</v>
          </cell>
          <cell r="ET110">
            <v>3183</v>
          </cell>
          <cell r="EU110">
            <v>2934</v>
          </cell>
          <cell r="EV110">
            <v>3282</v>
          </cell>
          <cell r="EW110">
            <v>3381</v>
          </cell>
          <cell r="EX110">
            <v>3268</v>
          </cell>
          <cell r="EY110">
            <v>3049</v>
          </cell>
          <cell r="EZ110">
            <v>2798</v>
          </cell>
          <cell r="FA110">
            <v>3156</v>
          </cell>
          <cell r="FB110">
            <v>3245</v>
          </cell>
          <cell r="FC110">
            <v>3060</v>
          </cell>
          <cell r="FD110">
            <v>2870</v>
          </cell>
          <cell r="FE110">
            <v>3195</v>
          </cell>
          <cell r="FF110">
            <v>3142</v>
          </cell>
          <cell r="FG110">
            <v>3147</v>
          </cell>
          <cell r="FH110">
            <v>2845</v>
          </cell>
          <cell r="FI110">
            <v>2950</v>
          </cell>
          <cell r="FJ110">
            <v>3294</v>
          </cell>
          <cell r="FK110">
            <v>3186</v>
          </cell>
          <cell r="FL110">
            <v>2956</v>
          </cell>
          <cell r="FM110">
            <v>3055</v>
          </cell>
          <cell r="FN110">
            <v>3337</v>
          </cell>
          <cell r="FO110">
            <v>2875</v>
          </cell>
          <cell r="FP110">
            <v>3090</v>
          </cell>
          <cell r="FQ110">
            <v>3088</v>
          </cell>
          <cell r="FR110">
            <v>3120</v>
          </cell>
          <cell r="FS110">
            <v>3151</v>
          </cell>
          <cell r="FT110">
            <v>3125</v>
          </cell>
          <cell r="FU110">
            <v>2971</v>
          </cell>
          <cell r="FV110">
            <v>2882</v>
          </cell>
          <cell r="FW110">
            <v>3173</v>
          </cell>
          <cell r="FX110">
            <v>3145</v>
          </cell>
          <cell r="FY110">
            <v>2969</v>
          </cell>
          <cell r="FZ110">
            <v>2653</v>
          </cell>
          <cell r="GA110">
            <v>3454</v>
          </cell>
          <cell r="GB110">
            <v>3311</v>
          </cell>
          <cell r="GC110">
            <v>3185</v>
          </cell>
          <cell r="GD110">
            <v>2458</v>
          </cell>
          <cell r="GE110">
            <v>2954</v>
          </cell>
          <cell r="GF110">
            <v>3274</v>
          </cell>
          <cell r="GG110">
            <v>3086</v>
          </cell>
          <cell r="GH110">
            <v>2892</v>
          </cell>
          <cell r="GI110">
            <v>2998</v>
          </cell>
          <cell r="GJ110">
            <v>3249</v>
          </cell>
          <cell r="GK110">
            <v>2939</v>
          </cell>
          <cell r="GL110">
            <v>2933</v>
          </cell>
          <cell r="GM110">
            <v>3065</v>
          </cell>
          <cell r="GN110">
            <v>3278</v>
          </cell>
        </row>
        <row r="111">
          <cell r="B111" t="str">
            <v>ZIDOVUDINE</v>
          </cell>
          <cell r="C111" t="str">
            <v xml:space="preserve">WM </v>
          </cell>
          <cell r="D111">
            <v>0</v>
          </cell>
          <cell r="E111">
            <v>0</v>
          </cell>
          <cell r="F111">
            <v>0</v>
          </cell>
          <cell r="G111">
            <v>0</v>
          </cell>
          <cell r="H111">
            <v>0</v>
          </cell>
          <cell r="I111">
            <v>0</v>
          </cell>
          <cell r="J111">
            <v>0</v>
          </cell>
          <cell r="K111">
            <v>0</v>
          </cell>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0</v>
          </cell>
          <cell r="DE111">
            <v>0</v>
          </cell>
          <cell r="DF111">
            <v>0</v>
          </cell>
          <cell r="DG111">
            <v>1</v>
          </cell>
          <cell r="DH111">
            <v>0</v>
          </cell>
          <cell r="DI111">
            <v>0</v>
          </cell>
          <cell r="DJ111">
            <v>0</v>
          </cell>
          <cell r="DK111">
            <v>0</v>
          </cell>
          <cell r="DL111">
            <v>0</v>
          </cell>
          <cell r="DM111">
            <v>0</v>
          </cell>
          <cell r="DN111">
            <v>0</v>
          </cell>
          <cell r="DO111">
            <v>0</v>
          </cell>
          <cell r="DP111">
            <v>0</v>
          </cell>
          <cell r="DQ111">
            <v>0</v>
          </cell>
          <cell r="DR111">
            <v>0</v>
          </cell>
          <cell r="DS111">
            <v>0</v>
          </cell>
          <cell r="DT111">
            <v>0</v>
          </cell>
          <cell r="DU111">
            <v>0</v>
          </cell>
          <cell r="DV111">
            <v>1</v>
          </cell>
          <cell r="DW111">
            <v>0</v>
          </cell>
          <cell r="DX111">
            <v>0</v>
          </cell>
          <cell r="DY111">
            <v>0</v>
          </cell>
          <cell r="DZ111">
            <v>0</v>
          </cell>
          <cell r="FY111">
            <v>1</v>
          </cell>
          <cell r="GA111">
            <v>1</v>
          </cell>
        </row>
        <row r="112">
          <cell r="B112" t="str">
            <v>ZIDOVUDINE TEV</v>
          </cell>
          <cell r="C112" t="str">
            <v>TEV</v>
          </cell>
          <cell r="D112">
            <v>68</v>
          </cell>
          <cell r="E112">
            <v>92</v>
          </cell>
          <cell r="F112">
            <v>76</v>
          </cell>
          <cell r="G112">
            <v>87</v>
          </cell>
          <cell r="H112">
            <v>72</v>
          </cell>
          <cell r="I112">
            <v>108</v>
          </cell>
          <cell r="J112">
            <v>89</v>
          </cell>
          <cell r="K112">
            <v>96</v>
          </cell>
          <cell r="L112">
            <v>76</v>
          </cell>
          <cell r="M112">
            <v>117</v>
          </cell>
          <cell r="N112">
            <v>95</v>
          </cell>
          <cell r="O112">
            <v>103</v>
          </cell>
          <cell r="P112">
            <v>77</v>
          </cell>
          <cell r="Q112">
            <v>116</v>
          </cell>
          <cell r="R112">
            <v>89</v>
          </cell>
          <cell r="S112">
            <v>91</v>
          </cell>
          <cell r="T112">
            <v>92</v>
          </cell>
          <cell r="U112">
            <v>105</v>
          </cell>
          <cell r="V112">
            <v>114</v>
          </cell>
          <cell r="W112">
            <v>104</v>
          </cell>
          <cell r="X112">
            <v>95</v>
          </cell>
          <cell r="Y112">
            <v>88</v>
          </cell>
          <cell r="Z112">
            <v>106</v>
          </cell>
          <cell r="AA112">
            <v>83</v>
          </cell>
          <cell r="AB112">
            <v>79</v>
          </cell>
          <cell r="AC112">
            <v>110</v>
          </cell>
          <cell r="AD112">
            <v>89</v>
          </cell>
          <cell r="AE112">
            <v>97</v>
          </cell>
          <cell r="AF112">
            <v>73</v>
          </cell>
          <cell r="AG112">
            <v>85</v>
          </cell>
          <cell r="AH112">
            <v>69</v>
          </cell>
          <cell r="AI112">
            <v>83</v>
          </cell>
          <cell r="AJ112">
            <v>84</v>
          </cell>
          <cell r="AK112">
            <v>56</v>
          </cell>
          <cell r="AL112">
            <v>61</v>
          </cell>
          <cell r="AM112">
            <v>73</v>
          </cell>
          <cell r="AN112">
            <v>65</v>
          </cell>
          <cell r="AO112">
            <v>47</v>
          </cell>
          <cell r="AP112">
            <v>34</v>
          </cell>
          <cell r="AQ112">
            <v>39</v>
          </cell>
          <cell r="AR112">
            <v>66</v>
          </cell>
          <cell r="AS112">
            <v>30</v>
          </cell>
          <cell r="AT112">
            <v>29</v>
          </cell>
          <cell r="AU112">
            <v>26</v>
          </cell>
          <cell r="AV112">
            <v>31</v>
          </cell>
          <cell r="AW112">
            <v>22</v>
          </cell>
          <cell r="AX112">
            <v>29</v>
          </cell>
          <cell r="AY112">
            <v>29</v>
          </cell>
          <cell r="AZ112">
            <v>15</v>
          </cell>
          <cell r="BA112">
            <v>18</v>
          </cell>
          <cell r="BB112">
            <v>16</v>
          </cell>
          <cell r="BC112">
            <v>29</v>
          </cell>
          <cell r="BD112">
            <v>23</v>
          </cell>
          <cell r="BE112">
            <v>32</v>
          </cell>
          <cell r="BF112">
            <v>17</v>
          </cell>
          <cell r="BG112">
            <v>20</v>
          </cell>
          <cell r="BH112">
            <v>5</v>
          </cell>
          <cell r="BI112">
            <v>17</v>
          </cell>
          <cell r="BJ112">
            <v>20</v>
          </cell>
          <cell r="BK112">
            <v>15</v>
          </cell>
          <cell r="BL112">
            <v>5</v>
          </cell>
          <cell r="BM112">
            <v>17</v>
          </cell>
          <cell r="BN112">
            <v>9</v>
          </cell>
          <cell r="BO112">
            <v>14</v>
          </cell>
          <cell r="BP112">
            <v>1</v>
          </cell>
          <cell r="BQ112">
            <v>5</v>
          </cell>
          <cell r="BR112">
            <v>8</v>
          </cell>
          <cell r="BS112">
            <v>7</v>
          </cell>
          <cell r="BT112">
            <v>12</v>
          </cell>
          <cell r="BU112">
            <v>18</v>
          </cell>
          <cell r="BV112">
            <v>5</v>
          </cell>
          <cell r="BW112">
            <v>12</v>
          </cell>
          <cell r="BX112">
            <v>8</v>
          </cell>
          <cell r="BY112">
            <v>20</v>
          </cell>
          <cell r="BZ112">
            <v>9</v>
          </cell>
          <cell r="CA112">
            <v>10</v>
          </cell>
          <cell r="CB112">
            <v>10</v>
          </cell>
          <cell r="CC112">
            <v>10</v>
          </cell>
          <cell r="CD112">
            <v>0</v>
          </cell>
          <cell r="CE112">
            <v>11</v>
          </cell>
          <cell r="CF112">
            <v>5</v>
          </cell>
          <cell r="CG112">
            <v>13</v>
          </cell>
          <cell r="CH112">
            <v>7</v>
          </cell>
          <cell r="CI112">
            <v>8</v>
          </cell>
          <cell r="CJ112">
            <v>3</v>
          </cell>
          <cell r="CK112">
            <v>11</v>
          </cell>
          <cell r="CL112">
            <v>1</v>
          </cell>
          <cell r="CM112">
            <v>5</v>
          </cell>
          <cell r="CN112">
            <v>9</v>
          </cell>
          <cell r="CO112">
            <v>9</v>
          </cell>
          <cell r="CP112">
            <v>3</v>
          </cell>
          <cell r="CQ112">
            <v>4</v>
          </cell>
          <cell r="CR112">
            <v>9</v>
          </cell>
          <cell r="CS112">
            <v>2</v>
          </cell>
          <cell r="CT112">
            <v>5</v>
          </cell>
          <cell r="CU112">
            <v>3</v>
          </cell>
          <cell r="CV112">
            <v>2</v>
          </cell>
          <cell r="CW112">
            <v>4</v>
          </cell>
          <cell r="CX112">
            <v>5</v>
          </cell>
          <cell r="CY112">
            <v>1</v>
          </cell>
          <cell r="CZ112">
            <v>9</v>
          </cell>
          <cell r="DA112">
            <v>4</v>
          </cell>
          <cell r="DB112">
            <v>1</v>
          </cell>
          <cell r="DC112">
            <v>4</v>
          </cell>
          <cell r="DD112">
            <v>7</v>
          </cell>
          <cell r="DE112">
            <v>5</v>
          </cell>
          <cell r="DF112">
            <v>2</v>
          </cell>
          <cell r="DG112">
            <v>6</v>
          </cell>
          <cell r="DH112">
            <v>6</v>
          </cell>
          <cell r="DI112">
            <v>2</v>
          </cell>
          <cell r="DJ112">
            <v>3</v>
          </cell>
          <cell r="DK112">
            <v>1</v>
          </cell>
          <cell r="DL112">
            <v>4</v>
          </cell>
          <cell r="DM112">
            <v>2</v>
          </cell>
          <cell r="DN112">
            <v>3</v>
          </cell>
          <cell r="DO112">
            <v>1</v>
          </cell>
          <cell r="DP112">
            <v>0</v>
          </cell>
          <cell r="DQ112">
            <v>3</v>
          </cell>
          <cell r="DR112">
            <v>2</v>
          </cell>
          <cell r="DS112">
            <v>0</v>
          </cell>
          <cell r="DT112">
            <v>1</v>
          </cell>
          <cell r="DU112">
            <v>1</v>
          </cell>
          <cell r="DV112">
            <v>1</v>
          </cell>
          <cell r="DW112">
            <v>2</v>
          </cell>
          <cell r="DX112">
            <v>2</v>
          </cell>
          <cell r="DY112">
            <v>0</v>
          </cell>
          <cell r="DZ112">
            <v>0</v>
          </cell>
          <cell r="EA112">
            <v>1</v>
          </cell>
          <cell r="EC112">
            <v>1</v>
          </cell>
          <cell r="EF112">
            <v>1</v>
          </cell>
          <cell r="EG112">
            <v>2</v>
          </cell>
          <cell r="EI112">
            <v>1</v>
          </cell>
          <cell r="FG112">
            <v>1</v>
          </cell>
        </row>
        <row r="113">
          <cell r="B113" t="str">
            <v>ZIDOVUDINE RBY</v>
          </cell>
          <cell r="C113" t="str">
            <v xml:space="preserve">BY </v>
          </cell>
          <cell r="D113">
            <v>749</v>
          </cell>
          <cell r="E113">
            <v>763</v>
          </cell>
          <cell r="F113">
            <v>743</v>
          </cell>
          <cell r="G113">
            <v>763</v>
          </cell>
          <cell r="H113">
            <v>758</v>
          </cell>
          <cell r="I113">
            <v>839</v>
          </cell>
          <cell r="J113">
            <v>721</v>
          </cell>
          <cell r="K113">
            <v>794</v>
          </cell>
          <cell r="L113">
            <v>818</v>
          </cell>
          <cell r="M113">
            <v>833</v>
          </cell>
          <cell r="N113">
            <v>777</v>
          </cell>
          <cell r="O113">
            <v>768</v>
          </cell>
          <cell r="P113">
            <v>757</v>
          </cell>
          <cell r="Q113">
            <v>895</v>
          </cell>
          <cell r="R113">
            <v>829</v>
          </cell>
          <cell r="S113">
            <v>805</v>
          </cell>
          <cell r="T113">
            <v>738</v>
          </cell>
          <cell r="U113">
            <v>800</v>
          </cell>
          <cell r="V113">
            <v>885</v>
          </cell>
          <cell r="W113">
            <v>866</v>
          </cell>
          <cell r="X113">
            <v>850</v>
          </cell>
          <cell r="Y113">
            <v>678</v>
          </cell>
          <cell r="Z113">
            <v>959</v>
          </cell>
          <cell r="AA113">
            <v>868</v>
          </cell>
          <cell r="AB113">
            <v>815</v>
          </cell>
          <cell r="AC113">
            <v>935</v>
          </cell>
          <cell r="AD113">
            <v>806</v>
          </cell>
          <cell r="AE113">
            <v>836</v>
          </cell>
          <cell r="AF113">
            <v>833</v>
          </cell>
          <cell r="AG113">
            <v>879</v>
          </cell>
          <cell r="AH113">
            <v>896</v>
          </cell>
          <cell r="AI113">
            <v>947</v>
          </cell>
          <cell r="AJ113">
            <v>835</v>
          </cell>
          <cell r="AK113">
            <v>893</v>
          </cell>
          <cell r="AL113">
            <v>903</v>
          </cell>
          <cell r="AM113">
            <v>1006</v>
          </cell>
          <cell r="AN113">
            <v>980</v>
          </cell>
          <cell r="AO113">
            <v>930</v>
          </cell>
          <cell r="AP113">
            <v>856</v>
          </cell>
          <cell r="AQ113">
            <v>868</v>
          </cell>
          <cell r="AR113">
            <v>940</v>
          </cell>
          <cell r="AS113">
            <v>927</v>
          </cell>
          <cell r="AT113">
            <v>946</v>
          </cell>
          <cell r="AU113">
            <v>842</v>
          </cell>
          <cell r="AV113">
            <v>1025</v>
          </cell>
          <cell r="AW113">
            <v>911</v>
          </cell>
          <cell r="AX113">
            <v>971</v>
          </cell>
          <cell r="AY113">
            <v>856</v>
          </cell>
          <cell r="AZ113">
            <v>892</v>
          </cell>
          <cell r="BA113">
            <v>964</v>
          </cell>
          <cell r="BB113">
            <v>889</v>
          </cell>
          <cell r="BC113">
            <v>860</v>
          </cell>
          <cell r="BD113">
            <v>966</v>
          </cell>
          <cell r="BE113">
            <v>899</v>
          </cell>
          <cell r="BF113">
            <v>920</v>
          </cell>
          <cell r="BG113">
            <v>881</v>
          </cell>
          <cell r="BH113">
            <v>834</v>
          </cell>
          <cell r="BI113">
            <v>1032</v>
          </cell>
          <cell r="BJ113">
            <v>1032</v>
          </cell>
          <cell r="BK113">
            <v>854</v>
          </cell>
          <cell r="BL113">
            <v>874</v>
          </cell>
          <cell r="BM113">
            <v>1026</v>
          </cell>
          <cell r="BN113">
            <v>895</v>
          </cell>
          <cell r="BO113">
            <v>1002</v>
          </cell>
          <cell r="BP113">
            <v>930</v>
          </cell>
          <cell r="BQ113">
            <v>926</v>
          </cell>
          <cell r="BR113">
            <v>1047</v>
          </cell>
          <cell r="BS113">
            <v>927</v>
          </cell>
          <cell r="BT113">
            <v>985</v>
          </cell>
          <cell r="BU113">
            <v>930</v>
          </cell>
          <cell r="BV113">
            <v>1039</v>
          </cell>
          <cell r="BW113">
            <v>976</v>
          </cell>
          <cell r="BX113">
            <v>1025</v>
          </cell>
          <cell r="BY113">
            <v>840</v>
          </cell>
          <cell r="BZ113">
            <v>1013</v>
          </cell>
          <cell r="CA113">
            <v>1019</v>
          </cell>
          <cell r="CB113">
            <v>1025</v>
          </cell>
          <cell r="CC113">
            <v>1016</v>
          </cell>
          <cell r="CD113">
            <v>826</v>
          </cell>
          <cell r="CE113">
            <v>921</v>
          </cell>
          <cell r="CF113">
            <v>956</v>
          </cell>
          <cell r="CG113">
            <v>985</v>
          </cell>
          <cell r="CH113">
            <v>934</v>
          </cell>
          <cell r="CI113">
            <v>948</v>
          </cell>
          <cell r="CJ113">
            <v>981</v>
          </cell>
          <cell r="CK113">
            <v>993</v>
          </cell>
          <cell r="CL113">
            <v>901</v>
          </cell>
          <cell r="CM113">
            <v>966</v>
          </cell>
          <cell r="CN113">
            <v>1102</v>
          </cell>
          <cell r="CO113">
            <v>1016</v>
          </cell>
          <cell r="CP113">
            <v>933</v>
          </cell>
          <cell r="CQ113">
            <v>944</v>
          </cell>
          <cell r="CR113">
            <v>911</v>
          </cell>
          <cell r="CS113">
            <v>1003</v>
          </cell>
          <cell r="CT113">
            <v>901</v>
          </cell>
          <cell r="CU113">
            <v>921</v>
          </cell>
          <cell r="CV113">
            <v>964</v>
          </cell>
          <cell r="CW113">
            <v>934</v>
          </cell>
          <cell r="CX113">
            <v>1008</v>
          </cell>
          <cell r="CY113">
            <v>896</v>
          </cell>
          <cell r="CZ113">
            <v>824</v>
          </cell>
          <cell r="DA113">
            <v>1019</v>
          </cell>
          <cell r="DB113">
            <v>968</v>
          </cell>
          <cell r="DC113">
            <v>906</v>
          </cell>
          <cell r="DD113">
            <v>997</v>
          </cell>
          <cell r="DE113">
            <v>865</v>
          </cell>
          <cell r="DF113">
            <v>1010</v>
          </cell>
          <cell r="DG113">
            <v>941</v>
          </cell>
          <cell r="DH113">
            <v>925</v>
          </cell>
          <cell r="DI113">
            <v>922</v>
          </cell>
          <cell r="DJ113">
            <v>980</v>
          </cell>
          <cell r="DK113">
            <v>959</v>
          </cell>
          <cell r="DL113">
            <v>950</v>
          </cell>
          <cell r="DM113">
            <v>872</v>
          </cell>
          <cell r="DN113">
            <v>931</v>
          </cell>
          <cell r="DO113">
            <v>942</v>
          </cell>
          <cell r="DP113">
            <v>924</v>
          </cell>
          <cell r="DQ113">
            <v>832</v>
          </cell>
          <cell r="DR113">
            <v>861</v>
          </cell>
          <cell r="DS113">
            <v>742</v>
          </cell>
          <cell r="DT113">
            <v>760</v>
          </cell>
          <cell r="DU113">
            <v>711</v>
          </cell>
          <cell r="DV113">
            <v>699</v>
          </cell>
          <cell r="DW113">
            <v>690</v>
          </cell>
          <cell r="DX113">
            <v>629</v>
          </cell>
          <cell r="DY113">
            <v>585</v>
          </cell>
          <cell r="DZ113">
            <v>490</v>
          </cell>
          <cell r="EA113">
            <v>629</v>
          </cell>
          <cell r="EB113">
            <v>474</v>
          </cell>
          <cell r="EC113">
            <v>458</v>
          </cell>
          <cell r="ED113">
            <v>385</v>
          </cell>
          <cell r="EE113">
            <v>386</v>
          </cell>
          <cell r="EF113">
            <v>359</v>
          </cell>
          <cell r="EG113">
            <v>318</v>
          </cell>
          <cell r="EH113">
            <v>282</v>
          </cell>
          <cell r="EI113">
            <v>296</v>
          </cell>
          <cell r="EJ113">
            <v>292</v>
          </cell>
          <cell r="EK113">
            <v>270</v>
          </cell>
          <cell r="EL113">
            <v>266</v>
          </cell>
          <cell r="EM113">
            <v>254</v>
          </cell>
          <cell r="EN113">
            <v>288</v>
          </cell>
          <cell r="EO113">
            <v>218</v>
          </cell>
          <cell r="EP113">
            <v>213</v>
          </cell>
          <cell r="EQ113">
            <v>224</v>
          </cell>
          <cell r="ER113">
            <v>223</v>
          </cell>
          <cell r="ES113">
            <v>228</v>
          </cell>
          <cell r="ET113">
            <v>171</v>
          </cell>
          <cell r="EU113">
            <v>184</v>
          </cell>
          <cell r="EV113">
            <v>209</v>
          </cell>
          <cell r="EW113">
            <v>208</v>
          </cell>
          <cell r="EX113">
            <v>193</v>
          </cell>
          <cell r="EY113">
            <v>169</v>
          </cell>
          <cell r="EZ113">
            <v>164</v>
          </cell>
          <cell r="FA113">
            <v>201</v>
          </cell>
          <cell r="FB113">
            <v>172</v>
          </cell>
          <cell r="FC113">
            <v>180</v>
          </cell>
          <cell r="FD113">
            <v>152</v>
          </cell>
          <cell r="FE113">
            <v>184</v>
          </cell>
          <cell r="FF113">
            <v>173</v>
          </cell>
          <cell r="FG113">
            <v>153</v>
          </cell>
          <cell r="FH113">
            <v>167</v>
          </cell>
          <cell r="FI113">
            <v>156</v>
          </cell>
          <cell r="FJ113">
            <v>173</v>
          </cell>
          <cell r="FK113">
            <v>133</v>
          </cell>
          <cell r="FL113">
            <v>149</v>
          </cell>
          <cell r="FM113">
            <v>131</v>
          </cell>
          <cell r="FN113">
            <v>138</v>
          </cell>
          <cell r="FO113">
            <v>118</v>
          </cell>
          <cell r="FP113">
            <v>120</v>
          </cell>
          <cell r="FQ113">
            <v>133</v>
          </cell>
          <cell r="FR113">
            <v>117</v>
          </cell>
          <cell r="FS113">
            <v>112</v>
          </cell>
          <cell r="FT113">
            <v>73</v>
          </cell>
          <cell r="FU113">
            <v>87</v>
          </cell>
          <cell r="FV113">
            <v>106</v>
          </cell>
          <cell r="FW113">
            <v>97</v>
          </cell>
          <cell r="FX113">
            <v>72</v>
          </cell>
          <cell r="FY113">
            <v>93</v>
          </cell>
          <cell r="FZ113">
            <v>100</v>
          </cell>
          <cell r="GA113">
            <v>107</v>
          </cell>
          <cell r="GB113">
            <v>90</v>
          </cell>
          <cell r="GC113">
            <v>87</v>
          </cell>
          <cell r="GD113">
            <v>79</v>
          </cell>
          <cell r="GE113">
            <v>100</v>
          </cell>
          <cell r="GF113">
            <v>92</v>
          </cell>
          <cell r="GG113">
            <v>84</v>
          </cell>
          <cell r="GH113">
            <v>93</v>
          </cell>
          <cell r="GI113">
            <v>100</v>
          </cell>
          <cell r="GJ113">
            <v>109</v>
          </cell>
          <cell r="GK113">
            <v>78</v>
          </cell>
          <cell r="GL113">
            <v>105</v>
          </cell>
          <cell r="GM113">
            <v>70</v>
          </cell>
          <cell r="GN113">
            <v>100</v>
          </cell>
        </row>
        <row r="114">
          <cell r="B114" t="str">
            <v>ZIDOVUDINE ROX</v>
          </cell>
          <cell r="C114" t="str">
            <v xml:space="preserve">OX </v>
          </cell>
          <cell r="D114">
            <v>193</v>
          </cell>
          <cell r="E114">
            <v>154</v>
          </cell>
          <cell r="F114">
            <v>171</v>
          </cell>
          <cell r="G114">
            <v>177</v>
          </cell>
          <cell r="H114">
            <v>198</v>
          </cell>
          <cell r="I114">
            <v>146</v>
          </cell>
          <cell r="J114">
            <v>157</v>
          </cell>
          <cell r="K114">
            <v>177</v>
          </cell>
          <cell r="L114">
            <v>194</v>
          </cell>
          <cell r="M114">
            <v>159</v>
          </cell>
          <cell r="N114">
            <v>129</v>
          </cell>
          <cell r="O114">
            <v>157</v>
          </cell>
          <cell r="P114">
            <v>157</v>
          </cell>
          <cell r="Q114">
            <v>164</v>
          </cell>
          <cell r="R114">
            <v>187</v>
          </cell>
          <cell r="S114">
            <v>166</v>
          </cell>
          <cell r="T114">
            <v>188</v>
          </cell>
          <cell r="U114">
            <v>166</v>
          </cell>
          <cell r="V114">
            <v>160</v>
          </cell>
          <cell r="W114">
            <v>126</v>
          </cell>
          <cell r="X114">
            <v>156</v>
          </cell>
          <cell r="Y114">
            <v>161</v>
          </cell>
          <cell r="Z114">
            <v>174</v>
          </cell>
          <cell r="AA114">
            <v>128</v>
          </cell>
          <cell r="AB114">
            <v>182</v>
          </cell>
          <cell r="AC114">
            <v>193</v>
          </cell>
          <cell r="AD114">
            <v>153</v>
          </cell>
          <cell r="AE114">
            <v>157</v>
          </cell>
          <cell r="AF114">
            <v>161</v>
          </cell>
          <cell r="AG114">
            <v>214</v>
          </cell>
          <cell r="AH114">
            <v>180</v>
          </cell>
          <cell r="AI114">
            <v>155</v>
          </cell>
          <cell r="AJ114">
            <v>188</v>
          </cell>
          <cell r="AK114">
            <v>211</v>
          </cell>
          <cell r="AL114">
            <v>191</v>
          </cell>
          <cell r="AM114">
            <v>151</v>
          </cell>
          <cell r="AN114">
            <v>190</v>
          </cell>
          <cell r="AO114">
            <v>186</v>
          </cell>
          <cell r="AP114">
            <v>217</v>
          </cell>
          <cell r="AQ114">
            <v>138</v>
          </cell>
          <cell r="AR114">
            <v>181</v>
          </cell>
          <cell r="AS114">
            <v>191</v>
          </cell>
          <cell r="AT114">
            <v>142</v>
          </cell>
          <cell r="AU114">
            <v>129</v>
          </cell>
          <cell r="AV114">
            <v>185</v>
          </cell>
          <cell r="AW114">
            <v>145</v>
          </cell>
          <cell r="AX114">
            <v>175</v>
          </cell>
          <cell r="AY114">
            <v>154</v>
          </cell>
          <cell r="AZ114">
            <v>168</v>
          </cell>
          <cell r="BA114">
            <v>165</v>
          </cell>
          <cell r="BB114">
            <v>157</v>
          </cell>
          <cell r="BC114">
            <v>148</v>
          </cell>
          <cell r="BD114">
            <v>185</v>
          </cell>
          <cell r="BE114">
            <v>139</v>
          </cell>
          <cell r="BF114">
            <v>150</v>
          </cell>
          <cell r="BG114">
            <v>146</v>
          </cell>
          <cell r="BH114">
            <v>171</v>
          </cell>
          <cell r="BI114">
            <v>155</v>
          </cell>
          <cell r="BJ114">
            <v>165</v>
          </cell>
          <cell r="BK114">
            <v>188</v>
          </cell>
          <cell r="BL114">
            <v>153</v>
          </cell>
          <cell r="BM114">
            <v>102</v>
          </cell>
          <cell r="BN114">
            <v>158</v>
          </cell>
          <cell r="BO114">
            <v>156</v>
          </cell>
          <cell r="BP114">
            <v>156</v>
          </cell>
          <cell r="BQ114">
            <v>114</v>
          </cell>
          <cell r="BR114">
            <v>122</v>
          </cell>
          <cell r="BS114">
            <v>152</v>
          </cell>
          <cell r="BT114">
            <v>184</v>
          </cell>
          <cell r="BU114">
            <v>124</v>
          </cell>
          <cell r="BV114">
            <v>117</v>
          </cell>
          <cell r="BW114">
            <v>173</v>
          </cell>
          <cell r="BX114">
            <v>140</v>
          </cell>
          <cell r="BY114">
            <v>130</v>
          </cell>
          <cell r="BZ114">
            <v>126</v>
          </cell>
          <cell r="CA114">
            <v>160</v>
          </cell>
          <cell r="CB114">
            <v>156</v>
          </cell>
          <cell r="CC114">
            <v>185</v>
          </cell>
          <cell r="CD114">
            <v>92</v>
          </cell>
          <cell r="CE114">
            <v>110</v>
          </cell>
          <cell r="CF114">
            <v>182</v>
          </cell>
          <cell r="CG114">
            <v>156</v>
          </cell>
          <cell r="CH114">
            <v>119</v>
          </cell>
          <cell r="CI114">
            <v>147</v>
          </cell>
          <cell r="CJ114">
            <v>182</v>
          </cell>
          <cell r="CK114">
            <v>133</v>
          </cell>
          <cell r="CL114">
            <v>110</v>
          </cell>
          <cell r="CM114">
            <v>130</v>
          </cell>
          <cell r="CN114">
            <v>153</v>
          </cell>
          <cell r="CO114">
            <v>193</v>
          </cell>
          <cell r="CP114">
            <v>123</v>
          </cell>
          <cell r="CQ114">
            <v>123</v>
          </cell>
          <cell r="CR114">
            <v>144</v>
          </cell>
          <cell r="CS114">
            <v>145</v>
          </cell>
          <cell r="CT114">
            <v>121</v>
          </cell>
          <cell r="CU114">
            <v>162</v>
          </cell>
          <cell r="CV114">
            <v>117</v>
          </cell>
          <cell r="CW114">
            <v>167</v>
          </cell>
          <cell r="CX114">
            <v>126</v>
          </cell>
          <cell r="CY114">
            <v>121</v>
          </cell>
          <cell r="CZ114">
            <v>108</v>
          </cell>
          <cell r="DA114">
            <v>114</v>
          </cell>
          <cell r="DB114">
            <v>149</v>
          </cell>
          <cell r="DC114">
            <v>112</v>
          </cell>
          <cell r="DD114">
            <v>113</v>
          </cell>
          <cell r="DE114">
            <v>111</v>
          </cell>
          <cell r="DF114">
            <v>147</v>
          </cell>
          <cell r="DG114">
            <v>101</v>
          </cell>
          <cell r="DH114">
            <v>97</v>
          </cell>
          <cell r="DI114">
            <v>116</v>
          </cell>
          <cell r="DJ114">
            <v>115</v>
          </cell>
          <cell r="DK114">
            <v>136</v>
          </cell>
          <cell r="DL114">
            <v>130</v>
          </cell>
          <cell r="DM114">
            <v>128</v>
          </cell>
          <cell r="DN114">
            <v>148</v>
          </cell>
          <cell r="DO114">
            <v>156</v>
          </cell>
          <cell r="DP114">
            <v>162</v>
          </cell>
          <cell r="DQ114">
            <v>178</v>
          </cell>
          <cell r="DR114">
            <v>217</v>
          </cell>
          <cell r="DS114">
            <v>255</v>
          </cell>
          <cell r="DT114">
            <v>270</v>
          </cell>
          <cell r="DU114">
            <v>290</v>
          </cell>
          <cell r="DV114">
            <v>311</v>
          </cell>
          <cell r="DW114">
            <v>401</v>
          </cell>
          <cell r="DX114">
            <v>379</v>
          </cell>
          <cell r="DY114">
            <v>345</v>
          </cell>
          <cell r="DZ114">
            <v>289</v>
          </cell>
          <cell r="EA114">
            <v>422</v>
          </cell>
          <cell r="EB114">
            <v>459</v>
          </cell>
          <cell r="EC114">
            <v>500</v>
          </cell>
          <cell r="ED114">
            <v>434</v>
          </cell>
          <cell r="EE114">
            <v>462</v>
          </cell>
          <cell r="EF114">
            <v>605</v>
          </cell>
          <cell r="EG114">
            <v>608</v>
          </cell>
          <cell r="EH114">
            <v>589</v>
          </cell>
          <cell r="EI114">
            <v>508</v>
          </cell>
          <cell r="EJ114">
            <v>640</v>
          </cell>
          <cell r="EK114">
            <v>612</v>
          </cell>
          <cell r="EL114">
            <v>648</v>
          </cell>
          <cell r="EM114">
            <v>595</v>
          </cell>
          <cell r="EN114">
            <v>688</v>
          </cell>
          <cell r="EO114">
            <v>683</v>
          </cell>
          <cell r="EP114">
            <v>615</v>
          </cell>
          <cell r="EQ114">
            <v>675</v>
          </cell>
          <cell r="ER114">
            <v>626</v>
          </cell>
          <cell r="ES114">
            <v>652</v>
          </cell>
          <cell r="ET114">
            <v>649</v>
          </cell>
          <cell r="EU114">
            <v>629</v>
          </cell>
          <cell r="EV114">
            <v>675</v>
          </cell>
          <cell r="EW114">
            <v>666</v>
          </cell>
          <cell r="EX114">
            <v>635</v>
          </cell>
          <cell r="EY114">
            <v>666</v>
          </cell>
          <cell r="EZ114">
            <v>613</v>
          </cell>
          <cell r="FA114">
            <v>781</v>
          </cell>
          <cell r="FB114">
            <v>629</v>
          </cell>
          <cell r="FC114">
            <v>658</v>
          </cell>
          <cell r="FD114">
            <v>691</v>
          </cell>
          <cell r="FE114">
            <v>723</v>
          </cell>
          <cell r="FF114">
            <v>668</v>
          </cell>
          <cell r="FG114">
            <v>640</v>
          </cell>
          <cell r="FH114">
            <v>659</v>
          </cell>
          <cell r="FI114">
            <v>611</v>
          </cell>
          <cell r="FJ114">
            <v>705</v>
          </cell>
          <cell r="FK114">
            <v>658</v>
          </cell>
          <cell r="FL114">
            <v>653</v>
          </cell>
          <cell r="FM114">
            <v>613</v>
          </cell>
          <cell r="FN114">
            <v>690</v>
          </cell>
          <cell r="FO114">
            <v>638</v>
          </cell>
          <cell r="FP114">
            <v>677</v>
          </cell>
          <cell r="FQ114">
            <v>726</v>
          </cell>
          <cell r="FR114">
            <v>756</v>
          </cell>
          <cell r="FS114">
            <v>689</v>
          </cell>
          <cell r="FT114">
            <v>656</v>
          </cell>
          <cell r="FU114">
            <v>682</v>
          </cell>
          <cell r="FV114">
            <v>685</v>
          </cell>
          <cell r="FW114">
            <v>666</v>
          </cell>
          <cell r="FX114">
            <v>722</v>
          </cell>
          <cell r="FY114">
            <v>647</v>
          </cell>
          <cell r="FZ114">
            <v>578</v>
          </cell>
          <cell r="GA114">
            <v>783</v>
          </cell>
          <cell r="GB114">
            <v>662</v>
          </cell>
          <cell r="GC114">
            <v>681</v>
          </cell>
          <cell r="GD114">
            <v>587</v>
          </cell>
          <cell r="GE114">
            <v>752</v>
          </cell>
          <cell r="GF114">
            <v>685</v>
          </cell>
          <cell r="GG114">
            <v>702</v>
          </cell>
          <cell r="GH114">
            <v>634</v>
          </cell>
          <cell r="GI114">
            <v>698</v>
          </cell>
          <cell r="GJ114">
            <v>724</v>
          </cell>
          <cell r="GK114">
            <v>623</v>
          </cell>
          <cell r="GL114">
            <v>688</v>
          </cell>
          <cell r="GM114">
            <v>580</v>
          </cell>
          <cell r="GN114">
            <v>737</v>
          </cell>
        </row>
        <row r="115">
          <cell r="B115" t="str">
            <v>ZIDOVUDINE AOB</v>
          </cell>
          <cell r="C115" t="str">
            <v xml:space="preserve">OB </v>
          </cell>
          <cell r="D115">
            <v>280</v>
          </cell>
          <cell r="E115">
            <v>274</v>
          </cell>
          <cell r="F115">
            <v>337</v>
          </cell>
          <cell r="G115">
            <v>318</v>
          </cell>
          <cell r="H115">
            <v>331</v>
          </cell>
          <cell r="I115">
            <v>367</v>
          </cell>
          <cell r="J115">
            <v>368</v>
          </cell>
          <cell r="K115">
            <v>329</v>
          </cell>
          <cell r="L115">
            <v>402</v>
          </cell>
          <cell r="M115">
            <v>365</v>
          </cell>
          <cell r="N115">
            <v>351</v>
          </cell>
          <cell r="O115">
            <v>400</v>
          </cell>
          <cell r="P115">
            <v>405</v>
          </cell>
          <cell r="Q115">
            <v>373</v>
          </cell>
          <cell r="R115">
            <v>393</v>
          </cell>
          <cell r="S115">
            <v>378</v>
          </cell>
          <cell r="T115">
            <v>407</v>
          </cell>
          <cell r="U115">
            <v>421</v>
          </cell>
          <cell r="V115">
            <v>451</v>
          </cell>
          <cell r="W115">
            <v>433</v>
          </cell>
          <cell r="X115">
            <v>411</v>
          </cell>
          <cell r="Y115">
            <v>437</v>
          </cell>
          <cell r="Z115">
            <v>459</v>
          </cell>
          <cell r="AA115">
            <v>391</v>
          </cell>
          <cell r="AB115">
            <v>486</v>
          </cell>
          <cell r="AC115">
            <v>496</v>
          </cell>
          <cell r="AD115">
            <v>380</v>
          </cell>
          <cell r="AE115">
            <v>394</v>
          </cell>
          <cell r="AF115">
            <v>466</v>
          </cell>
          <cell r="AG115">
            <v>476</v>
          </cell>
          <cell r="AH115">
            <v>456</v>
          </cell>
          <cell r="AI115">
            <v>455</v>
          </cell>
          <cell r="AJ115">
            <v>505</v>
          </cell>
          <cell r="AK115">
            <v>475</v>
          </cell>
          <cell r="AL115">
            <v>535</v>
          </cell>
          <cell r="AM115">
            <v>492</v>
          </cell>
          <cell r="AN115">
            <v>576</v>
          </cell>
          <cell r="AO115">
            <v>505</v>
          </cell>
          <cell r="AP115">
            <v>586</v>
          </cell>
          <cell r="AQ115">
            <v>496</v>
          </cell>
          <cell r="AR115">
            <v>477</v>
          </cell>
          <cell r="AS115">
            <v>461</v>
          </cell>
          <cell r="AT115">
            <v>558</v>
          </cell>
          <cell r="AU115">
            <v>537</v>
          </cell>
          <cell r="AV115">
            <v>523</v>
          </cell>
          <cell r="AW115">
            <v>614</v>
          </cell>
          <cell r="AX115">
            <v>527</v>
          </cell>
          <cell r="AY115">
            <v>536</v>
          </cell>
          <cell r="AZ115">
            <v>489</v>
          </cell>
          <cell r="BA115">
            <v>647</v>
          </cell>
          <cell r="BB115">
            <v>552</v>
          </cell>
          <cell r="BC115">
            <v>556</v>
          </cell>
          <cell r="BD115">
            <v>547</v>
          </cell>
          <cell r="BE115">
            <v>649</v>
          </cell>
          <cell r="BF115">
            <v>613</v>
          </cell>
          <cell r="BG115">
            <v>564</v>
          </cell>
          <cell r="BH115">
            <v>558</v>
          </cell>
          <cell r="BI115">
            <v>642</v>
          </cell>
          <cell r="BJ115">
            <v>647</v>
          </cell>
          <cell r="BK115">
            <v>654</v>
          </cell>
          <cell r="BL115">
            <v>528</v>
          </cell>
          <cell r="BM115">
            <v>634</v>
          </cell>
          <cell r="BN115">
            <v>572</v>
          </cell>
          <cell r="BO115">
            <v>612</v>
          </cell>
          <cell r="BP115">
            <v>596</v>
          </cell>
          <cell r="BQ115">
            <v>604</v>
          </cell>
          <cell r="BR115">
            <v>594</v>
          </cell>
          <cell r="BS115">
            <v>624</v>
          </cell>
          <cell r="BT115">
            <v>573</v>
          </cell>
          <cell r="BU115">
            <v>629</v>
          </cell>
          <cell r="BV115">
            <v>630</v>
          </cell>
          <cell r="BW115">
            <v>593</v>
          </cell>
          <cell r="BX115">
            <v>599</v>
          </cell>
          <cell r="BY115">
            <v>517</v>
          </cell>
          <cell r="BZ115">
            <v>665</v>
          </cell>
          <cell r="CA115">
            <v>571</v>
          </cell>
          <cell r="CB115">
            <v>617</v>
          </cell>
          <cell r="CC115">
            <v>586</v>
          </cell>
          <cell r="CD115">
            <v>503</v>
          </cell>
          <cell r="CE115">
            <v>579</v>
          </cell>
          <cell r="CF115">
            <v>617</v>
          </cell>
          <cell r="CG115">
            <v>671</v>
          </cell>
          <cell r="CH115">
            <v>613</v>
          </cell>
          <cell r="CI115">
            <v>563</v>
          </cell>
          <cell r="CJ115">
            <v>582</v>
          </cell>
          <cell r="CK115">
            <v>670</v>
          </cell>
          <cell r="CL115">
            <v>566</v>
          </cell>
          <cell r="CM115">
            <v>649</v>
          </cell>
          <cell r="CN115">
            <v>683</v>
          </cell>
          <cell r="CO115">
            <v>594</v>
          </cell>
          <cell r="CP115">
            <v>607</v>
          </cell>
          <cell r="CQ115">
            <v>580</v>
          </cell>
          <cell r="CR115">
            <v>575</v>
          </cell>
          <cell r="CS115">
            <v>602</v>
          </cell>
          <cell r="CT115">
            <v>585</v>
          </cell>
          <cell r="CU115">
            <v>563</v>
          </cell>
          <cell r="CV115">
            <v>587</v>
          </cell>
          <cell r="CW115">
            <v>579</v>
          </cell>
          <cell r="CX115">
            <v>580</v>
          </cell>
          <cell r="CY115">
            <v>612</v>
          </cell>
          <cell r="CZ115">
            <v>574</v>
          </cell>
          <cell r="DA115">
            <v>605</v>
          </cell>
          <cell r="DB115">
            <v>636</v>
          </cell>
          <cell r="DC115">
            <v>588</v>
          </cell>
          <cell r="DD115">
            <v>560</v>
          </cell>
          <cell r="DE115">
            <v>597</v>
          </cell>
          <cell r="DF115">
            <v>649</v>
          </cell>
          <cell r="DG115">
            <v>670</v>
          </cell>
          <cell r="DH115">
            <v>630</v>
          </cell>
          <cell r="DI115">
            <v>589</v>
          </cell>
          <cell r="DJ115">
            <v>666</v>
          </cell>
          <cell r="DK115">
            <v>619</v>
          </cell>
          <cell r="DL115">
            <v>659</v>
          </cell>
          <cell r="DM115">
            <v>624</v>
          </cell>
          <cell r="DN115">
            <v>630</v>
          </cell>
          <cell r="DO115">
            <v>661</v>
          </cell>
          <cell r="DP115">
            <v>618</v>
          </cell>
          <cell r="DQ115">
            <v>629</v>
          </cell>
          <cell r="DR115">
            <v>659</v>
          </cell>
          <cell r="DS115">
            <v>704</v>
          </cell>
          <cell r="DT115">
            <v>670</v>
          </cell>
          <cell r="DU115">
            <v>652</v>
          </cell>
          <cell r="DV115">
            <v>608</v>
          </cell>
          <cell r="DW115">
            <v>685</v>
          </cell>
          <cell r="DX115">
            <v>689</v>
          </cell>
          <cell r="DY115">
            <v>655</v>
          </cell>
          <cell r="DZ115">
            <v>575</v>
          </cell>
          <cell r="EA115">
            <v>671</v>
          </cell>
          <cell r="EB115">
            <v>722</v>
          </cell>
          <cell r="EC115">
            <v>736</v>
          </cell>
          <cell r="ED115">
            <v>533</v>
          </cell>
          <cell r="EE115">
            <v>647</v>
          </cell>
          <cell r="EF115">
            <v>746</v>
          </cell>
          <cell r="EG115">
            <v>744</v>
          </cell>
          <cell r="EH115">
            <v>613</v>
          </cell>
          <cell r="EI115">
            <v>686</v>
          </cell>
          <cell r="EJ115">
            <v>721</v>
          </cell>
          <cell r="EK115">
            <v>676</v>
          </cell>
          <cell r="EL115">
            <v>637</v>
          </cell>
          <cell r="EM115">
            <v>618</v>
          </cell>
          <cell r="EN115">
            <v>768</v>
          </cell>
          <cell r="EO115">
            <v>624</v>
          </cell>
          <cell r="EP115">
            <v>623</v>
          </cell>
          <cell r="EQ115">
            <v>655</v>
          </cell>
          <cell r="ER115">
            <v>669</v>
          </cell>
          <cell r="ES115">
            <v>703</v>
          </cell>
          <cell r="ET115">
            <v>612</v>
          </cell>
          <cell r="EU115">
            <v>637</v>
          </cell>
          <cell r="EV115">
            <v>598</v>
          </cell>
          <cell r="EW115">
            <v>700</v>
          </cell>
          <cell r="EX115">
            <v>633</v>
          </cell>
          <cell r="EY115">
            <v>658</v>
          </cell>
          <cell r="EZ115">
            <v>576</v>
          </cell>
          <cell r="FA115">
            <v>611</v>
          </cell>
          <cell r="FB115">
            <v>668</v>
          </cell>
          <cell r="FC115">
            <v>634</v>
          </cell>
          <cell r="FD115">
            <v>599</v>
          </cell>
          <cell r="FE115">
            <v>672</v>
          </cell>
          <cell r="FF115">
            <v>694</v>
          </cell>
          <cell r="FG115">
            <v>628</v>
          </cell>
          <cell r="FH115">
            <v>585</v>
          </cell>
          <cell r="FI115">
            <v>656</v>
          </cell>
          <cell r="FJ115">
            <v>658</v>
          </cell>
          <cell r="FK115">
            <v>681</v>
          </cell>
          <cell r="FL115">
            <v>652</v>
          </cell>
          <cell r="FM115">
            <v>674</v>
          </cell>
          <cell r="FN115">
            <v>688</v>
          </cell>
          <cell r="FO115">
            <v>685</v>
          </cell>
          <cell r="FP115">
            <v>678</v>
          </cell>
          <cell r="FQ115">
            <v>668</v>
          </cell>
          <cell r="FR115">
            <v>642</v>
          </cell>
          <cell r="FS115">
            <v>695</v>
          </cell>
          <cell r="FT115">
            <v>637</v>
          </cell>
          <cell r="FU115">
            <v>607</v>
          </cell>
          <cell r="FV115">
            <v>681</v>
          </cell>
          <cell r="FW115">
            <v>760</v>
          </cell>
          <cell r="FX115">
            <v>659</v>
          </cell>
          <cell r="FY115">
            <v>730</v>
          </cell>
          <cell r="FZ115">
            <v>588</v>
          </cell>
          <cell r="GA115">
            <v>721</v>
          </cell>
          <cell r="GB115">
            <v>692</v>
          </cell>
          <cell r="GC115">
            <v>729</v>
          </cell>
          <cell r="GD115">
            <v>515</v>
          </cell>
          <cell r="GE115">
            <v>576</v>
          </cell>
          <cell r="GF115">
            <v>736</v>
          </cell>
          <cell r="GG115">
            <v>781</v>
          </cell>
          <cell r="GH115">
            <v>603</v>
          </cell>
          <cell r="GI115">
            <v>638</v>
          </cell>
          <cell r="GJ115">
            <v>666</v>
          </cell>
          <cell r="GK115">
            <v>698</v>
          </cell>
          <cell r="GL115">
            <v>676</v>
          </cell>
          <cell r="GM115">
            <v>654</v>
          </cell>
          <cell r="GN115">
            <v>760</v>
          </cell>
        </row>
        <row r="116">
          <cell r="B116" t="str">
            <v>ZOFRAN</v>
          </cell>
          <cell r="C116" t="str">
            <v>GSK</v>
          </cell>
          <cell r="D116">
            <v>24956</v>
          </cell>
          <cell r="E116">
            <v>22276</v>
          </cell>
          <cell r="F116">
            <v>24839</v>
          </cell>
          <cell r="G116">
            <v>24290</v>
          </cell>
          <cell r="H116">
            <v>24308</v>
          </cell>
          <cell r="I116">
            <v>24564</v>
          </cell>
          <cell r="J116">
            <v>24473</v>
          </cell>
          <cell r="K116">
            <v>24857</v>
          </cell>
          <cell r="L116">
            <v>24955</v>
          </cell>
          <cell r="M116">
            <v>25901</v>
          </cell>
          <cell r="N116">
            <v>23663</v>
          </cell>
          <cell r="O116">
            <v>25699</v>
          </cell>
          <cell r="P116">
            <v>25120</v>
          </cell>
          <cell r="Q116">
            <v>25579</v>
          </cell>
          <cell r="R116">
            <v>26083</v>
          </cell>
          <cell r="S116">
            <v>25563</v>
          </cell>
          <cell r="T116">
            <v>25783</v>
          </cell>
          <cell r="U116">
            <v>26001</v>
          </cell>
          <cell r="V116">
            <v>26385</v>
          </cell>
          <cell r="W116">
            <v>26642</v>
          </cell>
          <cell r="X116">
            <v>27462</v>
          </cell>
          <cell r="Y116">
            <v>23961</v>
          </cell>
          <cell r="Z116">
            <v>28108</v>
          </cell>
          <cell r="AA116">
            <v>26982</v>
          </cell>
          <cell r="AB116">
            <v>27558</v>
          </cell>
          <cell r="AC116">
            <v>28630</v>
          </cell>
          <cell r="AD116">
            <v>25086</v>
          </cell>
          <cell r="AE116">
            <v>18722</v>
          </cell>
          <cell r="AF116">
            <v>10752</v>
          </cell>
          <cell r="AG116">
            <v>8419</v>
          </cell>
          <cell r="AH116">
            <v>7297</v>
          </cell>
          <cell r="AI116">
            <v>6316</v>
          </cell>
          <cell r="AJ116">
            <v>5360</v>
          </cell>
          <cell r="AK116">
            <v>4722</v>
          </cell>
          <cell r="AL116">
            <v>4174</v>
          </cell>
          <cell r="AM116">
            <v>4208</v>
          </cell>
          <cell r="AN116">
            <v>3882</v>
          </cell>
          <cell r="AO116">
            <v>3527</v>
          </cell>
          <cell r="AP116">
            <v>3378</v>
          </cell>
          <cell r="AQ116">
            <v>3316</v>
          </cell>
          <cell r="AR116">
            <v>3178</v>
          </cell>
          <cell r="AS116">
            <v>2985</v>
          </cell>
          <cell r="AT116">
            <v>2965</v>
          </cell>
          <cell r="AU116">
            <v>2925</v>
          </cell>
          <cell r="AV116">
            <v>2976</v>
          </cell>
          <cell r="AW116">
            <v>2696</v>
          </cell>
          <cell r="AX116">
            <v>2643</v>
          </cell>
          <cell r="AY116">
            <v>2696</v>
          </cell>
          <cell r="AZ116">
            <v>2551</v>
          </cell>
          <cell r="BA116">
            <v>2453</v>
          </cell>
          <cell r="BB116">
            <v>2463</v>
          </cell>
          <cell r="BC116">
            <v>2461</v>
          </cell>
          <cell r="BD116">
            <v>2459</v>
          </cell>
          <cell r="BE116">
            <v>2146</v>
          </cell>
          <cell r="BF116">
            <v>2417</v>
          </cell>
          <cell r="BG116">
            <v>2248</v>
          </cell>
          <cell r="BH116">
            <v>2126</v>
          </cell>
          <cell r="BI116">
            <v>2033</v>
          </cell>
          <cell r="BJ116">
            <v>2012</v>
          </cell>
          <cell r="BK116">
            <v>2115</v>
          </cell>
          <cell r="BL116">
            <v>1924</v>
          </cell>
          <cell r="BM116">
            <v>2002</v>
          </cell>
          <cell r="BN116">
            <v>1803</v>
          </cell>
          <cell r="BO116">
            <v>1998</v>
          </cell>
          <cell r="BP116">
            <v>1814</v>
          </cell>
          <cell r="BQ116">
            <v>1778</v>
          </cell>
          <cell r="BR116">
            <v>1808</v>
          </cell>
          <cell r="BS116">
            <v>1735</v>
          </cell>
          <cell r="BT116">
            <v>1691</v>
          </cell>
          <cell r="BU116">
            <v>1666</v>
          </cell>
          <cell r="BV116">
            <v>1798</v>
          </cell>
          <cell r="BW116">
            <v>1453</v>
          </cell>
          <cell r="BX116">
            <v>1612</v>
          </cell>
          <cell r="BY116">
            <v>1365</v>
          </cell>
          <cell r="BZ116">
            <v>1560</v>
          </cell>
          <cell r="CA116">
            <v>1421</v>
          </cell>
          <cell r="CB116">
            <v>1430</v>
          </cell>
          <cell r="CC116">
            <v>1433</v>
          </cell>
          <cell r="CD116">
            <v>1226</v>
          </cell>
          <cell r="CE116">
            <v>1169</v>
          </cell>
          <cell r="CF116">
            <v>1335</v>
          </cell>
          <cell r="CG116">
            <v>1383</v>
          </cell>
          <cell r="CH116">
            <v>1189</v>
          </cell>
          <cell r="CI116">
            <v>1254</v>
          </cell>
          <cell r="CJ116">
            <v>1308</v>
          </cell>
          <cell r="CK116">
            <v>1179</v>
          </cell>
          <cell r="CL116">
            <v>1164</v>
          </cell>
          <cell r="CM116">
            <v>1105</v>
          </cell>
          <cell r="CN116">
            <v>1185</v>
          </cell>
          <cell r="CO116">
            <v>1009</v>
          </cell>
          <cell r="CP116">
            <v>1026</v>
          </cell>
          <cell r="CQ116">
            <v>927</v>
          </cell>
          <cell r="CR116">
            <v>982</v>
          </cell>
          <cell r="CS116">
            <v>1008</v>
          </cell>
          <cell r="CT116">
            <v>889</v>
          </cell>
          <cell r="CU116">
            <v>818</v>
          </cell>
          <cell r="CV116">
            <v>878</v>
          </cell>
          <cell r="CW116">
            <v>894</v>
          </cell>
          <cell r="CX116">
            <v>919</v>
          </cell>
          <cell r="CY116">
            <v>823</v>
          </cell>
          <cell r="CZ116">
            <v>879</v>
          </cell>
          <cell r="DA116">
            <v>1214</v>
          </cell>
          <cell r="DB116">
            <v>1046</v>
          </cell>
          <cell r="DC116">
            <v>923</v>
          </cell>
          <cell r="DD116">
            <v>1015</v>
          </cell>
          <cell r="DE116">
            <v>935</v>
          </cell>
          <cell r="DF116">
            <v>1098</v>
          </cell>
          <cell r="DG116">
            <v>1072</v>
          </cell>
          <cell r="DH116">
            <v>970</v>
          </cell>
          <cell r="DI116">
            <v>1018</v>
          </cell>
          <cell r="DJ116">
            <v>957</v>
          </cell>
          <cell r="DK116">
            <v>981</v>
          </cell>
          <cell r="DL116">
            <v>916</v>
          </cell>
          <cell r="DM116">
            <v>1020</v>
          </cell>
          <cell r="DN116">
            <v>904</v>
          </cell>
          <cell r="DO116">
            <v>1028</v>
          </cell>
          <cell r="DP116">
            <v>968</v>
          </cell>
          <cell r="DQ116">
            <v>934</v>
          </cell>
          <cell r="DR116">
            <v>959</v>
          </cell>
          <cell r="DS116">
            <v>980</v>
          </cell>
          <cell r="DT116">
            <v>873</v>
          </cell>
          <cell r="DU116">
            <v>861</v>
          </cell>
          <cell r="DV116">
            <v>905</v>
          </cell>
          <cell r="DW116">
            <v>983</v>
          </cell>
          <cell r="DX116">
            <v>916</v>
          </cell>
          <cell r="DY116">
            <v>913</v>
          </cell>
          <cell r="DZ116">
            <v>834</v>
          </cell>
          <cell r="EA116">
            <v>1094</v>
          </cell>
          <cell r="EB116">
            <v>981</v>
          </cell>
          <cell r="EC116">
            <v>844</v>
          </cell>
          <cell r="ED116">
            <v>743</v>
          </cell>
          <cell r="EE116">
            <v>839</v>
          </cell>
          <cell r="EF116">
            <v>859</v>
          </cell>
          <cell r="EG116">
            <v>819</v>
          </cell>
          <cell r="EH116">
            <v>760</v>
          </cell>
          <cell r="EI116">
            <v>857</v>
          </cell>
          <cell r="EJ116">
            <v>864</v>
          </cell>
          <cell r="EK116">
            <v>823</v>
          </cell>
          <cell r="EL116">
            <v>733</v>
          </cell>
          <cell r="EM116">
            <v>790</v>
          </cell>
          <cell r="EN116">
            <v>839</v>
          </cell>
          <cell r="EO116">
            <v>821</v>
          </cell>
          <cell r="EP116">
            <v>764</v>
          </cell>
          <cell r="EQ116">
            <v>790</v>
          </cell>
          <cell r="ER116">
            <v>813</v>
          </cell>
          <cell r="ES116">
            <v>762</v>
          </cell>
          <cell r="ET116">
            <v>781</v>
          </cell>
          <cell r="EU116">
            <v>849</v>
          </cell>
          <cell r="EV116">
            <v>859</v>
          </cell>
          <cell r="EW116">
            <v>895</v>
          </cell>
          <cell r="EX116">
            <v>887</v>
          </cell>
          <cell r="EY116">
            <v>896</v>
          </cell>
          <cell r="EZ116">
            <v>754</v>
          </cell>
          <cell r="FA116">
            <v>933</v>
          </cell>
          <cell r="FB116">
            <v>865</v>
          </cell>
          <cell r="FC116">
            <v>794</v>
          </cell>
          <cell r="FD116">
            <v>870</v>
          </cell>
          <cell r="FE116">
            <v>803</v>
          </cell>
          <cell r="FF116">
            <v>803</v>
          </cell>
          <cell r="FG116">
            <v>746</v>
          </cell>
          <cell r="FH116">
            <v>755</v>
          </cell>
          <cell r="FI116">
            <v>807</v>
          </cell>
          <cell r="FJ116">
            <v>905</v>
          </cell>
          <cell r="FK116">
            <v>793</v>
          </cell>
          <cell r="FL116">
            <v>859</v>
          </cell>
          <cell r="FM116">
            <v>892</v>
          </cell>
          <cell r="FN116">
            <v>928</v>
          </cell>
          <cell r="FO116">
            <v>780</v>
          </cell>
          <cell r="FP116">
            <v>819</v>
          </cell>
          <cell r="FQ116">
            <v>829</v>
          </cell>
          <cell r="FR116">
            <v>851</v>
          </cell>
          <cell r="FS116">
            <v>816</v>
          </cell>
          <cell r="FT116">
            <v>855</v>
          </cell>
          <cell r="FU116">
            <v>856</v>
          </cell>
          <cell r="FV116">
            <v>640</v>
          </cell>
          <cell r="FW116">
            <v>568</v>
          </cell>
          <cell r="FX116">
            <v>523</v>
          </cell>
          <cell r="FY116">
            <v>474</v>
          </cell>
          <cell r="FZ116">
            <v>432</v>
          </cell>
          <cell r="GA116">
            <v>466</v>
          </cell>
          <cell r="GB116">
            <v>453</v>
          </cell>
          <cell r="GC116">
            <v>440</v>
          </cell>
          <cell r="GD116">
            <v>387</v>
          </cell>
          <cell r="GE116">
            <v>419</v>
          </cell>
          <cell r="GF116">
            <v>445</v>
          </cell>
          <cell r="GG116">
            <v>383</v>
          </cell>
          <cell r="GH116">
            <v>376</v>
          </cell>
          <cell r="GI116">
            <v>384</v>
          </cell>
          <cell r="GJ116">
            <v>424</v>
          </cell>
          <cell r="GK116">
            <v>339</v>
          </cell>
          <cell r="GL116">
            <v>317</v>
          </cell>
          <cell r="GM116">
            <v>359</v>
          </cell>
          <cell r="GN116">
            <v>346</v>
          </cell>
        </row>
        <row r="117">
          <cell r="B117" t="str">
            <v>ZOFRAN ODT</v>
          </cell>
          <cell r="C117" t="str">
            <v>GSK</v>
          </cell>
          <cell r="D117">
            <v>13234</v>
          </cell>
          <cell r="E117">
            <v>11373</v>
          </cell>
          <cell r="F117">
            <v>13177</v>
          </cell>
          <cell r="G117">
            <v>12558</v>
          </cell>
          <cell r="H117">
            <v>12794</v>
          </cell>
          <cell r="I117">
            <v>12491</v>
          </cell>
          <cell r="J117">
            <v>12864</v>
          </cell>
          <cell r="K117">
            <v>12763</v>
          </cell>
          <cell r="L117">
            <v>12752</v>
          </cell>
          <cell r="M117">
            <v>12796</v>
          </cell>
          <cell r="N117">
            <v>12051</v>
          </cell>
          <cell r="O117">
            <v>13117</v>
          </cell>
          <cell r="P117">
            <v>12965</v>
          </cell>
          <cell r="Q117">
            <v>13104</v>
          </cell>
          <cell r="R117">
            <v>13116</v>
          </cell>
          <cell r="S117">
            <v>13400</v>
          </cell>
          <cell r="T117">
            <v>13371</v>
          </cell>
          <cell r="U117">
            <v>13235</v>
          </cell>
          <cell r="V117">
            <v>13766</v>
          </cell>
          <cell r="W117">
            <v>14105</v>
          </cell>
          <cell r="X117">
            <v>14548</v>
          </cell>
          <cell r="Y117">
            <v>13540</v>
          </cell>
          <cell r="Z117">
            <v>15484</v>
          </cell>
          <cell r="AA117">
            <v>15398</v>
          </cell>
          <cell r="AB117">
            <v>16731</v>
          </cell>
          <cell r="AC117">
            <v>18105</v>
          </cell>
          <cell r="AD117">
            <v>16476</v>
          </cell>
          <cell r="AE117">
            <v>14049</v>
          </cell>
          <cell r="AF117">
            <v>7450</v>
          </cell>
          <cell r="AG117">
            <v>5193</v>
          </cell>
          <cell r="AH117">
            <v>4232</v>
          </cell>
          <cell r="AI117">
            <v>3782</v>
          </cell>
          <cell r="AJ117">
            <v>3220</v>
          </cell>
          <cell r="AK117">
            <v>2889</v>
          </cell>
          <cell r="AL117">
            <v>2672</v>
          </cell>
          <cell r="AM117">
            <v>2509</v>
          </cell>
          <cell r="AN117">
            <v>2305</v>
          </cell>
          <cell r="AO117">
            <v>2271</v>
          </cell>
          <cell r="AP117">
            <v>2219</v>
          </cell>
          <cell r="AQ117">
            <v>1881</v>
          </cell>
          <cell r="AR117">
            <v>1927</v>
          </cell>
          <cell r="AS117">
            <v>1884</v>
          </cell>
          <cell r="AT117">
            <v>1688</v>
          </cell>
          <cell r="AU117">
            <v>1598</v>
          </cell>
          <cell r="AV117">
            <v>1739</v>
          </cell>
          <cell r="AW117">
            <v>1556</v>
          </cell>
          <cell r="AX117">
            <v>1444</v>
          </cell>
          <cell r="AY117">
            <v>1453</v>
          </cell>
          <cell r="AZ117">
            <v>1347</v>
          </cell>
          <cell r="BA117">
            <v>1280</v>
          </cell>
          <cell r="BB117">
            <v>1304</v>
          </cell>
          <cell r="BC117">
            <v>1319</v>
          </cell>
          <cell r="BD117">
            <v>1222</v>
          </cell>
          <cell r="BE117">
            <v>1205</v>
          </cell>
          <cell r="BF117">
            <v>1167</v>
          </cell>
          <cell r="BG117">
            <v>1236</v>
          </cell>
          <cell r="BH117">
            <v>1104</v>
          </cell>
          <cell r="BI117">
            <v>1085</v>
          </cell>
          <cell r="BJ117">
            <v>1081</v>
          </cell>
          <cell r="BK117">
            <v>1068</v>
          </cell>
          <cell r="BL117">
            <v>991</v>
          </cell>
          <cell r="BM117">
            <v>899</v>
          </cell>
          <cell r="BN117">
            <v>972</v>
          </cell>
          <cell r="BO117">
            <v>1086</v>
          </cell>
          <cell r="BP117">
            <v>903</v>
          </cell>
          <cell r="BQ117">
            <v>907</v>
          </cell>
          <cell r="BR117">
            <v>929</v>
          </cell>
          <cell r="BS117">
            <v>950</v>
          </cell>
          <cell r="BT117">
            <v>835</v>
          </cell>
          <cell r="BU117">
            <v>799</v>
          </cell>
          <cell r="BV117">
            <v>804</v>
          </cell>
          <cell r="BW117">
            <v>855</v>
          </cell>
          <cell r="BX117">
            <v>790</v>
          </cell>
          <cell r="BY117">
            <v>791</v>
          </cell>
          <cell r="BZ117">
            <v>818</v>
          </cell>
          <cell r="CA117">
            <v>767</v>
          </cell>
          <cell r="CB117">
            <v>732</v>
          </cell>
          <cell r="CC117">
            <v>762</v>
          </cell>
          <cell r="CD117">
            <v>753</v>
          </cell>
          <cell r="CE117">
            <v>728</v>
          </cell>
          <cell r="CF117">
            <v>707</v>
          </cell>
          <cell r="CG117">
            <v>592</v>
          </cell>
          <cell r="CH117">
            <v>564</v>
          </cell>
          <cell r="CI117">
            <v>601</v>
          </cell>
          <cell r="CJ117">
            <v>614</v>
          </cell>
          <cell r="CK117">
            <v>535</v>
          </cell>
          <cell r="CL117">
            <v>605</v>
          </cell>
          <cell r="CM117">
            <v>580</v>
          </cell>
          <cell r="CN117">
            <v>566</v>
          </cell>
          <cell r="CO117">
            <v>546</v>
          </cell>
          <cell r="CP117">
            <v>489</v>
          </cell>
          <cell r="CQ117">
            <v>495</v>
          </cell>
          <cell r="CR117">
            <v>481</v>
          </cell>
          <cell r="CS117">
            <v>504</v>
          </cell>
          <cell r="CT117">
            <v>460</v>
          </cell>
          <cell r="CU117">
            <v>531</v>
          </cell>
          <cell r="CV117">
            <v>502</v>
          </cell>
          <cell r="CW117">
            <v>553</v>
          </cell>
          <cell r="CX117">
            <v>484</v>
          </cell>
          <cell r="CY117">
            <v>481</v>
          </cell>
          <cell r="CZ117">
            <v>486</v>
          </cell>
          <cell r="DA117">
            <v>510</v>
          </cell>
          <cell r="DB117">
            <v>477</v>
          </cell>
          <cell r="DC117">
            <v>536</v>
          </cell>
          <cell r="DD117">
            <v>498</v>
          </cell>
          <cell r="DE117">
            <v>472</v>
          </cell>
          <cell r="DF117">
            <v>472</v>
          </cell>
          <cell r="DG117">
            <v>443</v>
          </cell>
          <cell r="DH117">
            <v>405</v>
          </cell>
          <cell r="DI117">
            <v>432</v>
          </cell>
          <cell r="DJ117">
            <v>422</v>
          </cell>
          <cell r="DK117">
            <v>408</v>
          </cell>
          <cell r="DL117">
            <v>454</v>
          </cell>
          <cell r="DM117">
            <v>430</v>
          </cell>
          <cell r="DN117">
            <v>433</v>
          </cell>
          <cell r="DO117">
            <v>435</v>
          </cell>
          <cell r="DP117">
            <v>356</v>
          </cell>
          <cell r="DQ117">
            <v>411</v>
          </cell>
          <cell r="DR117">
            <v>389</v>
          </cell>
          <cell r="DS117">
            <v>378</v>
          </cell>
          <cell r="DT117">
            <v>416</v>
          </cell>
          <cell r="DU117">
            <v>460</v>
          </cell>
          <cell r="DV117">
            <v>428</v>
          </cell>
          <cell r="DW117">
            <v>476</v>
          </cell>
          <cell r="DX117">
            <v>481</v>
          </cell>
          <cell r="DY117">
            <v>529</v>
          </cell>
          <cell r="DZ117">
            <v>451</v>
          </cell>
          <cell r="EA117">
            <v>491</v>
          </cell>
          <cell r="EB117">
            <v>492</v>
          </cell>
          <cell r="EC117">
            <v>495</v>
          </cell>
          <cell r="ED117">
            <v>388</v>
          </cell>
          <cell r="EE117">
            <v>439</v>
          </cell>
          <cell r="EF117">
            <v>477</v>
          </cell>
          <cell r="EG117">
            <v>467</v>
          </cell>
          <cell r="EH117">
            <v>452</v>
          </cell>
          <cell r="EI117">
            <v>433</v>
          </cell>
          <cell r="EJ117">
            <v>430</v>
          </cell>
          <cell r="EK117">
            <v>461</v>
          </cell>
          <cell r="EL117">
            <v>422</v>
          </cell>
          <cell r="EM117">
            <v>484</v>
          </cell>
          <cell r="EN117">
            <v>554</v>
          </cell>
          <cell r="EO117">
            <v>503</v>
          </cell>
          <cell r="EP117">
            <v>487</v>
          </cell>
          <cell r="EQ117">
            <v>461</v>
          </cell>
          <cell r="ER117">
            <v>458</v>
          </cell>
          <cell r="ES117">
            <v>491</v>
          </cell>
          <cell r="ET117">
            <v>484</v>
          </cell>
          <cell r="EU117">
            <v>523</v>
          </cell>
          <cell r="EV117">
            <v>577</v>
          </cell>
          <cell r="EW117">
            <v>537</v>
          </cell>
          <cell r="EX117">
            <v>479</v>
          </cell>
          <cell r="EY117">
            <v>468</v>
          </cell>
          <cell r="EZ117">
            <v>420</v>
          </cell>
          <cell r="FA117">
            <v>483</v>
          </cell>
          <cell r="FB117">
            <v>464</v>
          </cell>
          <cell r="FC117">
            <v>495</v>
          </cell>
          <cell r="FD117">
            <v>471</v>
          </cell>
          <cell r="FE117">
            <v>478</v>
          </cell>
          <cell r="FF117">
            <v>423</v>
          </cell>
          <cell r="FG117">
            <v>466</v>
          </cell>
          <cell r="FH117">
            <v>430</v>
          </cell>
          <cell r="FI117">
            <v>447</v>
          </cell>
          <cell r="FJ117">
            <v>441</v>
          </cell>
          <cell r="FK117">
            <v>499</v>
          </cell>
          <cell r="FL117">
            <v>457</v>
          </cell>
          <cell r="FM117">
            <v>442</v>
          </cell>
          <cell r="FN117">
            <v>495</v>
          </cell>
          <cell r="FO117">
            <v>523</v>
          </cell>
          <cell r="FP117">
            <v>500</v>
          </cell>
          <cell r="FQ117">
            <v>546</v>
          </cell>
          <cell r="FR117">
            <v>570</v>
          </cell>
          <cell r="FS117">
            <v>546</v>
          </cell>
          <cell r="FT117">
            <v>609</v>
          </cell>
          <cell r="FU117">
            <v>583</v>
          </cell>
          <cell r="FV117">
            <v>552</v>
          </cell>
          <cell r="FW117">
            <v>569</v>
          </cell>
          <cell r="FX117">
            <v>527</v>
          </cell>
          <cell r="FY117">
            <v>508</v>
          </cell>
          <cell r="FZ117">
            <v>498</v>
          </cell>
          <cell r="GA117">
            <v>630</v>
          </cell>
          <cell r="GB117">
            <v>536</v>
          </cell>
          <cell r="GC117">
            <v>546</v>
          </cell>
          <cell r="GD117">
            <v>481</v>
          </cell>
          <cell r="GE117">
            <v>498</v>
          </cell>
          <cell r="GF117">
            <v>583</v>
          </cell>
          <cell r="GG117">
            <v>524</v>
          </cell>
          <cell r="GH117">
            <v>532</v>
          </cell>
          <cell r="GI117">
            <v>494</v>
          </cell>
          <cell r="GJ117">
            <v>528</v>
          </cell>
          <cell r="GK117">
            <v>500</v>
          </cell>
          <cell r="GL117">
            <v>501</v>
          </cell>
          <cell r="GM117">
            <v>542</v>
          </cell>
          <cell r="GN117">
            <v>554</v>
          </cell>
        </row>
      </sheetData>
      <sheetData sheetId="3" refreshError="1">
        <row r="3">
          <cell r="D3">
            <v>38898</v>
          </cell>
          <cell r="E3">
            <v>38905</v>
          </cell>
          <cell r="F3">
            <v>38912</v>
          </cell>
          <cell r="G3">
            <v>38919</v>
          </cell>
          <cell r="H3">
            <v>38926</v>
          </cell>
          <cell r="I3">
            <v>38933</v>
          </cell>
          <cell r="J3">
            <v>38940</v>
          </cell>
          <cell r="K3">
            <v>38947</v>
          </cell>
          <cell r="L3">
            <v>38954</v>
          </cell>
          <cell r="M3">
            <v>38961</v>
          </cell>
          <cell r="N3">
            <v>38968</v>
          </cell>
          <cell r="O3">
            <v>38975</v>
          </cell>
          <cell r="P3">
            <v>38982</v>
          </cell>
          <cell r="Q3">
            <v>38989</v>
          </cell>
          <cell r="R3">
            <v>38996</v>
          </cell>
          <cell r="S3">
            <v>39003</v>
          </cell>
          <cell r="T3">
            <v>39010</v>
          </cell>
          <cell r="U3">
            <v>39017</v>
          </cell>
          <cell r="V3">
            <v>39024</v>
          </cell>
          <cell r="W3">
            <v>39031</v>
          </cell>
          <cell r="X3">
            <v>39038</v>
          </cell>
          <cell r="Y3">
            <v>39045</v>
          </cell>
          <cell r="Z3">
            <v>39052</v>
          </cell>
          <cell r="AA3">
            <v>39059</v>
          </cell>
          <cell r="AB3">
            <v>39066</v>
          </cell>
          <cell r="AC3">
            <v>39073</v>
          </cell>
          <cell r="AD3">
            <v>39080</v>
          </cell>
          <cell r="AE3">
            <v>39087</v>
          </cell>
          <cell r="AF3">
            <v>39094</v>
          </cell>
          <cell r="AG3">
            <v>39101</v>
          </cell>
          <cell r="AH3">
            <v>39108</v>
          </cell>
          <cell r="AI3">
            <v>39115</v>
          </cell>
          <cell r="AJ3">
            <v>39122</v>
          </cell>
          <cell r="AK3">
            <v>39129</v>
          </cell>
          <cell r="AL3">
            <v>39136</v>
          </cell>
          <cell r="AM3">
            <v>39143</v>
          </cell>
          <cell r="AN3">
            <v>39150</v>
          </cell>
          <cell r="AO3">
            <v>39157</v>
          </cell>
          <cell r="AP3">
            <v>39164</v>
          </cell>
          <cell r="AQ3">
            <v>39171</v>
          </cell>
          <cell r="AR3">
            <v>39178</v>
          </cell>
          <cell r="AS3">
            <v>39185</v>
          </cell>
          <cell r="AT3">
            <v>39192</v>
          </cell>
          <cell r="AU3">
            <v>39199</v>
          </cell>
          <cell r="AV3">
            <v>39206</v>
          </cell>
          <cell r="AW3">
            <v>39213</v>
          </cell>
          <cell r="AX3">
            <v>39220</v>
          </cell>
          <cell r="AY3">
            <v>39227</v>
          </cell>
          <cell r="AZ3">
            <v>39234</v>
          </cell>
          <cell r="BA3">
            <v>39241</v>
          </cell>
          <cell r="BB3">
            <v>39248</v>
          </cell>
          <cell r="BC3">
            <v>39255</v>
          </cell>
          <cell r="BD3">
            <v>39262</v>
          </cell>
          <cell r="BE3">
            <v>39269</v>
          </cell>
          <cell r="BF3">
            <v>39276</v>
          </cell>
          <cell r="BG3">
            <v>39283</v>
          </cell>
          <cell r="BH3">
            <v>39290</v>
          </cell>
          <cell r="BI3">
            <v>39297</v>
          </cell>
          <cell r="BJ3">
            <v>39304</v>
          </cell>
          <cell r="BK3">
            <v>39311</v>
          </cell>
          <cell r="BL3">
            <v>39318</v>
          </cell>
          <cell r="BM3">
            <v>39325</v>
          </cell>
          <cell r="BN3">
            <v>39332</v>
          </cell>
          <cell r="BO3">
            <v>39339</v>
          </cell>
          <cell r="BP3">
            <v>39346</v>
          </cell>
          <cell r="BQ3">
            <v>39353</v>
          </cell>
          <cell r="BR3">
            <v>39360</v>
          </cell>
          <cell r="BS3">
            <v>39367</v>
          </cell>
          <cell r="BT3">
            <v>39374</v>
          </cell>
          <cell r="BU3">
            <v>39381</v>
          </cell>
          <cell r="BV3">
            <v>39388</v>
          </cell>
          <cell r="BW3">
            <v>39395</v>
          </cell>
          <cell r="BX3">
            <v>39402</v>
          </cell>
          <cell r="BY3">
            <v>39409</v>
          </cell>
          <cell r="BZ3">
            <v>39416</v>
          </cell>
          <cell r="CA3">
            <v>39423</v>
          </cell>
          <cell r="CB3">
            <v>39430</v>
          </cell>
          <cell r="CC3">
            <v>39437</v>
          </cell>
          <cell r="CD3">
            <v>39444</v>
          </cell>
          <cell r="CE3">
            <v>39451</v>
          </cell>
          <cell r="CF3">
            <v>39458</v>
          </cell>
          <cell r="CG3">
            <v>39465</v>
          </cell>
          <cell r="CH3">
            <v>39472</v>
          </cell>
          <cell r="CI3">
            <v>39479</v>
          </cell>
          <cell r="CJ3">
            <v>39486</v>
          </cell>
          <cell r="CK3">
            <v>39493</v>
          </cell>
          <cell r="CL3">
            <v>39500</v>
          </cell>
          <cell r="CM3">
            <v>39507</v>
          </cell>
          <cell r="CN3">
            <v>39514</v>
          </cell>
          <cell r="CO3">
            <v>39521</v>
          </cell>
          <cell r="CP3">
            <v>39528</v>
          </cell>
          <cell r="CQ3">
            <v>39535</v>
          </cell>
          <cell r="CR3">
            <v>39542</v>
          </cell>
          <cell r="CS3">
            <v>39549</v>
          </cell>
          <cell r="CT3">
            <v>39556</v>
          </cell>
          <cell r="CU3">
            <v>39563</v>
          </cell>
          <cell r="CV3">
            <v>39570</v>
          </cell>
          <cell r="CW3">
            <v>39577</v>
          </cell>
          <cell r="CX3">
            <v>39584</v>
          </cell>
          <cell r="CY3">
            <v>39591</v>
          </cell>
          <cell r="CZ3">
            <v>39598</v>
          </cell>
          <cell r="DA3">
            <v>39605</v>
          </cell>
          <cell r="DB3">
            <v>39612</v>
          </cell>
          <cell r="DC3">
            <v>39619</v>
          </cell>
          <cell r="DD3">
            <v>39626</v>
          </cell>
          <cell r="DE3">
            <v>39633</v>
          </cell>
          <cell r="DF3">
            <v>39640</v>
          </cell>
          <cell r="DG3">
            <v>39647</v>
          </cell>
          <cell r="DH3">
            <v>39654</v>
          </cell>
          <cell r="DI3">
            <v>39661</v>
          </cell>
          <cell r="DJ3">
            <v>39668</v>
          </cell>
          <cell r="DK3">
            <v>39675</v>
          </cell>
          <cell r="DL3">
            <v>39682</v>
          </cell>
          <cell r="DM3">
            <v>39689</v>
          </cell>
          <cell r="DN3">
            <v>39696</v>
          </cell>
          <cell r="DO3">
            <v>39703</v>
          </cell>
          <cell r="DP3">
            <v>39710</v>
          </cell>
          <cell r="DQ3">
            <v>39717</v>
          </cell>
          <cell r="DR3">
            <v>39724</v>
          </cell>
          <cell r="DS3">
            <v>39731</v>
          </cell>
          <cell r="DT3">
            <v>39738</v>
          </cell>
          <cell r="DU3">
            <v>39745</v>
          </cell>
          <cell r="DV3">
            <v>39752</v>
          </cell>
          <cell r="DW3">
            <v>39759</v>
          </cell>
          <cell r="DX3">
            <v>39766</v>
          </cell>
          <cell r="DY3">
            <v>39773</v>
          </cell>
          <cell r="DZ3">
            <v>39780</v>
          </cell>
          <cell r="EA3">
            <v>39787</v>
          </cell>
          <cell r="EB3">
            <v>39794</v>
          </cell>
          <cell r="EC3">
            <v>39801</v>
          </cell>
          <cell r="ED3">
            <v>39808</v>
          </cell>
          <cell r="EE3">
            <v>39815</v>
          </cell>
          <cell r="EF3">
            <v>39822</v>
          </cell>
          <cell r="EG3">
            <v>39829</v>
          </cell>
          <cell r="EH3">
            <v>39836</v>
          </cell>
          <cell r="EI3">
            <v>39843</v>
          </cell>
          <cell r="EJ3">
            <v>39850</v>
          </cell>
          <cell r="EK3">
            <v>39857</v>
          </cell>
          <cell r="EL3">
            <v>39864</v>
          </cell>
          <cell r="EM3">
            <v>39871</v>
          </cell>
          <cell r="EN3">
            <v>39878</v>
          </cell>
          <cell r="EO3">
            <v>39885</v>
          </cell>
          <cell r="EP3">
            <v>39892</v>
          </cell>
          <cell r="EQ3">
            <v>39899</v>
          </cell>
          <cell r="ER3">
            <v>39906</v>
          </cell>
          <cell r="ES3">
            <v>39913</v>
          </cell>
          <cell r="ET3">
            <v>39920</v>
          </cell>
          <cell r="EU3">
            <v>39927</v>
          </cell>
          <cell r="EV3">
            <v>39934</v>
          </cell>
          <cell r="EW3">
            <v>39941</v>
          </cell>
          <cell r="EX3">
            <v>39948</v>
          </cell>
          <cell r="EY3">
            <v>39955</v>
          </cell>
          <cell r="EZ3">
            <v>39962</v>
          </cell>
          <cell r="FA3">
            <v>39969</v>
          </cell>
          <cell r="FB3">
            <v>39976</v>
          </cell>
          <cell r="FC3">
            <v>39983</v>
          </cell>
          <cell r="FD3">
            <v>39990</v>
          </cell>
          <cell r="FE3">
            <v>39997</v>
          </cell>
          <cell r="FF3">
            <v>40004</v>
          </cell>
          <cell r="FG3">
            <v>40011</v>
          </cell>
          <cell r="FH3">
            <v>40018</v>
          </cell>
          <cell r="FI3">
            <v>40025</v>
          </cell>
          <cell r="FJ3">
            <v>40032</v>
          </cell>
          <cell r="FK3">
            <v>40039</v>
          </cell>
          <cell r="FL3">
            <v>40046</v>
          </cell>
          <cell r="FM3">
            <v>40053</v>
          </cell>
          <cell r="FN3">
            <v>40060</v>
          </cell>
          <cell r="FO3">
            <v>40067</v>
          </cell>
          <cell r="FP3">
            <v>40074</v>
          </cell>
          <cell r="FQ3">
            <v>40081</v>
          </cell>
          <cell r="FR3">
            <v>40088</v>
          </cell>
          <cell r="FS3">
            <v>40095</v>
          </cell>
          <cell r="FT3">
            <v>40102</v>
          </cell>
          <cell r="FU3">
            <v>40109</v>
          </cell>
          <cell r="FV3">
            <v>40116</v>
          </cell>
          <cell r="FW3">
            <v>40123</v>
          </cell>
          <cell r="FX3">
            <v>40130</v>
          </cell>
          <cell r="FY3">
            <v>40137</v>
          </cell>
          <cell r="FZ3">
            <v>40144</v>
          </cell>
          <cell r="GA3">
            <v>40151</v>
          </cell>
          <cell r="GB3">
            <v>40158</v>
          </cell>
          <cell r="GC3">
            <v>40165</v>
          </cell>
          <cell r="GD3">
            <v>40172</v>
          </cell>
          <cell r="GE3">
            <v>40179</v>
          </cell>
          <cell r="GF3">
            <v>40186</v>
          </cell>
          <cell r="GG3">
            <v>40193</v>
          </cell>
          <cell r="GH3">
            <v>40200</v>
          </cell>
          <cell r="GI3">
            <v>40207</v>
          </cell>
          <cell r="GJ3">
            <v>40214</v>
          </cell>
          <cell r="GK3">
            <v>40221</v>
          </cell>
          <cell r="GL3">
            <v>40228</v>
          </cell>
          <cell r="GM3">
            <v>40235</v>
          </cell>
          <cell r="GN3">
            <v>40242</v>
          </cell>
        </row>
        <row r="4">
          <cell r="B4" t="str">
            <v>AGENERASE</v>
          </cell>
          <cell r="C4" t="str">
            <v>GSK</v>
          </cell>
          <cell r="D4">
            <v>4</v>
          </cell>
          <cell r="E4">
            <v>3</v>
          </cell>
          <cell r="F4">
            <v>2</v>
          </cell>
          <cell r="G4">
            <v>4</v>
          </cell>
          <cell r="H4">
            <v>13</v>
          </cell>
          <cell r="I4">
            <v>5</v>
          </cell>
          <cell r="J4">
            <v>5</v>
          </cell>
          <cell r="K4">
            <v>8</v>
          </cell>
          <cell r="L4">
            <v>14</v>
          </cell>
          <cell r="M4">
            <v>0</v>
          </cell>
          <cell r="N4">
            <v>6</v>
          </cell>
          <cell r="O4">
            <v>3</v>
          </cell>
          <cell r="P4">
            <v>10</v>
          </cell>
          <cell r="Q4">
            <v>3</v>
          </cell>
          <cell r="R4">
            <v>8</v>
          </cell>
          <cell r="S4">
            <v>7</v>
          </cell>
          <cell r="T4">
            <v>2</v>
          </cell>
          <cell r="U4">
            <v>2</v>
          </cell>
          <cell r="V4">
            <v>2</v>
          </cell>
          <cell r="W4">
            <v>1</v>
          </cell>
          <cell r="X4">
            <v>1</v>
          </cell>
          <cell r="Y4">
            <v>0</v>
          </cell>
          <cell r="Z4">
            <v>6</v>
          </cell>
          <cell r="AA4">
            <v>4</v>
          </cell>
          <cell r="AB4">
            <v>5</v>
          </cell>
          <cell r="AC4">
            <v>7</v>
          </cell>
          <cell r="AD4">
            <v>4</v>
          </cell>
          <cell r="AE4">
            <v>2</v>
          </cell>
          <cell r="AF4">
            <v>14</v>
          </cell>
          <cell r="AG4">
            <v>5</v>
          </cell>
          <cell r="AH4">
            <v>4</v>
          </cell>
          <cell r="AI4">
            <v>2</v>
          </cell>
          <cell r="AJ4">
            <v>4</v>
          </cell>
          <cell r="AK4">
            <v>6</v>
          </cell>
          <cell r="AL4">
            <v>6</v>
          </cell>
          <cell r="AM4">
            <v>7</v>
          </cell>
          <cell r="AN4">
            <v>4</v>
          </cell>
          <cell r="AO4">
            <v>7</v>
          </cell>
          <cell r="AP4">
            <v>1</v>
          </cell>
          <cell r="AQ4">
            <v>1</v>
          </cell>
          <cell r="AR4">
            <v>1</v>
          </cell>
          <cell r="AS4">
            <v>2</v>
          </cell>
          <cell r="AT4">
            <v>3</v>
          </cell>
          <cell r="AU4">
            <v>3</v>
          </cell>
          <cell r="AV4">
            <v>4</v>
          </cell>
          <cell r="AW4">
            <v>3</v>
          </cell>
          <cell r="AX4">
            <v>6</v>
          </cell>
          <cell r="AY4">
            <v>2</v>
          </cell>
          <cell r="AZ4">
            <v>6</v>
          </cell>
          <cell r="BA4">
            <v>0</v>
          </cell>
          <cell r="BB4">
            <v>4</v>
          </cell>
          <cell r="BC4">
            <v>3</v>
          </cell>
          <cell r="BD4">
            <v>2</v>
          </cell>
          <cell r="BE4">
            <v>1</v>
          </cell>
          <cell r="BF4">
            <v>0</v>
          </cell>
          <cell r="BG4">
            <v>2</v>
          </cell>
          <cell r="BH4">
            <v>0</v>
          </cell>
          <cell r="BI4">
            <v>4</v>
          </cell>
          <cell r="BJ4">
            <v>3</v>
          </cell>
          <cell r="BK4">
            <v>0</v>
          </cell>
          <cell r="BL4">
            <v>4</v>
          </cell>
          <cell r="BM4">
            <v>5</v>
          </cell>
          <cell r="BN4">
            <v>2</v>
          </cell>
          <cell r="BO4">
            <v>3</v>
          </cell>
          <cell r="BP4">
            <v>2</v>
          </cell>
          <cell r="BQ4">
            <v>0</v>
          </cell>
          <cell r="BR4">
            <v>2</v>
          </cell>
          <cell r="BS4">
            <v>2</v>
          </cell>
          <cell r="BT4">
            <v>2</v>
          </cell>
          <cell r="BU4">
            <v>3</v>
          </cell>
          <cell r="BV4">
            <v>1</v>
          </cell>
          <cell r="BW4">
            <v>3</v>
          </cell>
          <cell r="BX4">
            <v>0</v>
          </cell>
          <cell r="BY4">
            <v>1</v>
          </cell>
          <cell r="BZ4">
            <v>2</v>
          </cell>
          <cell r="CA4">
            <v>0</v>
          </cell>
          <cell r="CB4">
            <v>1</v>
          </cell>
          <cell r="CC4">
            <v>3</v>
          </cell>
          <cell r="CD4">
            <v>3</v>
          </cell>
          <cell r="CE4">
            <v>0</v>
          </cell>
          <cell r="CF4">
            <v>1</v>
          </cell>
          <cell r="CG4">
            <v>0</v>
          </cell>
          <cell r="CH4">
            <v>2</v>
          </cell>
          <cell r="CI4">
            <v>1</v>
          </cell>
          <cell r="CJ4">
            <v>1</v>
          </cell>
          <cell r="CK4">
            <v>3</v>
          </cell>
          <cell r="CL4">
            <v>0</v>
          </cell>
          <cell r="CM4">
            <v>0</v>
          </cell>
          <cell r="CN4">
            <v>2</v>
          </cell>
          <cell r="CO4">
            <v>0</v>
          </cell>
          <cell r="CP4">
            <v>2</v>
          </cell>
          <cell r="CQ4">
            <v>0</v>
          </cell>
          <cell r="CR4">
            <v>0</v>
          </cell>
          <cell r="CS4">
            <v>0</v>
          </cell>
          <cell r="CT4">
            <v>0</v>
          </cell>
          <cell r="CU4">
            <v>0</v>
          </cell>
          <cell r="CV4">
            <v>0</v>
          </cell>
          <cell r="CW4">
            <v>0</v>
          </cell>
          <cell r="CX4">
            <v>1</v>
          </cell>
          <cell r="CY4">
            <v>0</v>
          </cell>
          <cell r="CZ4">
            <v>0</v>
          </cell>
          <cell r="DA4">
            <v>0</v>
          </cell>
          <cell r="DB4">
            <v>0</v>
          </cell>
          <cell r="DC4">
            <v>0</v>
          </cell>
          <cell r="DD4">
            <v>0</v>
          </cell>
          <cell r="DE4">
            <v>0</v>
          </cell>
          <cell r="DF4">
            <v>0</v>
          </cell>
          <cell r="DG4">
            <v>0</v>
          </cell>
          <cell r="DH4">
            <v>0</v>
          </cell>
          <cell r="DI4">
            <v>0</v>
          </cell>
          <cell r="DJ4">
            <v>0</v>
          </cell>
          <cell r="DK4">
            <v>0</v>
          </cell>
          <cell r="DL4">
            <v>0</v>
          </cell>
          <cell r="DM4">
            <v>0</v>
          </cell>
          <cell r="DN4">
            <v>0</v>
          </cell>
          <cell r="DO4">
            <v>0</v>
          </cell>
          <cell r="DP4">
            <v>0</v>
          </cell>
          <cell r="DQ4">
            <v>0</v>
          </cell>
          <cell r="DR4">
            <v>0</v>
          </cell>
          <cell r="DS4">
            <v>0</v>
          </cell>
          <cell r="DT4">
            <v>0</v>
          </cell>
          <cell r="DU4">
            <v>0</v>
          </cell>
          <cell r="DV4">
            <v>0</v>
          </cell>
          <cell r="DW4">
            <v>0</v>
          </cell>
          <cell r="DX4">
            <v>0</v>
          </cell>
          <cell r="DY4">
            <v>0</v>
          </cell>
          <cell r="DZ4">
            <v>0</v>
          </cell>
          <cell r="GI4">
            <v>4</v>
          </cell>
        </row>
        <row r="5">
          <cell r="B5" t="str">
            <v>ALIMTA</v>
          </cell>
          <cell r="C5" t="str">
            <v>LLY</v>
          </cell>
          <cell r="D5">
            <v>9</v>
          </cell>
          <cell r="E5">
            <v>6</v>
          </cell>
          <cell r="F5">
            <v>7</v>
          </cell>
          <cell r="G5">
            <v>2</v>
          </cell>
          <cell r="H5">
            <v>4</v>
          </cell>
          <cell r="I5">
            <v>2</v>
          </cell>
          <cell r="J5">
            <v>2</v>
          </cell>
          <cell r="K5">
            <v>14</v>
          </cell>
          <cell r="L5">
            <v>9</v>
          </cell>
          <cell r="M5">
            <v>15</v>
          </cell>
          <cell r="N5">
            <v>8</v>
          </cell>
          <cell r="O5">
            <v>12</v>
          </cell>
          <cell r="P5">
            <v>6</v>
          </cell>
          <cell r="Q5">
            <v>5</v>
          </cell>
          <cell r="R5">
            <v>8</v>
          </cell>
          <cell r="S5">
            <v>7</v>
          </cell>
          <cell r="T5">
            <v>2</v>
          </cell>
          <cell r="U5">
            <v>7</v>
          </cell>
          <cell r="V5">
            <v>8</v>
          </cell>
          <cell r="W5">
            <v>8</v>
          </cell>
          <cell r="X5">
            <v>11</v>
          </cell>
          <cell r="Y5">
            <v>0</v>
          </cell>
          <cell r="Z5">
            <v>8</v>
          </cell>
          <cell r="AA5">
            <v>6</v>
          </cell>
          <cell r="AB5">
            <v>10</v>
          </cell>
          <cell r="AC5">
            <v>10</v>
          </cell>
          <cell r="AD5">
            <v>1</v>
          </cell>
          <cell r="AE5">
            <v>9</v>
          </cell>
          <cell r="AF5">
            <v>9</v>
          </cell>
          <cell r="AG5">
            <v>6</v>
          </cell>
          <cell r="AH5">
            <v>3</v>
          </cell>
          <cell r="AI5">
            <v>3</v>
          </cell>
          <cell r="AJ5">
            <v>6</v>
          </cell>
          <cell r="AK5">
            <v>11</v>
          </cell>
          <cell r="AL5">
            <v>6</v>
          </cell>
          <cell r="AM5">
            <v>7</v>
          </cell>
          <cell r="AN5">
            <v>5</v>
          </cell>
          <cell r="AO5">
            <v>8</v>
          </cell>
          <cell r="AP5">
            <v>3</v>
          </cell>
          <cell r="AQ5">
            <v>5</v>
          </cell>
          <cell r="AR5">
            <v>4</v>
          </cell>
          <cell r="AS5">
            <v>6</v>
          </cell>
          <cell r="AT5">
            <v>10</v>
          </cell>
          <cell r="AU5">
            <v>5</v>
          </cell>
          <cell r="AV5">
            <v>6</v>
          </cell>
          <cell r="AW5">
            <v>2</v>
          </cell>
          <cell r="AX5">
            <v>8</v>
          </cell>
          <cell r="AY5">
            <v>7</v>
          </cell>
          <cell r="AZ5">
            <v>12</v>
          </cell>
          <cell r="BA5">
            <v>1</v>
          </cell>
          <cell r="BB5">
            <v>4</v>
          </cell>
          <cell r="BC5">
            <v>12</v>
          </cell>
          <cell r="BD5">
            <v>3</v>
          </cell>
          <cell r="BE5">
            <v>5</v>
          </cell>
          <cell r="BF5">
            <v>14</v>
          </cell>
          <cell r="BG5">
            <v>10</v>
          </cell>
          <cell r="BH5">
            <v>11</v>
          </cell>
          <cell r="BI5">
            <v>8</v>
          </cell>
          <cell r="BJ5">
            <v>13</v>
          </cell>
          <cell r="BK5">
            <v>9</v>
          </cell>
          <cell r="BL5">
            <v>12</v>
          </cell>
          <cell r="BM5">
            <v>8</v>
          </cell>
          <cell r="BN5">
            <v>6</v>
          </cell>
          <cell r="BO5">
            <v>16</v>
          </cell>
          <cell r="BP5">
            <v>11</v>
          </cell>
          <cell r="BQ5">
            <v>12</v>
          </cell>
          <cell r="BR5">
            <v>10</v>
          </cell>
          <cell r="BS5">
            <v>5</v>
          </cell>
          <cell r="BT5">
            <v>14</v>
          </cell>
          <cell r="BU5">
            <v>10</v>
          </cell>
          <cell r="BV5">
            <v>4</v>
          </cell>
          <cell r="BW5">
            <v>4</v>
          </cell>
          <cell r="BX5">
            <v>4</v>
          </cell>
          <cell r="BY5">
            <v>3</v>
          </cell>
          <cell r="BZ5">
            <v>11</v>
          </cell>
          <cell r="CA5">
            <v>11</v>
          </cell>
          <cell r="CB5">
            <v>13</v>
          </cell>
          <cell r="CC5">
            <v>6</v>
          </cell>
          <cell r="CD5">
            <v>5</v>
          </cell>
          <cell r="CE5">
            <v>5</v>
          </cell>
          <cell r="CF5">
            <v>7</v>
          </cell>
          <cell r="CG5">
            <v>16</v>
          </cell>
          <cell r="CH5">
            <v>8</v>
          </cell>
          <cell r="CI5">
            <v>3</v>
          </cell>
          <cell r="CJ5">
            <v>12</v>
          </cell>
          <cell r="CK5">
            <v>11</v>
          </cell>
          <cell r="CL5">
            <v>12</v>
          </cell>
          <cell r="CM5">
            <v>10</v>
          </cell>
          <cell r="CN5">
            <v>8</v>
          </cell>
          <cell r="CO5">
            <v>4</v>
          </cell>
          <cell r="CP5">
            <v>12</v>
          </cell>
          <cell r="CQ5">
            <v>15</v>
          </cell>
          <cell r="CR5">
            <v>14</v>
          </cell>
          <cell r="CS5">
            <v>4</v>
          </cell>
          <cell r="CT5">
            <v>21</v>
          </cell>
          <cell r="CU5">
            <v>7</v>
          </cell>
          <cell r="CV5">
            <v>7</v>
          </cell>
          <cell r="CW5">
            <v>21</v>
          </cell>
          <cell r="CX5">
            <v>7</v>
          </cell>
          <cell r="CY5">
            <v>9</v>
          </cell>
          <cell r="CZ5">
            <v>17</v>
          </cell>
          <cell r="DA5">
            <v>9</v>
          </cell>
          <cell r="DB5">
            <v>12</v>
          </cell>
          <cell r="DC5">
            <v>19</v>
          </cell>
          <cell r="DD5">
            <v>12</v>
          </cell>
          <cell r="DE5">
            <v>17</v>
          </cell>
          <cell r="DF5">
            <v>16</v>
          </cell>
          <cell r="DG5">
            <v>7</v>
          </cell>
          <cell r="DH5">
            <v>15</v>
          </cell>
          <cell r="DI5">
            <v>12</v>
          </cell>
          <cell r="DJ5">
            <v>6</v>
          </cell>
          <cell r="DK5">
            <v>13</v>
          </cell>
          <cell r="DL5">
            <v>14</v>
          </cell>
          <cell r="DM5">
            <v>4</v>
          </cell>
          <cell r="DN5">
            <v>5</v>
          </cell>
          <cell r="DO5">
            <v>13</v>
          </cell>
          <cell r="DP5">
            <v>11</v>
          </cell>
          <cell r="DQ5">
            <v>7</v>
          </cell>
          <cell r="DR5">
            <v>7</v>
          </cell>
          <cell r="DS5">
            <v>11</v>
          </cell>
          <cell r="DT5">
            <v>14</v>
          </cell>
          <cell r="DU5">
            <v>7</v>
          </cell>
          <cell r="DV5">
            <v>8</v>
          </cell>
          <cell r="DW5">
            <v>9</v>
          </cell>
          <cell r="DX5">
            <v>10</v>
          </cell>
          <cell r="DY5">
            <v>11</v>
          </cell>
          <cell r="DZ5">
            <v>12</v>
          </cell>
          <cell r="EA5">
            <v>14</v>
          </cell>
          <cell r="EB5">
            <v>20</v>
          </cell>
          <cell r="EC5">
            <v>17</v>
          </cell>
          <cell r="ED5">
            <v>15</v>
          </cell>
          <cell r="EE5">
            <v>8</v>
          </cell>
          <cell r="EF5">
            <v>16</v>
          </cell>
          <cell r="EG5">
            <v>10</v>
          </cell>
          <cell r="EH5">
            <v>21</v>
          </cell>
          <cell r="EI5">
            <v>29</v>
          </cell>
          <cell r="EJ5">
            <v>9</v>
          </cell>
          <cell r="EK5">
            <v>12</v>
          </cell>
          <cell r="EL5">
            <v>25</v>
          </cell>
          <cell r="EM5">
            <v>20</v>
          </cell>
          <cell r="EN5">
            <v>19</v>
          </cell>
          <cell r="EO5">
            <v>25</v>
          </cell>
          <cell r="EP5">
            <v>15</v>
          </cell>
          <cell r="EQ5">
            <v>27</v>
          </cell>
          <cell r="ER5">
            <v>21</v>
          </cell>
          <cell r="ES5">
            <v>25</v>
          </cell>
          <cell r="ET5">
            <v>13</v>
          </cell>
          <cell r="EU5">
            <v>22</v>
          </cell>
          <cell r="EV5">
            <v>12</v>
          </cell>
          <cell r="EW5">
            <v>17</v>
          </cell>
          <cell r="EX5">
            <v>35</v>
          </cell>
          <cell r="EY5">
            <v>19</v>
          </cell>
          <cell r="EZ5">
            <v>26</v>
          </cell>
          <cell r="FA5">
            <v>20</v>
          </cell>
          <cell r="FB5">
            <v>36</v>
          </cell>
          <cell r="FC5">
            <v>16</v>
          </cell>
          <cell r="FD5">
            <v>26</v>
          </cell>
          <cell r="FE5">
            <v>18</v>
          </cell>
          <cell r="FF5">
            <v>19</v>
          </cell>
          <cell r="FG5">
            <v>17</v>
          </cell>
          <cell r="FH5">
            <v>15</v>
          </cell>
          <cell r="FI5">
            <v>28</v>
          </cell>
          <cell r="FJ5">
            <v>21</v>
          </cell>
          <cell r="FK5">
            <v>24</v>
          </cell>
          <cell r="FL5">
            <v>29</v>
          </cell>
          <cell r="FM5">
            <v>26</v>
          </cell>
          <cell r="FN5">
            <v>25</v>
          </cell>
          <cell r="FO5">
            <v>12</v>
          </cell>
          <cell r="FP5">
            <v>19</v>
          </cell>
          <cell r="FQ5">
            <v>24</v>
          </cell>
          <cell r="FR5">
            <v>18</v>
          </cell>
          <cell r="FS5">
            <v>8</v>
          </cell>
          <cell r="FT5">
            <v>22</v>
          </cell>
          <cell r="FU5">
            <v>27</v>
          </cell>
          <cell r="FV5">
            <v>17</v>
          </cell>
          <cell r="FW5">
            <v>20</v>
          </cell>
          <cell r="FX5">
            <v>23</v>
          </cell>
          <cell r="FY5">
            <v>31</v>
          </cell>
          <cell r="FZ5">
            <v>16</v>
          </cell>
          <cell r="GA5">
            <v>27</v>
          </cell>
          <cell r="GB5">
            <v>21</v>
          </cell>
          <cell r="GC5">
            <v>15</v>
          </cell>
          <cell r="GD5">
            <v>17</v>
          </cell>
          <cell r="GE5">
            <v>14</v>
          </cell>
          <cell r="GF5">
            <v>24</v>
          </cell>
          <cell r="GG5">
            <v>30</v>
          </cell>
          <cell r="GH5">
            <v>30</v>
          </cell>
          <cell r="GI5">
            <v>21</v>
          </cell>
          <cell r="GJ5">
            <v>21</v>
          </cell>
          <cell r="GK5">
            <v>30</v>
          </cell>
          <cell r="GL5">
            <v>22</v>
          </cell>
          <cell r="GM5">
            <v>24</v>
          </cell>
          <cell r="GN5">
            <v>15</v>
          </cell>
        </row>
        <row r="6">
          <cell r="B6" t="str">
            <v>ALOXI</v>
          </cell>
          <cell r="C6" t="str">
            <v>M-G</v>
          </cell>
          <cell r="D6">
            <v>29</v>
          </cell>
          <cell r="E6">
            <v>47</v>
          </cell>
          <cell r="F6">
            <v>28</v>
          </cell>
          <cell r="G6">
            <v>50</v>
          </cell>
          <cell r="H6">
            <v>51</v>
          </cell>
          <cell r="I6">
            <v>62</v>
          </cell>
          <cell r="J6">
            <v>51</v>
          </cell>
          <cell r="K6">
            <v>54</v>
          </cell>
          <cell r="L6">
            <v>80</v>
          </cell>
          <cell r="M6">
            <v>58</v>
          </cell>
          <cell r="N6">
            <v>71</v>
          </cell>
          <cell r="O6">
            <v>79</v>
          </cell>
          <cell r="P6">
            <v>60</v>
          </cell>
          <cell r="Q6">
            <v>61</v>
          </cell>
          <cell r="R6">
            <v>61</v>
          </cell>
          <cell r="S6">
            <v>82</v>
          </cell>
          <cell r="T6">
            <v>74</v>
          </cell>
          <cell r="U6">
            <v>74</v>
          </cell>
          <cell r="V6">
            <v>63</v>
          </cell>
          <cell r="W6">
            <v>70</v>
          </cell>
          <cell r="X6">
            <v>84</v>
          </cell>
          <cell r="Y6">
            <v>38</v>
          </cell>
          <cell r="Z6">
            <v>72</v>
          </cell>
          <cell r="AA6">
            <v>77</v>
          </cell>
          <cell r="AB6">
            <v>62</v>
          </cell>
          <cell r="AC6">
            <v>50</v>
          </cell>
          <cell r="AD6">
            <v>43</v>
          </cell>
          <cell r="AE6">
            <v>67</v>
          </cell>
          <cell r="AF6">
            <v>62</v>
          </cell>
          <cell r="AG6">
            <v>57</v>
          </cell>
          <cell r="AH6">
            <v>76</v>
          </cell>
          <cell r="AI6">
            <v>69</v>
          </cell>
          <cell r="AJ6">
            <v>65</v>
          </cell>
          <cell r="AK6">
            <v>42</v>
          </cell>
          <cell r="AL6">
            <v>71</v>
          </cell>
          <cell r="AM6">
            <v>69</v>
          </cell>
          <cell r="AN6">
            <v>75</v>
          </cell>
          <cell r="AO6">
            <v>62</v>
          </cell>
          <cell r="AP6">
            <v>57</v>
          </cell>
          <cell r="AQ6">
            <v>58</v>
          </cell>
          <cell r="AR6">
            <v>77</v>
          </cell>
          <cell r="AS6">
            <v>69</v>
          </cell>
          <cell r="AT6">
            <v>70</v>
          </cell>
          <cell r="AU6">
            <v>77</v>
          </cell>
          <cell r="AV6">
            <v>84</v>
          </cell>
          <cell r="AW6">
            <v>66</v>
          </cell>
          <cell r="AX6">
            <v>69</v>
          </cell>
          <cell r="AY6">
            <v>72</v>
          </cell>
          <cell r="AZ6">
            <v>56</v>
          </cell>
          <cell r="BA6">
            <v>59</v>
          </cell>
          <cell r="BB6">
            <v>67</v>
          </cell>
          <cell r="BC6">
            <v>64</v>
          </cell>
          <cell r="BD6">
            <v>70</v>
          </cell>
          <cell r="BE6">
            <v>49</v>
          </cell>
          <cell r="BF6">
            <v>79</v>
          </cell>
          <cell r="BG6">
            <v>65</v>
          </cell>
          <cell r="BH6">
            <v>59</v>
          </cell>
          <cell r="BI6">
            <v>85</v>
          </cell>
          <cell r="BJ6">
            <v>64</v>
          </cell>
          <cell r="BK6">
            <v>71</v>
          </cell>
          <cell r="BL6">
            <v>75</v>
          </cell>
          <cell r="BM6">
            <v>78</v>
          </cell>
          <cell r="BN6">
            <v>53</v>
          </cell>
          <cell r="BO6">
            <v>81</v>
          </cell>
          <cell r="BP6">
            <v>86</v>
          </cell>
          <cell r="BQ6">
            <v>64</v>
          </cell>
          <cell r="BR6">
            <v>82</v>
          </cell>
          <cell r="BS6">
            <v>82</v>
          </cell>
          <cell r="BT6">
            <v>85</v>
          </cell>
          <cell r="BU6">
            <v>82</v>
          </cell>
          <cell r="BV6">
            <v>91</v>
          </cell>
          <cell r="BW6">
            <v>57</v>
          </cell>
          <cell r="BX6">
            <v>90</v>
          </cell>
          <cell r="BY6">
            <v>45</v>
          </cell>
          <cell r="BZ6">
            <v>87</v>
          </cell>
          <cell r="CA6">
            <v>105</v>
          </cell>
          <cell r="CB6">
            <v>78</v>
          </cell>
          <cell r="CC6">
            <v>92</v>
          </cell>
          <cell r="CD6">
            <v>51</v>
          </cell>
          <cell r="CE6">
            <v>62</v>
          </cell>
          <cell r="CF6">
            <v>108</v>
          </cell>
          <cell r="CG6">
            <v>108</v>
          </cell>
          <cell r="CH6">
            <v>96</v>
          </cell>
          <cell r="CI6">
            <v>89</v>
          </cell>
          <cell r="CJ6">
            <v>98</v>
          </cell>
          <cell r="CK6">
            <v>64</v>
          </cell>
          <cell r="CL6">
            <v>62</v>
          </cell>
          <cell r="CM6">
            <v>80</v>
          </cell>
          <cell r="CN6">
            <v>83</v>
          </cell>
          <cell r="CO6">
            <v>97</v>
          </cell>
          <cell r="CP6">
            <v>68</v>
          </cell>
          <cell r="CQ6">
            <v>108</v>
          </cell>
          <cell r="CR6">
            <v>114</v>
          </cell>
          <cell r="CS6">
            <v>101</v>
          </cell>
          <cell r="CT6">
            <v>108</v>
          </cell>
          <cell r="CU6">
            <v>89</v>
          </cell>
          <cell r="CV6">
            <v>105</v>
          </cell>
          <cell r="CW6">
            <v>132</v>
          </cell>
          <cell r="CX6">
            <v>154</v>
          </cell>
          <cell r="CY6">
            <v>146</v>
          </cell>
          <cell r="CZ6">
            <v>135</v>
          </cell>
          <cell r="DA6">
            <v>147</v>
          </cell>
          <cell r="DB6">
            <v>100</v>
          </cell>
          <cell r="DC6">
            <v>115</v>
          </cell>
          <cell r="DD6">
            <v>104</v>
          </cell>
          <cell r="DE6">
            <v>88</v>
          </cell>
          <cell r="DF6">
            <v>142</v>
          </cell>
          <cell r="DG6">
            <v>108</v>
          </cell>
          <cell r="DH6">
            <v>121</v>
          </cell>
          <cell r="DI6">
            <v>109</v>
          </cell>
          <cell r="DJ6">
            <v>111</v>
          </cell>
          <cell r="DK6">
            <v>100</v>
          </cell>
          <cell r="DL6">
            <v>100</v>
          </cell>
          <cell r="DM6">
            <v>112</v>
          </cell>
          <cell r="DN6">
            <v>98</v>
          </cell>
          <cell r="DO6">
            <v>111</v>
          </cell>
          <cell r="DP6">
            <v>100</v>
          </cell>
          <cell r="DQ6">
            <v>89</v>
          </cell>
          <cell r="DR6">
            <v>74</v>
          </cell>
          <cell r="DS6">
            <v>73</v>
          </cell>
          <cell r="DT6">
            <v>87</v>
          </cell>
          <cell r="DU6">
            <v>87</v>
          </cell>
          <cell r="DV6">
            <v>94</v>
          </cell>
          <cell r="DW6">
            <v>79</v>
          </cell>
          <cell r="DX6">
            <v>96</v>
          </cell>
          <cell r="DY6">
            <v>97</v>
          </cell>
          <cell r="DZ6">
            <v>63</v>
          </cell>
          <cell r="EA6">
            <v>91</v>
          </cell>
          <cell r="EB6">
            <v>99</v>
          </cell>
          <cell r="EC6">
            <v>89</v>
          </cell>
          <cell r="ED6">
            <v>54</v>
          </cell>
          <cell r="EE6">
            <v>53</v>
          </cell>
          <cell r="EF6">
            <v>64</v>
          </cell>
          <cell r="EG6">
            <v>74</v>
          </cell>
          <cell r="EH6">
            <v>59</v>
          </cell>
          <cell r="EI6">
            <v>65</v>
          </cell>
          <cell r="EJ6">
            <v>67</v>
          </cell>
          <cell r="EK6">
            <v>62</v>
          </cell>
          <cell r="EL6">
            <v>92</v>
          </cell>
          <cell r="EM6">
            <v>78</v>
          </cell>
          <cell r="EN6">
            <v>68</v>
          </cell>
          <cell r="EO6">
            <v>82</v>
          </cell>
          <cell r="EP6">
            <v>70</v>
          </cell>
          <cell r="EQ6">
            <v>57</v>
          </cell>
          <cell r="ER6">
            <v>81</v>
          </cell>
          <cell r="ES6">
            <v>58</v>
          </cell>
          <cell r="ET6">
            <v>62</v>
          </cell>
          <cell r="EU6">
            <v>80</v>
          </cell>
          <cell r="EV6">
            <v>56</v>
          </cell>
          <cell r="EW6">
            <v>56</v>
          </cell>
          <cell r="EX6">
            <v>68</v>
          </cell>
          <cell r="EY6">
            <v>77</v>
          </cell>
          <cell r="EZ6">
            <v>84</v>
          </cell>
          <cell r="FA6">
            <v>70</v>
          </cell>
          <cell r="FB6">
            <v>73</v>
          </cell>
          <cell r="FC6">
            <v>98</v>
          </cell>
          <cell r="FD6">
            <v>72</v>
          </cell>
          <cell r="FE6">
            <v>59</v>
          </cell>
          <cell r="FF6">
            <v>66</v>
          </cell>
          <cell r="FG6">
            <v>59</v>
          </cell>
          <cell r="FH6">
            <v>59</v>
          </cell>
          <cell r="FI6">
            <v>56</v>
          </cell>
          <cell r="FJ6">
            <v>65</v>
          </cell>
          <cell r="FK6">
            <v>76</v>
          </cell>
          <cell r="FL6">
            <v>61</v>
          </cell>
          <cell r="FM6">
            <v>53</v>
          </cell>
          <cell r="FN6">
            <v>63</v>
          </cell>
          <cell r="FO6">
            <v>39</v>
          </cell>
          <cell r="FP6">
            <v>39</v>
          </cell>
          <cell r="FQ6">
            <v>50</v>
          </cell>
          <cell r="FR6">
            <v>61</v>
          </cell>
          <cell r="FS6">
            <v>46</v>
          </cell>
          <cell r="FT6">
            <v>61</v>
          </cell>
          <cell r="FU6">
            <v>63</v>
          </cell>
          <cell r="FV6">
            <v>43</v>
          </cell>
          <cell r="FW6">
            <v>50</v>
          </cell>
          <cell r="FX6">
            <v>55</v>
          </cell>
          <cell r="FY6">
            <v>55</v>
          </cell>
          <cell r="FZ6">
            <v>34</v>
          </cell>
          <cell r="GA6">
            <v>66</v>
          </cell>
          <cell r="GB6">
            <v>59</v>
          </cell>
          <cell r="GC6">
            <v>30</v>
          </cell>
          <cell r="GD6">
            <v>28</v>
          </cell>
          <cell r="GE6">
            <v>36</v>
          </cell>
          <cell r="GF6">
            <v>48</v>
          </cell>
          <cell r="GG6">
            <v>62</v>
          </cell>
          <cell r="GH6">
            <v>56</v>
          </cell>
          <cell r="GI6">
            <v>54</v>
          </cell>
          <cell r="GJ6">
            <v>47</v>
          </cell>
          <cell r="GK6">
            <v>50</v>
          </cell>
          <cell r="GL6">
            <v>48</v>
          </cell>
          <cell r="GM6">
            <v>63</v>
          </cell>
          <cell r="GN6">
            <v>82</v>
          </cell>
        </row>
        <row r="7">
          <cell r="B7" t="str">
            <v>AMBISOME</v>
          </cell>
          <cell r="C7" t="str">
            <v>AES</v>
          </cell>
          <cell r="D7">
            <v>2</v>
          </cell>
          <cell r="E7">
            <v>11</v>
          </cell>
          <cell r="F7">
            <v>3</v>
          </cell>
          <cell r="G7">
            <v>0</v>
          </cell>
          <cell r="H7">
            <v>1</v>
          </cell>
          <cell r="I7">
            <v>0</v>
          </cell>
          <cell r="J7">
            <v>5</v>
          </cell>
          <cell r="K7">
            <v>0</v>
          </cell>
          <cell r="L7">
            <v>6</v>
          </cell>
          <cell r="M7">
            <v>0</v>
          </cell>
          <cell r="N7">
            <v>1</v>
          </cell>
          <cell r="O7">
            <v>4</v>
          </cell>
          <cell r="P7">
            <v>7</v>
          </cell>
          <cell r="Q7">
            <v>5</v>
          </cell>
          <cell r="R7">
            <v>0</v>
          </cell>
          <cell r="S7">
            <v>5</v>
          </cell>
          <cell r="T7">
            <v>1</v>
          </cell>
          <cell r="U7">
            <v>1</v>
          </cell>
          <cell r="V7">
            <v>3</v>
          </cell>
          <cell r="W7">
            <v>0</v>
          </cell>
          <cell r="X7">
            <v>6</v>
          </cell>
          <cell r="Y7">
            <v>0</v>
          </cell>
          <cell r="Z7">
            <v>2</v>
          </cell>
          <cell r="AA7">
            <v>9</v>
          </cell>
          <cell r="AB7">
            <v>3</v>
          </cell>
          <cell r="AC7">
            <v>3</v>
          </cell>
          <cell r="AD7">
            <v>0</v>
          </cell>
          <cell r="AE7">
            <v>19</v>
          </cell>
          <cell r="AF7">
            <v>9</v>
          </cell>
          <cell r="AG7">
            <v>2</v>
          </cell>
          <cell r="AH7">
            <v>0</v>
          </cell>
          <cell r="AI7">
            <v>0</v>
          </cell>
          <cell r="AJ7">
            <v>1</v>
          </cell>
          <cell r="AK7">
            <v>1</v>
          </cell>
          <cell r="AL7">
            <v>4</v>
          </cell>
          <cell r="AM7">
            <v>0</v>
          </cell>
          <cell r="AN7">
            <v>0</v>
          </cell>
          <cell r="AO7">
            <v>0</v>
          </cell>
          <cell r="AP7">
            <v>6</v>
          </cell>
          <cell r="AQ7">
            <v>2</v>
          </cell>
          <cell r="AR7">
            <v>2</v>
          </cell>
          <cell r="AS7">
            <v>0</v>
          </cell>
          <cell r="AT7">
            <v>0</v>
          </cell>
          <cell r="AU7">
            <v>0</v>
          </cell>
          <cell r="AV7">
            <v>0</v>
          </cell>
          <cell r="AW7">
            <v>3</v>
          </cell>
          <cell r="AX7">
            <v>0</v>
          </cell>
          <cell r="AY7">
            <v>10</v>
          </cell>
          <cell r="AZ7">
            <v>5</v>
          </cell>
          <cell r="BA7">
            <v>6</v>
          </cell>
          <cell r="BB7">
            <v>0</v>
          </cell>
          <cell r="BC7">
            <v>1</v>
          </cell>
          <cell r="BD7">
            <v>0</v>
          </cell>
          <cell r="BE7">
            <v>4</v>
          </cell>
          <cell r="BF7">
            <v>0</v>
          </cell>
          <cell r="BG7">
            <v>1</v>
          </cell>
          <cell r="BH7">
            <v>6</v>
          </cell>
          <cell r="BI7">
            <v>0</v>
          </cell>
          <cell r="BJ7">
            <v>0</v>
          </cell>
          <cell r="BK7">
            <v>5</v>
          </cell>
          <cell r="BL7">
            <v>0</v>
          </cell>
          <cell r="BM7">
            <v>1</v>
          </cell>
          <cell r="BN7">
            <v>0</v>
          </cell>
          <cell r="BO7">
            <v>2</v>
          </cell>
          <cell r="BP7">
            <v>3</v>
          </cell>
          <cell r="BQ7">
            <v>1</v>
          </cell>
          <cell r="BR7">
            <v>4</v>
          </cell>
          <cell r="BS7">
            <v>7</v>
          </cell>
          <cell r="BT7">
            <v>0</v>
          </cell>
          <cell r="BU7">
            <v>3</v>
          </cell>
          <cell r="BV7">
            <v>2</v>
          </cell>
          <cell r="BW7">
            <v>4</v>
          </cell>
          <cell r="BX7">
            <v>2</v>
          </cell>
          <cell r="BY7">
            <v>0</v>
          </cell>
          <cell r="BZ7">
            <v>8</v>
          </cell>
          <cell r="CA7">
            <v>3</v>
          </cell>
          <cell r="CB7">
            <v>2</v>
          </cell>
          <cell r="CC7">
            <v>0</v>
          </cell>
          <cell r="CD7">
            <v>0</v>
          </cell>
          <cell r="CE7">
            <v>2</v>
          </cell>
          <cell r="CF7">
            <v>0</v>
          </cell>
          <cell r="CG7">
            <v>0</v>
          </cell>
          <cell r="CH7">
            <v>0</v>
          </cell>
          <cell r="CI7">
            <v>0</v>
          </cell>
          <cell r="CJ7">
            <v>0</v>
          </cell>
          <cell r="CK7">
            <v>0</v>
          </cell>
          <cell r="CL7">
            <v>0</v>
          </cell>
          <cell r="CM7">
            <v>0</v>
          </cell>
          <cell r="CN7">
            <v>3</v>
          </cell>
          <cell r="CO7">
            <v>4</v>
          </cell>
          <cell r="CP7">
            <v>2</v>
          </cell>
          <cell r="CQ7">
            <v>28</v>
          </cell>
          <cell r="CR7">
            <v>8</v>
          </cell>
          <cell r="CS7">
            <v>2</v>
          </cell>
          <cell r="CT7">
            <v>10</v>
          </cell>
          <cell r="CU7">
            <v>2</v>
          </cell>
          <cell r="CV7">
            <v>4</v>
          </cell>
          <cell r="CW7">
            <v>5</v>
          </cell>
          <cell r="CX7">
            <v>2</v>
          </cell>
          <cell r="CY7">
            <v>5</v>
          </cell>
          <cell r="CZ7">
            <v>4</v>
          </cell>
          <cell r="DA7">
            <v>4</v>
          </cell>
          <cell r="DB7">
            <v>2</v>
          </cell>
          <cell r="DC7">
            <v>2</v>
          </cell>
          <cell r="DD7">
            <v>2</v>
          </cell>
          <cell r="DE7">
            <v>1</v>
          </cell>
          <cell r="DF7">
            <v>2</v>
          </cell>
          <cell r="DG7">
            <v>1</v>
          </cell>
          <cell r="DH7">
            <v>2</v>
          </cell>
          <cell r="DI7">
            <v>1</v>
          </cell>
          <cell r="DJ7">
            <v>2</v>
          </cell>
          <cell r="DK7">
            <v>1</v>
          </cell>
          <cell r="DL7">
            <v>3</v>
          </cell>
          <cell r="DM7">
            <v>8</v>
          </cell>
          <cell r="DN7">
            <v>0</v>
          </cell>
          <cell r="DO7">
            <v>0</v>
          </cell>
          <cell r="DP7">
            <v>0</v>
          </cell>
          <cell r="DQ7">
            <v>0</v>
          </cell>
          <cell r="DR7">
            <v>0</v>
          </cell>
          <cell r="DS7">
            <v>1</v>
          </cell>
          <cell r="DT7">
            <v>1</v>
          </cell>
          <cell r="DU7">
            <v>0</v>
          </cell>
          <cell r="DV7">
            <v>2</v>
          </cell>
          <cell r="DW7">
            <v>6</v>
          </cell>
          <cell r="DX7">
            <v>6</v>
          </cell>
          <cell r="DY7">
            <v>2</v>
          </cell>
          <cell r="DZ7">
            <v>0</v>
          </cell>
          <cell r="EA7">
            <v>2</v>
          </cell>
          <cell r="EC7">
            <v>3</v>
          </cell>
          <cell r="ED7">
            <v>6</v>
          </cell>
          <cell r="EE7">
            <v>6</v>
          </cell>
          <cell r="EF7">
            <v>3</v>
          </cell>
          <cell r="EG7">
            <v>5</v>
          </cell>
          <cell r="EH7">
            <v>7</v>
          </cell>
          <cell r="EJ7">
            <v>4</v>
          </cell>
          <cell r="EK7">
            <v>0</v>
          </cell>
          <cell r="EL7">
            <v>6</v>
          </cell>
          <cell r="EM7">
            <v>7</v>
          </cell>
          <cell r="EO7">
            <v>5</v>
          </cell>
          <cell r="EP7">
            <v>18</v>
          </cell>
          <cell r="EQ7">
            <v>35</v>
          </cell>
          <cell r="ER7">
            <v>33</v>
          </cell>
          <cell r="ES7">
            <v>31</v>
          </cell>
          <cell r="ET7">
            <v>22</v>
          </cell>
          <cell r="EU7">
            <v>10</v>
          </cell>
          <cell r="EV7">
            <v>6</v>
          </cell>
          <cell r="EW7">
            <v>5</v>
          </cell>
          <cell r="EX7">
            <v>12</v>
          </cell>
          <cell r="EY7">
            <v>12</v>
          </cell>
          <cell r="EZ7">
            <v>2</v>
          </cell>
          <cell r="FB7">
            <v>2</v>
          </cell>
          <cell r="FC7">
            <v>4</v>
          </cell>
          <cell r="FD7">
            <v>19</v>
          </cell>
          <cell r="FE7">
            <v>23</v>
          </cell>
          <cell r="FF7">
            <v>7</v>
          </cell>
          <cell r="FG7">
            <v>37</v>
          </cell>
          <cell r="FH7">
            <v>25</v>
          </cell>
          <cell r="FI7">
            <v>2</v>
          </cell>
          <cell r="FJ7">
            <v>5</v>
          </cell>
          <cell r="FK7">
            <v>1</v>
          </cell>
          <cell r="FL7">
            <v>4</v>
          </cell>
          <cell r="FM7">
            <v>3</v>
          </cell>
          <cell r="FN7">
            <v>20</v>
          </cell>
          <cell r="FO7">
            <v>9</v>
          </cell>
          <cell r="FP7">
            <v>4</v>
          </cell>
          <cell r="FQ7">
            <v>1</v>
          </cell>
          <cell r="FR7">
            <v>2</v>
          </cell>
          <cell r="FS7">
            <v>2</v>
          </cell>
          <cell r="FT7">
            <v>4</v>
          </cell>
          <cell r="FU7">
            <v>3</v>
          </cell>
          <cell r="FV7">
            <v>7</v>
          </cell>
          <cell r="FW7">
            <v>21</v>
          </cell>
          <cell r="FX7">
            <v>15</v>
          </cell>
          <cell r="FY7">
            <v>2</v>
          </cell>
          <cell r="FZ7">
            <v>2</v>
          </cell>
          <cell r="GA7">
            <v>1</v>
          </cell>
          <cell r="GB7">
            <v>3</v>
          </cell>
          <cell r="GD7">
            <v>2</v>
          </cell>
          <cell r="GE7">
            <v>1</v>
          </cell>
          <cell r="GG7">
            <v>0</v>
          </cell>
          <cell r="GI7">
            <v>2</v>
          </cell>
          <cell r="GK7">
            <v>3</v>
          </cell>
          <cell r="GL7">
            <v>1</v>
          </cell>
          <cell r="GM7">
            <v>3</v>
          </cell>
          <cell r="GN7">
            <v>3</v>
          </cell>
        </row>
        <row r="8">
          <cell r="B8" t="str">
            <v>APTIVUS</v>
          </cell>
          <cell r="C8" t="str">
            <v>B.I</v>
          </cell>
          <cell r="D8">
            <v>191</v>
          </cell>
          <cell r="E8">
            <v>165</v>
          </cell>
          <cell r="F8">
            <v>185</v>
          </cell>
          <cell r="G8">
            <v>144</v>
          </cell>
          <cell r="H8">
            <v>170</v>
          </cell>
          <cell r="I8">
            <v>188</v>
          </cell>
          <cell r="J8">
            <v>179</v>
          </cell>
          <cell r="K8">
            <v>163</v>
          </cell>
          <cell r="L8">
            <v>196</v>
          </cell>
          <cell r="M8">
            <v>174</v>
          </cell>
          <cell r="N8">
            <v>165</v>
          </cell>
          <cell r="O8">
            <v>205</v>
          </cell>
          <cell r="P8">
            <v>169</v>
          </cell>
          <cell r="Q8">
            <v>163</v>
          </cell>
          <cell r="R8">
            <v>162</v>
          </cell>
          <cell r="S8">
            <v>177</v>
          </cell>
          <cell r="T8">
            <v>133</v>
          </cell>
          <cell r="U8">
            <v>157</v>
          </cell>
          <cell r="V8">
            <v>172</v>
          </cell>
          <cell r="W8">
            <v>168</v>
          </cell>
          <cell r="X8">
            <v>147</v>
          </cell>
          <cell r="Y8">
            <v>124</v>
          </cell>
          <cell r="Z8">
            <v>148</v>
          </cell>
          <cell r="AA8">
            <v>142</v>
          </cell>
          <cell r="AB8">
            <v>172</v>
          </cell>
          <cell r="AC8">
            <v>136</v>
          </cell>
          <cell r="AD8">
            <v>142</v>
          </cell>
          <cell r="AE8">
            <v>134</v>
          </cell>
          <cell r="AF8">
            <v>146</v>
          </cell>
          <cell r="AG8">
            <v>148</v>
          </cell>
          <cell r="AH8">
            <v>167</v>
          </cell>
          <cell r="AI8">
            <v>161</v>
          </cell>
          <cell r="AJ8">
            <v>134</v>
          </cell>
          <cell r="AK8">
            <v>136</v>
          </cell>
          <cell r="AL8">
            <v>142</v>
          </cell>
          <cell r="AM8">
            <v>163</v>
          </cell>
          <cell r="AN8">
            <v>177</v>
          </cell>
          <cell r="AO8">
            <v>151</v>
          </cell>
          <cell r="AP8">
            <v>147</v>
          </cell>
          <cell r="AQ8">
            <v>153</v>
          </cell>
          <cell r="AR8">
            <v>137</v>
          </cell>
          <cell r="AS8">
            <v>127</v>
          </cell>
          <cell r="AT8">
            <v>130</v>
          </cell>
          <cell r="AU8">
            <v>135</v>
          </cell>
          <cell r="AV8">
            <v>134</v>
          </cell>
          <cell r="AW8">
            <v>149</v>
          </cell>
          <cell r="AX8">
            <v>107</v>
          </cell>
          <cell r="AY8">
            <v>138</v>
          </cell>
          <cell r="AZ8">
            <v>131</v>
          </cell>
          <cell r="BA8">
            <v>156</v>
          </cell>
          <cell r="BB8">
            <v>124</v>
          </cell>
          <cell r="BC8">
            <v>121</v>
          </cell>
          <cell r="BD8">
            <v>160</v>
          </cell>
          <cell r="BE8">
            <v>110</v>
          </cell>
          <cell r="BF8">
            <v>134</v>
          </cell>
          <cell r="BG8">
            <v>110</v>
          </cell>
          <cell r="BH8">
            <v>117</v>
          </cell>
          <cell r="BI8">
            <v>123</v>
          </cell>
          <cell r="BJ8">
            <v>107</v>
          </cell>
          <cell r="BK8">
            <v>123</v>
          </cell>
          <cell r="BL8">
            <v>131</v>
          </cell>
          <cell r="BM8">
            <v>142</v>
          </cell>
          <cell r="BN8">
            <v>103</v>
          </cell>
          <cell r="BO8">
            <v>119</v>
          </cell>
          <cell r="BP8">
            <v>118</v>
          </cell>
          <cell r="BQ8">
            <v>122</v>
          </cell>
          <cell r="BR8">
            <v>109</v>
          </cell>
          <cell r="BS8">
            <v>132</v>
          </cell>
          <cell r="BT8">
            <v>133</v>
          </cell>
          <cell r="BU8">
            <v>108</v>
          </cell>
          <cell r="BV8">
            <v>118</v>
          </cell>
          <cell r="BW8">
            <v>101</v>
          </cell>
          <cell r="BX8">
            <v>112</v>
          </cell>
          <cell r="BY8">
            <v>103</v>
          </cell>
          <cell r="BZ8">
            <v>122</v>
          </cell>
          <cell r="CA8">
            <v>118</v>
          </cell>
          <cell r="CB8">
            <v>105</v>
          </cell>
          <cell r="CC8">
            <v>109</v>
          </cell>
          <cell r="CD8">
            <v>64</v>
          </cell>
          <cell r="CE8">
            <v>104</v>
          </cell>
          <cell r="CF8">
            <v>145</v>
          </cell>
          <cell r="CG8">
            <v>135</v>
          </cell>
          <cell r="CH8">
            <v>98</v>
          </cell>
          <cell r="CI8">
            <v>117</v>
          </cell>
          <cell r="CJ8">
            <v>125</v>
          </cell>
          <cell r="CK8">
            <v>107</v>
          </cell>
          <cell r="CL8">
            <v>96</v>
          </cell>
          <cell r="CM8">
            <v>106</v>
          </cell>
          <cell r="CN8">
            <v>105</v>
          </cell>
          <cell r="CO8">
            <v>117</v>
          </cell>
          <cell r="CP8">
            <v>95</v>
          </cell>
          <cell r="CQ8">
            <v>100</v>
          </cell>
          <cell r="CR8">
            <v>94</v>
          </cell>
          <cell r="CS8">
            <v>112</v>
          </cell>
          <cell r="CT8">
            <v>120</v>
          </cell>
          <cell r="CU8">
            <v>95</v>
          </cell>
          <cell r="CV8">
            <v>105</v>
          </cell>
          <cell r="CW8">
            <v>87</v>
          </cell>
          <cell r="CX8">
            <v>102</v>
          </cell>
          <cell r="CY8">
            <v>107</v>
          </cell>
          <cell r="CZ8">
            <v>97</v>
          </cell>
          <cell r="DA8">
            <v>95</v>
          </cell>
          <cell r="DB8">
            <v>92</v>
          </cell>
          <cell r="DC8">
            <v>70</v>
          </cell>
          <cell r="DD8">
            <v>90</v>
          </cell>
          <cell r="DE8">
            <v>77</v>
          </cell>
          <cell r="DF8">
            <v>114</v>
          </cell>
          <cell r="DG8">
            <v>88</v>
          </cell>
          <cell r="DH8">
            <v>93</v>
          </cell>
          <cell r="DI8">
            <v>90</v>
          </cell>
          <cell r="DJ8">
            <v>78</v>
          </cell>
          <cell r="DK8">
            <v>85</v>
          </cell>
          <cell r="DL8">
            <v>68</v>
          </cell>
          <cell r="DM8">
            <v>90</v>
          </cell>
          <cell r="DN8">
            <v>77</v>
          </cell>
          <cell r="DO8">
            <v>104</v>
          </cell>
          <cell r="DP8">
            <v>93</v>
          </cell>
          <cell r="DQ8">
            <v>85</v>
          </cell>
          <cell r="DR8">
            <v>108</v>
          </cell>
          <cell r="DS8">
            <v>104</v>
          </cell>
          <cell r="DT8">
            <v>96</v>
          </cell>
          <cell r="DU8">
            <v>69</v>
          </cell>
          <cell r="DV8">
            <v>92</v>
          </cell>
          <cell r="DW8">
            <v>80</v>
          </cell>
          <cell r="DX8">
            <v>94</v>
          </cell>
          <cell r="DY8">
            <v>80</v>
          </cell>
          <cell r="DZ8">
            <v>65</v>
          </cell>
          <cell r="EA8">
            <v>65</v>
          </cell>
          <cell r="EB8">
            <v>80</v>
          </cell>
          <cell r="EC8">
            <v>61</v>
          </cell>
          <cell r="ED8">
            <v>55</v>
          </cell>
          <cell r="EE8">
            <v>70</v>
          </cell>
          <cell r="EF8">
            <v>84</v>
          </cell>
          <cell r="EG8">
            <v>79</v>
          </cell>
          <cell r="EH8">
            <v>81</v>
          </cell>
          <cell r="EI8">
            <v>85</v>
          </cell>
          <cell r="EJ8">
            <v>84</v>
          </cell>
          <cell r="EK8">
            <v>98</v>
          </cell>
          <cell r="EL8">
            <v>80</v>
          </cell>
          <cell r="EM8">
            <v>79</v>
          </cell>
          <cell r="EN8">
            <v>79</v>
          </cell>
          <cell r="EO8">
            <v>79</v>
          </cell>
          <cell r="EP8">
            <v>81</v>
          </cell>
          <cell r="EQ8">
            <v>83</v>
          </cell>
          <cell r="ER8">
            <v>68</v>
          </cell>
          <cell r="ES8">
            <v>72</v>
          </cell>
          <cell r="ET8">
            <v>75</v>
          </cell>
          <cell r="EU8">
            <v>60</v>
          </cell>
          <cell r="EV8">
            <v>93</v>
          </cell>
          <cell r="EW8">
            <v>60</v>
          </cell>
          <cell r="EX8">
            <v>67</v>
          </cell>
          <cell r="EY8">
            <v>58</v>
          </cell>
          <cell r="EZ8">
            <v>73</v>
          </cell>
          <cell r="FA8">
            <v>69</v>
          </cell>
          <cell r="FB8">
            <v>69</v>
          </cell>
          <cell r="FC8">
            <v>57</v>
          </cell>
          <cell r="FD8">
            <v>49</v>
          </cell>
          <cell r="FE8">
            <v>54</v>
          </cell>
          <cell r="FF8">
            <v>51</v>
          </cell>
          <cell r="FG8">
            <v>63</v>
          </cell>
          <cell r="FH8">
            <v>52</v>
          </cell>
          <cell r="FI8">
            <v>58</v>
          </cell>
          <cell r="FJ8">
            <v>75</v>
          </cell>
          <cell r="FK8">
            <v>65</v>
          </cell>
          <cell r="FL8">
            <v>62</v>
          </cell>
          <cell r="FM8">
            <v>58</v>
          </cell>
          <cell r="FN8">
            <v>57</v>
          </cell>
          <cell r="FO8">
            <v>56</v>
          </cell>
          <cell r="FP8">
            <v>70</v>
          </cell>
          <cell r="FQ8">
            <v>75</v>
          </cell>
          <cell r="FR8">
            <v>79</v>
          </cell>
          <cell r="FS8">
            <v>59</v>
          </cell>
          <cell r="FT8">
            <v>73</v>
          </cell>
          <cell r="FU8">
            <v>71</v>
          </cell>
          <cell r="FV8">
            <v>51</v>
          </cell>
          <cell r="FW8">
            <v>71</v>
          </cell>
          <cell r="FX8">
            <v>84</v>
          </cell>
          <cell r="FY8">
            <v>60</v>
          </cell>
          <cell r="FZ8">
            <v>57</v>
          </cell>
          <cell r="GA8">
            <v>75</v>
          </cell>
          <cell r="GB8">
            <v>53</v>
          </cell>
          <cell r="GC8">
            <v>74</v>
          </cell>
          <cell r="GD8">
            <v>78</v>
          </cell>
          <cell r="GE8">
            <v>84</v>
          </cell>
          <cell r="GF8">
            <v>56</v>
          </cell>
          <cell r="GG8">
            <v>52</v>
          </cell>
          <cell r="GH8">
            <v>52</v>
          </cell>
          <cell r="GI8">
            <v>83</v>
          </cell>
          <cell r="GJ8">
            <v>63</v>
          </cell>
          <cell r="GK8">
            <v>56</v>
          </cell>
          <cell r="GL8">
            <v>65</v>
          </cell>
          <cell r="GM8">
            <v>41</v>
          </cell>
          <cell r="GN8">
            <v>73</v>
          </cell>
        </row>
        <row r="9">
          <cell r="B9" t="str">
            <v>ARAVA</v>
          </cell>
          <cell r="C9" t="str">
            <v>S.A</v>
          </cell>
          <cell r="D9">
            <v>335</v>
          </cell>
          <cell r="E9">
            <v>279</v>
          </cell>
          <cell r="F9">
            <v>307</v>
          </cell>
          <cell r="G9">
            <v>334</v>
          </cell>
          <cell r="H9">
            <v>269</v>
          </cell>
          <cell r="I9">
            <v>323</v>
          </cell>
          <cell r="J9">
            <v>295</v>
          </cell>
          <cell r="K9">
            <v>245</v>
          </cell>
          <cell r="L9">
            <v>254</v>
          </cell>
          <cell r="M9">
            <v>262</v>
          </cell>
          <cell r="N9">
            <v>289</v>
          </cell>
          <cell r="O9">
            <v>232</v>
          </cell>
          <cell r="P9">
            <v>254</v>
          </cell>
          <cell r="Q9">
            <v>235</v>
          </cell>
          <cell r="R9">
            <v>265</v>
          </cell>
          <cell r="S9">
            <v>252</v>
          </cell>
          <cell r="T9">
            <v>235</v>
          </cell>
          <cell r="U9">
            <v>199</v>
          </cell>
          <cell r="V9">
            <v>238</v>
          </cell>
          <cell r="W9">
            <v>225</v>
          </cell>
          <cell r="X9">
            <v>199</v>
          </cell>
          <cell r="Y9">
            <v>171</v>
          </cell>
          <cell r="Z9">
            <v>199</v>
          </cell>
          <cell r="AA9">
            <v>235</v>
          </cell>
          <cell r="AB9">
            <v>207</v>
          </cell>
          <cell r="AC9">
            <v>200</v>
          </cell>
          <cell r="AD9">
            <v>157</v>
          </cell>
          <cell r="AE9">
            <v>182</v>
          </cell>
          <cell r="AF9">
            <v>177</v>
          </cell>
          <cell r="AG9">
            <v>170</v>
          </cell>
          <cell r="AH9">
            <v>174</v>
          </cell>
          <cell r="AI9">
            <v>209</v>
          </cell>
          <cell r="AJ9">
            <v>191</v>
          </cell>
          <cell r="AK9">
            <v>172</v>
          </cell>
          <cell r="AL9">
            <v>179</v>
          </cell>
          <cell r="AM9">
            <v>201</v>
          </cell>
          <cell r="AN9">
            <v>187</v>
          </cell>
          <cell r="AO9">
            <v>136</v>
          </cell>
          <cell r="AP9">
            <v>177</v>
          </cell>
          <cell r="AQ9">
            <v>195</v>
          </cell>
          <cell r="AR9">
            <v>138</v>
          </cell>
          <cell r="AS9">
            <v>156</v>
          </cell>
          <cell r="AT9">
            <v>143</v>
          </cell>
          <cell r="AU9">
            <v>139</v>
          </cell>
          <cell r="AV9">
            <v>166</v>
          </cell>
          <cell r="AW9">
            <v>172</v>
          </cell>
          <cell r="AX9">
            <v>151</v>
          </cell>
          <cell r="AY9">
            <v>131</v>
          </cell>
          <cell r="AZ9">
            <v>158</v>
          </cell>
          <cell r="BA9">
            <v>138</v>
          </cell>
          <cell r="BB9">
            <v>148</v>
          </cell>
          <cell r="BC9">
            <v>132</v>
          </cell>
          <cell r="BD9">
            <v>143</v>
          </cell>
          <cell r="BE9">
            <v>144</v>
          </cell>
          <cell r="BF9">
            <v>140</v>
          </cell>
          <cell r="BG9">
            <v>109</v>
          </cell>
          <cell r="BH9">
            <v>149</v>
          </cell>
          <cell r="BI9">
            <v>146</v>
          </cell>
          <cell r="BJ9">
            <v>137</v>
          </cell>
          <cell r="BK9">
            <v>107</v>
          </cell>
          <cell r="BL9">
            <v>141</v>
          </cell>
          <cell r="BM9">
            <v>137</v>
          </cell>
          <cell r="BN9">
            <v>108</v>
          </cell>
          <cell r="BO9">
            <v>160</v>
          </cell>
          <cell r="BP9">
            <v>172</v>
          </cell>
          <cell r="BQ9">
            <v>154</v>
          </cell>
          <cell r="BR9">
            <v>136</v>
          </cell>
          <cell r="BS9">
            <v>131</v>
          </cell>
          <cell r="BT9">
            <v>138</v>
          </cell>
          <cell r="BU9">
            <v>124</v>
          </cell>
          <cell r="BV9">
            <v>146</v>
          </cell>
          <cell r="BW9">
            <v>148</v>
          </cell>
          <cell r="BX9">
            <v>95</v>
          </cell>
          <cell r="BY9">
            <v>97</v>
          </cell>
          <cell r="BZ9">
            <v>133</v>
          </cell>
          <cell r="CA9">
            <v>163</v>
          </cell>
          <cell r="CB9">
            <v>104</v>
          </cell>
          <cell r="CC9">
            <v>92</v>
          </cell>
          <cell r="CD9">
            <v>96</v>
          </cell>
          <cell r="CE9">
            <v>100</v>
          </cell>
          <cell r="CF9">
            <v>148</v>
          </cell>
          <cell r="CG9">
            <v>115</v>
          </cell>
          <cell r="CH9">
            <v>113</v>
          </cell>
          <cell r="CI9">
            <v>115</v>
          </cell>
          <cell r="CJ9">
            <v>128</v>
          </cell>
          <cell r="CK9">
            <v>100</v>
          </cell>
          <cell r="CL9">
            <v>108</v>
          </cell>
          <cell r="CM9">
            <v>107</v>
          </cell>
          <cell r="CN9">
            <v>115</v>
          </cell>
          <cell r="CO9">
            <v>113</v>
          </cell>
          <cell r="CP9">
            <v>102</v>
          </cell>
          <cell r="CQ9">
            <v>104</v>
          </cell>
          <cell r="CR9">
            <v>106</v>
          </cell>
          <cell r="CS9">
            <v>99</v>
          </cell>
          <cell r="CT9">
            <v>110</v>
          </cell>
          <cell r="CU9">
            <v>96</v>
          </cell>
          <cell r="CV9">
            <v>126</v>
          </cell>
          <cell r="CW9">
            <v>75</v>
          </cell>
          <cell r="CX9">
            <v>120</v>
          </cell>
          <cell r="CY9">
            <v>85</v>
          </cell>
          <cell r="CZ9">
            <v>80</v>
          </cell>
          <cell r="DA9">
            <v>93</v>
          </cell>
          <cell r="DB9">
            <v>101</v>
          </cell>
          <cell r="DC9">
            <v>90</v>
          </cell>
          <cell r="DD9">
            <v>69</v>
          </cell>
          <cell r="DE9">
            <v>87</v>
          </cell>
          <cell r="DF9">
            <v>92</v>
          </cell>
          <cell r="DG9">
            <v>97</v>
          </cell>
          <cell r="DH9">
            <v>78</v>
          </cell>
          <cell r="DI9">
            <v>101</v>
          </cell>
          <cell r="DJ9">
            <v>82</v>
          </cell>
          <cell r="DK9">
            <v>60</v>
          </cell>
          <cell r="DL9">
            <v>59</v>
          </cell>
          <cell r="DM9">
            <v>87</v>
          </cell>
          <cell r="DN9">
            <v>58</v>
          </cell>
          <cell r="DO9">
            <v>82</v>
          </cell>
          <cell r="DP9">
            <v>80</v>
          </cell>
          <cell r="DQ9">
            <v>82</v>
          </cell>
          <cell r="DR9">
            <v>64</v>
          </cell>
          <cell r="DS9">
            <v>57</v>
          </cell>
          <cell r="DT9">
            <v>71</v>
          </cell>
          <cell r="DU9">
            <v>98</v>
          </cell>
          <cell r="DV9">
            <v>69</v>
          </cell>
          <cell r="DW9">
            <v>66</v>
          </cell>
          <cell r="DX9">
            <v>84</v>
          </cell>
          <cell r="DY9">
            <v>50</v>
          </cell>
          <cell r="DZ9">
            <v>63</v>
          </cell>
          <cell r="EA9">
            <v>71</v>
          </cell>
          <cell r="EB9">
            <v>71</v>
          </cell>
          <cell r="EC9">
            <v>80</v>
          </cell>
          <cell r="ED9">
            <v>39</v>
          </cell>
          <cell r="EE9">
            <v>69</v>
          </cell>
          <cell r="EF9">
            <v>78</v>
          </cell>
          <cell r="EG9">
            <v>97</v>
          </cell>
          <cell r="EH9">
            <v>81</v>
          </cell>
          <cell r="EI9">
            <v>64</v>
          </cell>
          <cell r="EJ9">
            <v>83</v>
          </cell>
          <cell r="EK9">
            <v>59</v>
          </cell>
          <cell r="EL9">
            <v>98</v>
          </cell>
          <cell r="EM9">
            <v>67</v>
          </cell>
          <cell r="EN9">
            <v>69</v>
          </cell>
          <cell r="EO9">
            <v>70</v>
          </cell>
          <cell r="EP9">
            <v>73</v>
          </cell>
          <cell r="EQ9">
            <v>71</v>
          </cell>
          <cell r="ER9">
            <v>75</v>
          </cell>
          <cell r="ES9">
            <v>64</v>
          </cell>
          <cell r="ET9">
            <v>75</v>
          </cell>
          <cell r="EU9">
            <v>52</v>
          </cell>
          <cell r="EV9">
            <v>72</v>
          </cell>
          <cell r="EW9">
            <v>80</v>
          </cell>
          <cell r="EX9">
            <v>79</v>
          </cell>
          <cell r="EY9">
            <v>69</v>
          </cell>
          <cell r="EZ9">
            <v>64</v>
          </cell>
          <cell r="FA9">
            <v>74</v>
          </cell>
          <cell r="FB9">
            <v>68</v>
          </cell>
          <cell r="FC9">
            <v>63</v>
          </cell>
          <cell r="FD9">
            <v>72</v>
          </cell>
          <cell r="FE9">
            <v>64</v>
          </cell>
          <cell r="FF9">
            <v>59</v>
          </cell>
          <cell r="FG9">
            <v>50</v>
          </cell>
          <cell r="FH9">
            <v>42</v>
          </cell>
          <cell r="FI9">
            <v>58</v>
          </cell>
          <cell r="FJ9">
            <v>64</v>
          </cell>
          <cell r="FK9">
            <v>57</v>
          </cell>
          <cell r="FL9">
            <v>76</v>
          </cell>
          <cell r="FM9">
            <v>59</v>
          </cell>
          <cell r="FN9">
            <v>69</v>
          </cell>
          <cell r="FO9">
            <v>62</v>
          </cell>
          <cell r="FP9">
            <v>59</v>
          </cell>
          <cell r="FQ9">
            <v>49</v>
          </cell>
          <cell r="FR9">
            <v>68</v>
          </cell>
          <cell r="FS9">
            <v>53</v>
          </cell>
          <cell r="FT9">
            <v>69</v>
          </cell>
          <cell r="FU9">
            <v>56</v>
          </cell>
          <cell r="FV9">
            <v>68</v>
          </cell>
          <cell r="FW9">
            <v>64</v>
          </cell>
          <cell r="FX9">
            <v>58</v>
          </cell>
          <cell r="FY9">
            <v>62</v>
          </cell>
          <cell r="FZ9">
            <v>76</v>
          </cell>
          <cell r="GA9">
            <v>73</v>
          </cell>
          <cell r="GB9">
            <v>51</v>
          </cell>
          <cell r="GC9">
            <v>83</v>
          </cell>
          <cell r="GD9">
            <v>42</v>
          </cell>
          <cell r="GE9">
            <v>44</v>
          </cell>
          <cell r="GF9">
            <v>58</v>
          </cell>
          <cell r="GG9">
            <v>48</v>
          </cell>
          <cell r="GH9">
            <v>66</v>
          </cell>
          <cell r="GI9">
            <v>44</v>
          </cell>
          <cell r="GJ9">
            <v>78</v>
          </cell>
          <cell r="GK9">
            <v>50</v>
          </cell>
          <cell r="GL9">
            <v>67</v>
          </cell>
          <cell r="GM9">
            <v>78</v>
          </cell>
          <cell r="GN9">
            <v>129</v>
          </cell>
        </row>
        <row r="10">
          <cell r="B10" t="str">
            <v>ARANESP</v>
          </cell>
          <cell r="C10" t="str">
            <v>AAI</v>
          </cell>
          <cell r="D10">
            <v>4173</v>
          </cell>
          <cell r="E10">
            <v>3358</v>
          </cell>
          <cell r="F10">
            <v>3942</v>
          </cell>
          <cell r="G10">
            <v>3909</v>
          </cell>
          <cell r="H10">
            <v>3922</v>
          </cell>
          <cell r="I10">
            <v>4001</v>
          </cell>
          <cell r="J10">
            <v>3992</v>
          </cell>
          <cell r="K10">
            <v>3896</v>
          </cell>
          <cell r="L10">
            <v>3822</v>
          </cell>
          <cell r="M10">
            <v>3915</v>
          </cell>
          <cell r="N10">
            <v>3503</v>
          </cell>
          <cell r="O10">
            <v>4149</v>
          </cell>
          <cell r="P10">
            <v>4046</v>
          </cell>
          <cell r="Q10">
            <v>4605</v>
          </cell>
          <cell r="R10">
            <v>4561</v>
          </cell>
          <cell r="S10">
            <v>4497</v>
          </cell>
          <cell r="T10">
            <v>4409</v>
          </cell>
          <cell r="U10">
            <v>4538</v>
          </cell>
          <cell r="V10">
            <v>4343</v>
          </cell>
          <cell r="W10">
            <v>4379</v>
          </cell>
          <cell r="X10">
            <v>4513</v>
          </cell>
          <cell r="Y10">
            <v>3551</v>
          </cell>
          <cell r="Z10">
            <v>4375</v>
          </cell>
          <cell r="AA10">
            <v>4651</v>
          </cell>
          <cell r="AB10">
            <v>4650</v>
          </cell>
          <cell r="AC10">
            <v>4345</v>
          </cell>
          <cell r="AD10">
            <v>3703</v>
          </cell>
          <cell r="AE10">
            <v>3518</v>
          </cell>
          <cell r="AF10">
            <v>4290</v>
          </cell>
          <cell r="AG10">
            <v>4174</v>
          </cell>
          <cell r="AH10">
            <v>4144</v>
          </cell>
          <cell r="AI10">
            <v>4286</v>
          </cell>
          <cell r="AJ10">
            <v>4247</v>
          </cell>
          <cell r="AK10">
            <v>4262</v>
          </cell>
          <cell r="AL10">
            <v>4145</v>
          </cell>
          <cell r="AM10">
            <v>4188</v>
          </cell>
          <cell r="AN10">
            <v>4052</v>
          </cell>
          <cell r="AO10">
            <v>4095</v>
          </cell>
          <cell r="AP10">
            <v>3852</v>
          </cell>
          <cell r="AQ10">
            <v>3710</v>
          </cell>
          <cell r="AR10">
            <v>3523</v>
          </cell>
          <cell r="AS10">
            <v>3550</v>
          </cell>
          <cell r="AT10">
            <v>3373</v>
          </cell>
          <cell r="AU10">
            <v>3383</v>
          </cell>
          <cell r="AV10">
            <v>3341</v>
          </cell>
          <cell r="AW10">
            <v>3382</v>
          </cell>
          <cell r="AX10">
            <v>3327</v>
          </cell>
          <cell r="AY10">
            <v>3270</v>
          </cell>
          <cell r="AZ10">
            <v>2839</v>
          </cell>
          <cell r="BA10">
            <v>3466</v>
          </cell>
          <cell r="BB10">
            <v>3218</v>
          </cell>
          <cell r="BC10">
            <v>3196</v>
          </cell>
          <cell r="BD10">
            <v>3244</v>
          </cell>
          <cell r="BE10">
            <v>2722</v>
          </cell>
          <cell r="BF10">
            <v>3014</v>
          </cell>
          <cell r="BG10">
            <v>2996</v>
          </cell>
          <cell r="BH10">
            <v>3069</v>
          </cell>
          <cell r="BI10">
            <v>2932</v>
          </cell>
          <cell r="BJ10">
            <v>3029</v>
          </cell>
          <cell r="BK10">
            <v>3012</v>
          </cell>
          <cell r="BL10">
            <v>2688</v>
          </cell>
          <cell r="BM10">
            <v>2787</v>
          </cell>
          <cell r="BN10">
            <v>2559</v>
          </cell>
          <cell r="BO10">
            <v>2858</v>
          </cell>
          <cell r="BP10">
            <v>2773</v>
          </cell>
          <cell r="BQ10">
            <v>2714</v>
          </cell>
          <cell r="BR10">
            <v>2736</v>
          </cell>
          <cell r="BS10">
            <v>2678</v>
          </cell>
          <cell r="BT10">
            <v>2676</v>
          </cell>
          <cell r="BU10">
            <v>2728</v>
          </cell>
          <cell r="BV10">
            <v>2932</v>
          </cell>
          <cell r="BW10">
            <v>2737</v>
          </cell>
          <cell r="BX10">
            <v>2788</v>
          </cell>
          <cell r="BY10">
            <v>2137</v>
          </cell>
          <cell r="BZ10">
            <v>2859</v>
          </cell>
          <cell r="CA10">
            <v>2666</v>
          </cell>
          <cell r="CB10">
            <v>2565</v>
          </cell>
          <cell r="CC10">
            <v>2530</v>
          </cell>
          <cell r="CD10">
            <v>2114</v>
          </cell>
          <cell r="CE10">
            <v>2151</v>
          </cell>
          <cell r="CF10">
            <v>2656</v>
          </cell>
          <cell r="CG10">
            <v>2597</v>
          </cell>
          <cell r="CH10">
            <v>2620</v>
          </cell>
          <cell r="CI10">
            <v>2585</v>
          </cell>
          <cell r="CJ10">
            <v>2648</v>
          </cell>
          <cell r="CK10">
            <v>2817</v>
          </cell>
          <cell r="CL10">
            <v>2569</v>
          </cell>
          <cell r="CM10">
            <v>2876</v>
          </cell>
          <cell r="CN10">
            <v>2673</v>
          </cell>
          <cell r="CO10">
            <v>2742</v>
          </cell>
          <cell r="CP10">
            <v>2596</v>
          </cell>
          <cell r="CQ10">
            <v>2665</v>
          </cell>
          <cell r="CR10">
            <v>2712</v>
          </cell>
          <cell r="CS10">
            <v>2457</v>
          </cell>
          <cell r="CT10">
            <v>2552</v>
          </cell>
          <cell r="CU10">
            <v>2534</v>
          </cell>
          <cell r="CV10">
            <v>2597</v>
          </cell>
          <cell r="CW10">
            <v>2579</v>
          </cell>
          <cell r="CX10">
            <v>2636</v>
          </cell>
          <cell r="CY10">
            <v>2517</v>
          </cell>
          <cell r="CZ10">
            <v>2207</v>
          </cell>
          <cell r="DA10">
            <v>2552</v>
          </cell>
          <cell r="DB10">
            <v>2433</v>
          </cell>
          <cell r="DC10">
            <v>2484</v>
          </cell>
          <cell r="DD10">
            <v>2415</v>
          </cell>
          <cell r="DE10">
            <v>2020</v>
          </cell>
          <cell r="DF10">
            <v>2421</v>
          </cell>
          <cell r="DG10">
            <v>2458</v>
          </cell>
          <cell r="DH10">
            <v>2483</v>
          </cell>
          <cell r="DI10">
            <v>2347</v>
          </cell>
          <cell r="DJ10">
            <v>2487</v>
          </cell>
          <cell r="DK10">
            <v>2629</v>
          </cell>
          <cell r="DL10">
            <v>2397</v>
          </cell>
          <cell r="DM10">
            <v>2367</v>
          </cell>
          <cell r="DN10">
            <v>2128</v>
          </cell>
          <cell r="DO10">
            <v>2375</v>
          </cell>
          <cell r="DP10">
            <v>2486</v>
          </cell>
          <cell r="DQ10">
            <v>2372</v>
          </cell>
          <cell r="DR10">
            <v>2373</v>
          </cell>
          <cell r="DS10">
            <v>2275</v>
          </cell>
          <cell r="DT10">
            <v>2331</v>
          </cell>
          <cell r="DU10">
            <v>2426</v>
          </cell>
          <cell r="DV10">
            <v>2280</v>
          </cell>
          <cell r="DW10">
            <v>2172</v>
          </cell>
          <cell r="DX10">
            <v>2511</v>
          </cell>
          <cell r="DY10">
            <v>2375</v>
          </cell>
          <cell r="DZ10">
            <v>1965</v>
          </cell>
          <cell r="EA10">
            <v>2423</v>
          </cell>
          <cell r="EB10">
            <v>2330</v>
          </cell>
          <cell r="EC10">
            <v>2228</v>
          </cell>
          <cell r="ED10">
            <v>1664</v>
          </cell>
          <cell r="EE10">
            <v>1803</v>
          </cell>
          <cell r="EF10">
            <v>1851</v>
          </cell>
          <cell r="EG10">
            <v>2014</v>
          </cell>
          <cell r="EH10">
            <v>2028</v>
          </cell>
          <cell r="EI10">
            <v>2198</v>
          </cell>
          <cell r="EJ10">
            <v>2194</v>
          </cell>
          <cell r="EK10">
            <v>2182</v>
          </cell>
          <cell r="EL10">
            <v>2173</v>
          </cell>
          <cell r="EM10">
            <v>2078</v>
          </cell>
          <cell r="EN10">
            <v>2185</v>
          </cell>
          <cell r="EO10">
            <v>2191</v>
          </cell>
          <cell r="EP10">
            <v>2183</v>
          </cell>
          <cell r="EQ10">
            <v>2186</v>
          </cell>
          <cell r="ER10">
            <v>2114</v>
          </cell>
          <cell r="ES10">
            <v>2366</v>
          </cell>
          <cell r="ET10">
            <v>2474</v>
          </cell>
          <cell r="EU10">
            <v>2344</v>
          </cell>
          <cell r="EV10">
            <v>2402</v>
          </cell>
          <cell r="EW10">
            <v>2619</v>
          </cell>
          <cell r="EX10">
            <v>2525</v>
          </cell>
          <cell r="EY10">
            <v>2496</v>
          </cell>
          <cell r="EZ10">
            <v>2423</v>
          </cell>
          <cell r="FA10">
            <v>2579</v>
          </cell>
          <cell r="FB10">
            <v>2399</v>
          </cell>
          <cell r="FC10">
            <v>2464</v>
          </cell>
          <cell r="FD10">
            <v>2411</v>
          </cell>
          <cell r="FE10">
            <v>2201</v>
          </cell>
          <cell r="FF10">
            <v>2122</v>
          </cell>
          <cell r="FG10">
            <v>2256</v>
          </cell>
          <cell r="FH10">
            <v>2307</v>
          </cell>
          <cell r="FI10">
            <v>2191</v>
          </cell>
          <cell r="FJ10">
            <v>2272</v>
          </cell>
          <cell r="FK10">
            <v>2300</v>
          </cell>
          <cell r="FL10">
            <v>2332</v>
          </cell>
          <cell r="FM10">
            <v>2351</v>
          </cell>
          <cell r="FN10">
            <v>2268</v>
          </cell>
          <cell r="FO10">
            <v>2027</v>
          </cell>
          <cell r="FP10">
            <v>2291</v>
          </cell>
          <cell r="FQ10">
            <v>2355</v>
          </cell>
          <cell r="FR10">
            <v>2372</v>
          </cell>
          <cell r="FS10">
            <v>2381</v>
          </cell>
          <cell r="FT10">
            <v>2404</v>
          </cell>
          <cell r="FU10">
            <v>2415</v>
          </cell>
          <cell r="FV10">
            <v>2452</v>
          </cell>
          <cell r="FW10">
            <v>2291</v>
          </cell>
          <cell r="FX10">
            <v>2304</v>
          </cell>
          <cell r="FY10">
            <v>2305</v>
          </cell>
          <cell r="FZ10">
            <v>1975</v>
          </cell>
          <cell r="GA10">
            <v>2090</v>
          </cell>
          <cell r="GB10">
            <v>2227</v>
          </cell>
          <cell r="GC10">
            <v>2463</v>
          </cell>
          <cell r="GD10">
            <v>1849</v>
          </cell>
          <cell r="GE10">
            <v>1946</v>
          </cell>
          <cell r="GF10">
            <v>2279</v>
          </cell>
          <cell r="GG10">
            <v>2280</v>
          </cell>
          <cell r="GH10">
            <v>2214</v>
          </cell>
          <cell r="GI10">
            <v>2403</v>
          </cell>
          <cell r="GJ10">
            <v>2333</v>
          </cell>
          <cell r="GK10">
            <v>2156</v>
          </cell>
          <cell r="GL10">
            <v>2299</v>
          </cell>
          <cell r="GM10">
            <v>2265</v>
          </cell>
          <cell r="GN10">
            <v>2372</v>
          </cell>
        </row>
        <row r="11">
          <cell r="B11" t="str">
            <v>AREDIA</v>
          </cell>
          <cell r="C11" t="str">
            <v>NVR</v>
          </cell>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2</v>
          </cell>
          <cell r="BR11">
            <v>2</v>
          </cell>
          <cell r="BS11">
            <v>1</v>
          </cell>
          <cell r="BT11">
            <v>3</v>
          </cell>
          <cell r="BU11">
            <v>1</v>
          </cell>
          <cell r="BV11">
            <v>4</v>
          </cell>
          <cell r="BW11">
            <v>3</v>
          </cell>
          <cell r="BX11">
            <v>5</v>
          </cell>
          <cell r="BY11">
            <v>3</v>
          </cell>
          <cell r="BZ11">
            <v>1</v>
          </cell>
          <cell r="CA11">
            <v>0</v>
          </cell>
          <cell r="CB11">
            <v>2</v>
          </cell>
          <cell r="CC11">
            <v>1</v>
          </cell>
          <cell r="CD11">
            <v>4</v>
          </cell>
          <cell r="CE11">
            <v>4</v>
          </cell>
          <cell r="CF11">
            <v>6</v>
          </cell>
          <cell r="CG11">
            <v>6</v>
          </cell>
          <cell r="CH11">
            <v>2</v>
          </cell>
          <cell r="CI11">
            <v>2</v>
          </cell>
          <cell r="CJ11">
            <v>5</v>
          </cell>
          <cell r="CK11">
            <v>3</v>
          </cell>
          <cell r="CL11">
            <v>2</v>
          </cell>
          <cell r="CM11">
            <v>4</v>
          </cell>
          <cell r="CN11">
            <v>5</v>
          </cell>
          <cell r="CO11">
            <v>4</v>
          </cell>
          <cell r="CP11">
            <v>0</v>
          </cell>
          <cell r="CQ11">
            <v>3</v>
          </cell>
          <cell r="CR11">
            <v>3</v>
          </cell>
          <cell r="CS11">
            <v>3</v>
          </cell>
          <cell r="CT11">
            <v>3</v>
          </cell>
          <cell r="CU11">
            <v>5</v>
          </cell>
          <cell r="CV11">
            <v>0</v>
          </cell>
          <cell r="CW11">
            <v>0</v>
          </cell>
          <cell r="CX11">
            <v>2</v>
          </cell>
          <cell r="CY11">
            <v>2</v>
          </cell>
          <cell r="CZ11">
            <v>2</v>
          </cell>
          <cell r="DA11">
            <v>3</v>
          </cell>
          <cell r="DB11">
            <v>1</v>
          </cell>
          <cell r="DC11">
            <v>1</v>
          </cell>
          <cell r="DD11">
            <v>0</v>
          </cell>
          <cell r="DE11">
            <v>2</v>
          </cell>
          <cell r="DF11">
            <v>2</v>
          </cell>
          <cell r="DG11">
            <v>1</v>
          </cell>
          <cell r="DH11">
            <v>0</v>
          </cell>
          <cell r="DI11">
            <v>1</v>
          </cell>
          <cell r="DJ11">
            <v>0</v>
          </cell>
          <cell r="DK11">
            <v>1</v>
          </cell>
          <cell r="DL11">
            <v>0</v>
          </cell>
          <cell r="DM11">
            <v>1</v>
          </cell>
          <cell r="DN11">
            <v>0</v>
          </cell>
          <cell r="DO11">
            <v>0</v>
          </cell>
          <cell r="DP11">
            <v>2</v>
          </cell>
          <cell r="DQ11">
            <v>0</v>
          </cell>
          <cell r="DR11">
            <v>1</v>
          </cell>
          <cell r="DS11">
            <v>2</v>
          </cell>
          <cell r="DT11">
            <v>1</v>
          </cell>
          <cell r="DU11">
            <v>0</v>
          </cell>
          <cell r="DV11">
            <v>1</v>
          </cell>
          <cell r="DW11">
            <v>0</v>
          </cell>
          <cell r="DX11">
            <v>2</v>
          </cell>
          <cell r="DY11">
            <v>0</v>
          </cell>
          <cell r="DZ11">
            <v>1</v>
          </cell>
          <cell r="EA11">
            <v>0</v>
          </cell>
          <cell r="EB11">
            <v>1</v>
          </cell>
          <cell r="EC11">
            <v>2</v>
          </cell>
          <cell r="ED11">
            <v>2</v>
          </cell>
          <cell r="EE11">
            <v>0</v>
          </cell>
          <cell r="EF11">
            <v>1</v>
          </cell>
          <cell r="EG11">
            <v>0</v>
          </cell>
          <cell r="EH11">
            <v>2</v>
          </cell>
          <cell r="EJ11">
            <v>1</v>
          </cell>
          <cell r="EL11">
            <v>2</v>
          </cell>
          <cell r="EM11">
            <v>1</v>
          </cell>
          <cell r="EN11">
            <v>0</v>
          </cell>
          <cell r="EO11">
            <v>1</v>
          </cell>
          <cell r="EP11">
            <v>0</v>
          </cell>
          <cell r="EQ11">
            <v>1</v>
          </cell>
          <cell r="ER11">
            <v>1</v>
          </cell>
          <cell r="ET11">
            <v>0</v>
          </cell>
          <cell r="EV11">
            <v>0</v>
          </cell>
          <cell r="EW11">
            <v>2</v>
          </cell>
          <cell r="EX11">
            <v>1</v>
          </cell>
          <cell r="EY11">
            <v>0</v>
          </cell>
          <cell r="EZ11">
            <v>0</v>
          </cell>
          <cell r="FA11">
            <v>1</v>
          </cell>
          <cell r="FB11">
            <v>2</v>
          </cell>
          <cell r="FE11">
            <v>1</v>
          </cell>
          <cell r="FG11">
            <v>0</v>
          </cell>
          <cell r="FH11">
            <v>1</v>
          </cell>
          <cell r="FI11">
            <v>2</v>
          </cell>
          <cell r="FJ11">
            <v>2</v>
          </cell>
          <cell r="FM11">
            <v>1</v>
          </cell>
          <cell r="FN11">
            <v>1</v>
          </cell>
          <cell r="FP11">
            <v>2</v>
          </cell>
          <cell r="FR11">
            <v>0</v>
          </cell>
          <cell r="FS11">
            <v>1</v>
          </cell>
          <cell r="FT11">
            <v>1</v>
          </cell>
          <cell r="FU11">
            <v>0</v>
          </cell>
          <cell r="FV11">
            <v>3</v>
          </cell>
          <cell r="FW11">
            <v>0</v>
          </cell>
          <cell r="FX11">
            <v>2</v>
          </cell>
          <cell r="FY11">
            <v>1</v>
          </cell>
          <cell r="GA11">
            <v>1</v>
          </cell>
          <cell r="GB11">
            <v>2</v>
          </cell>
          <cell r="GE11">
            <v>0</v>
          </cell>
          <cell r="GF11">
            <v>1</v>
          </cell>
          <cell r="GI11">
            <v>3</v>
          </cell>
          <cell r="GJ11">
            <v>3</v>
          </cell>
          <cell r="GK11">
            <v>2</v>
          </cell>
          <cell r="GM11">
            <v>1</v>
          </cell>
          <cell r="GN11">
            <v>2</v>
          </cell>
        </row>
        <row r="12">
          <cell r="B12" t="str">
            <v>ATRIPLA</v>
          </cell>
          <cell r="C12" t="str">
            <v>BMG</v>
          </cell>
          <cell r="D12">
            <v>0</v>
          </cell>
          <cell r="E12">
            <v>0</v>
          </cell>
          <cell r="F12">
            <v>0</v>
          </cell>
          <cell r="G12">
            <v>354</v>
          </cell>
          <cell r="H12">
            <v>1060</v>
          </cell>
          <cell r="I12">
            <v>1329</v>
          </cell>
          <cell r="J12">
            <v>1852</v>
          </cell>
          <cell r="K12">
            <v>2037</v>
          </cell>
          <cell r="L12">
            <v>2299</v>
          </cell>
          <cell r="M12">
            <v>2235</v>
          </cell>
          <cell r="N12">
            <v>2193</v>
          </cell>
          <cell r="O12">
            <v>2528</v>
          </cell>
          <cell r="P12">
            <v>2626</v>
          </cell>
          <cell r="Q12">
            <v>2651</v>
          </cell>
          <cell r="R12">
            <v>2750</v>
          </cell>
          <cell r="S12">
            <v>2744</v>
          </cell>
          <cell r="T12">
            <v>2620</v>
          </cell>
          <cell r="U12">
            <v>3072</v>
          </cell>
          <cell r="V12">
            <v>3045</v>
          </cell>
          <cell r="W12">
            <v>2877</v>
          </cell>
          <cell r="X12">
            <v>2799</v>
          </cell>
          <cell r="Y12">
            <v>2266</v>
          </cell>
          <cell r="Z12">
            <v>2730</v>
          </cell>
          <cell r="AA12">
            <v>2744</v>
          </cell>
          <cell r="AB12">
            <v>2818</v>
          </cell>
          <cell r="AC12">
            <v>2791</v>
          </cell>
          <cell r="AD12">
            <v>2119</v>
          </cell>
          <cell r="AE12">
            <v>2544</v>
          </cell>
          <cell r="AF12">
            <v>2875</v>
          </cell>
          <cell r="AG12">
            <v>2842</v>
          </cell>
          <cell r="AH12">
            <v>3035</v>
          </cell>
          <cell r="AI12">
            <v>3219</v>
          </cell>
          <cell r="AJ12">
            <v>3311</v>
          </cell>
          <cell r="AK12">
            <v>3293</v>
          </cell>
          <cell r="AL12">
            <v>3167</v>
          </cell>
          <cell r="AM12">
            <v>3263</v>
          </cell>
          <cell r="AN12">
            <v>3415</v>
          </cell>
          <cell r="AO12">
            <v>3550</v>
          </cell>
          <cell r="AP12">
            <v>3456</v>
          </cell>
          <cell r="AQ12">
            <v>3253</v>
          </cell>
          <cell r="AR12">
            <v>3420</v>
          </cell>
          <cell r="AS12">
            <v>3409</v>
          </cell>
          <cell r="AT12">
            <v>3278</v>
          </cell>
          <cell r="AU12">
            <v>3489</v>
          </cell>
          <cell r="AV12">
            <v>3502</v>
          </cell>
          <cell r="AW12">
            <v>3475</v>
          </cell>
          <cell r="AX12">
            <v>3680</v>
          </cell>
          <cell r="AY12">
            <v>3605</v>
          </cell>
          <cell r="AZ12">
            <v>3318</v>
          </cell>
          <cell r="BA12">
            <v>3714</v>
          </cell>
          <cell r="BB12">
            <v>3558</v>
          </cell>
          <cell r="BC12">
            <v>3604</v>
          </cell>
          <cell r="BD12">
            <v>3642</v>
          </cell>
          <cell r="BE12">
            <v>3272</v>
          </cell>
          <cell r="BF12">
            <v>3645</v>
          </cell>
          <cell r="BG12">
            <v>3793</v>
          </cell>
          <cell r="BH12">
            <v>3813</v>
          </cell>
          <cell r="BI12">
            <v>4006</v>
          </cell>
          <cell r="BJ12">
            <v>3915</v>
          </cell>
          <cell r="BK12">
            <v>3966</v>
          </cell>
          <cell r="BL12">
            <v>3956</v>
          </cell>
          <cell r="BM12">
            <v>4172</v>
          </cell>
          <cell r="BN12">
            <v>3694</v>
          </cell>
          <cell r="BO12">
            <v>4324</v>
          </cell>
          <cell r="BP12">
            <v>4081</v>
          </cell>
          <cell r="BQ12">
            <v>4333</v>
          </cell>
          <cell r="BR12">
            <v>4471</v>
          </cell>
          <cell r="BS12">
            <v>4224</v>
          </cell>
          <cell r="BT12">
            <v>4317</v>
          </cell>
          <cell r="BU12">
            <v>4322</v>
          </cell>
          <cell r="BV12">
            <v>4486</v>
          </cell>
          <cell r="BW12">
            <v>4472</v>
          </cell>
          <cell r="BX12">
            <v>4356</v>
          </cell>
          <cell r="BY12">
            <v>3797</v>
          </cell>
          <cell r="BZ12">
            <v>4503</v>
          </cell>
          <cell r="CA12">
            <v>4567</v>
          </cell>
          <cell r="CB12">
            <v>4649</v>
          </cell>
          <cell r="CC12">
            <v>4720</v>
          </cell>
          <cell r="CD12">
            <v>3588</v>
          </cell>
          <cell r="CE12">
            <v>3906</v>
          </cell>
          <cell r="CF12">
            <v>4787</v>
          </cell>
          <cell r="CG12">
            <v>4673</v>
          </cell>
          <cell r="CH12">
            <v>4493</v>
          </cell>
          <cell r="CI12">
            <v>4811</v>
          </cell>
          <cell r="CJ12">
            <v>4915</v>
          </cell>
          <cell r="CK12">
            <v>4753</v>
          </cell>
          <cell r="CL12">
            <v>4619</v>
          </cell>
          <cell r="CM12">
            <v>4967</v>
          </cell>
          <cell r="CN12">
            <v>5061</v>
          </cell>
          <cell r="CO12">
            <v>5036</v>
          </cell>
          <cell r="CP12">
            <v>4769</v>
          </cell>
          <cell r="CQ12">
            <v>4832</v>
          </cell>
          <cell r="CR12">
            <v>4937</v>
          </cell>
          <cell r="CS12">
            <v>4961</v>
          </cell>
          <cell r="CT12">
            <v>4824</v>
          </cell>
          <cell r="CU12">
            <v>4781</v>
          </cell>
          <cell r="CV12">
            <v>5029</v>
          </cell>
          <cell r="CW12">
            <v>4841</v>
          </cell>
          <cell r="CX12">
            <v>4738</v>
          </cell>
          <cell r="CY12">
            <v>4934</v>
          </cell>
          <cell r="CZ12">
            <v>4481</v>
          </cell>
          <cell r="DA12">
            <v>5322</v>
          </cell>
          <cell r="DB12">
            <v>5132</v>
          </cell>
          <cell r="DC12">
            <v>4957</v>
          </cell>
          <cell r="DD12">
            <v>4787</v>
          </cell>
          <cell r="DE12">
            <v>4444</v>
          </cell>
          <cell r="DF12">
            <v>5100</v>
          </cell>
          <cell r="DG12">
            <v>5019</v>
          </cell>
          <cell r="DH12">
            <v>5029</v>
          </cell>
          <cell r="DI12">
            <v>5133</v>
          </cell>
          <cell r="DJ12">
            <v>5339</v>
          </cell>
          <cell r="DK12">
            <v>5196</v>
          </cell>
          <cell r="DL12">
            <v>5110</v>
          </cell>
          <cell r="DM12">
            <v>5256</v>
          </cell>
          <cell r="DN12">
            <v>5098</v>
          </cell>
          <cell r="DO12">
            <v>5482</v>
          </cell>
          <cell r="DP12">
            <v>5544</v>
          </cell>
          <cell r="DQ12">
            <v>5542</v>
          </cell>
          <cell r="DR12">
            <v>5749</v>
          </cell>
          <cell r="DS12">
            <v>5553</v>
          </cell>
          <cell r="DT12">
            <v>5325</v>
          </cell>
          <cell r="DU12">
            <v>5578</v>
          </cell>
          <cell r="DV12">
            <v>5543</v>
          </cell>
          <cell r="DW12">
            <v>5603</v>
          </cell>
          <cell r="DX12">
            <v>5717</v>
          </cell>
          <cell r="DY12">
            <v>5665</v>
          </cell>
          <cell r="DZ12">
            <v>4869</v>
          </cell>
          <cell r="EA12">
            <v>6045</v>
          </cell>
          <cell r="EB12">
            <v>5866</v>
          </cell>
          <cell r="EC12">
            <v>5996</v>
          </cell>
          <cell r="ED12">
            <v>4603</v>
          </cell>
          <cell r="EE12">
            <v>4905</v>
          </cell>
          <cell r="EF12">
            <v>6421</v>
          </cell>
          <cell r="EG12">
            <v>6223</v>
          </cell>
          <cell r="EH12">
            <v>5946</v>
          </cell>
          <cell r="EI12">
            <v>5876</v>
          </cell>
          <cell r="EJ12">
            <v>6154</v>
          </cell>
          <cell r="EK12">
            <v>5962</v>
          </cell>
          <cell r="EL12">
            <v>5868</v>
          </cell>
          <cell r="EM12">
            <v>5957</v>
          </cell>
          <cell r="EN12">
            <v>6096</v>
          </cell>
          <cell r="EO12">
            <v>6139</v>
          </cell>
          <cell r="EP12">
            <v>6077</v>
          </cell>
          <cell r="EQ12">
            <v>5795</v>
          </cell>
          <cell r="ER12">
            <v>6215</v>
          </cell>
          <cell r="ES12">
            <v>6092</v>
          </cell>
          <cell r="ET12">
            <v>6079</v>
          </cell>
          <cell r="EU12">
            <v>6274</v>
          </cell>
          <cell r="EV12">
            <v>6329</v>
          </cell>
          <cell r="EW12">
            <v>6272</v>
          </cell>
          <cell r="EX12">
            <v>6470</v>
          </cell>
          <cell r="EY12">
            <v>6205</v>
          </cell>
          <cell r="EZ12">
            <v>5506</v>
          </cell>
          <cell r="FA12">
            <v>6727</v>
          </cell>
          <cell r="FB12">
            <v>6191</v>
          </cell>
          <cell r="FC12">
            <v>6133</v>
          </cell>
          <cell r="FD12">
            <v>6114</v>
          </cell>
          <cell r="FE12">
            <v>5955</v>
          </cell>
          <cell r="FF12">
            <v>5489</v>
          </cell>
          <cell r="FG12">
            <v>5530</v>
          </cell>
          <cell r="FH12">
            <v>5299</v>
          </cell>
          <cell r="FI12">
            <v>6243</v>
          </cell>
          <cell r="FJ12">
            <v>6279</v>
          </cell>
          <cell r="FK12">
            <v>6270</v>
          </cell>
          <cell r="FL12">
            <v>6333</v>
          </cell>
          <cell r="FM12">
            <v>6406</v>
          </cell>
          <cell r="FN12">
            <v>6671</v>
          </cell>
          <cell r="FO12">
            <v>5824</v>
          </cell>
          <cell r="FP12">
            <v>6623</v>
          </cell>
          <cell r="FQ12">
            <v>6406</v>
          </cell>
          <cell r="FR12">
            <v>6630</v>
          </cell>
          <cell r="FS12">
            <v>6564</v>
          </cell>
          <cell r="FT12">
            <v>6585</v>
          </cell>
          <cell r="FU12">
            <v>6495</v>
          </cell>
          <cell r="FV12">
            <v>6475</v>
          </cell>
          <cell r="FW12">
            <v>6965</v>
          </cell>
          <cell r="FX12">
            <v>6487</v>
          </cell>
          <cell r="FY12">
            <v>6730</v>
          </cell>
          <cell r="FZ12">
            <v>5850</v>
          </cell>
          <cell r="GA12">
            <v>7220</v>
          </cell>
          <cell r="GB12">
            <v>7073</v>
          </cell>
          <cell r="GC12">
            <v>7011</v>
          </cell>
          <cell r="GD12">
            <v>5629</v>
          </cell>
          <cell r="GE12">
            <v>6285</v>
          </cell>
          <cell r="GF12">
            <v>7340</v>
          </cell>
          <cell r="GG12">
            <v>7345</v>
          </cell>
          <cell r="GH12">
            <v>6807</v>
          </cell>
          <cell r="GI12">
            <v>7448</v>
          </cell>
          <cell r="GJ12">
            <v>7530</v>
          </cell>
          <cell r="GK12">
            <v>6894</v>
          </cell>
          <cell r="GL12">
            <v>7013</v>
          </cell>
          <cell r="GM12">
            <v>7070</v>
          </cell>
          <cell r="GN12">
            <v>7601</v>
          </cell>
        </row>
        <row r="13">
          <cell r="B13" t="str">
            <v>AVONEX</v>
          </cell>
          <cell r="C13" t="str">
            <v>BGE</v>
          </cell>
          <cell r="D13">
            <v>4114</v>
          </cell>
          <cell r="E13">
            <v>2929</v>
          </cell>
          <cell r="F13">
            <v>3842</v>
          </cell>
          <cell r="G13">
            <v>3711</v>
          </cell>
          <cell r="H13">
            <v>3718</v>
          </cell>
          <cell r="I13">
            <v>3415</v>
          </cell>
          <cell r="J13">
            <v>3316</v>
          </cell>
          <cell r="K13">
            <v>3334</v>
          </cell>
          <cell r="L13">
            <v>3462</v>
          </cell>
          <cell r="M13">
            <v>3297</v>
          </cell>
          <cell r="N13">
            <v>2943</v>
          </cell>
          <cell r="O13">
            <v>3184</v>
          </cell>
          <cell r="P13">
            <v>3624</v>
          </cell>
          <cell r="Q13">
            <v>3869</v>
          </cell>
          <cell r="R13">
            <v>3656</v>
          </cell>
          <cell r="S13">
            <v>3415</v>
          </cell>
          <cell r="T13">
            <v>3529</v>
          </cell>
          <cell r="U13">
            <v>3577</v>
          </cell>
          <cell r="V13">
            <v>3694</v>
          </cell>
          <cell r="W13">
            <v>3401</v>
          </cell>
          <cell r="X13">
            <v>3879</v>
          </cell>
          <cell r="Y13">
            <v>2500</v>
          </cell>
          <cell r="Z13">
            <v>3965</v>
          </cell>
          <cell r="AA13">
            <v>3470</v>
          </cell>
          <cell r="AB13">
            <v>3737</v>
          </cell>
          <cell r="AC13">
            <v>3737</v>
          </cell>
          <cell r="AD13">
            <v>3566</v>
          </cell>
          <cell r="AE13">
            <v>3218</v>
          </cell>
          <cell r="AF13">
            <v>3838</v>
          </cell>
          <cell r="AG13">
            <v>4278</v>
          </cell>
          <cell r="AH13">
            <v>4097</v>
          </cell>
          <cell r="AI13">
            <v>3987</v>
          </cell>
          <cell r="AJ13">
            <v>3606</v>
          </cell>
          <cell r="AK13">
            <v>3524</v>
          </cell>
          <cell r="AL13">
            <v>3585</v>
          </cell>
          <cell r="AM13">
            <v>3603</v>
          </cell>
          <cell r="AN13">
            <v>3398</v>
          </cell>
          <cell r="AO13">
            <v>3164</v>
          </cell>
          <cell r="AP13">
            <v>3461</v>
          </cell>
          <cell r="AQ13">
            <v>3225</v>
          </cell>
          <cell r="AR13">
            <v>3112</v>
          </cell>
          <cell r="AS13">
            <v>3201</v>
          </cell>
          <cell r="AT13">
            <v>3038</v>
          </cell>
          <cell r="AU13">
            <v>3132</v>
          </cell>
          <cell r="AV13">
            <v>2939</v>
          </cell>
          <cell r="AW13">
            <v>2934</v>
          </cell>
          <cell r="AX13">
            <v>3074</v>
          </cell>
          <cell r="AY13">
            <v>3152</v>
          </cell>
          <cell r="AZ13">
            <v>3026</v>
          </cell>
          <cell r="BA13">
            <v>4315</v>
          </cell>
          <cell r="BB13">
            <v>3880</v>
          </cell>
          <cell r="BC13">
            <v>4593</v>
          </cell>
          <cell r="BD13">
            <v>4825</v>
          </cell>
          <cell r="BE13">
            <v>3562</v>
          </cell>
          <cell r="BF13">
            <v>4148</v>
          </cell>
          <cell r="BG13">
            <v>3707</v>
          </cell>
          <cell r="BH13">
            <v>3744</v>
          </cell>
          <cell r="BI13">
            <v>3658</v>
          </cell>
          <cell r="BJ13">
            <v>3352</v>
          </cell>
          <cell r="BK13">
            <v>3331</v>
          </cell>
          <cell r="BL13">
            <v>3344</v>
          </cell>
          <cell r="BM13">
            <v>3548</v>
          </cell>
          <cell r="BN13">
            <v>2666</v>
          </cell>
          <cell r="BO13">
            <v>3188</v>
          </cell>
          <cell r="BP13">
            <v>3097</v>
          </cell>
          <cell r="BQ13">
            <v>3046</v>
          </cell>
          <cell r="BR13">
            <v>3022</v>
          </cell>
          <cell r="BS13">
            <v>2867</v>
          </cell>
          <cell r="BT13">
            <v>2848</v>
          </cell>
          <cell r="BU13">
            <v>2685</v>
          </cell>
          <cell r="BV13">
            <v>2819</v>
          </cell>
          <cell r="BW13">
            <v>2891</v>
          </cell>
          <cell r="BX13">
            <v>2949</v>
          </cell>
          <cell r="BY13">
            <v>2050</v>
          </cell>
          <cell r="BZ13">
            <v>3565</v>
          </cell>
          <cell r="CA13">
            <v>3083</v>
          </cell>
          <cell r="CB13">
            <v>3381</v>
          </cell>
          <cell r="CC13">
            <v>3766</v>
          </cell>
          <cell r="CD13">
            <v>2890</v>
          </cell>
          <cell r="CE13">
            <v>2595</v>
          </cell>
          <cell r="CF13">
            <v>3496</v>
          </cell>
          <cell r="CG13">
            <v>3527</v>
          </cell>
          <cell r="CH13">
            <v>3740</v>
          </cell>
          <cell r="CI13">
            <v>4004</v>
          </cell>
          <cell r="CJ13">
            <v>3628</v>
          </cell>
          <cell r="CK13">
            <v>3198</v>
          </cell>
          <cell r="CL13">
            <v>2607</v>
          </cell>
          <cell r="CM13">
            <v>2704</v>
          </cell>
          <cell r="CN13">
            <v>2509</v>
          </cell>
          <cell r="CO13">
            <v>2558</v>
          </cell>
          <cell r="CP13">
            <v>2502</v>
          </cell>
          <cell r="CQ13">
            <v>2464</v>
          </cell>
          <cell r="CR13">
            <v>2360</v>
          </cell>
          <cell r="CS13">
            <v>2416</v>
          </cell>
          <cell r="CT13">
            <v>2435</v>
          </cell>
          <cell r="CU13">
            <v>2416</v>
          </cell>
          <cell r="CV13">
            <v>2502</v>
          </cell>
          <cell r="CW13">
            <v>2388</v>
          </cell>
          <cell r="CX13">
            <v>2305</v>
          </cell>
          <cell r="CY13">
            <v>2396</v>
          </cell>
          <cell r="CZ13">
            <v>2275</v>
          </cell>
          <cell r="DA13">
            <v>2681</v>
          </cell>
          <cell r="DB13">
            <v>2443</v>
          </cell>
          <cell r="DC13">
            <v>2679</v>
          </cell>
          <cell r="DD13">
            <v>2639</v>
          </cell>
          <cell r="DE13">
            <v>2331</v>
          </cell>
          <cell r="DF13">
            <v>2993</v>
          </cell>
          <cell r="DG13">
            <v>3038</v>
          </cell>
          <cell r="DH13">
            <v>2844</v>
          </cell>
          <cell r="DI13">
            <v>2805</v>
          </cell>
          <cell r="DJ13">
            <v>2766</v>
          </cell>
          <cell r="DK13">
            <v>2874</v>
          </cell>
          <cell r="DL13">
            <v>2627</v>
          </cell>
          <cell r="DM13">
            <v>3003</v>
          </cell>
          <cell r="DN13">
            <v>2093</v>
          </cell>
          <cell r="DO13">
            <v>2611</v>
          </cell>
          <cell r="DP13">
            <v>2379</v>
          </cell>
          <cell r="DQ13">
            <v>2345</v>
          </cell>
          <cell r="DR13">
            <v>2400</v>
          </cell>
          <cell r="DS13">
            <v>2308</v>
          </cell>
          <cell r="DT13">
            <v>2330</v>
          </cell>
          <cell r="DU13">
            <v>2475</v>
          </cell>
          <cell r="DV13">
            <v>2481</v>
          </cell>
          <cell r="DW13">
            <v>2477</v>
          </cell>
          <cell r="DX13">
            <v>2374</v>
          </cell>
          <cell r="DY13">
            <v>2431</v>
          </cell>
          <cell r="DZ13">
            <v>1780</v>
          </cell>
          <cell r="EA13">
            <v>2801</v>
          </cell>
          <cell r="EB13">
            <v>2434</v>
          </cell>
          <cell r="EC13">
            <v>2625</v>
          </cell>
          <cell r="ED13">
            <v>1528</v>
          </cell>
          <cell r="EE13">
            <v>2131</v>
          </cell>
          <cell r="EF13">
            <v>2362</v>
          </cell>
          <cell r="EG13">
            <v>2406</v>
          </cell>
          <cell r="EH13">
            <v>2254</v>
          </cell>
          <cell r="EI13">
            <v>2549</v>
          </cell>
          <cell r="EJ13">
            <v>2599</v>
          </cell>
          <cell r="EK13">
            <v>2805</v>
          </cell>
          <cell r="EL13">
            <v>2380</v>
          </cell>
          <cell r="EM13">
            <v>2279</v>
          </cell>
          <cell r="EN13">
            <v>2347</v>
          </cell>
          <cell r="EO13">
            <v>2208</v>
          </cell>
          <cell r="EP13">
            <v>2128</v>
          </cell>
          <cell r="EQ13">
            <v>2098</v>
          </cell>
          <cell r="ER13">
            <v>2040</v>
          </cell>
          <cell r="ES13">
            <v>2068</v>
          </cell>
          <cell r="ET13">
            <v>2036</v>
          </cell>
          <cell r="EU13">
            <v>1973</v>
          </cell>
          <cell r="EV13">
            <v>1935</v>
          </cell>
          <cell r="EW13">
            <v>1917</v>
          </cell>
          <cell r="EX13">
            <v>1871</v>
          </cell>
          <cell r="EY13">
            <v>2015</v>
          </cell>
          <cell r="EZ13">
            <v>1567</v>
          </cell>
          <cell r="FA13">
            <v>1917</v>
          </cell>
          <cell r="FB13">
            <v>1919</v>
          </cell>
          <cell r="FC13">
            <v>1768</v>
          </cell>
          <cell r="FD13">
            <v>1927</v>
          </cell>
          <cell r="FE13">
            <v>1694</v>
          </cell>
          <cell r="FF13">
            <v>1610</v>
          </cell>
          <cell r="FG13">
            <v>1551</v>
          </cell>
          <cell r="FH13">
            <v>1706</v>
          </cell>
          <cell r="FI13">
            <v>1763</v>
          </cell>
          <cell r="FJ13">
            <v>1768</v>
          </cell>
          <cell r="FK13">
            <v>1662</v>
          </cell>
          <cell r="FL13">
            <v>1700</v>
          </cell>
          <cell r="FM13">
            <v>1721</v>
          </cell>
          <cell r="FN13">
            <v>1670</v>
          </cell>
          <cell r="FO13">
            <v>1499</v>
          </cell>
          <cell r="FP13">
            <v>1707</v>
          </cell>
          <cell r="FQ13">
            <v>1723</v>
          </cell>
          <cell r="FR13">
            <v>1685</v>
          </cell>
          <cell r="FS13">
            <v>1629</v>
          </cell>
          <cell r="FT13">
            <v>1741</v>
          </cell>
          <cell r="FU13">
            <v>1663</v>
          </cell>
          <cell r="FV13">
            <v>1788</v>
          </cell>
          <cell r="FW13">
            <v>1653</v>
          </cell>
          <cell r="FX13">
            <v>1755</v>
          </cell>
          <cell r="FY13">
            <v>1876</v>
          </cell>
          <cell r="FZ13">
            <v>1389</v>
          </cell>
          <cell r="GA13">
            <v>2075</v>
          </cell>
          <cell r="GB13">
            <v>2098</v>
          </cell>
          <cell r="GC13">
            <v>2115</v>
          </cell>
          <cell r="GD13">
            <v>1654</v>
          </cell>
          <cell r="GE13">
            <v>1857</v>
          </cell>
          <cell r="GF13">
            <v>1806</v>
          </cell>
          <cell r="GG13">
            <v>2043</v>
          </cell>
          <cell r="GH13">
            <v>2273</v>
          </cell>
          <cell r="GI13">
            <v>2219</v>
          </cell>
          <cell r="GJ13">
            <v>2137</v>
          </cell>
          <cell r="GK13">
            <v>1943</v>
          </cell>
          <cell r="GL13">
            <v>2137</v>
          </cell>
          <cell r="GM13">
            <v>2178</v>
          </cell>
          <cell r="GN13">
            <v>2045</v>
          </cell>
        </row>
        <row r="14">
          <cell r="B14" t="str">
            <v>AVASTIN</v>
          </cell>
          <cell r="C14" t="str">
            <v>GTC</v>
          </cell>
          <cell r="D14">
            <v>45</v>
          </cell>
          <cell r="E14">
            <v>38</v>
          </cell>
          <cell r="F14">
            <v>52</v>
          </cell>
          <cell r="G14">
            <v>53</v>
          </cell>
          <cell r="H14">
            <v>42</v>
          </cell>
          <cell r="I14">
            <v>60</v>
          </cell>
          <cell r="J14">
            <v>58</v>
          </cell>
          <cell r="K14">
            <v>44</v>
          </cell>
          <cell r="L14">
            <v>80</v>
          </cell>
          <cell r="M14">
            <v>70</v>
          </cell>
          <cell r="N14">
            <v>59</v>
          </cell>
          <cell r="O14">
            <v>91</v>
          </cell>
          <cell r="P14">
            <v>78</v>
          </cell>
          <cell r="Q14">
            <v>94</v>
          </cell>
          <cell r="R14">
            <v>63</v>
          </cell>
          <cell r="S14">
            <v>74</v>
          </cell>
          <cell r="T14">
            <v>64</v>
          </cell>
          <cell r="U14">
            <v>81</v>
          </cell>
          <cell r="V14">
            <v>75</v>
          </cell>
          <cell r="W14">
            <v>71</v>
          </cell>
          <cell r="X14">
            <v>82</v>
          </cell>
          <cell r="Y14">
            <v>49</v>
          </cell>
          <cell r="Z14">
            <v>68</v>
          </cell>
          <cell r="AA14">
            <v>75</v>
          </cell>
          <cell r="AB14">
            <v>69</v>
          </cell>
          <cell r="AC14">
            <v>50</v>
          </cell>
          <cell r="AD14">
            <v>64</v>
          </cell>
          <cell r="AE14">
            <v>54</v>
          </cell>
          <cell r="AF14">
            <v>70</v>
          </cell>
          <cell r="AG14">
            <v>67</v>
          </cell>
          <cell r="AH14">
            <v>114</v>
          </cell>
          <cell r="AI14">
            <v>77</v>
          </cell>
          <cell r="AJ14">
            <v>97</v>
          </cell>
          <cell r="AK14">
            <v>90</v>
          </cell>
          <cell r="AL14">
            <v>111</v>
          </cell>
          <cell r="AM14">
            <v>109</v>
          </cell>
          <cell r="AN14">
            <v>75</v>
          </cell>
          <cell r="AO14">
            <v>111</v>
          </cell>
          <cell r="AP14">
            <v>90</v>
          </cell>
          <cell r="AQ14">
            <v>163</v>
          </cell>
          <cell r="AR14">
            <v>100</v>
          </cell>
          <cell r="AS14">
            <v>136</v>
          </cell>
          <cell r="AT14">
            <v>152</v>
          </cell>
          <cell r="AU14">
            <v>163</v>
          </cell>
          <cell r="AV14">
            <v>170</v>
          </cell>
          <cell r="AW14">
            <v>95</v>
          </cell>
          <cell r="AX14">
            <v>94</v>
          </cell>
          <cell r="AY14">
            <v>136</v>
          </cell>
          <cell r="AZ14">
            <v>78</v>
          </cell>
          <cell r="BA14">
            <v>115</v>
          </cell>
          <cell r="BB14">
            <v>88</v>
          </cell>
          <cell r="BC14">
            <v>98</v>
          </cell>
          <cell r="BD14">
            <v>64</v>
          </cell>
          <cell r="BE14">
            <v>51</v>
          </cell>
          <cell r="BF14">
            <v>107</v>
          </cell>
          <cell r="BG14">
            <v>87</v>
          </cell>
          <cell r="BH14">
            <v>80</v>
          </cell>
          <cell r="BI14">
            <v>56</v>
          </cell>
          <cell r="BJ14">
            <v>79</v>
          </cell>
          <cell r="BK14">
            <v>80</v>
          </cell>
          <cell r="BL14">
            <v>71</v>
          </cell>
          <cell r="BM14">
            <v>90</v>
          </cell>
          <cell r="BN14">
            <v>94</v>
          </cell>
          <cell r="BO14">
            <v>113</v>
          </cell>
          <cell r="BP14">
            <v>132</v>
          </cell>
          <cell r="BQ14">
            <v>126</v>
          </cell>
          <cell r="BR14">
            <v>156</v>
          </cell>
          <cell r="BS14">
            <v>105</v>
          </cell>
          <cell r="BT14">
            <v>132</v>
          </cell>
          <cell r="BU14">
            <v>138</v>
          </cell>
          <cell r="BV14">
            <v>121</v>
          </cell>
          <cell r="BW14">
            <v>125</v>
          </cell>
          <cell r="BX14">
            <v>125</v>
          </cell>
          <cell r="BY14">
            <v>76</v>
          </cell>
          <cell r="BZ14">
            <v>162</v>
          </cell>
          <cell r="CA14">
            <v>128</v>
          </cell>
          <cell r="CB14">
            <v>137</v>
          </cell>
          <cell r="CC14">
            <v>126</v>
          </cell>
          <cell r="CD14">
            <v>118</v>
          </cell>
          <cell r="CE14">
            <v>63</v>
          </cell>
          <cell r="CF14">
            <v>125</v>
          </cell>
          <cell r="CG14">
            <v>124</v>
          </cell>
          <cell r="CH14">
            <v>95</v>
          </cell>
          <cell r="CI14">
            <v>105</v>
          </cell>
          <cell r="CJ14">
            <v>95</v>
          </cell>
          <cell r="CK14">
            <v>100</v>
          </cell>
          <cell r="CL14">
            <v>92</v>
          </cell>
          <cell r="CM14">
            <v>104</v>
          </cell>
          <cell r="CN14">
            <v>119</v>
          </cell>
          <cell r="CO14">
            <v>105</v>
          </cell>
          <cell r="CP14">
            <v>90</v>
          </cell>
          <cell r="CQ14">
            <v>83</v>
          </cell>
          <cell r="CR14">
            <v>108</v>
          </cell>
          <cell r="CS14">
            <v>69</v>
          </cell>
          <cell r="CT14">
            <v>98</v>
          </cell>
          <cell r="CU14">
            <v>83</v>
          </cell>
          <cell r="CV14">
            <v>93</v>
          </cell>
          <cell r="CW14">
            <v>105</v>
          </cell>
          <cell r="CX14">
            <v>105</v>
          </cell>
          <cell r="CY14">
            <v>104</v>
          </cell>
          <cell r="CZ14">
            <v>115</v>
          </cell>
          <cell r="DA14">
            <v>122</v>
          </cell>
          <cell r="DB14">
            <v>126</v>
          </cell>
          <cell r="DC14">
            <v>113</v>
          </cell>
          <cell r="DD14">
            <v>114</v>
          </cell>
          <cell r="DE14">
            <v>87</v>
          </cell>
          <cell r="DF14">
            <v>145</v>
          </cell>
          <cell r="DG14">
            <v>111</v>
          </cell>
          <cell r="DH14">
            <v>133</v>
          </cell>
          <cell r="DI14">
            <v>126</v>
          </cell>
          <cell r="DJ14">
            <v>97</v>
          </cell>
          <cell r="DK14">
            <v>76</v>
          </cell>
          <cell r="DL14">
            <v>108</v>
          </cell>
          <cell r="DM14">
            <v>107</v>
          </cell>
          <cell r="DN14">
            <v>72</v>
          </cell>
          <cell r="DO14">
            <v>131</v>
          </cell>
          <cell r="DP14">
            <v>93</v>
          </cell>
          <cell r="DQ14">
            <v>107</v>
          </cell>
          <cell r="DR14">
            <v>116</v>
          </cell>
          <cell r="DS14">
            <v>88</v>
          </cell>
          <cell r="DT14">
            <v>101</v>
          </cell>
          <cell r="DU14">
            <v>112</v>
          </cell>
          <cell r="DV14">
            <v>116</v>
          </cell>
          <cell r="DW14">
            <v>94</v>
          </cell>
          <cell r="DX14">
            <v>124</v>
          </cell>
          <cell r="DY14">
            <v>133</v>
          </cell>
          <cell r="DZ14">
            <v>115</v>
          </cell>
          <cell r="EA14">
            <v>126</v>
          </cell>
          <cell r="EB14">
            <v>117</v>
          </cell>
          <cell r="EC14">
            <v>113</v>
          </cell>
          <cell r="ED14">
            <v>68</v>
          </cell>
          <cell r="EE14">
            <v>41</v>
          </cell>
          <cell r="EF14">
            <v>75</v>
          </cell>
          <cell r="EG14">
            <v>84</v>
          </cell>
          <cell r="EH14">
            <v>68</v>
          </cell>
          <cell r="EI14">
            <v>80</v>
          </cell>
          <cell r="EJ14">
            <v>69</v>
          </cell>
          <cell r="EK14">
            <v>79</v>
          </cell>
          <cell r="EL14">
            <v>101</v>
          </cell>
          <cell r="EM14">
            <v>100</v>
          </cell>
          <cell r="EN14">
            <v>91</v>
          </cell>
          <cell r="EO14">
            <v>91</v>
          </cell>
          <cell r="EP14">
            <v>98</v>
          </cell>
          <cell r="EQ14">
            <v>72</v>
          </cell>
          <cell r="ER14">
            <v>83</v>
          </cell>
          <cell r="ES14">
            <v>94</v>
          </cell>
          <cell r="ET14">
            <v>70</v>
          </cell>
          <cell r="EU14">
            <v>118</v>
          </cell>
          <cell r="EV14">
            <v>101</v>
          </cell>
          <cell r="EW14">
            <v>95</v>
          </cell>
          <cell r="EX14">
            <v>85</v>
          </cell>
          <cell r="EY14">
            <v>114</v>
          </cell>
          <cell r="EZ14">
            <v>72</v>
          </cell>
          <cell r="FA14">
            <v>90</v>
          </cell>
          <cell r="FB14">
            <v>90</v>
          </cell>
          <cell r="FC14">
            <v>140</v>
          </cell>
          <cell r="FD14">
            <v>111</v>
          </cell>
          <cell r="FE14">
            <v>85</v>
          </cell>
          <cell r="FF14">
            <v>116</v>
          </cell>
          <cell r="FG14">
            <v>107</v>
          </cell>
          <cell r="FH14">
            <v>89</v>
          </cell>
          <cell r="FI14">
            <v>132</v>
          </cell>
          <cell r="FJ14">
            <v>112</v>
          </cell>
          <cell r="FK14">
            <v>87</v>
          </cell>
          <cell r="FL14">
            <v>108</v>
          </cell>
          <cell r="FM14">
            <v>116</v>
          </cell>
          <cell r="FN14">
            <v>109</v>
          </cell>
          <cell r="FO14">
            <v>98</v>
          </cell>
          <cell r="FP14">
            <v>92</v>
          </cell>
          <cell r="FQ14">
            <v>99</v>
          </cell>
          <cell r="FR14">
            <v>103</v>
          </cell>
          <cell r="FS14">
            <v>109</v>
          </cell>
          <cell r="FT14">
            <v>108</v>
          </cell>
          <cell r="FU14">
            <v>81</v>
          </cell>
          <cell r="FV14">
            <v>107</v>
          </cell>
          <cell r="FW14">
            <v>98</v>
          </cell>
          <cell r="FX14">
            <v>85</v>
          </cell>
          <cell r="FY14">
            <v>96</v>
          </cell>
          <cell r="FZ14">
            <v>58</v>
          </cell>
          <cell r="GA14">
            <v>93</v>
          </cell>
          <cell r="GB14">
            <v>95</v>
          </cell>
          <cell r="GC14">
            <v>86</v>
          </cell>
          <cell r="GD14">
            <v>90</v>
          </cell>
          <cell r="GE14">
            <v>68</v>
          </cell>
          <cell r="GF14">
            <v>92</v>
          </cell>
          <cell r="GG14">
            <v>101</v>
          </cell>
          <cell r="GH14">
            <v>104</v>
          </cell>
          <cell r="GI14">
            <v>123</v>
          </cell>
          <cell r="GJ14">
            <v>98</v>
          </cell>
          <cell r="GK14">
            <v>70</v>
          </cell>
          <cell r="GL14">
            <v>96</v>
          </cell>
          <cell r="GM14">
            <v>98</v>
          </cell>
          <cell r="GN14">
            <v>109</v>
          </cell>
        </row>
        <row r="15">
          <cell r="B15" t="str">
            <v>BARACLUDE</v>
          </cell>
          <cell r="C15" t="str">
            <v>BMP</v>
          </cell>
          <cell r="D15">
            <v>414</v>
          </cell>
          <cell r="E15">
            <v>348</v>
          </cell>
          <cell r="F15">
            <v>402</v>
          </cell>
          <cell r="G15">
            <v>425</v>
          </cell>
          <cell r="H15">
            <v>390</v>
          </cell>
          <cell r="I15">
            <v>381</v>
          </cell>
          <cell r="J15">
            <v>438</v>
          </cell>
          <cell r="K15">
            <v>415</v>
          </cell>
          <cell r="L15">
            <v>449</v>
          </cell>
          <cell r="M15">
            <v>423</v>
          </cell>
          <cell r="N15">
            <v>339</v>
          </cell>
          <cell r="O15">
            <v>460</v>
          </cell>
          <cell r="P15">
            <v>400</v>
          </cell>
          <cell r="Q15">
            <v>438</v>
          </cell>
          <cell r="R15">
            <v>403</v>
          </cell>
          <cell r="S15">
            <v>518</v>
          </cell>
          <cell r="T15">
            <v>455</v>
          </cell>
          <cell r="U15">
            <v>445</v>
          </cell>
          <cell r="V15">
            <v>459</v>
          </cell>
          <cell r="W15">
            <v>478</v>
          </cell>
          <cell r="X15">
            <v>500</v>
          </cell>
          <cell r="Y15">
            <v>406</v>
          </cell>
          <cell r="Z15">
            <v>499</v>
          </cell>
          <cell r="AA15">
            <v>496</v>
          </cell>
          <cell r="AB15">
            <v>490</v>
          </cell>
          <cell r="AC15">
            <v>493</v>
          </cell>
          <cell r="AD15">
            <v>438</v>
          </cell>
          <cell r="AE15">
            <v>446</v>
          </cell>
          <cell r="AF15">
            <v>486</v>
          </cell>
          <cell r="AG15">
            <v>497</v>
          </cell>
          <cell r="AH15">
            <v>519</v>
          </cell>
          <cell r="AI15">
            <v>544</v>
          </cell>
          <cell r="AJ15">
            <v>528</v>
          </cell>
          <cell r="AK15">
            <v>519</v>
          </cell>
          <cell r="AL15">
            <v>491</v>
          </cell>
          <cell r="AM15">
            <v>537</v>
          </cell>
          <cell r="AN15">
            <v>515</v>
          </cell>
          <cell r="AO15">
            <v>575</v>
          </cell>
          <cell r="AP15">
            <v>523</v>
          </cell>
          <cell r="AQ15">
            <v>591</v>
          </cell>
          <cell r="AR15">
            <v>531</v>
          </cell>
          <cell r="AS15">
            <v>569</v>
          </cell>
          <cell r="AT15">
            <v>563</v>
          </cell>
          <cell r="AU15">
            <v>565</v>
          </cell>
          <cell r="AV15">
            <v>596</v>
          </cell>
          <cell r="AW15">
            <v>594</v>
          </cell>
          <cell r="AX15">
            <v>553</v>
          </cell>
          <cell r="AY15">
            <v>600</v>
          </cell>
          <cell r="AZ15">
            <v>522</v>
          </cell>
          <cell r="BA15">
            <v>565</v>
          </cell>
          <cell r="BB15">
            <v>654</v>
          </cell>
          <cell r="BC15">
            <v>633</v>
          </cell>
          <cell r="BD15">
            <v>618</v>
          </cell>
          <cell r="BE15">
            <v>544</v>
          </cell>
          <cell r="BF15">
            <v>664</v>
          </cell>
          <cell r="BG15">
            <v>622</v>
          </cell>
          <cell r="BH15">
            <v>608</v>
          </cell>
          <cell r="BI15">
            <v>663</v>
          </cell>
          <cell r="BJ15">
            <v>658</v>
          </cell>
          <cell r="BK15">
            <v>592</v>
          </cell>
          <cell r="BL15">
            <v>609</v>
          </cell>
          <cell r="BM15">
            <v>747</v>
          </cell>
          <cell r="BN15">
            <v>644</v>
          </cell>
          <cell r="BO15">
            <v>688</v>
          </cell>
          <cell r="BP15">
            <v>637</v>
          </cell>
          <cell r="BQ15">
            <v>690</v>
          </cell>
          <cell r="BR15">
            <v>717</v>
          </cell>
          <cell r="BS15">
            <v>708</v>
          </cell>
          <cell r="BT15">
            <v>727</v>
          </cell>
          <cell r="BU15">
            <v>756</v>
          </cell>
          <cell r="BV15">
            <v>687</v>
          </cell>
          <cell r="BW15">
            <v>678</v>
          </cell>
          <cell r="BX15">
            <v>660</v>
          </cell>
          <cell r="BY15">
            <v>579</v>
          </cell>
          <cell r="BZ15">
            <v>735</v>
          </cell>
          <cell r="CA15">
            <v>696</v>
          </cell>
          <cell r="CB15">
            <v>722</v>
          </cell>
          <cell r="CC15">
            <v>776</v>
          </cell>
          <cell r="CD15">
            <v>560</v>
          </cell>
          <cell r="CE15">
            <v>598</v>
          </cell>
          <cell r="CF15">
            <v>784</v>
          </cell>
          <cell r="CG15">
            <v>801</v>
          </cell>
          <cell r="CH15">
            <v>727</v>
          </cell>
          <cell r="CI15">
            <v>809</v>
          </cell>
          <cell r="CJ15">
            <v>756</v>
          </cell>
          <cell r="CK15">
            <v>786</v>
          </cell>
          <cell r="CL15">
            <v>762</v>
          </cell>
          <cell r="CM15">
            <v>868</v>
          </cell>
          <cell r="CN15">
            <v>858</v>
          </cell>
          <cell r="CO15">
            <v>811</v>
          </cell>
          <cell r="CP15">
            <v>773</v>
          </cell>
          <cell r="CQ15">
            <v>832</v>
          </cell>
          <cell r="CR15">
            <v>735</v>
          </cell>
          <cell r="CS15">
            <v>875</v>
          </cell>
          <cell r="CT15">
            <v>841</v>
          </cell>
          <cell r="CU15">
            <v>872</v>
          </cell>
          <cell r="CV15">
            <v>861</v>
          </cell>
          <cell r="CW15">
            <v>888</v>
          </cell>
          <cell r="CX15">
            <v>856</v>
          </cell>
          <cell r="CY15">
            <v>881</v>
          </cell>
          <cell r="CZ15">
            <v>856</v>
          </cell>
          <cell r="DA15">
            <v>890</v>
          </cell>
          <cell r="DB15">
            <v>1006</v>
          </cell>
          <cell r="DC15">
            <v>911</v>
          </cell>
          <cell r="DD15">
            <v>971</v>
          </cell>
          <cell r="DE15">
            <v>858</v>
          </cell>
          <cell r="DF15">
            <v>1012</v>
          </cell>
          <cell r="DG15">
            <v>1066</v>
          </cell>
          <cell r="DH15">
            <v>925</v>
          </cell>
          <cell r="DI15">
            <v>902</v>
          </cell>
          <cell r="DJ15">
            <v>1081</v>
          </cell>
          <cell r="DK15">
            <v>868</v>
          </cell>
          <cell r="DL15">
            <v>906</v>
          </cell>
          <cell r="DM15">
            <v>936</v>
          </cell>
          <cell r="DN15">
            <v>924</v>
          </cell>
          <cell r="DO15">
            <v>1018</v>
          </cell>
          <cell r="DP15">
            <v>969</v>
          </cell>
          <cell r="DQ15">
            <v>1056</v>
          </cell>
          <cell r="DR15">
            <v>1051</v>
          </cell>
          <cell r="DS15">
            <v>987</v>
          </cell>
          <cell r="DT15">
            <v>970</v>
          </cell>
          <cell r="DU15">
            <v>1053</v>
          </cell>
          <cell r="DV15">
            <v>995</v>
          </cell>
          <cell r="DW15">
            <v>959</v>
          </cell>
          <cell r="DX15">
            <v>1011</v>
          </cell>
          <cell r="DY15">
            <v>1016</v>
          </cell>
          <cell r="DZ15">
            <v>825</v>
          </cell>
          <cell r="EA15">
            <v>987</v>
          </cell>
          <cell r="EB15">
            <v>995</v>
          </cell>
          <cell r="EC15">
            <v>984</v>
          </cell>
          <cell r="ED15">
            <v>808</v>
          </cell>
          <cell r="EE15">
            <v>807</v>
          </cell>
          <cell r="EF15">
            <v>1029</v>
          </cell>
          <cell r="EG15">
            <v>1092</v>
          </cell>
          <cell r="EH15">
            <v>1008</v>
          </cell>
          <cell r="EI15">
            <v>981</v>
          </cell>
          <cell r="EJ15">
            <v>1029</v>
          </cell>
          <cell r="EK15">
            <v>1076</v>
          </cell>
          <cell r="EL15">
            <v>1058</v>
          </cell>
          <cell r="EM15">
            <v>983</v>
          </cell>
          <cell r="EN15">
            <v>1080</v>
          </cell>
          <cell r="EO15">
            <v>1091</v>
          </cell>
          <cell r="EP15">
            <v>1058</v>
          </cell>
          <cell r="EQ15">
            <v>1133</v>
          </cell>
          <cell r="ER15">
            <v>1034</v>
          </cell>
          <cell r="ES15">
            <v>1071</v>
          </cell>
          <cell r="ET15">
            <v>1101</v>
          </cell>
          <cell r="EU15">
            <v>1095</v>
          </cell>
          <cell r="EV15">
            <v>1127</v>
          </cell>
          <cell r="EW15">
            <v>1056</v>
          </cell>
          <cell r="EX15">
            <v>1051</v>
          </cell>
          <cell r="EY15">
            <v>994</v>
          </cell>
          <cell r="EZ15">
            <v>988</v>
          </cell>
          <cell r="FA15">
            <v>992</v>
          </cell>
          <cell r="FB15">
            <v>1049</v>
          </cell>
          <cell r="FC15">
            <v>1024</v>
          </cell>
          <cell r="FD15">
            <v>1113</v>
          </cell>
          <cell r="FE15">
            <v>963</v>
          </cell>
          <cell r="FF15">
            <v>885</v>
          </cell>
          <cell r="FG15">
            <v>928</v>
          </cell>
          <cell r="FH15">
            <v>982</v>
          </cell>
          <cell r="FI15">
            <v>1046</v>
          </cell>
          <cell r="FJ15">
            <v>1116</v>
          </cell>
          <cell r="FK15">
            <v>967</v>
          </cell>
          <cell r="FL15">
            <v>979</v>
          </cell>
          <cell r="FM15">
            <v>1045</v>
          </cell>
          <cell r="FN15">
            <v>1099</v>
          </cell>
          <cell r="FO15">
            <v>835</v>
          </cell>
          <cell r="FP15">
            <v>1026</v>
          </cell>
          <cell r="FQ15">
            <v>1071</v>
          </cell>
          <cell r="FR15">
            <v>1149</v>
          </cell>
          <cell r="FS15">
            <v>1040</v>
          </cell>
          <cell r="FT15">
            <v>989</v>
          </cell>
          <cell r="FU15">
            <v>1087</v>
          </cell>
          <cell r="FV15">
            <v>1036</v>
          </cell>
          <cell r="FW15">
            <v>1065</v>
          </cell>
          <cell r="FX15">
            <v>988</v>
          </cell>
          <cell r="FY15">
            <v>1019</v>
          </cell>
          <cell r="FZ15">
            <v>873</v>
          </cell>
          <cell r="GA15">
            <v>1158</v>
          </cell>
          <cell r="GB15">
            <v>1114</v>
          </cell>
          <cell r="GC15">
            <v>1029</v>
          </cell>
          <cell r="GD15">
            <v>939</v>
          </cell>
          <cell r="GE15">
            <v>951</v>
          </cell>
          <cell r="GF15">
            <v>1144</v>
          </cell>
          <cell r="GG15">
            <v>1144</v>
          </cell>
          <cell r="GH15">
            <v>1098</v>
          </cell>
          <cell r="GI15">
            <v>1124</v>
          </cell>
          <cell r="GJ15">
            <v>1198</v>
          </cell>
          <cell r="GK15">
            <v>1055</v>
          </cell>
          <cell r="GL15">
            <v>1010</v>
          </cell>
          <cell r="GM15">
            <v>1083</v>
          </cell>
          <cell r="GN15">
            <v>1205</v>
          </cell>
        </row>
        <row r="16">
          <cell r="B16" t="str">
            <v>BETASERON (OLD)</v>
          </cell>
          <cell r="C16" t="str">
            <v>BYH</v>
          </cell>
          <cell r="D16">
            <v>0</v>
          </cell>
          <cell r="E16">
            <v>0</v>
          </cell>
          <cell r="F16">
            <v>0</v>
          </cell>
          <cell r="G16">
            <v>0</v>
          </cell>
          <cell r="H16">
            <v>0</v>
          </cell>
          <cell r="I16">
            <v>0</v>
          </cell>
          <cell r="J16">
            <v>1</v>
          </cell>
          <cell r="K16">
            <v>5</v>
          </cell>
          <cell r="L16">
            <v>0</v>
          </cell>
          <cell r="M16">
            <v>0</v>
          </cell>
          <cell r="N16">
            <v>0</v>
          </cell>
          <cell r="O16">
            <v>0</v>
          </cell>
          <cell r="P16">
            <v>0</v>
          </cell>
          <cell r="Q16">
            <v>0</v>
          </cell>
          <cell r="R16">
            <v>0</v>
          </cell>
          <cell r="S16">
            <v>0</v>
          </cell>
          <cell r="T16">
            <v>0</v>
          </cell>
          <cell r="U16">
            <v>1</v>
          </cell>
          <cell r="V16">
            <v>0</v>
          </cell>
          <cell r="W16">
            <v>0</v>
          </cell>
          <cell r="X16">
            <v>2</v>
          </cell>
          <cell r="Y16">
            <v>0</v>
          </cell>
          <cell r="Z16">
            <v>1</v>
          </cell>
          <cell r="AA16">
            <v>0</v>
          </cell>
          <cell r="AB16">
            <v>0</v>
          </cell>
          <cell r="AC16">
            <v>2</v>
          </cell>
          <cell r="AD16">
            <v>2</v>
          </cell>
          <cell r="AE16">
            <v>0</v>
          </cell>
          <cell r="AF16">
            <v>0</v>
          </cell>
          <cell r="AG16">
            <v>0</v>
          </cell>
          <cell r="AH16">
            <v>1</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1</v>
          </cell>
          <cell r="BQ16">
            <v>0</v>
          </cell>
          <cell r="BR16">
            <v>0</v>
          </cell>
          <cell r="BS16">
            <v>0</v>
          </cell>
          <cell r="BT16">
            <v>0</v>
          </cell>
          <cell r="BU16">
            <v>0</v>
          </cell>
          <cell r="BV16">
            <v>0</v>
          </cell>
          <cell r="BW16">
            <v>0</v>
          </cell>
          <cell r="BX16">
            <v>0</v>
          </cell>
          <cell r="BY16">
            <v>0</v>
          </cell>
          <cell r="BZ16">
            <v>1</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1</v>
          </cell>
          <cell r="CU16">
            <v>0</v>
          </cell>
          <cell r="CV16">
            <v>0</v>
          </cell>
          <cell r="CW16">
            <v>0</v>
          </cell>
          <cell r="CX16">
            <v>0</v>
          </cell>
          <cell r="CY16">
            <v>0</v>
          </cell>
          <cell r="CZ16">
            <v>0</v>
          </cell>
          <cell r="DA16">
            <v>0</v>
          </cell>
          <cell r="DB16">
            <v>0</v>
          </cell>
          <cell r="DC16">
            <v>0</v>
          </cell>
          <cell r="DD16">
            <v>0</v>
          </cell>
          <cell r="DE16">
            <v>0</v>
          </cell>
          <cell r="DF16">
            <v>2</v>
          </cell>
          <cell r="DG16">
            <v>0</v>
          </cell>
          <cell r="DH16">
            <v>0</v>
          </cell>
          <cell r="DI16">
            <v>0</v>
          </cell>
          <cell r="DJ16">
            <v>1</v>
          </cell>
          <cell r="DK16">
            <v>0</v>
          </cell>
          <cell r="DL16">
            <v>0</v>
          </cell>
          <cell r="DM16">
            <v>1</v>
          </cell>
          <cell r="DN16">
            <v>0</v>
          </cell>
          <cell r="DO16">
            <v>0</v>
          </cell>
          <cell r="DP16">
            <v>0</v>
          </cell>
          <cell r="DQ16">
            <v>0</v>
          </cell>
          <cell r="DR16">
            <v>0</v>
          </cell>
          <cell r="DS16">
            <v>0</v>
          </cell>
          <cell r="DT16">
            <v>0</v>
          </cell>
          <cell r="DU16">
            <v>0</v>
          </cell>
          <cell r="DV16">
            <v>0</v>
          </cell>
          <cell r="DW16">
            <v>0</v>
          </cell>
          <cell r="DX16">
            <v>0</v>
          </cell>
          <cell r="DY16">
            <v>0</v>
          </cell>
          <cell r="DZ16">
            <v>0</v>
          </cell>
          <cell r="EG16">
            <v>2</v>
          </cell>
          <cell r="FK16">
            <v>1</v>
          </cell>
          <cell r="FY16">
            <v>0</v>
          </cell>
        </row>
        <row r="17">
          <cell r="B17" t="str">
            <v>BETASERON</v>
          </cell>
          <cell r="C17" t="str">
            <v>BYH</v>
          </cell>
          <cell r="D17">
            <v>1525</v>
          </cell>
          <cell r="E17">
            <v>1192</v>
          </cell>
          <cell r="F17">
            <v>1576</v>
          </cell>
          <cell r="G17">
            <v>1541</v>
          </cell>
          <cell r="H17">
            <v>1509</v>
          </cell>
          <cell r="I17">
            <v>1458</v>
          </cell>
          <cell r="J17">
            <v>1436</v>
          </cell>
          <cell r="K17">
            <v>1477</v>
          </cell>
          <cell r="L17">
            <v>1497</v>
          </cell>
          <cell r="M17">
            <v>1617</v>
          </cell>
          <cell r="N17">
            <v>1319</v>
          </cell>
          <cell r="O17">
            <v>1430</v>
          </cell>
          <cell r="P17">
            <v>1518</v>
          </cell>
          <cell r="Q17">
            <v>1502</v>
          </cell>
          <cell r="R17">
            <v>1602</v>
          </cell>
          <cell r="S17">
            <v>1448</v>
          </cell>
          <cell r="T17">
            <v>1456</v>
          </cell>
          <cell r="U17">
            <v>1631</v>
          </cell>
          <cell r="V17">
            <v>1497</v>
          </cell>
          <cell r="W17">
            <v>1622</v>
          </cell>
          <cell r="X17">
            <v>1533</v>
          </cell>
          <cell r="Y17">
            <v>1135</v>
          </cell>
          <cell r="Z17">
            <v>1666</v>
          </cell>
          <cell r="AA17">
            <v>1579</v>
          </cell>
          <cell r="AB17">
            <v>1632</v>
          </cell>
          <cell r="AC17">
            <v>1601</v>
          </cell>
          <cell r="AD17">
            <v>1258</v>
          </cell>
          <cell r="AE17">
            <v>1350</v>
          </cell>
          <cell r="AF17">
            <v>1615</v>
          </cell>
          <cell r="AG17">
            <v>1666</v>
          </cell>
          <cell r="AH17">
            <v>1725</v>
          </cell>
          <cell r="AI17">
            <v>1760</v>
          </cell>
          <cell r="AJ17">
            <v>1748</v>
          </cell>
          <cell r="AK17">
            <v>1618</v>
          </cell>
          <cell r="AL17">
            <v>1534</v>
          </cell>
          <cell r="AM17">
            <v>1644</v>
          </cell>
          <cell r="AN17">
            <v>1539</v>
          </cell>
          <cell r="AO17">
            <v>1622</v>
          </cell>
          <cell r="AP17">
            <v>1551</v>
          </cell>
          <cell r="AQ17">
            <v>1530</v>
          </cell>
          <cell r="AR17">
            <v>1407</v>
          </cell>
          <cell r="AS17">
            <v>1407</v>
          </cell>
          <cell r="AT17">
            <v>1416</v>
          </cell>
          <cell r="AU17">
            <v>1566</v>
          </cell>
          <cell r="AV17">
            <v>1397</v>
          </cell>
          <cell r="AW17">
            <v>1544</v>
          </cell>
          <cell r="AX17">
            <v>1362</v>
          </cell>
          <cell r="AY17">
            <v>1642</v>
          </cell>
          <cell r="AZ17">
            <v>1200</v>
          </cell>
          <cell r="BA17">
            <v>1761</v>
          </cell>
          <cell r="BB17">
            <v>1656</v>
          </cell>
          <cell r="BC17">
            <v>1558</v>
          </cell>
          <cell r="BD17">
            <v>1572</v>
          </cell>
          <cell r="BE17">
            <v>1325</v>
          </cell>
          <cell r="BF17">
            <v>1688</v>
          </cell>
          <cell r="BG17">
            <v>1630</v>
          </cell>
          <cell r="BH17">
            <v>1561</v>
          </cell>
          <cell r="BI17">
            <v>1558</v>
          </cell>
          <cell r="BJ17">
            <v>1705</v>
          </cell>
          <cell r="BK17">
            <v>1524</v>
          </cell>
          <cell r="BL17">
            <v>1533</v>
          </cell>
          <cell r="BM17">
            <v>1765</v>
          </cell>
          <cell r="BN17">
            <v>1332</v>
          </cell>
          <cell r="BO17">
            <v>1476</v>
          </cell>
          <cell r="BP17">
            <v>1567</v>
          </cell>
          <cell r="BQ17">
            <v>1640</v>
          </cell>
          <cell r="BR17">
            <v>1623</v>
          </cell>
          <cell r="BS17">
            <v>1351</v>
          </cell>
          <cell r="BT17">
            <v>1525</v>
          </cell>
          <cell r="BU17">
            <v>1316</v>
          </cell>
          <cell r="BV17">
            <v>1315</v>
          </cell>
          <cell r="BW17">
            <v>1435</v>
          </cell>
          <cell r="BX17">
            <v>1389</v>
          </cell>
          <cell r="BY17">
            <v>930</v>
          </cell>
          <cell r="BZ17">
            <v>1445</v>
          </cell>
          <cell r="CA17">
            <v>1278</v>
          </cell>
          <cell r="CB17">
            <v>1350</v>
          </cell>
          <cell r="CC17">
            <v>1337</v>
          </cell>
          <cell r="CD17">
            <v>967</v>
          </cell>
          <cell r="CE17">
            <v>1076</v>
          </cell>
          <cell r="CF17">
            <v>1256</v>
          </cell>
          <cell r="CG17">
            <v>1313</v>
          </cell>
          <cell r="CH17">
            <v>1261</v>
          </cell>
          <cell r="CI17">
            <v>1408</v>
          </cell>
          <cell r="CJ17">
            <v>1266</v>
          </cell>
          <cell r="CK17">
            <v>1258</v>
          </cell>
          <cell r="CL17">
            <v>1575</v>
          </cell>
          <cell r="CM17">
            <v>1715</v>
          </cell>
          <cell r="CN17">
            <v>1414</v>
          </cell>
          <cell r="CO17">
            <v>1423</v>
          </cell>
          <cell r="CP17">
            <v>1302</v>
          </cell>
          <cell r="CQ17">
            <v>1459</v>
          </cell>
          <cell r="CR17">
            <v>1351</v>
          </cell>
          <cell r="CS17">
            <v>1319</v>
          </cell>
          <cell r="CT17">
            <v>1245</v>
          </cell>
          <cell r="CU17">
            <v>1270</v>
          </cell>
          <cell r="CV17">
            <v>1398</v>
          </cell>
          <cell r="CW17">
            <v>1267</v>
          </cell>
          <cell r="CX17">
            <v>1300</v>
          </cell>
          <cell r="CY17">
            <v>1313</v>
          </cell>
          <cell r="CZ17">
            <v>1233</v>
          </cell>
          <cell r="DA17">
            <v>1469</v>
          </cell>
          <cell r="DB17">
            <v>1242</v>
          </cell>
          <cell r="DC17">
            <v>1307</v>
          </cell>
          <cell r="DD17">
            <v>1332</v>
          </cell>
          <cell r="DE17">
            <v>1209</v>
          </cell>
          <cell r="DF17">
            <v>1419</v>
          </cell>
          <cell r="DG17">
            <v>1488</v>
          </cell>
          <cell r="DH17">
            <v>1432</v>
          </cell>
          <cell r="DI17">
            <v>1538</v>
          </cell>
          <cell r="DJ17">
            <v>1345</v>
          </cell>
          <cell r="DK17">
            <v>1346</v>
          </cell>
          <cell r="DL17">
            <v>1336</v>
          </cell>
          <cell r="DM17">
            <v>1560</v>
          </cell>
          <cell r="DN17">
            <v>1112</v>
          </cell>
          <cell r="DO17">
            <v>1301</v>
          </cell>
          <cell r="DP17">
            <v>1217</v>
          </cell>
          <cell r="DQ17">
            <v>1289</v>
          </cell>
          <cell r="DR17">
            <v>1253</v>
          </cell>
          <cell r="DS17">
            <v>1190</v>
          </cell>
          <cell r="DT17">
            <v>1248</v>
          </cell>
          <cell r="DU17">
            <v>1283</v>
          </cell>
          <cell r="DV17">
            <v>1350</v>
          </cell>
          <cell r="DW17">
            <v>1898</v>
          </cell>
          <cell r="DX17">
            <v>2432</v>
          </cell>
          <cell r="DY17">
            <v>2751</v>
          </cell>
          <cell r="DZ17">
            <v>1934</v>
          </cell>
          <cell r="EA17">
            <v>2751</v>
          </cell>
          <cell r="EB17">
            <v>2254</v>
          </cell>
          <cell r="EC17">
            <v>2090</v>
          </cell>
          <cell r="ED17">
            <v>1322</v>
          </cell>
          <cell r="EE17">
            <v>1373</v>
          </cell>
          <cell r="EF17">
            <v>1655</v>
          </cell>
          <cell r="EG17">
            <v>1599</v>
          </cell>
          <cell r="EH17">
            <v>1614</v>
          </cell>
          <cell r="EI17">
            <v>1537</v>
          </cell>
          <cell r="EJ17">
            <v>1537</v>
          </cell>
          <cell r="EK17">
            <v>1481</v>
          </cell>
          <cell r="EL17">
            <v>1388</v>
          </cell>
          <cell r="EM17">
            <v>1284</v>
          </cell>
          <cell r="EN17">
            <v>1435</v>
          </cell>
          <cell r="EO17">
            <v>1558</v>
          </cell>
          <cell r="EP17">
            <v>1580</v>
          </cell>
          <cell r="EQ17">
            <v>1541</v>
          </cell>
          <cell r="ER17">
            <v>1413</v>
          </cell>
          <cell r="ES17">
            <v>1413</v>
          </cell>
          <cell r="ET17">
            <v>1292</v>
          </cell>
          <cell r="EU17">
            <v>1328</v>
          </cell>
          <cell r="EV17">
            <v>1380</v>
          </cell>
          <cell r="EW17">
            <v>1220</v>
          </cell>
          <cell r="EX17">
            <v>1323</v>
          </cell>
          <cell r="EY17">
            <v>1340</v>
          </cell>
          <cell r="EZ17">
            <v>1148</v>
          </cell>
          <cell r="FA17">
            <v>1203</v>
          </cell>
          <cell r="FB17">
            <v>1177</v>
          </cell>
          <cell r="FC17">
            <v>1175</v>
          </cell>
          <cell r="FD17">
            <v>1182</v>
          </cell>
          <cell r="FE17">
            <v>986</v>
          </cell>
          <cell r="FF17">
            <v>1031</v>
          </cell>
          <cell r="FG17">
            <v>1076</v>
          </cell>
          <cell r="FH17">
            <v>1061</v>
          </cell>
          <cell r="FI17">
            <v>1162</v>
          </cell>
          <cell r="FJ17">
            <v>1142</v>
          </cell>
          <cell r="FK17">
            <v>1147</v>
          </cell>
          <cell r="FL17">
            <v>1084</v>
          </cell>
          <cell r="FM17">
            <v>1186</v>
          </cell>
          <cell r="FN17">
            <v>1110</v>
          </cell>
          <cell r="FO17">
            <v>917</v>
          </cell>
          <cell r="FP17">
            <v>1048</v>
          </cell>
          <cell r="FQ17">
            <v>1142</v>
          </cell>
          <cell r="FR17">
            <v>1028</v>
          </cell>
          <cell r="FS17">
            <v>1021</v>
          </cell>
          <cell r="FT17">
            <v>973</v>
          </cell>
          <cell r="FU17">
            <v>1017</v>
          </cell>
          <cell r="FV17">
            <v>1177</v>
          </cell>
          <cell r="FW17">
            <v>1099</v>
          </cell>
          <cell r="FX17">
            <v>1121</v>
          </cell>
          <cell r="FY17">
            <v>1243</v>
          </cell>
          <cell r="FZ17">
            <v>971</v>
          </cell>
          <cell r="GA17">
            <v>1333</v>
          </cell>
          <cell r="GB17">
            <v>1251</v>
          </cell>
          <cell r="GC17">
            <v>1116</v>
          </cell>
          <cell r="GD17">
            <v>942</v>
          </cell>
          <cell r="GE17">
            <v>1000</v>
          </cell>
          <cell r="GF17">
            <v>1056</v>
          </cell>
          <cell r="GG17">
            <v>1158</v>
          </cell>
          <cell r="GH17">
            <v>1194</v>
          </cell>
          <cell r="GI17">
            <v>1156</v>
          </cell>
          <cell r="GJ17">
            <v>1185</v>
          </cell>
          <cell r="GK17">
            <v>1136</v>
          </cell>
          <cell r="GL17">
            <v>1250</v>
          </cell>
          <cell r="GM17">
            <v>1249</v>
          </cell>
          <cell r="GN17">
            <v>1088</v>
          </cell>
        </row>
        <row r="18">
          <cell r="B18" t="str">
            <v>CALCIUM ACE</v>
          </cell>
          <cell r="C18" t="str">
            <v>ROX</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28</v>
          </cell>
          <cell r="DU18">
            <v>2454</v>
          </cell>
          <cell r="DV18">
            <v>9967</v>
          </cell>
          <cell r="DW18">
            <v>12177</v>
          </cell>
          <cell r="DX18">
            <v>8034</v>
          </cell>
          <cell r="DY18">
            <v>8147</v>
          </cell>
          <cell r="DZ18">
            <v>6628</v>
          </cell>
          <cell r="EA18">
            <v>7441</v>
          </cell>
          <cell r="EB18">
            <v>7061</v>
          </cell>
          <cell r="EC18">
            <v>6590</v>
          </cell>
          <cell r="ED18">
            <v>5263</v>
          </cell>
          <cell r="EE18">
            <v>5562</v>
          </cell>
          <cell r="EF18">
            <v>6379</v>
          </cell>
          <cell r="EG18">
            <v>6500</v>
          </cell>
          <cell r="EH18">
            <v>6627</v>
          </cell>
          <cell r="EI18">
            <v>6502</v>
          </cell>
          <cell r="EJ18">
            <v>6949</v>
          </cell>
          <cell r="EK18">
            <v>6781</v>
          </cell>
          <cell r="EL18">
            <v>6380</v>
          </cell>
          <cell r="EM18">
            <v>6235</v>
          </cell>
          <cell r="EN18">
            <v>6510</v>
          </cell>
          <cell r="EO18">
            <v>6472</v>
          </cell>
          <cell r="EP18">
            <v>6415</v>
          </cell>
          <cell r="EQ18">
            <v>6493</v>
          </cell>
          <cell r="ER18">
            <v>6046</v>
          </cell>
          <cell r="ES18">
            <v>6084</v>
          </cell>
          <cell r="ET18">
            <v>6076</v>
          </cell>
          <cell r="EU18">
            <v>6379</v>
          </cell>
          <cell r="EV18">
            <v>6474</v>
          </cell>
          <cell r="EW18">
            <v>6438</v>
          </cell>
          <cell r="EX18">
            <v>6557</v>
          </cell>
          <cell r="EY18">
            <v>6585</v>
          </cell>
          <cell r="EZ18">
            <v>6149</v>
          </cell>
          <cell r="FA18">
            <v>6838</v>
          </cell>
          <cell r="FB18">
            <v>6445</v>
          </cell>
          <cell r="FC18">
            <v>6541</v>
          </cell>
          <cell r="FD18">
            <v>6361</v>
          </cell>
          <cell r="FE18">
            <v>6385</v>
          </cell>
          <cell r="FF18">
            <v>5642</v>
          </cell>
          <cell r="FG18">
            <v>6111</v>
          </cell>
          <cell r="FH18">
            <v>5882</v>
          </cell>
          <cell r="FI18">
            <v>6216</v>
          </cell>
          <cell r="FJ18">
            <v>6602</v>
          </cell>
          <cell r="FK18">
            <v>6363</v>
          </cell>
          <cell r="FL18">
            <v>6332</v>
          </cell>
          <cell r="FM18">
            <v>6456</v>
          </cell>
          <cell r="FN18">
            <v>6753</v>
          </cell>
          <cell r="FO18">
            <v>5843</v>
          </cell>
          <cell r="FP18">
            <v>6466</v>
          </cell>
          <cell r="FQ18">
            <v>6483</v>
          </cell>
          <cell r="FR18">
            <v>6495</v>
          </cell>
          <cell r="FS18">
            <v>6226</v>
          </cell>
          <cell r="FT18">
            <v>6245</v>
          </cell>
          <cell r="FU18">
            <v>6456</v>
          </cell>
          <cell r="FV18">
            <v>6265</v>
          </cell>
          <cell r="FW18">
            <v>6621</v>
          </cell>
          <cell r="FX18">
            <v>6168</v>
          </cell>
          <cell r="FY18">
            <v>5967</v>
          </cell>
          <cell r="FZ18">
            <v>5208</v>
          </cell>
          <cell r="GA18">
            <v>5916</v>
          </cell>
          <cell r="GB18">
            <v>5354</v>
          </cell>
          <cell r="GC18">
            <v>5501</v>
          </cell>
          <cell r="GD18">
            <v>4450</v>
          </cell>
          <cell r="GE18">
            <v>4615</v>
          </cell>
          <cell r="GF18">
            <v>5108</v>
          </cell>
          <cell r="GG18">
            <v>5132</v>
          </cell>
          <cell r="GH18">
            <v>5114</v>
          </cell>
          <cell r="GI18">
            <v>5081</v>
          </cell>
          <cell r="GJ18">
            <v>5087</v>
          </cell>
          <cell r="GK18">
            <v>4807</v>
          </cell>
          <cell r="GL18">
            <v>4938</v>
          </cell>
          <cell r="GM18">
            <v>4977</v>
          </cell>
          <cell r="GN18">
            <v>5195</v>
          </cell>
        </row>
        <row r="19">
          <cell r="B19" t="str">
            <v>CALCITRIOL</v>
          </cell>
          <cell r="C19" t="str">
            <v>TEV</v>
          </cell>
          <cell r="D19">
            <v>7440</v>
          </cell>
          <cell r="E19">
            <v>6548</v>
          </cell>
          <cell r="F19">
            <v>7241</v>
          </cell>
          <cell r="G19">
            <v>6834</v>
          </cell>
          <cell r="H19">
            <v>6989</v>
          </cell>
          <cell r="I19">
            <v>7292</v>
          </cell>
          <cell r="J19">
            <v>7038</v>
          </cell>
          <cell r="K19">
            <v>7059</v>
          </cell>
          <cell r="L19">
            <v>7105</v>
          </cell>
          <cell r="M19">
            <v>7297</v>
          </cell>
          <cell r="N19">
            <v>6470</v>
          </cell>
          <cell r="O19">
            <v>7277</v>
          </cell>
          <cell r="P19">
            <v>7385</v>
          </cell>
          <cell r="Q19">
            <v>7304</v>
          </cell>
          <cell r="R19">
            <v>7651</v>
          </cell>
          <cell r="S19">
            <v>7270</v>
          </cell>
          <cell r="T19">
            <v>7070</v>
          </cell>
          <cell r="U19">
            <v>7312</v>
          </cell>
          <cell r="V19">
            <v>7327</v>
          </cell>
          <cell r="W19">
            <v>7586</v>
          </cell>
          <cell r="X19">
            <v>7186</v>
          </cell>
          <cell r="Y19">
            <v>6211</v>
          </cell>
          <cell r="Z19">
            <v>7348</v>
          </cell>
          <cell r="AA19">
            <v>7664</v>
          </cell>
          <cell r="AB19">
            <v>7627</v>
          </cell>
          <cell r="AC19">
            <v>7628</v>
          </cell>
          <cell r="AD19">
            <v>5844</v>
          </cell>
          <cell r="AE19">
            <v>6832</v>
          </cell>
          <cell r="AF19">
            <v>7546</v>
          </cell>
          <cell r="AG19">
            <v>7536</v>
          </cell>
          <cell r="AH19">
            <v>7585</v>
          </cell>
          <cell r="AI19">
            <v>7727</v>
          </cell>
          <cell r="AJ19">
            <v>8155</v>
          </cell>
          <cell r="AK19">
            <v>7568</v>
          </cell>
          <cell r="AL19">
            <v>7488</v>
          </cell>
          <cell r="AM19">
            <v>7987</v>
          </cell>
          <cell r="AN19">
            <v>8084</v>
          </cell>
          <cell r="AO19">
            <v>7549</v>
          </cell>
          <cell r="AP19">
            <v>7770</v>
          </cell>
          <cell r="AQ19">
            <v>7557</v>
          </cell>
          <cell r="AR19">
            <v>7823</v>
          </cell>
          <cell r="AS19">
            <v>7440</v>
          </cell>
          <cell r="AT19">
            <v>7546</v>
          </cell>
          <cell r="AU19">
            <v>7792</v>
          </cell>
          <cell r="AV19">
            <v>7895</v>
          </cell>
          <cell r="AW19">
            <v>7994</v>
          </cell>
          <cell r="AX19">
            <v>7484</v>
          </cell>
          <cell r="AY19">
            <v>7812</v>
          </cell>
          <cell r="AZ19">
            <v>6977</v>
          </cell>
          <cell r="BA19">
            <v>8072</v>
          </cell>
          <cell r="BB19">
            <v>7773</v>
          </cell>
          <cell r="BC19">
            <v>7540</v>
          </cell>
          <cell r="BD19">
            <v>7777</v>
          </cell>
          <cell r="BE19">
            <v>7192</v>
          </cell>
          <cell r="BF19">
            <v>7771</v>
          </cell>
          <cell r="BG19">
            <v>7485</v>
          </cell>
          <cell r="BH19">
            <v>7551</v>
          </cell>
          <cell r="BI19">
            <v>7829</v>
          </cell>
          <cell r="BJ19">
            <v>7669</v>
          </cell>
          <cell r="BK19">
            <v>7409</v>
          </cell>
          <cell r="BL19">
            <v>7486</v>
          </cell>
          <cell r="BM19">
            <v>7768</v>
          </cell>
          <cell r="BN19">
            <v>7120</v>
          </cell>
          <cell r="BO19">
            <v>7690</v>
          </cell>
          <cell r="BP19">
            <v>7702</v>
          </cell>
          <cell r="BQ19">
            <v>7674</v>
          </cell>
          <cell r="BR19">
            <v>7986</v>
          </cell>
          <cell r="BS19">
            <v>7690</v>
          </cell>
          <cell r="BT19">
            <v>8102</v>
          </cell>
          <cell r="BU19">
            <v>7885</v>
          </cell>
          <cell r="BV19">
            <v>8140</v>
          </cell>
          <cell r="BW19">
            <v>8270</v>
          </cell>
          <cell r="BX19">
            <v>8233</v>
          </cell>
          <cell r="BY19">
            <v>6876</v>
          </cell>
          <cell r="BZ19">
            <v>8463</v>
          </cell>
          <cell r="CA19">
            <v>8430</v>
          </cell>
          <cell r="CB19">
            <v>8327</v>
          </cell>
          <cell r="CC19">
            <v>8908</v>
          </cell>
          <cell r="CD19">
            <v>6532</v>
          </cell>
          <cell r="CE19">
            <v>7091</v>
          </cell>
          <cell r="CF19">
            <v>8718</v>
          </cell>
          <cell r="CG19">
            <v>8701</v>
          </cell>
          <cell r="CH19">
            <v>8789</v>
          </cell>
          <cell r="CI19">
            <v>8930</v>
          </cell>
          <cell r="CJ19">
            <v>9298</v>
          </cell>
          <cell r="CK19">
            <v>9278</v>
          </cell>
          <cell r="CL19">
            <v>8759</v>
          </cell>
          <cell r="CM19">
            <v>9067</v>
          </cell>
          <cell r="CN19">
            <v>9057</v>
          </cell>
          <cell r="CO19">
            <v>8996</v>
          </cell>
          <cell r="CP19">
            <v>8889</v>
          </cell>
          <cell r="CQ19">
            <v>8854</v>
          </cell>
          <cell r="CR19">
            <v>8878</v>
          </cell>
          <cell r="CS19">
            <v>8876</v>
          </cell>
          <cell r="CT19">
            <v>9027</v>
          </cell>
          <cell r="CU19">
            <v>8543</v>
          </cell>
          <cell r="CV19">
            <v>8904</v>
          </cell>
          <cell r="CW19">
            <v>9011</v>
          </cell>
          <cell r="CX19">
            <v>8833</v>
          </cell>
          <cell r="CY19">
            <v>8874</v>
          </cell>
          <cell r="CZ19">
            <v>8056</v>
          </cell>
          <cell r="DA19">
            <v>9075</v>
          </cell>
          <cell r="DB19">
            <v>8853</v>
          </cell>
          <cell r="DC19">
            <v>8886</v>
          </cell>
          <cell r="DD19">
            <v>9150</v>
          </cell>
          <cell r="DE19">
            <v>8284</v>
          </cell>
          <cell r="DF19">
            <v>9038</v>
          </cell>
          <cell r="DG19">
            <v>8983</v>
          </cell>
          <cell r="DH19">
            <v>8936</v>
          </cell>
          <cell r="DI19">
            <v>9026</v>
          </cell>
          <cell r="DJ19">
            <v>8944</v>
          </cell>
          <cell r="DK19">
            <v>8927</v>
          </cell>
          <cell r="DL19">
            <v>8715</v>
          </cell>
          <cell r="DM19">
            <v>8855</v>
          </cell>
          <cell r="DN19">
            <v>8415</v>
          </cell>
          <cell r="DO19">
            <v>8988</v>
          </cell>
          <cell r="DP19">
            <v>9212</v>
          </cell>
          <cell r="DQ19">
            <v>8794</v>
          </cell>
          <cell r="DR19">
            <v>9528</v>
          </cell>
          <cell r="DS19">
            <v>9033</v>
          </cell>
          <cell r="DT19">
            <v>8847</v>
          </cell>
          <cell r="DU19">
            <v>9010</v>
          </cell>
          <cell r="DV19">
            <v>9030</v>
          </cell>
          <cell r="DW19">
            <v>9583</v>
          </cell>
          <cell r="DX19">
            <v>9292</v>
          </cell>
          <cell r="DY19">
            <v>9280</v>
          </cell>
          <cell r="DZ19">
            <v>7817</v>
          </cell>
          <cell r="EA19">
            <v>9498</v>
          </cell>
          <cell r="EB19">
            <v>9524</v>
          </cell>
          <cell r="EC19">
            <v>9559</v>
          </cell>
          <cell r="ED19">
            <v>7273</v>
          </cell>
          <cell r="EE19">
            <v>8028</v>
          </cell>
          <cell r="EF19">
            <v>10223</v>
          </cell>
          <cell r="EG19">
            <v>9912</v>
          </cell>
          <cell r="EH19">
            <v>9900</v>
          </cell>
          <cell r="EI19">
            <v>10087</v>
          </cell>
          <cell r="EJ19">
            <v>10596</v>
          </cell>
          <cell r="EK19">
            <v>10352</v>
          </cell>
          <cell r="EL19">
            <v>10190</v>
          </cell>
          <cell r="EM19">
            <v>10275</v>
          </cell>
          <cell r="EN19">
            <v>10345</v>
          </cell>
          <cell r="EO19">
            <v>10585</v>
          </cell>
          <cell r="EP19">
            <v>10345</v>
          </cell>
          <cell r="EQ19">
            <v>10065</v>
          </cell>
          <cell r="ER19">
            <v>10249</v>
          </cell>
          <cell r="ES19">
            <v>9992</v>
          </cell>
          <cell r="ET19">
            <v>9901</v>
          </cell>
          <cell r="EU19">
            <v>9944</v>
          </cell>
          <cell r="EV19">
            <v>10210</v>
          </cell>
          <cell r="EW19">
            <v>10209</v>
          </cell>
          <cell r="EX19">
            <v>9962</v>
          </cell>
          <cell r="EY19">
            <v>10198</v>
          </cell>
          <cell r="EZ19">
            <v>9215</v>
          </cell>
          <cell r="FA19">
            <v>10595</v>
          </cell>
          <cell r="FB19">
            <v>10149</v>
          </cell>
          <cell r="FC19">
            <v>9888</v>
          </cell>
          <cell r="FD19">
            <v>9956</v>
          </cell>
          <cell r="FE19">
            <v>9760</v>
          </cell>
          <cell r="FF19">
            <v>8933</v>
          </cell>
          <cell r="FG19">
            <v>9074</v>
          </cell>
          <cell r="FH19">
            <v>8326</v>
          </cell>
          <cell r="FI19">
            <v>9498</v>
          </cell>
          <cell r="FJ19">
            <v>9930</v>
          </cell>
          <cell r="FK19">
            <v>9741</v>
          </cell>
          <cell r="FL19">
            <v>9594</v>
          </cell>
          <cell r="FM19">
            <v>9570</v>
          </cell>
          <cell r="FN19">
            <v>10113</v>
          </cell>
          <cell r="FO19">
            <v>8962</v>
          </cell>
          <cell r="FP19">
            <v>9714</v>
          </cell>
          <cell r="FQ19">
            <v>9862</v>
          </cell>
          <cell r="FR19">
            <v>10092</v>
          </cell>
          <cell r="FS19">
            <v>9913</v>
          </cell>
          <cell r="FT19">
            <v>9522</v>
          </cell>
          <cell r="FU19">
            <v>9631</v>
          </cell>
          <cell r="FV19">
            <v>9623</v>
          </cell>
          <cell r="FW19">
            <v>9998</v>
          </cell>
          <cell r="FX19">
            <v>9571</v>
          </cell>
          <cell r="FY19">
            <v>9524</v>
          </cell>
          <cell r="FZ19">
            <v>8145</v>
          </cell>
          <cell r="GA19">
            <v>10148</v>
          </cell>
          <cell r="GB19">
            <v>9200</v>
          </cell>
          <cell r="GC19">
            <v>9297</v>
          </cell>
          <cell r="GD19">
            <v>7721</v>
          </cell>
          <cell r="GE19">
            <v>7815</v>
          </cell>
          <cell r="GF19">
            <v>9440</v>
          </cell>
          <cell r="GG19">
            <v>9409</v>
          </cell>
          <cell r="GH19">
            <v>9236</v>
          </cell>
          <cell r="GI19">
            <v>9610</v>
          </cell>
          <cell r="GJ19">
            <v>10004</v>
          </cell>
          <cell r="GK19">
            <v>9015</v>
          </cell>
          <cell r="GL19">
            <v>9095</v>
          </cell>
          <cell r="GM19">
            <v>9209</v>
          </cell>
          <cell r="GN19">
            <v>9958</v>
          </cell>
        </row>
        <row r="20">
          <cell r="B20" t="str">
            <v>CALCITRIOL</v>
          </cell>
          <cell r="C20" t="str">
            <v>SI.</v>
          </cell>
          <cell r="D20">
            <v>5</v>
          </cell>
          <cell r="E20">
            <v>4</v>
          </cell>
          <cell r="F20">
            <v>4</v>
          </cell>
          <cell r="G20">
            <v>6</v>
          </cell>
          <cell r="H20">
            <v>6</v>
          </cell>
          <cell r="I20">
            <v>9</v>
          </cell>
          <cell r="J20">
            <v>7</v>
          </cell>
          <cell r="K20">
            <v>5</v>
          </cell>
          <cell r="L20">
            <v>5</v>
          </cell>
          <cell r="M20">
            <v>8</v>
          </cell>
          <cell r="N20">
            <v>1</v>
          </cell>
          <cell r="O20">
            <v>6</v>
          </cell>
          <cell r="P20">
            <v>5</v>
          </cell>
          <cell r="Q20">
            <v>3</v>
          </cell>
          <cell r="R20">
            <v>2</v>
          </cell>
          <cell r="S20">
            <v>6</v>
          </cell>
          <cell r="T20">
            <v>4</v>
          </cell>
          <cell r="U20">
            <v>5</v>
          </cell>
          <cell r="V20">
            <v>4</v>
          </cell>
          <cell r="W20">
            <v>4</v>
          </cell>
          <cell r="X20">
            <v>12</v>
          </cell>
          <cell r="Y20">
            <v>1</v>
          </cell>
          <cell r="Z20">
            <v>17</v>
          </cell>
          <cell r="AA20">
            <v>23</v>
          </cell>
          <cell r="AB20">
            <v>28</v>
          </cell>
          <cell r="AC20">
            <v>8</v>
          </cell>
          <cell r="AD20">
            <v>2</v>
          </cell>
          <cell r="AE20">
            <v>0</v>
          </cell>
          <cell r="AF20">
            <v>6</v>
          </cell>
          <cell r="AG20">
            <v>3</v>
          </cell>
          <cell r="AH20">
            <v>11</v>
          </cell>
          <cell r="AI20">
            <v>5</v>
          </cell>
          <cell r="AJ20">
            <v>11</v>
          </cell>
          <cell r="AK20">
            <v>3</v>
          </cell>
          <cell r="AL20">
            <v>13</v>
          </cell>
          <cell r="AM20">
            <v>2</v>
          </cell>
          <cell r="AN20">
            <v>14</v>
          </cell>
          <cell r="AO20">
            <v>1</v>
          </cell>
          <cell r="AP20">
            <v>9</v>
          </cell>
          <cell r="AQ20">
            <v>4</v>
          </cell>
          <cell r="AR20">
            <v>9</v>
          </cell>
          <cell r="AS20">
            <v>3</v>
          </cell>
          <cell r="AT20">
            <v>10</v>
          </cell>
          <cell r="AU20">
            <v>5</v>
          </cell>
          <cell r="AV20">
            <v>8</v>
          </cell>
          <cell r="AW20">
            <v>3</v>
          </cell>
          <cell r="AX20">
            <v>2</v>
          </cell>
          <cell r="AY20">
            <v>0</v>
          </cell>
          <cell r="AZ20">
            <v>4</v>
          </cell>
          <cell r="BA20">
            <v>0</v>
          </cell>
          <cell r="BB20">
            <v>3</v>
          </cell>
          <cell r="BC20">
            <v>0</v>
          </cell>
          <cell r="BD20">
            <v>3</v>
          </cell>
          <cell r="BE20">
            <v>1</v>
          </cell>
          <cell r="BF20">
            <v>1</v>
          </cell>
          <cell r="BG20">
            <v>2</v>
          </cell>
          <cell r="BH20">
            <v>0</v>
          </cell>
          <cell r="BI20">
            <v>2</v>
          </cell>
          <cell r="BJ20">
            <v>1</v>
          </cell>
          <cell r="BK20">
            <v>0</v>
          </cell>
          <cell r="BL20">
            <v>3</v>
          </cell>
          <cell r="BM20">
            <v>0</v>
          </cell>
          <cell r="BN20">
            <v>0</v>
          </cell>
          <cell r="BO20">
            <v>6</v>
          </cell>
          <cell r="BP20">
            <v>3</v>
          </cell>
          <cell r="BQ20">
            <v>1</v>
          </cell>
          <cell r="BR20">
            <v>3</v>
          </cell>
          <cell r="BS20">
            <v>1</v>
          </cell>
          <cell r="BT20">
            <v>1</v>
          </cell>
          <cell r="BU20">
            <v>6</v>
          </cell>
          <cell r="BV20">
            <v>7</v>
          </cell>
          <cell r="BW20">
            <v>3</v>
          </cell>
          <cell r="BX20">
            <v>2</v>
          </cell>
          <cell r="BY20">
            <v>2</v>
          </cell>
          <cell r="BZ20">
            <v>2</v>
          </cell>
          <cell r="CA20">
            <v>3</v>
          </cell>
          <cell r="CB20">
            <v>1</v>
          </cell>
          <cell r="CC20">
            <v>1</v>
          </cell>
          <cell r="CD20">
            <v>1</v>
          </cell>
          <cell r="CE20">
            <v>0</v>
          </cell>
          <cell r="CF20">
            <v>2</v>
          </cell>
          <cell r="CG20">
            <v>1</v>
          </cell>
          <cell r="CH20">
            <v>3</v>
          </cell>
          <cell r="CI20">
            <v>5</v>
          </cell>
          <cell r="CJ20">
            <v>1</v>
          </cell>
          <cell r="CK20">
            <v>0</v>
          </cell>
          <cell r="CL20">
            <v>4</v>
          </cell>
          <cell r="CM20">
            <v>0</v>
          </cell>
          <cell r="CN20">
            <v>0</v>
          </cell>
          <cell r="CO20">
            <v>0</v>
          </cell>
          <cell r="CP20">
            <v>0</v>
          </cell>
          <cell r="CQ20">
            <v>0</v>
          </cell>
          <cell r="CR20">
            <v>0</v>
          </cell>
          <cell r="CS20">
            <v>4</v>
          </cell>
          <cell r="CT20">
            <v>1</v>
          </cell>
          <cell r="CU20">
            <v>1</v>
          </cell>
          <cell r="CV20">
            <v>3</v>
          </cell>
          <cell r="CW20">
            <v>0</v>
          </cell>
          <cell r="CX20">
            <v>5</v>
          </cell>
          <cell r="CY20">
            <v>3</v>
          </cell>
          <cell r="CZ20">
            <v>3</v>
          </cell>
          <cell r="DA20">
            <v>2</v>
          </cell>
          <cell r="DB20">
            <v>1</v>
          </cell>
          <cell r="DC20">
            <v>3</v>
          </cell>
          <cell r="DD20">
            <v>9</v>
          </cell>
          <cell r="DE20">
            <v>0</v>
          </cell>
          <cell r="DF20">
            <v>2</v>
          </cell>
          <cell r="DG20">
            <v>0</v>
          </cell>
          <cell r="DH20">
            <v>1</v>
          </cell>
          <cell r="DI20">
            <v>0</v>
          </cell>
          <cell r="DJ20">
            <v>0</v>
          </cell>
          <cell r="DK20">
            <v>0</v>
          </cell>
          <cell r="DL20">
            <v>3</v>
          </cell>
          <cell r="DM20">
            <v>0</v>
          </cell>
          <cell r="DN20">
            <v>0</v>
          </cell>
          <cell r="DO20">
            <v>0</v>
          </cell>
          <cell r="DP20">
            <v>0</v>
          </cell>
          <cell r="DQ20">
            <v>2</v>
          </cell>
          <cell r="DR20">
            <v>4</v>
          </cell>
          <cell r="DS20">
            <v>0</v>
          </cell>
          <cell r="DT20">
            <v>0</v>
          </cell>
          <cell r="DU20">
            <v>0</v>
          </cell>
          <cell r="DV20">
            <v>1</v>
          </cell>
          <cell r="DW20">
            <v>0</v>
          </cell>
          <cell r="DX20">
            <v>0</v>
          </cell>
          <cell r="DY20">
            <v>5</v>
          </cell>
          <cell r="DZ20">
            <v>0</v>
          </cell>
          <cell r="EJ20">
            <v>3</v>
          </cell>
          <cell r="EL20">
            <v>1</v>
          </cell>
          <cell r="EO20">
            <v>2</v>
          </cell>
          <cell r="ES20">
            <v>4</v>
          </cell>
          <cell r="ET20">
            <v>0</v>
          </cell>
          <cell r="EV20">
            <v>0</v>
          </cell>
          <cell r="EW20">
            <v>0</v>
          </cell>
          <cell r="EX20">
            <v>2</v>
          </cell>
          <cell r="FB20">
            <v>1</v>
          </cell>
          <cell r="FE20">
            <v>3</v>
          </cell>
          <cell r="GD20">
            <v>2</v>
          </cell>
          <cell r="GH20">
            <v>2</v>
          </cell>
        </row>
        <row r="21">
          <cell r="B21" t="str">
            <v>CALCITRIOL</v>
          </cell>
          <cell r="C21" t="str">
            <v>A2P</v>
          </cell>
          <cell r="D21">
            <v>3</v>
          </cell>
          <cell r="E21">
            <v>0</v>
          </cell>
          <cell r="F21">
            <v>0</v>
          </cell>
          <cell r="G21">
            <v>0</v>
          </cell>
          <cell r="H21">
            <v>2</v>
          </cell>
          <cell r="I21">
            <v>0</v>
          </cell>
          <cell r="J21">
            <v>1</v>
          </cell>
          <cell r="K21">
            <v>2</v>
          </cell>
          <cell r="L21">
            <v>1</v>
          </cell>
          <cell r="M21">
            <v>0</v>
          </cell>
          <cell r="N21">
            <v>1</v>
          </cell>
          <cell r="O21">
            <v>0</v>
          </cell>
          <cell r="P21">
            <v>3</v>
          </cell>
          <cell r="Q21">
            <v>0</v>
          </cell>
          <cell r="R21">
            <v>1</v>
          </cell>
          <cell r="S21">
            <v>0</v>
          </cell>
          <cell r="T21">
            <v>1</v>
          </cell>
          <cell r="U21">
            <v>0</v>
          </cell>
          <cell r="V21">
            <v>3</v>
          </cell>
          <cell r="W21">
            <v>0</v>
          </cell>
          <cell r="X21">
            <v>0</v>
          </cell>
          <cell r="Y21">
            <v>1</v>
          </cell>
          <cell r="Z21">
            <v>0</v>
          </cell>
          <cell r="AA21">
            <v>3</v>
          </cell>
          <cell r="AB21">
            <v>0</v>
          </cell>
          <cell r="AC21">
            <v>1</v>
          </cell>
          <cell r="AD21">
            <v>1</v>
          </cell>
          <cell r="AE21">
            <v>0</v>
          </cell>
          <cell r="AF21">
            <v>0</v>
          </cell>
          <cell r="AG21">
            <v>2</v>
          </cell>
          <cell r="AH21">
            <v>0</v>
          </cell>
          <cell r="AI21">
            <v>0</v>
          </cell>
          <cell r="AJ21">
            <v>0</v>
          </cell>
          <cell r="AK21">
            <v>0</v>
          </cell>
          <cell r="AL21">
            <v>0</v>
          </cell>
          <cell r="AM21">
            <v>2</v>
          </cell>
          <cell r="AN21">
            <v>0</v>
          </cell>
          <cell r="AO21">
            <v>0</v>
          </cell>
          <cell r="AP21">
            <v>0</v>
          </cell>
          <cell r="AQ21">
            <v>0</v>
          </cell>
          <cell r="AR21">
            <v>1</v>
          </cell>
          <cell r="AS21">
            <v>0</v>
          </cell>
          <cell r="AT21">
            <v>6</v>
          </cell>
          <cell r="AU21">
            <v>5</v>
          </cell>
          <cell r="AV21">
            <v>3</v>
          </cell>
          <cell r="AW21">
            <v>0</v>
          </cell>
          <cell r="AX21">
            <v>1</v>
          </cell>
          <cell r="AY21">
            <v>6</v>
          </cell>
          <cell r="AZ21">
            <v>2</v>
          </cell>
          <cell r="BA21">
            <v>2</v>
          </cell>
          <cell r="BB21">
            <v>2</v>
          </cell>
          <cell r="BC21">
            <v>2</v>
          </cell>
          <cell r="BD21">
            <v>1</v>
          </cell>
          <cell r="BE21">
            <v>1</v>
          </cell>
          <cell r="BF21">
            <v>3</v>
          </cell>
          <cell r="BG21">
            <v>5</v>
          </cell>
          <cell r="BH21">
            <v>1</v>
          </cell>
          <cell r="BI21">
            <v>1</v>
          </cell>
          <cell r="BJ21">
            <v>3</v>
          </cell>
          <cell r="BK21">
            <v>5</v>
          </cell>
          <cell r="BL21">
            <v>1</v>
          </cell>
          <cell r="BM21">
            <v>3</v>
          </cell>
          <cell r="BN21">
            <v>1</v>
          </cell>
          <cell r="BO21">
            <v>0</v>
          </cell>
          <cell r="BP21">
            <v>2</v>
          </cell>
          <cell r="BQ21">
            <v>4</v>
          </cell>
          <cell r="BR21">
            <v>6</v>
          </cell>
          <cell r="BS21">
            <v>0</v>
          </cell>
          <cell r="BT21">
            <v>0</v>
          </cell>
          <cell r="BU21">
            <v>4</v>
          </cell>
          <cell r="BV21">
            <v>0</v>
          </cell>
          <cell r="BW21">
            <v>0</v>
          </cell>
          <cell r="BX21">
            <v>0</v>
          </cell>
          <cell r="BY21">
            <v>3</v>
          </cell>
          <cell r="BZ21">
            <v>0</v>
          </cell>
          <cell r="CA21">
            <v>8</v>
          </cell>
          <cell r="CB21">
            <v>0</v>
          </cell>
          <cell r="CC21">
            <v>5</v>
          </cell>
          <cell r="CD21">
            <v>1</v>
          </cell>
          <cell r="CE21">
            <v>2</v>
          </cell>
          <cell r="CF21">
            <v>9</v>
          </cell>
          <cell r="CG21">
            <v>2</v>
          </cell>
          <cell r="CH21">
            <v>1</v>
          </cell>
          <cell r="CI21">
            <v>1</v>
          </cell>
          <cell r="CJ21">
            <v>0</v>
          </cell>
          <cell r="CK21">
            <v>5</v>
          </cell>
          <cell r="CL21">
            <v>0</v>
          </cell>
          <cell r="CM21">
            <v>1</v>
          </cell>
          <cell r="CN21">
            <v>0</v>
          </cell>
          <cell r="CO21">
            <v>0</v>
          </cell>
          <cell r="CP21">
            <v>6</v>
          </cell>
          <cell r="CQ21">
            <v>0</v>
          </cell>
          <cell r="CR21">
            <v>0</v>
          </cell>
          <cell r="CS21">
            <v>6</v>
          </cell>
          <cell r="CT21">
            <v>5</v>
          </cell>
          <cell r="CU21">
            <v>0</v>
          </cell>
          <cell r="CV21">
            <v>10</v>
          </cell>
          <cell r="CW21">
            <v>1</v>
          </cell>
          <cell r="CX21">
            <v>3</v>
          </cell>
          <cell r="CY21">
            <v>3</v>
          </cell>
          <cell r="CZ21">
            <v>0</v>
          </cell>
          <cell r="DA21">
            <v>0</v>
          </cell>
          <cell r="DB21">
            <v>2</v>
          </cell>
          <cell r="DC21">
            <v>1</v>
          </cell>
          <cell r="DD21">
            <v>3</v>
          </cell>
          <cell r="DE21">
            <v>0</v>
          </cell>
          <cell r="DF21">
            <v>0</v>
          </cell>
          <cell r="DG21">
            <v>0</v>
          </cell>
          <cell r="DH21">
            <v>0</v>
          </cell>
          <cell r="DI21">
            <v>0</v>
          </cell>
          <cell r="DJ21">
            <v>0</v>
          </cell>
          <cell r="DK21">
            <v>1</v>
          </cell>
          <cell r="DL21">
            <v>0</v>
          </cell>
          <cell r="DM21">
            <v>3</v>
          </cell>
          <cell r="DN21">
            <v>1</v>
          </cell>
          <cell r="DO21">
            <v>0</v>
          </cell>
          <cell r="DP21">
            <v>0</v>
          </cell>
          <cell r="DQ21">
            <v>0</v>
          </cell>
          <cell r="DR21">
            <v>5</v>
          </cell>
          <cell r="DS21">
            <v>0</v>
          </cell>
          <cell r="DT21">
            <v>0</v>
          </cell>
          <cell r="DU21">
            <v>0</v>
          </cell>
          <cell r="DV21">
            <v>0</v>
          </cell>
          <cell r="DW21">
            <v>4</v>
          </cell>
          <cell r="DX21">
            <v>1</v>
          </cell>
          <cell r="DY21">
            <v>1</v>
          </cell>
          <cell r="DZ21">
            <v>0</v>
          </cell>
          <cell r="EA21">
            <v>8</v>
          </cell>
          <cell r="EB21">
            <v>1</v>
          </cell>
          <cell r="EC21">
            <v>1</v>
          </cell>
          <cell r="EE21">
            <v>6</v>
          </cell>
          <cell r="EF21">
            <v>1</v>
          </cell>
          <cell r="EG21">
            <v>3</v>
          </cell>
          <cell r="EI21">
            <v>6</v>
          </cell>
          <cell r="EJ21">
            <v>1</v>
          </cell>
          <cell r="EK21">
            <v>5</v>
          </cell>
          <cell r="EL21">
            <v>5</v>
          </cell>
          <cell r="EM21">
            <v>3</v>
          </cell>
          <cell r="EN21">
            <v>4</v>
          </cell>
          <cell r="EP21">
            <v>2</v>
          </cell>
          <cell r="ER21">
            <v>12</v>
          </cell>
          <cell r="ES21">
            <v>1</v>
          </cell>
          <cell r="EV21">
            <v>1</v>
          </cell>
          <cell r="EW21">
            <v>2</v>
          </cell>
          <cell r="EX21">
            <v>1</v>
          </cell>
          <cell r="FA21">
            <v>4</v>
          </cell>
          <cell r="FB21">
            <v>0</v>
          </cell>
          <cell r="FD21">
            <v>1</v>
          </cell>
          <cell r="FE21">
            <v>5</v>
          </cell>
          <cell r="FF21">
            <v>3</v>
          </cell>
          <cell r="FG21">
            <v>0</v>
          </cell>
          <cell r="FH21">
            <v>0</v>
          </cell>
          <cell r="FI21">
            <v>1</v>
          </cell>
          <cell r="FJ21">
            <v>4</v>
          </cell>
          <cell r="FK21">
            <v>3</v>
          </cell>
          <cell r="FL21">
            <v>0</v>
          </cell>
          <cell r="FM21">
            <v>0</v>
          </cell>
          <cell r="FN21">
            <v>2</v>
          </cell>
          <cell r="FO21">
            <v>4</v>
          </cell>
          <cell r="FP21">
            <v>11</v>
          </cell>
          <cell r="FQ21">
            <v>0</v>
          </cell>
          <cell r="FR21">
            <v>0</v>
          </cell>
          <cell r="FS21">
            <v>5</v>
          </cell>
          <cell r="FT21">
            <v>3</v>
          </cell>
          <cell r="FV21">
            <v>10</v>
          </cell>
          <cell r="FW21">
            <v>1</v>
          </cell>
          <cell r="FX21">
            <v>2</v>
          </cell>
          <cell r="FY21">
            <v>6</v>
          </cell>
          <cell r="FZ21">
            <v>1</v>
          </cell>
          <cell r="GA21">
            <v>4</v>
          </cell>
          <cell r="GB21">
            <v>0</v>
          </cell>
          <cell r="GC21">
            <v>3</v>
          </cell>
          <cell r="GD21">
            <v>10</v>
          </cell>
          <cell r="GE21">
            <v>5</v>
          </cell>
          <cell r="GF21">
            <v>2</v>
          </cell>
          <cell r="GG21">
            <v>13</v>
          </cell>
          <cell r="GH21">
            <v>5</v>
          </cell>
          <cell r="GI21">
            <v>7</v>
          </cell>
          <cell r="GJ21">
            <v>5</v>
          </cell>
          <cell r="GK21">
            <v>8</v>
          </cell>
          <cell r="GL21">
            <v>6</v>
          </cell>
          <cell r="GM21">
            <v>1</v>
          </cell>
          <cell r="GN21">
            <v>3</v>
          </cell>
        </row>
        <row r="22">
          <cell r="B22" t="str">
            <v>CALCITRIOL</v>
          </cell>
          <cell r="C22" t="str">
            <v>ROX</v>
          </cell>
          <cell r="D22">
            <v>233</v>
          </cell>
          <cell r="E22">
            <v>242</v>
          </cell>
          <cell r="F22">
            <v>296</v>
          </cell>
          <cell r="G22">
            <v>280</v>
          </cell>
          <cell r="H22">
            <v>293</v>
          </cell>
          <cell r="I22">
            <v>329</v>
          </cell>
          <cell r="J22">
            <v>306</v>
          </cell>
          <cell r="K22">
            <v>370</v>
          </cell>
          <cell r="L22">
            <v>335</v>
          </cell>
          <cell r="M22">
            <v>345</v>
          </cell>
          <cell r="N22">
            <v>366</v>
          </cell>
          <cell r="O22">
            <v>372</v>
          </cell>
          <cell r="P22">
            <v>340</v>
          </cell>
          <cell r="Q22">
            <v>358</v>
          </cell>
          <cell r="R22">
            <v>450</v>
          </cell>
          <cell r="S22">
            <v>418</v>
          </cell>
          <cell r="T22">
            <v>451</v>
          </cell>
          <cell r="U22">
            <v>468</v>
          </cell>
          <cell r="V22">
            <v>470</v>
          </cell>
          <cell r="W22">
            <v>486</v>
          </cell>
          <cell r="X22">
            <v>449</v>
          </cell>
          <cell r="Y22">
            <v>384</v>
          </cell>
          <cell r="Z22">
            <v>498</v>
          </cell>
          <cell r="AA22">
            <v>562</v>
          </cell>
          <cell r="AB22">
            <v>622</v>
          </cell>
          <cell r="AC22">
            <v>617</v>
          </cell>
          <cell r="AD22">
            <v>479</v>
          </cell>
          <cell r="AE22">
            <v>534</v>
          </cell>
          <cell r="AF22">
            <v>664</v>
          </cell>
          <cell r="AG22">
            <v>729</v>
          </cell>
          <cell r="AH22">
            <v>707</v>
          </cell>
          <cell r="AI22">
            <v>851</v>
          </cell>
          <cell r="AJ22">
            <v>893</v>
          </cell>
          <cell r="AK22">
            <v>772</v>
          </cell>
          <cell r="AL22">
            <v>862</v>
          </cell>
          <cell r="AM22">
            <v>901</v>
          </cell>
          <cell r="AN22">
            <v>956</v>
          </cell>
          <cell r="AO22">
            <v>915</v>
          </cell>
          <cell r="AP22">
            <v>862</v>
          </cell>
          <cell r="AQ22">
            <v>909</v>
          </cell>
          <cell r="AR22">
            <v>975</v>
          </cell>
          <cell r="AS22">
            <v>1012</v>
          </cell>
          <cell r="AT22">
            <v>956</v>
          </cell>
          <cell r="AU22">
            <v>1047</v>
          </cell>
          <cell r="AV22">
            <v>995</v>
          </cell>
          <cell r="AW22">
            <v>1024</v>
          </cell>
          <cell r="AX22">
            <v>975</v>
          </cell>
          <cell r="AY22">
            <v>1060</v>
          </cell>
          <cell r="AZ22">
            <v>945</v>
          </cell>
          <cell r="BA22">
            <v>1037</v>
          </cell>
          <cell r="BB22">
            <v>1062</v>
          </cell>
          <cell r="BC22">
            <v>1053</v>
          </cell>
          <cell r="BD22">
            <v>1083</v>
          </cell>
          <cell r="BE22">
            <v>986</v>
          </cell>
          <cell r="BF22">
            <v>1076</v>
          </cell>
          <cell r="BG22">
            <v>1068</v>
          </cell>
          <cell r="BH22">
            <v>1029</v>
          </cell>
          <cell r="BI22">
            <v>1081</v>
          </cell>
          <cell r="BJ22">
            <v>1059</v>
          </cell>
          <cell r="BK22">
            <v>1113</v>
          </cell>
          <cell r="BL22">
            <v>1141</v>
          </cell>
          <cell r="BM22">
            <v>1209</v>
          </cell>
          <cell r="BN22">
            <v>1136</v>
          </cell>
          <cell r="BO22">
            <v>1178</v>
          </cell>
          <cell r="BP22">
            <v>1092</v>
          </cell>
          <cell r="BQ22">
            <v>1110</v>
          </cell>
          <cell r="BR22">
            <v>1136</v>
          </cell>
          <cell r="BS22">
            <v>982</v>
          </cell>
          <cell r="BT22">
            <v>1032</v>
          </cell>
          <cell r="BU22">
            <v>1051</v>
          </cell>
          <cell r="BV22">
            <v>1102</v>
          </cell>
          <cell r="BW22">
            <v>1124</v>
          </cell>
          <cell r="BX22">
            <v>1021</v>
          </cell>
          <cell r="BY22">
            <v>895</v>
          </cell>
          <cell r="BZ22">
            <v>1108</v>
          </cell>
          <cell r="CA22">
            <v>1239</v>
          </cell>
          <cell r="CB22">
            <v>1237</v>
          </cell>
          <cell r="CC22">
            <v>1188</v>
          </cell>
          <cell r="CD22">
            <v>863</v>
          </cell>
          <cell r="CE22">
            <v>1057</v>
          </cell>
          <cell r="CF22">
            <v>1250</v>
          </cell>
          <cell r="CG22">
            <v>1264</v>
          </cell>
          <cell r="CH22">
            <v>1273</v>
          </cell>
          <cell r="CI22">
            <v>1284</v>
          </cell>
          <cell r="CJ22">
            <v>1363</v>
          </cell>
          <cell r="CK22">
            <v>1410</v>
          </cell>
          <cell r="CL22">
            <v>1294</v>
          </cell>
          <cell r="CM22">
            <v>1308</v>
          </cell>
          <cell r="CN22">
            <v>1394</v>
          </cell>
          <cell r="CO22">
            <v>1452</v>
          </cell>
          <cell r="CP22">
            <v>1389</v>
          </cell>
          <cell r="CQ22">
            <v>1301</v>
          </cell>
          <cell r="CR22">
            <v>1516</v>
          </cell>
          <cell r="CS22">
            <v>1383</v>
          </cell>
          <cell r="CT22">
            <v>1433</v>
          </cell>
          <cell r="CU22">
            <v>1369</v>
          </cell>
          <cell r="CV22">
            <v>1456</v>
          </cell>
          <cell r="CW22">
            <v>1416</v>
          </cell>
          <cell r="CX22">
            <v>1507</v>
          </cell>
          <cell r="CY22">
            <v>1423</v>
          </cell>
          <cell r="CZ22">
            <v>1226</v>
          </cell>
          <cell r="DA22">
            <v>1447</v>
          </cell>
          <cell r="DB22">
            <v>1422</v>
          </cell>
          <cell r="DC22">
            <v>1440</v>
          </cell>
          <cell r="DD22">
            <v>1485</v>
          </cell>
          <cell r="DE22">
            <v>1180</v>
          </cell>
          <cell r="DF22">
            <v>1402</v>
          </cell>
          <cell r="DG22">
            <v>1410</v>
          </cell>
          <cell r="DH22">
            <v>1391</v>
          </cell>
          <cell r="DI22">
            <v>1490</v>
          </cell>
          <cell r="DJ22">
            <v>1415</v>
          </cell>
          <cell r="DK22">
            <v>1440</v>
          </cell>
          <cell r="DL22">
            <v>1397</v>
          </cell>
          <cell r="DM22">
            <v>1384</v>
          </cell>
          <cell r="DN22">
            <v>1357</v>
          </cell>
          <cell r="DO22">
            <v>1477</v>
          </cell>
          <cell r="DP22">
            <v>1464</v>
          </cell>
          <cell r="DQ22">
            <v>1432</v>
          </cell>
          <cell r="DR22">
            <v>1527</v>
          </cell>
          <cell r="DS22">
            <v>1414</v>
          </cell>
          <cell r="DT22">
            <v>1406</v>
          </cell>
          <cell r="DU22">
            <v>1513</v>
          </cell>
          <cell r="DV22">
            <v>1326</v>
          </cell>
          <cell r="DW22">
            <v>1518</v>
          </cell>
          <cell r="DX22">
            <v>1426</v>
          </cell>
          <cell r="DY22">
            <v>1563</v>
          </cell>
          <cell r="DZ22">
            <v>1205</v>
          </cell>
          <cell r="EA22">
            <v>1502</v>
          </cell>
          <cell r="EB22">
            <v>1423</v>
          </cell>
          <cell r="EC22">
            <v>1583</v>
          </cell>
          <cell r="ED22">
            <v>1088</v>
          </cell>
          <cell r="EE22">
            <v>1191</v>
          </cell>
          <cell r="EF22">
            <v>1621</v>
          </cell>
          <cell r="EG22">
            <v>1465</v>
          </cell>
          <cell r="EH22">
            <v>1410</v>
          </cell>
          <cell r="EI22">
            <v>1416</v>
          </cell>
          <cell r="EJ22">
            <v>1696</v>
          </cell>
          <cell r="EK22">
            <v>1476</v>
          </cell>
          <cell r="EL22">
            <v>1430</v>
          </cell>
          <cell r="EM22">
            <v>1530</v>
          </cell>
          <cell r="EN22">
            <v>1614</v>
          </cell>
          <cell r="EO22">
            <v>1563</v>
          </cell>
          <cell r="EP22">
            <v>1517</v>
          </cell>
          <cell r="EQ22">
            <v>1525</v>
          </cell>
          <cell r="ER22">
            <v>1545</v>
          </cell>
          <cell r="ES22">
            <v>1585</v>
          </cell>
          <cell r="ET22">
            <v>1483</v>
          </cell>
          <cell r="EU22">
            <v>1536</v>
          </cell>
          <cell r="EV22">
            <v>1566</v>
          </cell>
          <cell r="EW22">
            <v>1599</v>
          </cell>
          <cell r="EX22">
            <v>1500</v>
          </cell>
          <cell r="EY22">
            <v>1513</v>
          </cell>
          <cell r="EZ22">
            <v>1391</v>
          </cell>
          <cell r="FA22">
            <v>1683</v>
          </cell>
          <cell r="FB22">
            <v>1586</v>
          </cell>
          <cell r="FC22">
            <v>1492</v>
          </cell>
          <cell r="FD22">
            <v>1605</v>
          </cell>
          <cell r="FE22">
            <v>1586</v>
          </cell>
          <cell r="FF22">
            <v>1547</v>
          </cell>
          <cell r="FG22">
            <v>1504</v>
          </cell>
          <cell r="FH22">
            <v>1486</v>
          </cell>
          <cell r="FI22">
            <v>1492</v>
          </cell>
          <cell r="FJ22">
            <v>1531</v>
          </cell>
          <cell r="FK22">
            <v>1475</v>
          </cell>
          <cell r="FL22">
            <v>1396</v>
          </cell>
          <cell r="FM22">
            <v>1466</v>
          </cell>
          <cell r="FN22">
            <v>1611</v>
          </cell>
          <cell r="FO22">
            <v>1342</v>
          </cell>
          <cell r="FP22">
            <v>1571</v>
          </cell>
          <cell r="FQ22">
            <v>1556</v>
          </cell>
          <cell r="FR22">
            <v>1536</v>
          </cell>
          <cell r="FS22">
            <v>1580</v>
          </cell>
          <cell r="FT22">
            <v>1459</v>
          </cell>
          <cell r="FU22">
            <v>1494</v>
          </cell>
          <cell r="FV22">
            <v>1447</v>
          </cell>
          <cell r="FW22">
            <v>1585</v>
          </cell>
          <cell r="FX22">
            <v>1588</v>
          </cell>
          <cell r="FY22">
            <v>1497</v>
          </cell>
          <cell r="FZ22">
            <v>1248</v>
          </cell>
          <cell r="GA22">
            <v>1666</v>
          </cell>
          <cell r="GB22">
            <v>1597</v>
          </cell>
          <cell r="GC22">
            <v>1443</v>
          </cell>
          <cell r="GD22">
            <v>1193</v>
          </cell>
          <cell r="GE22">
            <v>1121</v>
          </cell>
          <cell r="GF22">
            <v>1634</v>
          </cell>
          <cell r="GG22">
            <v>1533</v>
          </cell>
          <cell r="GH22">
            <v>1404</v>
          </cell>
          <cell r="GI22">
            <v>1468</v>
          </cell>
          <cell r="GJ22">
            <v>1582</v>
          </cell>
          <cell r="GK22">
            <v>1379</v>
          </cell>
          <cell r="GL22">
            <v>1415</v>
          </cell>
          <cell r="GM22">
            <v>1495</v>
          </cell>
          <cell r="GN22">
            <v>1707</v>
          </cell>
        </row>
        <row r="23">
          <cell r="B23" t="str">
            <v xml:space="preserve">CALCITRIOL </v>
          </cell>
          <cell r="C23" t="str">
            <v xml:space="preserve">-R </v>
          </cell>
          <cell r="D23">
            <v>0</v>
          </cell>
          <cell r="E23">
            <v>0</v>
          </cell>
          <cell r="F23">
            <v>0</v>
          </cell>
          <cell r="G23">
            <v>0</v>
          </cell>
          <cell r="H23">
            <v>0</v>
          </cell>
          <cell r="I23">
            <v>0</v>
          </cell>
          <cell r="J23">
            <v>0</v>
          </cell>
          <cell r="K23">
            <v>0</v>
          </cell>
          <cell r="L23">
            <v>0</v>
          </cell>
          <cell r="M23">
            <v>0</v>
          </cell>
          <cell r="N23">
            <v>0</v>
          </cell>
          <cell r="O23">
            <v>4</v>
          </cell>
          <cell r="P23">
            <v>0</v>
          </cell>
          <cell r="Q23">
            <v>0</v>
          </cell>
          <cell r="R23">
            <v>0</v>
          </cell>
          <cell r="S23">
            <v>0</v>
          </cell>
          <cell r="T23">
            <v>2</v>
          </cell>
          <cell r="U23">
            <v>1</v>
          </cell>
          <cell r="V23">
            <v>0</v>
          </cell>
          <cell r="W23">
            <v>2</v>
          </cell>
          <cell r="X23">
            <v>0</v>
          </cell>
          <cell r="Y23">
            <v>2</v>
          </cell>
          <cell r="Z23">
            <v>0</v>
          </cell>
          <cell r="AA23">
            <v>0</v>
          </cell>
          <cell r="AB23">
            <v>0</v>
          </cell>
          <cell r="AC23">
            <v>0</v>
          </cell>
          <cell r="AD23">
            <v>0</v>
          </cell>
          <cell r="AE23">
            <v>0</v>
          </cell>
          <cell r="AF23">
            <v>0</v>
          </cell>
          <cell r="AG23">
            <v>1</v>
          </cell>
          <cell r="AH23">
            <v>0</v>
          </cell>
          <cell r="AI23">
            <v>0</v>
          </cell>
          <cell r="AJ23">
            <v>0</v>
          </cell>
          <cell r="AK23">
            <v>2</v>
          </cell>
          <cell r="AL23">
            <v>2</v>
          </cell>
          <cell r="AM23">
            <v>0</v>
          </cell>
          <cell r="AN23">
            <v>0</v>
          </cell>
          <cell r="AO23">
            <v>5</v>
          </cell>
          <cell r="AP23">
            <v>0</v>
          </cell>
          <cell r="AQ23">
            <v>0</v>
          </cell>
          <cell r="AR23">
            <v>0</v>
          </cell>
          <cell r="AS23">
            <v>0</v>
          </cell>
          <cell r="AT23">
            <v>0</v>
          </cell>
          <cell r="AU23">
            <v>0</v>
          </cell>
          <cell r="AV23">
            <v>0</v>
          </cell>
          <cell r="AW23">
            <v>0</v>
          </cell>
          <cell r="AX23">
            <v>1</v>
          </cell>
          <cell r="AY23">
            <v>0</v>
          </cell>
          <cell r="AZ23">
            <v>1</v>
          </cell>
          <cell r="BA23">
            <v>0</v>
          </cell>
          <cell r="BB23">
            <v>0</v>
          </cell>
          <cell r="BC23">
            <v>0</v>
          </cell>
          <cell r="BD23">
            <v>0</v>
          </cell>
          <cell r="BE23">
            <v>0</v>
          </cell>
          <cell r="BF23">
            <v>1</v>
          </cell>
          <cell r="BG23">
            <v>0</v>
          </cell>
          <cell r="BH23">
            <v>0</v>
          </cell>
          <cell r="BI23">
            <v>0</v>
          </cell>
          <cell r="BJ23">
            <v>0</v>
          </cell>
          <cell r="BK23">
            <v>0</v>
          </cell>
          <cell r="BL23">
            <v>2</v>
          </cell>
          <cell r="BM23">
            <v>0</v>
          </cell>
          <cell r="BN23">
            <v>0</v>
          </cell>
          <cell r="BO23">
            <v>0</v>
          </cell>
          <cell r="BP23">
            <v>1</v>
          </cell>
          <cell r="BQ23">
            <v>1</v>
          </cell>
          <cell r="BR23">
            <v>2</v>
          </cell>
          <cell r="BS23">
            <v>1</v>
          </cell>
          <cell r="BT23">
            <v>0</v>
          </cell>
          <cell r="BU23">
            <v>1</v>
          </cell>
          <cell r="BV23">
            <v>3</v>
          </cell>
          <cell r="BW23">
            <v>1</v>
          </cell>
          <cell r="BX23">
            <v>1</v>
          </cell>
          <cell r="BY23">
            <v>1</v>
          </cell>
          <cell r="BZ23">
            <v>1</v>
          </cell>
          <cell r="CA23">
            <v>0</v>
          </cell>
          <cell r="CB23">
            <v>1</v>
          </cell>
          <cell r="CC23">
            <v>1</v>
          </cell>
          <cell r="CD23">
            <v>0</v>
          </cell>
          <cell r="CE23">
            <v>1</v>
          </cell>
          <cell r="CF23">
            <v>1</v>
          </cell>
          <cell r="CG23">
            <v>0</v>
          </cell>
          <cell r="CH23">
            <v>1</v>
          </cell>
          <cell r="CI23">
            <v>1</v>
          </cell>
          <cell r="CJ23">
            <v>5</v>
          </cell>
          <cell r="CK23">
            <v>0</v>
          </cell>
          <cell r="CL23">
            <v>1</v>
          </cell>
          <cell r="CM23">
            <v>1</v>
          </cell>
          <cell r="CN23">
            <v>2</v>
          </cell>
          <cell r="CO23">
            <v>2</v>
          </cell>
          <cell r="CP23">
            <v>1</v>
          </cell>
          <cell r="CQ23">
            <v>1</v>
          </cell>
          <cell r="CR23">
            <v>1</v>
          </cell>
          <cell r="CS23">
            <v>0</v>
          </cell>
          <cell r="CT23">
            <v>1</v>
          </cell>
          <cell r="CU23">
            <v>0</v>
          </cell>
          <cell r="CV23">
            <v>1</v>
          </cell>
          <cell r="CW23">
            <v>1</v>
          </cell>
          <cell r="CX23">
            <v>1</v>
          </cell>
          <cell r="CY23">
            <v>3</v>
          </cell>
          <cell r="CZ23">
            <v>5</v>
          </cell>
          <cell r="DA23">
            <v>4</v>
          </cell>
          <cell r="DB23">
            <v>0</v>
          </cell>
          <cell r="DC23">
            <v>0</v>
          </cell>
          <cell r="DD23">
            <v>1</v>
          </cell>
          <cell r="DE23">
            <v>5</v>
          </cell>
          <cell r="DF23">
            <v>2</v>
          </cell>
          <cell r="DG23">
            <v>4</v>
          </cell>
          <cell r="DH23">
            <v>1</v>
          </cell>
          <cell r="DI23">
            <v>4</v>
          </cell>
          <cell r="DJ23">
            <v>0</v>
          </cell>
          <cell r="DK23">
            <v>3</v>
          </cell>
          <cell r="DL23">
            <v>4</v>
          </cell>
          <cell r="DM23">
            <v>2</v>
          </cell>
          <cell r="DN23">
            <v>0</v>
          </cell>
          <cell r="DO23">
            <v>3</v>
          </cell>
          <cell r="DP23">
            <v>4</v>
          </cell>
          <cell r="DQ23">
            <v>7</v>
          </cell>
          <cell r="DR23">
            <v>0</v>
          </cell>
          <cell r="DS23">
            <v>12</v>
          </cell>
          <cell r="DT23">
            <v>2</v>
          </cell>
          <cell r="DU23">
            <v>5</v>
          </cell>
          <cell r="DV23">
            <v>2</v>
          </cell>
          <cell r="DW23">
            <v>1</v>
          </cell>
          <cell r="DX23">
            <v>6</v>
          </cell>
          <cell r="DY23">
            <v>10</v>
          </cell>
          <cell r="DZ23">
            <v>0</v>
          </cell>
          <cell r="EA23">
            <v>0</v>
          </cell>
          <cell r="EB23">
            <v>6</v>
          </cell>
          <cell r="EC23">
            <v>3</v>
          </cell>
          <cell r="ED23">
            <v>1</v>
          </cell>
          <cell r="EE23">
            <v>2</v>
          </cell>
          <cell r="EF23">
            <v>1</v>
          </cell>
          <cell r="EG23">
            <v>8</v>
          </cell>
          <cell r="EH23">
            <v>3</v>
          </cell>
          <cell r="EI23">
            <v>1</v>
          </cell>
          <cell r="EJ23">
            <v>1</v>
          </cell>
          <cell r="EK23">
            <v>6</v>
          </cell>
          <cell r="EL23">
            <v>0</v>
          </cell>
          <cell r="EM23">
            <v>0</v>
          </cell>
          <cell r="EN23">
            <v>1</v>
          </cell>
          <cell r="EO23">
            <v>7</v>
          </cell>
          <cell r="EP23">
            <v>9</v>
          </cell>
          <cell r="ER23">
            <v>0</v>
          </cell>
          <cell r="ES23">
            <v>5</v>
          </cell>
          <cell r="ET23">
            <v>5</v>
          </cell>
          <cell r="EU23">
            <v>4</v>
          </cell>
          <cell r="EV23">
            <v>7</v>
          </cell>
          <cell r="EW23">
            <v>1</v>
          </cell>
          <cell r="EX23">
            <v>10</v>
          </cell>
          <cell r="EY23">
            <v>3</v>
          </cell>
          <cell r="EZ23">
            <v>11</v>
          </cell>
          <cell r="FA23">
            <v>2</v>
          </cell>
          <cell r="FB23">
            <v>0</v>
          </cell>
          <cell r="FD23">
            <v>0</v>
          </cell>
          <cell r="FF23">
            <v>2</v>
          </cell>
          <cell r="FG23">
            <v>2</v>
          </cell>
          <cell r="FH23">
            <v>1</v>
          </cell>
          <cell r="FI23">
            <v>1</v>
          </cell>
          <cell r="FJ23">
            <v>1</v>
          </cell>
          <cell r="FK23">
            <v>5</v>
          </cell>
          <cell r="FL23">
            <v>3</v>
          </cell>
          <cell r="FM23">
            <v>2</v>
          </cell>
          <cell r="FN23">
            <v>3</v>
          </cell>
          <cell r="FO23">
            <v>7</v>
          </cell>
          <cell r="FP23">
            <v>3</v>
          </cell>
          <cell r="FR23">
            <v>4</v>
          </cell>
          <cell r="FS23">
            <v>0</v>
          </cell>
          <cell r="FU23">
            <v>0</v>
          </cell>
          <cell r="FW23">
            <v>1</v>
          </cell>
          <cell r="FX23">
            <v>2</v>
          </cell>
          <cell r="FY23">
            <v>2</v>
          </cell>
          <cell r="FZ23">
            <v>2</v>
          </cell>
          <cell r="GA23">
            <v>3</v>
          </cell>
          <cell r="GB23">
            <v>1</v>
          </cell>
          <cell r="GC23">
            <v>4</v>
          </cell>
          <cell r="GD23">
            <v>6</v>
          </cell>
          <cell r="GE23">
            <v>2</v>
          </cell>
          <cell r="GF23">
            <v>2</v>
          </cell>
          <cell r="GG23">
            <v>3</v>
          </cell>
          <cell r="GI23">
            <v>1</v>
          </cell>
          <cell r="GJ23">
            <v>4</v>
          </cell>
          <cell r="GL23">
            <v>2</v>
          </cell>
          <cell r="GM23">
            <v>2</v>
          </cell>
          <cell r="GN23">
            <v>1</v>
          </cell>
        </row>
        <row r="24">
          <cell r="B24" t="str">
            <v xml:space="preserve">CALCITRIOL </v>
          </cell>
          <cell r="C24" t="str">
            <v xml:space="preserve">YO </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1</v>
          </cell>
          <cell r="U24">
            <v>0</v>
          </cell>
          <cell r="V24">
            <v>0</v>
          </cell>
          <cell r="W24">
            <v>1</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1</v>
          </cell>
          <cell r="AU24">
            <v>0</v>
          </cell>
          <cell r="AV24">
            <v>1</v>
          </cell>
          <cell r="AW24">
            <v>0</v>
          </cell>
          <cell r="AX24">
            <v>0</v>
          </cell>
          <cell r="AY24">
            <v>0</v>
          </cell>
          <cell r="AZ24">
            <v>0</v>
          </cell>
          <cell r="BA24">
            <v>0</v>
          </cell>
          <cell r="BB24">
            <v>0</v>
          </cell>
          <cell r="BC24">
            <v>1</v>
          </cell>
          <cell r="BD24">
            <v>0</v>
          </cell>
          <cell r="BE24">
            <v>0</v>
          </cell>
          <cell r="BF24">
            <v>0</v>
          </cell>
          <cell r="BG24">
            <v>0</v>
          </cell>
          <cell r="BH24">
            <v>0</v>
          </cell>
          <cell r="BI24">
            <v>0</v>
          </cell>
          <cell r="BJ24">
            <v>0</v>
          </cell>
          <cell r="BK24">
            <v>0</v>
          </cell>
          <cell r="BL24">
            <v>0</v>
          </cell>
          <cell r="BM24">
            <v>0</v>
          </cell>
          <cell r="BN24">
            <v>0</v>
          </cell>
          <cell r="BO24">
            <v>0</v>
          </cell>
          <cell r="BP24">
            <v>1</v>
          </cell>
          <cell r="BQ24">
            <v>0</v>
          </cell>
          <cell r="BR24">
            <v>0</v>
          </cell>
          <cell r="BS24">
            <v>0</v>
          </cell>
          <cell r="BT24">
            <v>0</v>
          </cell>
          <cell r="BU24">
            <v>0</v>
          </cell>
          <cell r="BV24">
            <v>0</v>
          </cell>
          <cell r="BW24">
            <v>0</v>
          </cell>
          <cell r="BX24">
            <v>0</v>
          </cell>
          <cell r="BY24">
            <v>0</v>
          </cell>
          <cell r="BZ24">
            <v>0</v>
          </cell>
          <cell r="CA24">
            <v>0</v>
          </cell>
          <cell r="CB24">
            <v>0</v>
          </cell>
          <cell r="CC24">
            <v>1</v>
          </cell>
          <cell r="CD24">
            <v>0</v>
          </cell>
          <cell r="CE24">
            <v>0</v>
          </cell>
          <cell r="CF24">
            <v>2</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B24">
            <v>1</v>
          </cell>
          <cell r="EG24">
            <v>0</v>
          </cell>
          <cell r="EO24">
            <v>1</v>
          </cell>
          <cell r="ES24">
            <v>1</v>
          </cell>
          <cell r="EZ24">
            <v>1</v>
          </cell>
          <cell r="FE24">
            <v>0</v>
          </cell>
        </row>
        <row r="25">
          <cell r="B25" t="str">
            <v xml:space="preserve">CALCITRIOL </v>
          </cell>
          <cell r="C25" t="str">
            <v xml:space="preserve">I/ </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1</v>
          </cell>
          <cell r="AC25">
            <v>0</v>
          </cell>
          <cell r="AD25">
            <v>0</v>
          </cell>
          <cell r="AE25">
            <v>1</v>
          </cell>
          <cell r="AF25">
            <v>0</v>
          </cell>
          <cell r="AG25">
            <v>0</v>
          </cell>
          <cell r="AH25">
            <v>0</v>
          </cell>
          <cell r="AI25">
            <v>1</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1</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2</v>
          </cell>
          <cell r="CV25">
            <v>0</v>
          </cell>
          <cell r="CW25">
            <v>0</v>
          </cell>
          <cell r="CX25">
            <v>0</v>
          </cell>
          <cell r="CY25">
            <v>2</v>
          </cell>
          <cell r="CZ25">
            <v>0</v>
          </cell>
          <cell r="DA25">
            <v>0</v>
          </cell>
          <cell r="DB25">
            <v>1</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FW25">
            <v>1</v>
          </cell>
          <cell r="GA25">
            <v>1</v>
          </cell>
          <cell r="GC25">
            <v>3</v>
          </cell>
          <cell r="GF25">
            <v>0</v>
          </cell>
          <cell r="GM25">
            <v>0</v>
          </cell>
        </row>
        <row r="26">
          <cell r="B26" t="str">
            <v xml:space="preserve">CALCITRIOL/ALM OIL </v>
          </cell>
          <cell r="C26" t="str">
            <v xml:space="preserve">NO </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3</v>
          </cell>
          <cell r="Y26">
            <v>1</v>
          </cell>
          <cell r="Z26">
            <v>2</v>
          </cell>
          <cell r="AA26">
            <v>0</v>
          </cell>
          <cell r="AB26">
            <v>2</v>
          </cell>
          <cell r="AC26">
            <v>0</v>
          </cell>
          <cell r="AD26">
            <v>0</v>
          </cell>
          <cell r="AE26">
            <v>2</v>
          </cell>
          <cell r="AF26">
            <v>0</v>
          </cell>
          <cell r="AG26">
            <v>2</v>
          </cell>
          <cell r="AH26">
            <v>2</v>
          </cell>
          <cell r="AI26">
            <v>0</v>
          </cell>
          <cell r="AJ26">
            <v>0</v>
          </cell>
          <cell r="AK26">
            <v>0</v>
          </cell>
          <cell r="AL26">
            <v>1</v>
          </cell>
          <cell r="AM26">
            <v>1</v>
          </cell>
          <cell r="AN26">
            <v>0</v>
          </cell>
          <cell r="AO26">
            <v>1</v>
          </cell>
          <cell r="AP26">
            <v>1</v>
          </cell>
          <cell r="AQ26">
            <v>0</v>
          </cell>
          <cell r="AR26">
            <v>1</v>
          </cell>
          <cell r="AS26">
            <v>1</v>
          </cell>
          <cell r="AT26">
            <v>0</v>
          </cell>
          <cell r="AU26">
            <v>1</v>
          </cell>
          <cell r="AV26">
            <v>2</v>
          </cell>
          <cell r="AW26">
            <v>2</v>
          </cell>
          <cell r="AX26">
            <v>0</v>
          </cell>
          <cell r="AY26">
            <v>0</v>
          </cell>
          <cell r="AZ26">
            <v>0</v>
          </cell>
          <cell r="BA26">
            <v>0</v>
          </cell>
          <cell r="BB26">
            <v>0</v>
          </cell>
          <cell r="BC26">
            <v>0</v>
          </cell>
          <cell r="BD26">
            <v>0</v>
          </cell>
          <cell r="BE26">
            <v>0</v>
          </cell>
          <cell r="BF26">
            <v>0</v>
          </cell>
          <cell r="BG26">
            <v>3</v>
          </cell>
          <cell r="BH26">
            <v>1</v>
          </cell>
          <cell r="BI26">
            <v>0</v>
          </cell>
          <cell r="BJ26">
            <v>0</v>
          </cell>
          <cell r="BK26">
            <v>0</v>
          </cell>
          <cell r="BL26">
            <v>2</v>
          </cell>
          <cell r="BM26">
            <v>0</v>
          </cell>
          <cell r="BN26">
            <v>0</v>
          </cell>
          <cell r="BO26">
            <v>1</v>
          </cell>
          <cell r="BP26">
            <v>0</v>
          </cell>
          <cell r="BQ26">
            <v>1</v>
          </cell>
          <cell r="BR26">
            <v>3</v>
          </cell>
          <cell r="BS26">
            <v>0</v>
          </cell>
          <cell r="BT26">
            <v>1</v>
          </cell>
          <cell r="BU26">
            <v>7</v>
          </cell>
          <cell r="BV26">
            <v>0</v>
          </cell>
          <cell r="BW26">
            <v>0</v>
          </cell>
          <cell r="BX26">
            <v>0</v>
          </cell>
          <cell r="BY26">
            <v>0</v>
          </cell>
          <cell r="BZ26">
            <v>0</v>
          </cell>
          <cell r="CA26">
            <v>0</v>
          </cell>
          <cell r="CB26">
            <v>1</v>
          </cell>
          <cell r="CC26">
            <v>1</v>
          </cell>
          <cell r="CD26">
            <v>1</v>
          </cell>
          <cell r="CE26">
            <v>0</v>
          </cell>
          <cell r="CF26">
            <v>1</v>
          </cell>
          <cell r="CG26">
            <v>2</v>
          </cell>
          <cell r="CH26">
            <v>0</v>
          </cell>
          <cell r="CI26">
            <v>1</v>
          </cell>
          <cell r="CJ26">
            <v>2</v>
          </cell>
          <cell r="CK26">
            <v>1</v>
          </cell>
          <cell r="CL26">
            <v>0</v>
          </cell>
          <cell r="CM26">
            <v>0</v>
          </cell>
          <cell r="CN26">
            <v>3</v>
          </cell>
          <cell r="CO26">
            <v>1</v>
          </cell>
          <cell r="CP26">
            <v>12</v>
          </cell>
          <cell r="CQ26">
            <v>1</v>
          </cell>
          <cell r="CR26">
            <v>4</v>
          </cell>
          <cell r="CS26">
            <v>3</v>
          </cell>
          <cell r="CT26">
            <v>16</v>
          </cell>
          <cell r="CU26">
            <v>0</v>
          </cell>
          <cell r="CV26">
            <v>2</v>
          </cell>
          <cell r="CW26">
            <v>1</v>
          </cell>
          <cell r="CX26">
            <v>2</v>
          </cell>
          <cell r="CY26">
            <v>3</v>
          </cell>
          <cell r="CZ26">
            <v>2</v>
          </cell>
          <cell r="DA26">
            <v>1</v>
          </cell>
          <cell r="DB26">
            <v>1</v>
          </cell>
          <cell r="DC26">
            <v>1</v>
          </cell>
          <cell r="DD26">
            <v>1</v>
          </cell>
          <cell r="DE26">
            <v>5</v>
          </cell>
          <cell r="DF26">
            <v>1</v>
          </cell>
          <cell r="DG26">
            <v>2</v>
          </cell>
          <cell r="DH26">
            <v>2</v>
          </cell>
          <cell r="DI26">
            <v>6</v>
          </cell>
          <cell r="DJ26">
            <v>0</v>
          </cell>
          <cell r="DK26">
            <v>2</v>
          </cell>
          <cell r="DL26">
            <v>5</v>
          </cell>
          <cell r="DM26">
            <v>0</v>
          </cell>
          <cell r="DN26">
            <v>1</v>
          </cell>
          <cell r="DO26">
            <v>0</v>
          </cell>
          <cell r="DP26">
            <v>1</v>
          </cell>
          <cell r="DQ26">
            <v>0</v>
          </cell>
          <cell r="DR26">
            <v>0</v>
          </cell>
          <cell r="DS26">
            <v>1</v>
          </cell>
          <cell r="DT26">
            <v>2</v>
          </cell>
          <cell r="DU26">
            <v>0</v>
          </cell>
          <cell r="DV26">
            <v>1</v>
          </cell>
          <cell r="DW26">
            <v>0</v>
          </cell>
          <cell r="DX26">
            <v>3</v>
          </cell>
          <cell r="DY26">
            <v>1</v>
          </cell>
          <cell r="DZ26">
            <v>1</v>
          </cell>
          <cell r="EA26">
            <v>2</v>
          </cell>
          <cell r="EB26">
            <v>0</v>
          </cell>
          <cell r="EC26">
            <v>0</v>
          </cell>
          <cell r="ED26">
            <v>0</v>
          </cell>
          <cell r="EE26">
            <v>0</v>
          </cell>
          <cell r="EF26">
            <v>2</v>
          </cell>
          <cell r="EG26">
            <v>8</v>
          </cell>
          <cell r="EH26">
            <v>1</v>
          </cell>
          <cell r="EI26">
            <v>5</v>
          </cell>
          <cell r="EJ26">
            <v>3</v>
          </cell>
          <cell r="EK26">
            <v>1</v>
          </cell>
          <cell r="EL26">
            <v>2</v>
          </cell>
          <cell r="EM26">
            <v>0</v>
          </cell>
          <cell r="EN26">
            <v>3</v>
          </cell>
          <cell r="EO26">
            <v>0</v>
          </cell>
          <cell r="EP26">
            <v>2</v>
          </cell>
          <cell r="EQ26">
            <v>0</v>
          </cell>
          <cell r="ES26">
            <v>2</v>
          </cell>
          <cell r="ET26">
            <v>1</v>
          </cell>
          <cell r="EU26">
            <v>2</v>
          </cell>
          <cell r="EV26">
            <v>0</v>
          </cell>
          <cell r="EW26">
            <v>6</v>
          </cell>
          <cell r="EX26">
            <v>4</v>
          </cell>
          <cell r="EY26">
            <v>1</v>
          </cell>
          <cell r="EZ26">
            <v>0</v>
          </cell>
          <cell r="FA26">
            <v>1</v>
          </cell>
          <cell r="FB26">
            <v>5</v>
          </cell>
          <cell r="FC26">
            <v>1</v>
          </cell>
          <cell r="FD26">
            <v>2</v>
          </cell>
          <cell r="FE26">
            <v>2</v>
          </cell>
          <cell r="FF26">
            <v>8</v>
          </cell>
          <cell r="FG26">
            <v>9</v>
          </cell>
          <cell r="FH26">
            <v>3</v>
          </cell>
          <cell r="FI26">
            <v>1</v>
          </cell>
          <cell r="FJ26">
            <v>1</v>
          </cell>
          <cell r="FK26">
            <v>12</v>
          </cell>
          <cell r="FL26">
            <v>1</v>
          </cell>
          <cell r="FM26">
            <v>0</v>
          </cell>
          <cell r="FN26">
            <v>8</v>
          </cell>
          <cell r="FO26">
            <v>5</v>
          </cell>
          <cell r="FP26">
            <v>0</v>
          </cell>
          <cell r="FQ26">
            <v>3</v>
          </cell>
          <cell r="FR26">
            <v>0</v>
          </cell>
          <cell r="FS26">
            <v>1</v>
          </cell>
          <cell r="FT26">
            <v>0</v>
          </cell>
          <cell r="FU26">
            <v>0</v>
          </cell>
          <cell r="FV26">
            <v>5</v>
          </cell>
          <cell r="FW26">
            <v>7</v>
          </cell>
          <cell r="FX26">
            <v>11</v>
          </cell>
          <cell r="FY26">
            <v>11</v>
          </cell>
          <cell r="FZ26">
            <v>15</v>
          </cell>
          <cell r="GA26">
            <v>3</v>
          </cell>
          <cell r="GB26">
            <v>6</v>
          </cell>
          <cell r="GC26">
            <v>0</v>
          </cell>
          <cell r="GD26">
            <v>4</v>
          </cell>
          <cell r="GE26">
            <v>10</v>
          </cell>
          <cell r="GF26">
            <v>0</v>
          </cell>
          <cell r="GG26">
            <v>3</v>
          </cell>
          <cell r="GH26">
            <v>12</v>
          </cell>
          <cell r="GI26">
            <v>0</v>
          </cell>
          <cell r="GJ26">
            <v>3</v>
          </cell>
          <cell r="GK26">
            <v>2</v>
          </cell>
          <cell r="GL26">
            <v>2</v>
          </cell>
          <cell r="GM26">
            <v>0</v>
          </cell>
          <cell r="GN26">
            <v>4</v>
          </cell>
        </row>
        <row r="27">
          <cell r="B27" t="str">
            <v>CAMPATH</v>
          </cell>
          <cell r="C27" t="str">
            <v>BYH</v>
          </cell>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2</v>
          </cell>
          <cell r="AV27">
            <v>1</v>
          </cell>
          <cell r="AW27">
            <v>0</v>
          </cell>
          <cell r="AX27">
            <v>0</v>
          </cell>
          <cell r="AY27">
            <v>2</v>
          </cell>
          <cell r="AZ27">
            <v>1</v>
          </cell>
          <cell r="BA27">
            <v>3</v>
          </cell>
          <cell r="BB27">
            <v>0</v>
          </cell>
          <cell r="BC27">
            <v>0</v>
          </cell>
          <cell r="BD27">
            <v>2</v>
          </cell>
          <cell r="BE27">
            <v>2</v>
          </cell>
          <cell r="BF27">
            <v>0</v>
          </cell>
          <cell r="BG27">
            <v>0</v>
          </cell>
          <cell r="BH27">
            <v>15</v>
          </cell>
          <cell r="BI27">
            <v>1</v>
          </cell>
          <cell r="BJ27">
            <v>0</v>
          </cell>
          <cell r="BK27">
            <v>0</v>
          </cell>
          <cell r="BL27">
            <v>2</v>
          </cell>
          <cell r="BM27">
            <v>1</v>
          </cell>
          <cell r="BN27">
            <v>1</v>
          </cell>
          <cell r="BO27">
            <v>0</v>
          </cell>
          <cell r="BP27">
            <v>0</v>
          </cell>
          <cell r="BQ27">
            <v>1</v>
          </cell>
          <cell r="BR27">
            <v>3</v>
          </cell>
          <cell r="BS27">
            <v>2</v>
          </cell>
          <cell r="BT27">
            <v>0</v>
          </cell>
          <cell r="BU27">
            <v>2</v>
          </cell>
          <cell r="BV27">
            <v>3</v>
          </cell>
          <cell r="BW27">
            <v>1</v>
          </cell>
          <cell r="BX27">
            <v>1</v>
          </cell>
          <cell r="BY27">
            <v>2</v>
          </cell>
          <cell r="BZ27">
            <v>0</v>
          </cell>
          <cell r="CA27">
            <v>1</v>
          </cell>
          <cell r="CB27">
            <v>1</v>
          </cell>
          <cell r="CC27">
            <v>1</v>
          </cell>
          <cell r="CD27">
            <v>0</v>
          </cell>
          <cell r="CE27">
            <v>0</v>
          </cell>
          <cell r="CF27">
            <v>1</v>
          </cell>
          <cell r="CG27">
            <v>1</v>
          </cell>
          <cell r="CH27">
            <v>1</v>
          </cell>
          <cell r="CI27">
            <v>1</v>
          </cell>
          <cell r="CJ27">
            <v>1</v>
          </cell>
          <cell r="CK27">
            <v>0</v>
          </cell>
          <cell r="CL27">
            <v>3</v>
          </cell>
          <cell r="CM27">
            <v>1</v>
          </cell>
          <cell r="CN27">
            <v>0</v>
          </cell>
          <cell r="CO27">
            <v>0</v>
          </cell>
          <cell r="CP27">
            <v>1</v>
          </cell>
          <cell r="CQ27">
            <v>0</v>
          </cell>
          <cell r="CR27">
            <v>0</v>
          </cell>
          <cell r="CS27">
            <v>2</v>
          </cell>
          <cell r="CT27">
            <v>0</v>
          </cell>
          <cell r="CU27">
            <v>0</v>
          </cell>
          <cell r="CV27">
            <v>1</v>
          </cell>
          <cell r="CW27">
            <v>1</v>
          </cell>
          <cell r="CX27">
            <v>10</v>
          </cell>
          <cell r="CY27">
            <v>1</v>
          </cell>
          <cell r="CZ27">
            <v>1</v>
          </cell>
          <cell r="DA27">
            <v>0</v>
          </cell>
          <cell r="DB27">
            <v>0</v>
          </cell>
          <cell r="DC27">
            <v>3</v>
          </cell>
          <cell r="DD27">
            <v>2</v>
          </cell>
          <cell r="DE27">
            <v>0</v>
          </cell>
          <cell r="DF27">
            <v>0</v>
          </cell>
          <cell r="DG27">
            <v>1</v>
          </cell>
          <cell r="DH27">
            <v>0</v>
          </cell>
          <cell r="DI27">
            <v>0</v>
          </cell>
          <cell r="DJ27">
            <v>1</v>
          </cell>
          <cell r="DK27">
            <v>4</v>
          </cell>
          <cell r="DL27">
            <v>4</v>
          </cell>
          <cell r="DM27">
            <v>2</v>
          </cell>
          <cell r="DN27">
            <v>1</v>
          </cell>
          <cell r="DO27">
            <v>0</v>
          </cell>
          <cell r="DP27">
            <v>2</v>
          </cell>
          <cell r="DQ27">
            <v>0</v>
          </cell>
          <cell r="DR27">
            <v>0</v>
          </cell>
          <cell r="DS27">
            <v>2</v>
          </cell>
          <cell r="DT27">
            <v>0</v>
          </cell>
          <cell r="DU27">
            <v>2</v>
          </cell>
          <cell r="DV27">
            <v>0</v>
          </cell>
          <cell r="DW27">
            <v>2</v>
          </cell>
          <cell r="DX27">
            <v>6</v>
          </cell>
          <cell r="DY27">
            <v>3</v>
          </cell>
          <cell r="DZ27">
            <v>5</v>
          </cell>
          <cell r="EA27">
            <v>1</v>
          </cell>
          <cell r="EB27">
            <v>1</v>
          </cell>
          <cell r="EC27">
            <v>0</v>
          </cell>
          <cell r="ED27">
            <v>1</v>
          </cell>
          <cell r="EE27">
            <v>1</v>
          </cell>
          <cell r="EF27">
            <v>0</v>
          </cell>
          <cell r="EG27">
            <v>1</v>
          </cell>
          <cell r="EH27">
            <v>0</v>
          </cell>
          <cell r="EI27">
            <v>1</v>
          </cell>
          <cell r="EJ27">
            <v>2</v>
          </cell>
          <cell r="EK27">
            <v>4</v>
          </cell>
          <cell r="EL27">
            <v>2</v>
          </cell>
          <cell r="EM27">
            <v>1</v>
          </cell>
          <cell r="EN27">
            <v>5</v>
          </cell>
          <cell r="EP27">
            <v>6</v>
          </cell>
          <cell r="EQ27">
            <v>3</v>
          </cell>
          <cell r="ER27">
            <v>3</v>
          </cell>
          <cell r="ES27">
            <v>2</v>
          </cell>
          <cell r="EU27">
            <v>0</v>
          </cell>
          <cell r="EV27">
            <v>1</v>
          </cell>
          <cell r="EW27">
            <v>3</v>
          </cell>
          <cell r="EX27">
            <v>2</v>
          </cell>
          <cell r="EY27">
            <v>1</v>
          </cell>
          <cell r="EZ27">
            <v>1</v>
          </cell>
          <cell r="FB27">
            <v>1</v>
          </cell>
          <cell r="FC27">
            <v>3</v>
          </cell>
          <cell r="FD27">
            <v>4</v>
          </cell>
          <cell r="FE27">
            <v>1</v>
          </cell>
          <cell r="FF27">
            <v>1</v>
          </cell>
          <cell r="FG27">
            <v>0</v>
          </cell>
          <cell r="FH27">
            <v>2</v>
          </cell>
          <cell r="FI27">
            <v>4</v>
          </cell>
          <cell r="FJ27">
            <v>1</v>
          </cell>
          <cell r="FL27">
            <v>2</v>
          </cell>
          <cell r="FM27">
            <v>2</v>
          </cell>
          <cell r="FN27">
            <v>2</v>
          </cell>
          <cell r="FO27">
            <v>1</v>
          </cell>
          <cell r="FP27">
            <v>1</v>
          </cell>
          <cell r="FQ27">
            <v>0</v>
          </cell>
          <cell r="FR27">
            <v>3</v>
          </cell>
          <cell r="FS27">
            <v>17</v>
          </cell>
          <cell r="FT27">
            <v>1</v>
          </cell>
          <cell r="FU27">
            <v>1</v>
          </cell>
          <cell r="FV27">
            <v>3</v>
          </cell>
          <cell r="FW27">
            <v>1</v>
          </cell>
          <cell r="FX27">
            <v>1</v>
          </cell>
          <cell r="FY27">
            <v>1</v>
          </cell>
          <cell r="GA27">
            <v>3</v>
          </cell>
          <cell r="GB27">
            <v>1</v>
          </cell>
          <cell r="GC27">
            <v>0</v>
          </cell>
          <cell r="GE27">
            <v>0</v>
          </cell>
          <cell r="GH27">
            <v>0</v>
          </cell>
          <cell r="GI27">
            <v>2</v>
          </cell>
          <cell r="GJ27">
            <v>1</v>
          </cell>
          <cell r="GK27">
            <v>1</v>
          </cell>
          <cell r="GL27">
            <v>0</v>
          </cell>
          <cell r="GN27">
            <v>1</v>
          </cell>
        </row>
        <row r="28">
          <cell r="B28" t="str">
            <v>CEREZYME</v>
          </cell>
          <cell r="C28" t="str">
            <v>GZY</v>
          </cell>
          <cell r="D28">
            <v>6</v>
          </cell>
          <cell r="E28">
            <v>8</v>
          </cell>
          <cell r="F28">
            <v>6</v>
          </cell>
          <cell r="G28">
            <v>9</v>
          </cell>
          <cell r="H28">
            <v>8</v>
          </cell>
          <cell r="I28">
            <v>10</v>
          </cell>
          <cell r="J28">
            <v>11</v>
          </cell>
          <cell r="K28">
            <v>5</v>
          </cell>
          <cell r="L28">
            <v>14</v>
          </cell>
          <cell r="M28">
            <v>10</v>
          </cell>
          <cell r="N28">
            <v>6</v>
          </cell>
          <cell r="O28">
            <v>8</v>
          </cell>
          <cell r="P28">
            <v>15</v>
          </cell>
          <cell r="Q28">
            <v>9</v>
          </cell>
          <cell r="R28">
            <v>7</v>
          </cell>
          <cell r="S28">
            <v>6</v>
          </cell>
          <cell r="T28">
            <v>6</v>
          </cell>
          <cell r="U28">
            <v>12</v>
          </cell>
          <cell r="V28">
            <v>10</v>
          </cell>
          <cell r="W28">
            <v>13</v>
          </cell>
          <cell r="X28">
            <v>15</v>
          </cell>
          <cell r="Y28">
            <v>6</v>
          </cell>
          <cell r="Z28">
            <v>5</v>
          </cell>
          <cell r="AA28">
            <v>9</v>
          </cell>
          <cell r="AB28">
            <v>5</v>
          </cell>
          <cell r="AC28">
            <v>9</v>
          </cell>
          <cell r="AD28">
            <v>10</v>
          </cell>
          <cell r="AE28">
            <v>5</v>
          </cell>
          <cell r="AF28">
            <v>7</v>
          </cell>
          <cell r="AG28">
            <v>18</v>
          </cell>
          <cell r="AH28">
            <v>10</v>
          </cell>
          <cell r="AI28">
            <v>19</v>
          </cell>
          <cell r="AJ28">
            <v>16</v>
          </cell>
          <cell r="AK28">
            <v>7</v>
          </cell>
          <cell r="AL28">
            <v>6</v>
          </cell>
          <cell r="AM28">
            <v>4</v>
          </cell>
          <cell r="AN28">
            <v>10</v>
          </cell>
          <cell r="AO28">
            <v>4</v>
          </cell>
          <cell r="AP28">
            <v>6</v>
          </cell>
          <cell r="AQ28">
            <v>3</v>
          </cell>
          <cell r="AR28">
            <v>8</v>
          </cell>
          <cell r="AS28">
            <v>11</v>
          </cell>
          <cell r="AT28">
            <v>3</v>
          </cell>
          <cell r="AU28">
            <v>8</v>
          </cell>
          <cell r="AV28">
            <v>0</v>
          </cell>
          <cell r="AW28">
            <v>8</v>
          </cell>
          <cell r="AX28">
            <v>13</v>
          </cell>
          <cell r="AY28">
            <v>9</v>
          </cell>
          <cell r="AZ28">
            <v>2</v>
          </cell>
          <cell r="BA28">
            <v>5</v>
          </cell>
          <cell r="BB28">
            <v>5</v>
          </cell>
          <cell r="BC28">
            <v>13</v>
          </cell>
          <cell r="BD28">
            <v>8</v>
          </cell>
          <cell r="BE28">
            <v>6</v>
          </cell>
          <cell r="BF28">
            <v>9</v>
          </cell>
          <cell r="BG28">
            <v>9</v>
          </cell>
          <cell r="BH28">
            <v>11</v>
          </cell>
          <cell r="BI28">
            <v>4</v>
          </cell>
          <cell r="BJ28">
            <v>9</v>
          </cell>
          <cell r="BK28">
            <v>18</v>
          </cell>
          <cell r="BL28">
            <v>7</v>
          </cell>
          <cell r="BM28">
            <v>6</v>
          </cell>
          <cell r="BN28">
            <v>18</v>
          </cell>
          <cell r="BO28">
            <v>16</v>
          </cell>
          <cell r="BP28">
            <v>6</v>
          </cell>
          <cell r="BQ28">
            <v>6</v>
          </cell>
          <cell r="BR28">
            <v>6</v>
          </cell>
          <cell r="BS28">
            <v>3</v>
          </cell>
          <cell r="BT28">
            <v>16</v>
          </cell>
          <cell r="BU28">
            <v>12</v>
          </cell>
          <cell r="BV28">
            <v>17</v>
          </cell>
          <cell r="BW28">
            <v>8</v>
          </cell>
          <cell r="BX28">
            <v>10</v>
          </cell>
          <cell r="BY28">
            <v>6</v>
          </cell>
          <cell r="BZ28">
            <v>13</v>
          </cell>
          <cell r="CA28">
            <v>7</v>
          </cell>
          <cell r="CB28">
            <v>16</v>
          </cell>
          <cell r="CC28">
            <v>13</v>
          </cell>
          <cell r="CD28">
            <v>14</v>
          </cell>
          <cell r="CE28">
            <v>9</v>
          </cell>
          <cell r="CF28">
            <v>22</v>
          </cell>
          <cell r="CG28">
            <v>8</v>
          </cell>
          <cell r="CH28">
            <v>11</v>
          </cell>
          <cell r="CI28">
            <v>7</v>
          </cell>
          <cell r="CJ28">
            <v>6</v>
          </cell>
          <cell r="CK28">
            <v>10</v>
          </cell>
          <cell r="CL28">
            <v>5</v>
          </cell>
          <cell r="CM28">
            <v>7</v>
          </cell>
          <cell r="CN28">
            <v>9</v>
          </cell>
          <cell r="CO28">
            <v>9</v>
          </cell>
          <cell r="CP28">
            <v>4</v>
          </cell>
          <cell r="CQ28">
            <v>10</v>
          </cell>
          <cell r="CR28">
            <v>12</v>
          </cell>
          <cell r="CS28">
            <v>10</v>
          </cell>
          <cell r="CT28">
            <v>9</v>
          </cell>
          <cell r="CU28">
            <v>5</v>
          </cell>
          <cell r="CV28">
            <v>8</v>
          </cell>
          <cell r="CW28">
            <v>7</v>
          </cell>
          <cell r="CX28">
            <v>13</v>
          </cell>
          <cell r="CY28">
            <v>6</v>
          </cell>
          <cell r="CZ28">
            <v>13</v>
          </cell>
          <cell r="DA28">
            <v>9</v>
          </cell>
          <cell r="DB28">
            <v>8</v>
          </cell>
          <cell r="DC28">
            <v>11</v>
          </cell>
          <cell r="DD28">
            <v>6</v>
          </cell>
          <cell r="DE28">
            <v>15</v>
          </cell>
          <cell r="DF28">
            <v>9</v>
          </cell>
          <cell r="DG28">
            <v>18</v>
          </cell>
          <cell r="DH28">
            <v>13</v>
          </cell>
          <cell r="DI28">
            <v>11</v>
          </cell>
          <cell r="DJ28">
            <v>9</v>
          </cell>
          <cell r="DK28">
            <v>11</v>
          </cell>
          <cell r="DL28">
            <v>7</v>
          </cell>
          <cell r="DM28">
            <v>18</v>
          </cell>
          <cell r="DN28">
            <v>13</v>
          </cell>
          <cell r="DO28">
            <v>8</v>
          </cell>
          <cell r="DP28">
            <v>7</v>
          </cell>
          <cell r="DQ28">
            <v>7</v>
          </cell>
          <cell r="DR28">
            <v>6</v>
          </cell>
          <cell r="DS28">
            <v>6</v>
          </cell>
          <cell r="DT28">
            <v>8</v>
          </cell>
          <cell r="DU28">
            <v>8</v>
          </cell>
          <cell r="DV28">
            <v>6</v>
          </cell>
          <cell r="DW28">
            <v>7</v>
          </cell>
          <cell r="DX28">
            <v>8</v>
          </cell>
          <cell r="DY28">
            <v>10</v>
          </cell>
          <cell r="DZ28">
            <v>3</v>
          </cell>
          <cell r="EA28">
            <v>11</v>
          </cell>
          <cell r="EB28">
            <v>16</v>
          </cell>
          <cell r="EC28">
            <v>8</v>
          </cell>
          <cell r="ED28">
            <v>5</v>
          </cell>
          <cell r="EE28">
            <v>9</v>
          </cell>
          <cell r="EF28">
            <v>7</v>
          </cell>
          <cell r="EG28">
            <v>8</v>
          </cell>
          <cell r="EH28">
            <v>10</v>
          </cell>
          <cell r="EI28">
            <v>6</v>
          </cell>
          <cell r="EJ28">
            <v>14</v>
          </cell>
          <cell r="EK28">
            <v>11</v>
          </cell>
          <cell r="EL28">
            <v>6</v>
          </cell>
          <cell r="EM28">
            <v>21</v>
          </cell>
          <cell r="EN28">
            <v>7</v>
          </cell>
          <cell r="EO28">
            <v>16</v>
          </cell>
          <cell r="EP28">
            <v>3</v>
          </cell>
          <cell r="EQ28">
            <v>12</v>
          </cell>
          <cell r="ER28">
            <v>9</v>
          </cell>
          <cell r="ES28">
            <v>8</v>
          </cell>
          <cell r="ET28">
            <v>18</v>
          </cell>
          <cell r="EU28">
            <v>11</v>
          </cell>
          <cell r="EV28">
            <v>4</v>
          </cell>
          <cell r="EW28">
            <v>6</v>
          </cell>
          <cell r="EX28">
            <v>9</v>
          </cell>
          <cell r="EY28">
            <v>8</v>
          </cell>
          <cell r="EZ28">
            <v>3</v>
          </cell>
          <cell r="FA28">
            <v>6</v>
          </cell>
          <cell r="FB28">
            <v>7</v>
          </cell>
          <cell r="FC28">
            <v>7</v>
          </cell>
          <cell r="FD28">
            <v>7</v>
          </cell>
          <cell r="FE28">
            <v>4</v>
          </cell>
          <cell r="FF28">
            <v>9</v>
          </cell>
          <cell r="FG28">
            <v>20</v>
          </cell>
          <cell r="FH28">
            <v>11</v>
          </cell>
          <cell r="FI28">
            <v>16</v>
          </cell>
          <cell r="FJ28">
            <v>8</v>
          </cell>
          <cell r="FK28">
            <v>8</v>
          </cell>
          <cell r="FL28">
            <v>9</v>
          </cell>
          <cell r="FM28">
            <v>0</v>
          </cell>
          <cell r="FN28">
            <v>0</v>
          </cell>
          <cell r="FO28">
            <v>4</v>
          </cell>
          <cell r="FP28">
            <v>5</v>
          </cell>
          <cell r="FQ28">
            <v>3</v>
          </cell>
          <cell r="FR28">
            <v>3</v>
          </cell>
          <cell r="FS28">
            <v>1</v>
          </cell>
          <cell r="FT28">
            <v>4</v>
          </cell>
          <cell r="FU28">
            <v>9</v>
          </cell>
          <cell r="FV28">
            <v>0</v>
          </cell>
          <cell r="FW28">
            <v>0</v>
          </cell>
          <cell r="FX28">
            <v>7</v>
          </cell>
          <cell r="FY28">
            <v>3</v>
          </cell>
          <cell r="FZ28">
            <v>2</v>
          </cell>
          <cell r="GA28">
            <v>2</v>
          </cell>
          <cell r="GB28">
            <v>23</v>
          </cell>
          <cell r="GC28">
            <v>1</v>
          </cell>
          <cell r="GD28">
            <v>24</v>
          </cell>
          <cell r="GE28">
            <v>23</v>
          </cell>
          <cell r="GF28">
            <v>17</v>
          </cell>
          <cell r="GG28">
            <v>16</v>
          </cell>
          <cell r="GH28">
            <v>12</v>
          </cell>
          <cell r="GI28">
            <v>11</v>
          </cell>
          <cell r="GJ28">
            <v>6</v>
          </cell>
          <cell r="GK28">
            <v>0</v>
          </cell>
          <cell r="GL28">
            <v>29</v>
          </cell>
          <cell r="GM28">
            <v>6</v>
          </cell>
          <cell r="GN28">
            <v>11</v>
          </cell>
        </row>
        <row r="29">
          <cell r="B29" t="str">
            <v>COMBIVIR</v>
          </cell>
          <cell r="C29" t="str">
            <v>GSK</v>
          </cell>
          <cell r="D29">
            <v>4369</v>
          </cell>
          <cell r="E29">
            <v>4012</v>
          </cell>
          <cell r="F29">
            <v>4336</v>
          </cell>
          <cell r="G29">
            <v>4292</v>
          </cell>
          <cell r="H29">
            <v>4109</v>
          </cell>
          <cell r="I29">
            <v>4308</v>
          </cell>
          <cell r="J29">
            <v>4182</v>
          </cell>
          <cell r="K29">
            <v>4122</v>
          </cell>
          <cell r="L29">
            <v>4067</v>
          </cell>
          <cell r="M29">
            <v>3981</v>
          </cell>
          <cell r="N29">
            <v>3851</v>
          </cell>
          <cell r="O29">
            <v>4034</v>
          </cell>
          <cell r="P29">
            <v>4069</v>
          </cell>
          <cell r="Q29">
            <v>4169</v>
          </cell>
          <cell r="R29">
            <v>4160</v>
          </cell>
          <cell r="S29">
            <v>3974</v>
          </cell>
          <cell r="T29">
            <v>4107</v>
          </cell>
          <cell r="U29">
            <v>4211</v>
          </cell>
          <cell r="V29">
            <v>4278</v>
          </cell>
          <cell r="W29">
            <v>3967</v>
          </cell>
          <cell r="X29">
            <v>3857</v>
          </cell>
          <cell r="Y29">
            <v>3185</v>
          </cell>
          <cell r="Z29">
            <v>4055</v>
          </cell>
          <cell r="AA29">
            <v>3933</v>
          </cell>
          <cell r="AB29">
            <v>3834</v>
          </cell>
          <cell r="AC29">
            <v>3927</v>
          </cell>
          <cell r="AD29">
            <v>3436</v>
          </cell>
          <cell r="AE29">
            <v>3683</v>
          </cell>
          <cell r="AF29">
            <v>3976</v>
          </cell>
          <cell r="AG29">
            <v>3863</v>
          </cell>
          <cell r="AH29">
            <v>3864</v>
          </cell>
          <cell r="AI29">
            <v>4030</v>
          </cell>
          <cell r="AJ29">
            <v>3744</v>
          </cell>
          <cell r="AK29">
            <v>3684</v>
          </cell>
          <cell r="AL29">
            <v>3532</v>
          </cell>
          <cell r="AM29">
            <v>3887</v>
          </cell>
          <cell r="AN29">
            <v>3920</v>
          </cell>
          <cell r="AO29">
            <v>3723</v>
          </cell>
          <cell r="AP29">
            <v>3659</v>
          </cell>
          <cell r="AQ29">
            <v>3729</v>
          </cell>
          <cell r="AR29">
            <v>3889</v>
          </cell>
          <cell r="AS29">
            <v>3523</v>
          </cell>
          <cell r="AT29">
            <v>3569</v>
          </cell>
          <cell r="AU29">
            <v>3457</v>
          </cell>
          <cell r="AV29">
            <v>3663</v>
          </cell>
          <cell r="AW29">
            <v>3700</v>
          </cell>
          <cell r="AX29">
            <v>3719</v>
          </cell>
          <cell r="AY29">
            <v>3608</v>
          </cell>
          <cell r="AZ29">
            <v>3351</v>
          </cell>
          <cell r="BA29">
            <v>3722</v>
          </cell>
          <cell r="BB29">
            <v>3545</v>
          </cell>
          <cell r="BC29">
            <v>3588</v>
          </cell>
          <cell r="BD29">
            <v>3667</v>
          </cell>
          <cell r="BE29">
            <v>3332</v>
          </cell>
          <cell r="BF29">
            <v>3621</v>
          </cell>
          <cell r="BG29">
            <v>3512</v>
          </cell>
          <cell r="BH29">
            <v>3481</v>
          </cell>
          <cell r="BI29">
            <v>3779</v>
          </cell>
          <cell r="BJ29">
            <v>3600</v>
          </cell>
          <cell r="BK29">
            <v>3543</v>
          </cell>
          <cell r="BL29">
            <v>3362</v>
          </cell>
          <cell r="BM29">
            <v>3453</v>
          </cell>
          <cell r="BN29">
            <v>3252</v>
          </cell>
          <cell r="BO29">
            <v>3563</v>
          </cell>
          <cell r="BP29">
            <v>3450</v>
          </cell>
          <cell r="BQ29">
            <v>3582</v>
          </cell>
          <cell r="BR29">
            <v>3650</v>
          </cell>
          <cell r="BS29">
            <v>3418</v>
          </cell>
          <cell r="BT29">
            <v>3406</v>
          </cell>
          <cell r="BU29">
            <v>3366</v>
          </cell>
          <cell r="BV29">
            <v>3426</v>
          </cell>
          <cell r="BW29">
            <v>3513</v>
          </cell>
          <cell r="BX29">
            <v>3213</v>
          </cell>
          <cell r="BY29">
            <v>2703</v>
          </cell>
          <cell r="BZ29">
            <v>3299</v>
          </cell>
          <cell r="CA29">
            <v>3460</v>
          </cell>
          <cell r="CB29">
            <v>3305</v>
          </cell>
          <cell r="CC29">
            <v>3534</v>
          </cell>
          <cell r="CD29">
            <v>2765</v>
          </cell>
          <cell r="CE29">
            <v>2926</v>
          </cell>
          <cell r="CF29">
            <v>3441</v>
          </cell>
          <cell r="CG29">
            <v>3235</v>
          </cell>
          <cell r="CH29">
            <v>3251</v>
          </cell>
          <cell r="CI29">
            <v>3344</v>
          </cell>
          <cell r="CJ29">
            <v>3272</v>
          </cell>
          <cell r="CK29">
            <v>3331</v>
          </cell>
          <cell r="CL29">
            <v>3054</v>
          </cell>
          <cell r="CM29">
            <v>3350</v>
          </cell>
          <cell r="CN29">
            <v>3520</v>
          </cell>
          <cell r="CO29">
            <v>3369</v>
          </cell>
          <cell r="CP29">
            <v>3245</v>
          </cell>
          <cell r="CQ29">
            <v>3140</v>
          </cell>
          <cell r="CR29">
            <v>3322</v>
          </cell>
          <cell r="CS29">
            <v>3163</v>
          </cell>
          <cell r="CT29">
            <v>3186</v>
          </cell>
          <cell r="CU29">
            <v>3045</v>
          </cell>
          <cell r="CV29">
            <v>3203</v>
          </cell>
          <cell r="CW29">
            <v>3077</v>
          </cell>
          <cell r="CX29">
            <v>3070</v>
          </cell>
          <cell r="CY29">
            <v>3021</v>
          </cell>
          <cell r="CZ29">
            <v>2751</v>
          </cell>
          <cell r="DA29">
            <v>3290</v>
          </cell>
          <cell r="DB29">
            <v>3007</v>
          </cell>
          <cell r="DC29">
            <v>2951</v>
          </cell>
          <cell r="DD29">
            <v>2793</v>
          </cell>
          <cell r="DE29">
            <v>2825</v>
          </cell>
          <cell r="DF29">
            <v>3019</v>
          </cell>
          <cell r="DG29">
            <v>3089</v>
          </cell>
          <cell r="DH29">
            <v>2885</v>
          </cell>
          <cell r="DI29">
            <v>3136</v>
          </cell>
          <cell r="DJ29">
            <v>3081</v>
          </cell>
          <cell r="DK29">
            <v>3044</v>
          </cell>
          <cell r="DL29">
            <v>2944</v>
          </cell>
          <cell r="DM29">
            <v>2935</v>
          </cell>
          <cell r="DN29">
            <v>2822</v>
          </cell>
          <cell r="DO29">
            <v>3184</v>
          </cell>
          <cell r="DP29">
            <v>2904</v>
          </cell>
          <cell r="DQ29">
            <v>2847</v>
          </cell>
          <cell r="DR29">
            <v>3056</v>
          </cell>
          <cell r="DS29">
            <v>2931</v>
          </cell>
          <cell r="DT29">
            <v>2840</v>
          </cell>
          <cell r="DU29">
            <v>3022</v>
          </cell>
          <cell r="DV29">
            <v>2865</v>
          </cell>
          <cell r="DW29">
            <v>2855</v>
          </cell>
          <cell r="DX29">
            <v>2854</v>
          </cell>
          <cell r="DY29">
            <v>3039</v>
          </cell>
          <cell r="DZ29">
            <v>2410</v>
          </cell>
          <cell r="EA29">
            <v>3017</v>
          </cell>
          <cell r="EB29">
            <v>2815</v>
          </cell>
          <cell r="EC29">
            <v>2870</v>
          </cell>
          <cell r="ED29">
            <v>2285</v>
          </cell>
          <cell r="EE29">
            <v>2526</v>
          </cell>
          <cell r="EF29">
            <v>2843</v>
          </cell>
          <cell r="EG29">
            <v>2835</v>
          </cell>
          <cell r="EH29">
            <v>2693</v>
          </cell>
          <cell r="EI29">
            <v>2894</v>
          </cell>
          <cell r="EJ29">
            <v>2826</v>
          </cell>
          <cell r="EK29">
            <v>2757</v>
          </cell>
          <cell r="EL29">
            <v>2653</v>
          </cell>
          <cell r="EM29">
            <v>2802</v>
          </cell>
          <cell r="EN29">
            <v>3003</v>
          </cell>
          <cell r="EO29">
            <v>2613</v>
          </cell>
          <cell r="EP29">
            <v>2842</v>
          </cell>
          <cell r="EQ29">
            <v>2640</v>
          </cell>
          <cell r="ER29">
            <v>2752</v>
          </cell>
          <cell r="ES29">
            <v>2845</v>
          </cell>
          <cell r="ET29">
            <v>2593</v>
          </cell>
          <cell r="EU29">
            <v>2707</v>
          </cell>
          <cell r="EV29">
            <v>2803</v>
          </cell>
          <cell r="EW29">
            <v>2810</v>
          </cell>
          <cell r="EX29">
            <v>2565</v>
          </cell>
          <cell r="EY29">
            <v>2442</v>
          </cell>
          <cell r="EZ29">
            <v>2406</v>
          </cell>
          <cell r="FA29">
            <v>2845</v>
          </cell>
          <cell r="FB29">
            <v>2564</v>
          </cell>
          <cell r="FC29">
            <v>2514</v>
          </cell>
          <cell r="FD29">
            <v>2599</v>
          </cell>
          <cell r="FE29">
            <v>2629</v>
          </cell>
          <cell r="FF29">
            <v>2304</v>
          </cell>
          <cell r="FG29">
            <v>2231</v>
          </cell>
          <cell r="FH29">
            <v>2207</v>
          </cell>
          <cell r="FI29">
            <v>2435</v>
          </cell>
          <cell r="FJ29">
            <v>2459</v>
          </cell>
          <cell r="FK29">
            <v>2405</v>
          </cell>
          <cell r="FL29">
            <v>2358</v>
          </cell>
          <cell r="FM29">
            <v>2482</v>
          </cell>
          <cell r="FN29">
            <v>2549</v>
          </cell>
          <cell r="FO29">
            <v>2244</v>
          </cell>
          <cell r="FP29">
            <v>2439</v>
          </cell>
          <cell r="FQ29">
            <v>2516</v>
          </cell>
          <cell r="FR29">
            <v>2530</v>
          </cell>
          <cell r="FS29">
            <v>2501</v>
          </cell>
          <cell r="FT29">
            <v>2425</v>
          </cell>
          <cell r="FU29">
            <v>2396</v>
          </cell>
          <cell r="FV29">
            <v>2489</v>
          </cell>
          <cell r="FW29">
            <v>2533</v>
          </cell>
          <cell r="FX29">
            <v>2349</v>
          </cell>
          <cell r="FY29">
            <v>2378</v>
          </cell>
          <cell r="FZ29">
            <v>2106</v>
          </cell>
          <cell r="GA29">
            <v>2705</v>
          </cell>
          <cell r="GB29">
            <v>2491</v>
          </cell>
          <cell r="GC29">
            <v>2558</v>
          </cell>
          <cell r="GD29">
            <v>2121</v>
          </cell>
          <cell r="GE29">
            <v>2283</v>
          </cell>
          <cell r="GF29">
            <v>2591</v>
          </cell>
          <cell r="GG29">
            <v>2663</v>
          </cell>
          <cell r="GH29">
            <v>2322</v>
          </cell>
          <cell r="GI29">
            <v>2461</v>
          </cell>
          <cell r="GJ29">
            <v>2629</v>
          </cell>
          <cell r="GK29">
            <v>2269</v>
          </cell>
          <cell r="GL29">
            <v>2289</v>
          </cell>
          <cell r="GM29">
            <v>2291</v>
          </cell>
          <cell r="GN29">
            <v>2524</v>
          </cell>
        </row>
        <row r="30">
          <cell r="B30" t="str">
            <v>COPAXONE</v>
          </cell>
          <cell r="C30" t="str">
            <v>TVN</v>
          </cell>
          <cell r="D30">
            <v>3158</v>
          </cell>
          <cell r="E30">
            <v>2470</v>
          </cell>
          <cell r="F30">
            <v>3107</v>
          </cell>
          <cell r="G30">
            <v>3254</v>
          </cell>
          <cell r="H30">
            <v>3029</v>
          </cell>
          <cell r="I30">
            <v>3018</v>
          </cell>
          <cell r="J30">
            <v>2799</v>
          </cell>
          <cell r="K30">
            <v>2910</v>
          </cell>
          <cell r="L30">
            <v>2964</v>
          </cell>
          <cell r="M30">
            <v>3198</v>
          </cell>
          <cell r="N30">
            <v>2641</v>
          </cell>
          <cell r="O30">
            <v>2885</v>
          </cell>
          <cell r="P30">
            <v>3140</v>
          </cell>
          <cell r="Q30">
            <v>3342</v>
          </cell>
          <cell r="R30">
            <v>3051</v>
          </cell>
          <cell r="S30">
            <v>3125</v>
          </cell>
          <cell r="T30">
            <v>2866</v>
          </cell>
          <cell r="U30">
            <v>3235</v>
          </cell>
          <cell r="V30">
            <v>3284</v>
          </cell>
          <cell r="W30">
            <v>3090</v>
          </cell>
          <cell r="X30">
            <v>3364</v>
          </cell>
          <cell r="Y30">
            <v>2274</v>
          </cell>
          <cell r="Z30">
            <v>3385</v>
          </cell>
          <cell r="AA30">
            <v>3488</v>
          </cell>
          <cell r="AB30">
            <v>3246</v>
          </cell>
          <cell r="AC30">
            <v>3284</v>
          </cell>
          <cell r="AD30">
            <v>2942</v>
          </cell>
          <cell r="AE30">
            <v>2643</v>
          </cell>
          <cell r="AF30">
            <v>3589</v>
          </cell>
          <cell r="AG30">
            <v>3686</v>
          </cell>
          <cell r="AH30">
            <v>3776</v>
          </cell>
          <cell r="AI30">
            <v>3855</v>
          </cell>
          <cell r="AJ30">
            <v>3641</v>
          </cell>
          <cell r="AK30">
            <v>3262</v>
          </cell>
          <cell r="AL30">
            <v>3334</v>
          </cell>
          <cell r="AM30">
            <v>3498</v>
          </cell>
          <cell r="AN30">
            <v>3354</v>
          </cell>
          <cell r="AO30">
            <v>3161</v>
          </cell>
          <cell r="AP30">
            <v>3334</v>
          </cell>
          <cell r="AQ30">
            <v>3220</v>
          </cell>
          <cell r="AR30">
            <v>3091</v>
          </cell>
          <cell r="AS30">
            <v>3332</v>
          </cell>
          <cell r="AT30">
            <v>3264</v>
          </cell>
          <cell r="AU30">
            <v>3296</v>
          </cell>
          <cell r="AV30">
            <v>2933</v>
          </cell>
          <cell r="AW30">
            <v>3040</v>
          </cell>
          <cell r="AX30">
            <v>3001</v>
          </cell>
          <cell r="AY30">
            <v>3529</v>
          </cell>
          <cell r="AZ30">
            <v>3023</v>
          </cell>
          <cell r="BA30">
            <v>3798</v>
          </cell>
          <cell r="BB30">
            <v>3553</v>
          </cell>
          <cell r="BC30">
            <v>3912</v>
          </cell>
          <cell r="BD30">
            <v>3919</v>
          </cell>
          <cell r="BE30">
            <v>2716</v>
          </cell>
          <cell r="BF30">
            <v>4113</v>
          </cell>
          <cell r="BG30">
            <v>3849</v>
          </cell>
          <cell r="BH30">
            <v>3987</v>
          </cell>
          <cell r="BI30">
            <v>3972</v>
          </cell>
          <cell r="BJ30">
            <v>3674</v>
          </cell>
          <cell r="BK30">
            <v>3447</v>
          </cell>
          <cell r="BL30">
            <v>3470</v>
          </cell>
          <cell r="BM30">
            <v>3741</v>
          </cell>
          <cell r="BN30">
            <v>2797</v>
          </cell>
          <cell r="BO30">
            <v>3430</v>
          </cell>
          <cell r="BP30">
            <v>3570</v>
          </cell>
          <cell r="BQ30">
            <v>3341</v>
          </cell>
          <cell r="BR30">
            <v>3526</v>
          </cell>
          <cell r="BS30">
            <v>3292</v>
          </cell>
          <cell r="BT30">
            <v>3524</v>
          </cell>
          <cell r="BU30">
            <v>3119</v>
          </cell>
          <cell r="BV30">
            <v>3265</v>
          </cell>
          <cell r="BW30">
            <v>3303</v>
          </cell>
          <cell r="BX30">
            <v>3407</v>
          </cell>
          <cell r="BY30">
            <v>2208</v>
          </cell>
          <cell r="BZ30">
            <v>3378</v>
          </cell>
          <cell r="CA30">
            <v>2825</v>
          </cell>
          <cell r="CB30">
            <v>2988</v>
          </cell>
          <cell r="CC30">
            <v>3166</v>
          </cell>
          <cell r="CD30">
            <v>2575</v>
          </cell>
          <cell r="CE30">
            <v>2419</v>
          </cell>
          <cell r="CF30">
            <v>3542</v>
          </cell>
          <cell r="CG30">
            <v>3518</v>
          </cell>
          <cell r="CH30">
            <v>3325</v>
          </cell>
          <cell r="CI30">
            <v>3391</v>
          </cell>
          <cell r="CJ30">
            <v>3135</v>
          </cell>
          <cell r="CK30">
            <v>3205</v>
          </cell>
          <cell r="CL30">
            <v>3429</v>
          </cell>
          <cell r="CM30">
            <v>3649</v>
          </cell>
          <cell r="CN30">
            <v>3284</v>
          </cell>
          <cell r="CO30">
            <v>3227</v>
          </cell>
          <cell r="CP30">
            <v>3233</v>
          </cell>
          <cell r="CQ30">
            <v>3312</v>
          </cell>
          <cell r="CR30">
            <v>3221</v>
          </cell>
          <cell r="CS30">
            <v>3245</v>
          </cell>
          <cell r="CT30">
            <v>3064</v>
          </cell>
          <cell r="CU30">
            <v>2977</v>
          </cell>
          <cell r="CV30">
            <v>3177</v>
          </cell>
          <cell r="CW30">
            <v>3132</v>
          </cell>
          <cell r="CX30">
            <v>3062</v>
          </cell>
          <cell r="CY30">
            <v>2499</v>
          </cell>
          <cell r="CZ30">
            <v>2313</v>
          </cell>
          <cell r="DA30">
            <v>3644</v>
          </cell>
          <cell r="DB30">
            <v>3582</v>
          </cell>
          <cell r="DC30">
            <v>3952</v>
          </cell>
          <cell r="DD30">
            <v>3766</v>
          </cell>
          <cell r="DE30">
            <v>3421</v>
          </cell>
          <cell r="DF30">
            <v>4619</v>
          </cell>
          <cell r="DG30">
            <v>4277</v>
          </cell>
          <cell r="DH30">
            <v>4195</v>
          </cell>
          <cell r="DI30">
            <v>4333</v>
          </cell>
          <cell r="DJ30">
            <v>3815</v>
          </cell>
          <cell r="DK30">
            <v>3974</v>
          </cell>
          <cell r="DL30">
            <v>3499</v>
          </cell>
          <cell r="DM30">
            <v>3929</v>
          </cell>
          <cell r="DN30">
            <v>2967</v>
          </cell>
          <cell r="DO30">
            <v>3408</v>
          </cell>
          <cell r="DP30">
            <v>3237</v>
          </cell>
          <cell r="DQ30">
            <v>3264</v>
          </cell>
          <cell r="DR30">
            <v>3104</v>
          </cell>
          <cell r="DS30">
            <v>3160</v>
          </cell>
          <cell r="DT30">
            <v>3023</v>
          </cell>
          <cell r="DU30">
            <v>3178</v>
          </cell>
          <cell r="DV30">
            <v>3301</v>
          </cell>
          <cell r="DW30">
            <v>3247</v>
          </cell>
          <cell r="DX30">
            <v>3173</v>
          </cell>
          <cell r="DY30">
            <v>3134</v>
          </cell>
          <cell r="DZ30">
            <v>2286</v>
          </cell>
          <cell r="EA30">
            <v>3530</v>
          </cell>
          <cell r="EB30">
            <v>3240</v>
          </cell>
          <cell r="EC30">
            <v>3328</v>
          </cell>
          <cell r="ED30">
            <v>2291</v>
          </cell>
          <cell r="EE30">
            <v>2782</v>
          </cell>
          <cell r="EF30">
            <v>2945</v>
          </cell>
          <cell r="EG30">
            <v>3298</v>
          </cell>
          <cell r="EH30">
            <v>3340</v>
          </cell>
          <cell r="EI30">
            <v>3452</v>
          </cell>
          <cell r="EJ30">
            <v>3535</v>
          </cell>
          <cell r="EK30">
            <v>3255</v>
          </cell>
          <cell r="EL30">
            <v>3193</v>
          </cell>
          <cell r="EM30">
            <v>3351</v>
          </cell>
          <cell r="EN30">
            <v>3290</v>
          </cell>
          <cell r="EO30">
            <v>3123</v>
          </cell>
          <cell r="EP30">
            <v>3184</v>
          </cell>
          <cell r="EQ30">
            <v>3046</v>
          </cell>
          <cell r="ER30">
            <v>3024</v>
          </cell>
          <cell r="ES30">
            <v>3003</v>
          </cell>
          <cell r="ET30">
            <v>2796</v>
          </cell>
          <cell r="EU30">
            <v>2899</v>
          </cell>
          <cell r="EV30">
            <v>2913</v>
          </cell>
          <cell r="EW30">
            <v>2786</v>
          </cell>
          <cell r="EX30">
            <v>2669</v>
          </cell>
          <cell r="EY30">
            <v>2755</v>
          </cell>
          <cell r="EZ30">
            <v>2327</v>
          </cell>
          <cell r="FA30">
            <v>2818</v>
          </cell>
          <cell r="FB30">
            <v>2713</v>
          </cell>
          <cell r="FC30">
            <v>2603</v>
          </cell>
          <cell r="FD30">
            <v>3011</v>
          </cell>
          <cell r="FE30">
            <v>2633</v>
          </cell>
          <cell r="FF30">
            <v>2521</v>
          </cell>
          <cell r="FG30">
            <v>2636</v>
          </cell>
          <cell r="FH30">
            <v>2602</v>
          </cell>
          <cell r="FI30">
            <v>2899</v>
          </cell>
          <cell r="FJ30">
            <v>2988</v>
          </cell>
          <cell r="FK30">
            <v>2770</v>
          </cell>
          <cell r="FL30">
            <v>2767</v>
          </cell>
          <cell r="FM30">
            <v>2798</v>
          </cell>
          <cell r="FN30">
            <v>2724</v>
          </cell>
          <cell r="FO30">
            <v>2367</v>
          </cell>
          <cell r="FP30">
            <v>2795</v>
          </cell>
          <cell r="FQ30">
            <v>2710</v>
          </cell>
          <cell r="FR30">
            <v>2800</v>
          </cell>
          <cell r="FS30">
            <v>2758</v>
          </cell>
          <cell r="FT30">
            <v>2494</v>
          </cell>
          <cell r="FU30">
            <v>2539</v>
          </cell>
          <cell r="FV30">
            <v>2710</v>
          </cell>
          <cell r="FW30">
            <v>2657</v>
          </cell>
          <cell r="FX30">
            <v>2634</v>
          </cell>
          <cell r="FY30">
            <v>2776</v>
          </cell>
          <cell r="FZ30">
            <v>2138</v>
          </cell>
          <cell r="GA30">
            <v>3041</v>
          </cell>
          <cell r="GB30">
            <v>2947</v>
          </cell>
          <cell r="GC30">
            <v>3109</v>
          </cell>
          <cell r="GD30">
            <v>2174</v>
          </cell>
          <cell r="GE30">
            <v>2427</v>
          </cell>
          <cell r="GF30">
            <v>2445</v>
          </cell>
          <cell r="GG30">
            <v>3196</v>
          </cell>
          <cell r="GH30">
            <v>3291</v>
          </cell>
          <cell r="GI30">
            <v>3818</v>
          </cell>
          <cell r="GJ30">
            <v>3332</v>
          </cell>
          <cell r="GK30">
            <v>2956</v>
          </cell>
          <cell r="GL30">
            <v>3155</v>
          </cell>
          <cell r="GM30">
            <v>3290</v>
          </cell>
          <cell r="GN30">
            <v>3270</v>
          </cell>
        </row>
        <row r="31">
          <cell r="B31" t="str">
            <v>CRIXIVAN</v>
          </cell>
          <cell r="C31" t="str">
            <v>MSD</v>
          </cell>
          <cell r="D31">
            <v>398</v>
          </cell>
          <cell r="E31">
            <v>375</v>
          </cell>
          <cell r="F31">
            <v>402</v>
          </cell>
          <cell r="G31">
            <v>378</v>
          </cell>
          <cell r="H31">
            <v>405</v>
          </cell>
          <cell r="I31">
            <v>366</v>
          </cell>
          <cell r="J31">
            <v>359</v>
          </cell>
          <cell r="K31">
            <v>400</v>
          </cell>
          <cell r="L31">
            <v>378</v>
          </cell>
          <cell r="M31">
            <v>403</v>
          </cell>
          <cell r="N31">
            <v>392</v>
          </cell>
          <cell r="O31">
            <v>379</v>
          </cell>
          <cell r="P31">
            <v>351</v>
          </cell>
          <cell r="Q31">
            <v>364</v>
          </cell>
          <cell r="R31">
            <v>377</v>
          </cell>
          <cell r="S31">
            <v>345</v>
          </cell>
          <cell r="T31">
            <v>304</v>
          </cell>
          <cell r="U31">
            <v>355</v>
          </cell>
          <cell r="V31">
            <v>425</v>
          </cell>
          <cell r="W31">
            <v>368</v>
          </cell>
          <cell r="X31">
            <v>371</v>
          </cell>
          <cell r="Y31">
            <v>271</v>
          </cell>
          <cell r="Z31">
            <v>419</v>
          </cell>
          <cell r="AA31">
            <v>378</v>
          </cell>
          <cell r="AB31">
            <v>345</v>
          </cell>
          <cell r="AC31">
            <v>329</v>
          </cell>
          <cell r="AD31">
            <v>290</v>
          </cell>
          <cell r="AE31">
            <v>289</v>
          </cell>
          <cell r="AF31">
            <v>325</v>
          </cell>
          <cell r="AG31">
            <v>330</v>
          </cell>
          <cell r="AH31">
            <v>344</v>
          </cell>
          <cell r="AI31">
            <v>360</v>
          </cell>
          <cell r="AJ31">
            <v>315</v>
          </cell>
          <cell r="AK31">
            <v>296</v>
          </cell>
          <cell r="AL31">
            <v>303</v>
          </cell>
          <cell r="AM31">
            <v>369</v>
          </cell>
          <cell r="AN31">
            <v>336</v>
          </cell>
          <cell r="AO31">
            <v>266</v>
          </cell>
          <cell r="AP31">
            <v>286</v>
          </cell>
          <cell r="AQ31">
            <v>313</v>
          </cell>
          <cell r="AR31">
            <v>278</v>
          </cell>
          <cell r="AS31">
            <v>300</v>
          </cell>
          <cell r="AT31">
            <v>261</v>
          </cell>
          <cell r="AU31">
            <v>284</v>
          </cell>
          <cell r="AV31">
            <v>332</v>
          </cell>
          <cell r="AW31">
            <v>256</v>
          </cell>
          <cell r="AX31">
            <v>250</v>
          </cell>
          <cell r="AY31">
            <v>249</v>
          </cell>
          <cell r="AZ31">
            <v>272</v>
          </cell>
          <cell r="BA31">
            <v>326</v>
          </cell>
          <cell r="BB31">
            <v>287</v>
          </cell>
          <cell r="BC31">
            <v>276</v>
          </cell>
          <cell r="BD31">
            <v>269</v>
          </cell>
          <cell r="BE31">
            <v>306</v>
          </cell>
          <cell r="BF31">
            <v>256</v>
          </cell>
          <cell r="BG31">
            <v>289</v>
          </cell>
          <cell r="BH31">
            <v>289</v>
          </cell>
          <cell r="BI31">
            <v>297</v>
          </cell>
          <cell r="BJ31">
            <v>295</v>
          </cell>
          <cell r="BK31">
            <v>285</v>
          </cell>
          <cell r="BL31">
            <v>258</v>
          </cell>
          <cell r="BM31">
            <v>274</v>
          </cell>
          <cell r="BN31">
            <v>239</v>
          </cell>
          <cell r="BO31">
            <v>255</v>
          </cell>
          <cell r="BP31">
            <v>264</v>
          </cell>
          <cell r="BQ31">
            <v>274</v>
          </cell>
          <cell r="BR31">
            <v>289</v>
          </cell>
          <cell r="BS31">
            <v>217</v>
          </cell>
          <cell r="BT31">
            <v>253</v>
          </cell>
          <cell r="BU31">
            <v>222</v>
          </cell>
          <cell r="BV31">
            <v>242</v>
          </cell>
          <cell r="BW31">
            <v>249</v>
          </cell>
          <cell r="BX31">
            <v>235</v>
          </cell>
          <cell r="BY31">
            <v>156</v>
          </cell>
          <cell r="BZ31">
            <v>284</v>
          </cell>
          <cell r="CA31">
            <v>208</v>
          </cell>
          <cell r="CB31">
            <v>200</v>
          </cell>
          <cell r="CC31">
            <v>225</v>
          </cell>
          <cell r="CD31">
            <v>194</v>
          </cell>
          <cell r="CE31">
            <v>196</v>
          </cell>
          <cell r="CF31">
            <v>218</v>
          </cell>
          <cell r="CG31">
            <v>234</v>
          </cell>
          <cell r="CH31">
            <v>236</v>
          </cell>
          <cell r="CI31">
            <v>263</v>
          </cell>
          <cell r="CJ31">
            <v>211</v>
          </cell>
          <cell r="CK31">
            <v>237</v>
          </cell>
          <cell r="CL31">
            <v>186</v>
          </cell>
          <cell r="CM31">
            <v>194</v>
          </cell>
          <cell r="CN31">
            <v>262</v>
          </cell>
          <cell r="CO31">
            <v>261</v>
          </cell>
          <cell r="CP31">
            <v>194</v>
          </cell>
          <cell r="CQ31">
            <v>224</v>
          </cell>
          <cell r="CR31">
            <v>269</v>
          </cell>
          <cell r="CS31">
            <v>204</v>
          </cell>
          <cell r="CT31">
            <v>217</v>
          </cell>
          <cell r="CU31">
            <v>211</v>
          </cell>
          <cell r="CV31">
            <v>185</v>
          </cell>
          <cell r="CW31">
            <v>211</v>
          </cell>
          <cell r="CX31">
            <v>220</v>
          </cell>
          <cell r="CY31">
            <v>198</v>
          </cell>
          <cell r="CZ31">
            <v>201</v>
          </cell>
          <cell r="DA31">
            <v>246</v>
          </cell>
          <cell r="DB31">
            <v>199</v>
          </cell>
          <cell r="DC31">
            <v>196</v>
          </cell>
          <cell r="DD31">
            <v>205</v>
          </cell>
          <cell r="DE31">
            <v>173</v>
          </cell>
          <cell r="DF31">
            <v>204</v>
          </cell>
          <cell r="DG31">
            <v>188</v>
          </cell>
          <cell r="DH31">
            <v>202</v>
          </cell>
          <cell r="DI31">
            <v>218</v>
          </cell>
          <cell r="DJ31">
            <v>200</v>
          </cell>
          <cell r="DK31">
            <v>201</v>
          </cell>
          <cell r="DL31">
            <v>166</v>
          </cell>
          <cell r="DM31">
            <v>174</v>
          </cell>
          <cell r="DN31">
            <v>176</v>
          </cell>
          <cell r="DO31">
            <v>197</v>
          </cell>
          <cell r="DP31">
            <v>156</v>
          </cell>
          <cell r="DQ31">
            <v>180</v>
          </cell>
          <cell r="DR31">
            <v>208</v>
          </cell>
          <cell r="DS31">
            <v>167</v>
          </cell>
          <cell r="DT31">
            <v>177</v>
          </cell>
          <cell r="DU31">
            <v>168</v>
          </cell>
          <cell r="DV31">
            <v>212</v>
          </cell>
          <cell r="DW31">
            <v>176</v>
          </cell>
          <cell r="DX31">
            <v>187</v>
          </cell>
          <cell r="DY31">
            <v>157</v>
          </cell>
          <cell r="DZ31">
            <v>159</v>
          </cell>
          <cell r="EA31">
            <v>203</v>
          </cell>
          <cell r="EB31">
            <v>204</v>
          </cell>
          <cell r="EC31">
            <v>209</v>
          </cell>
          <cell r="ED31">
            <v>142</v>
          </cell>
          <cell r="EE31">
            <v>132</v>
          </cell>
          <cell r="EF31">
            <v>170</v>
          </cell>
          <cell r="EG31">
            <v>162</v>
          </cell>
          <cell r="EH31">
            <v>162</v>
          </cell>
          <cell r="EI31">
            <v>221</v>
          </cell>
          <cell r="EJ31">
            <v>164</v>
          </cell>
          <cell r="EK31">
            <v>183</v>
          </cell>
          <cell r="EL31">
            <v>163</v>
          </cell>
          <cell r="EM31">
            <v>170</v>
          </cell>
          <cell r="EN31">
            <v>197</v>
          </cell>
          <cell r="EO31">
            <v>153</v>
          </cell>
          <cell r="EP31">
            <v>156</v>
          </cell>
          <cell r="EQ31">
            <v>144</v>
          </cell>
          <cell r="ER31">
            <v>190</v>
          </cell>
          <cell r="ES31">
            <v>155</v>
          </cell>
          <cell r="ET31">
            <v>156</v>
          </cell>
          <cell r="EU31">
            <v>159</v>
          </cell>
          <cell r="EV31">
            <v>200</v>
          </cell>
          <cell r="EW31">
            <v>165</v>
          </cell>
          <cell r="EX31">
            <v>166</v>
          </cell>
          <cell r="EY31">
            <v>156</v>
          </cell>
          <cell r="EZ31">
            <v>138</v>
          </cell>
          <cell r="FA31">
            <v>170</v>
          </cell>
          <cell r="FB31">
            <v>203</v>
          </cell>
          <cell r="FC31">
            <v>160</v>
          </cell>
          <cell r="FD31">
            <v>166</v>
          </cell>
          <cell r="FE31">
            <v>189</v>
          </cell>
          <cell r="FF31">
            <v>128</v>
          </cell>
          <cell r="FG31">
            <v>113</v>
          </cell>
          <cell r="FH31">
            <v>128</v>
          </cell>
          <cell r="FI31">
            <v>171</v>
          </cell>
          <cell r="FJ31">
            <v>147</v>
          </cell>
          <cell r="FK31">
            <v>131</v>
          </cell>
          <cell r="FL31">
            <v>149</v>
          </cell>
          <cell r="FM31">
            <v>127</v>
          </cell>
          <cell r="FN31">
            <v>152</v>
          </cell>
          <cell r="FO31">
            <v>126</v>
          </cell>
          <cell r="FP31">
            <v>141</v>
          </cell>
          <cell r="FQ31">
            <v>132</v>
          </cell>
          <cell r="FR31">
            <v>121</v>
          </cell>
          <cell r="FS31">
            <v>150</v>
          </cell>
          <cell r="FT31">
            <v>129</v>
          </cell>
          <cell r="FU31">
            <v>131</v>
          </cell>
          <cell r="FV31">
            <v>133</v>
          </cell>
          <cell r="FW31">
            <v>137</v>
          </cell>
          <cell r="FX31">
            <v>102</v>
          </cell>
          <cell r="FY31">
            <v>161</v>
          </cell>
          <cell r="FZ31">
            <v>132</v>
          </cell>
          <cell r="GA31">
            <v>152</v>
          </cell>
          <cell r="GB31">
            <v>120</v>
          </cell>
          <cell r="GC31">
            <v>107</v>
          </cell>
          <cell r="GD31">
            <v>131</v>
          </cell>
          <cell r="GE31">
            <v>130</v>
          </cell>
          <cell r="GF31">
            <v>203</v>
          </cell>
          <cell r="GG31">
            <v>142</v>
          </cell>
          <cell r="GH31">
            <v>112</v>
          </cell>
          <cell r="GI31">
            <v>158</v>
          </cell>
          <cell r="GJ31">
            <v>140</v>
          </cell>
          <cell r="GK31">
            <v>130</v>
          </cell>
          <cell r="GL31">
            <v>158</v>
          </cell>
          <cell r="GM31">
            <v>143</v>
          </cell>
          <cell r="GN31">
            <v>133</v>
          </cell>
        </row>
        <row r="32">
          <cell r="B32" t="str">
            <v>DIDANOSINE</v>
          </cell>
          <cell r="C32" t="str">
            <v>BRR</v>
          </cell>
          <cell r="D32">
            <v>1359</v>
          </cell>
          <cell r="E32">
            <v>1200</v>
          </cell>
          <cell r="F32">
            <v>1288</v>
          </cell>
          <cell r="G32">
            <v>1253</v>
          </cell>
          <cell r="H32">
            <v>1358</v>
          </cell>
          <cell r="I32">
            <v>1338</v>
          </cell>
          <cell r="J32">
            <v>1277</v>
          </cell>
          <cell r="K32">
            <v>1310</v>
          </cell>
          <cell r="L32">
            <v>1225</v>
          </cell>
          <cell r="M32">
            <v>1373</v>
          </cell>
          <cell r="N32">
            <v>1149</v>
          </cell>
          <cell r="O32">
            <v>1228</v>
          </cell>
          <cell r="P32">
            <v>1250</v>
          </cell>
          <cell r="Q32">
            <v>1122</v>
          </cell>
          <cell r="R32">
            <v>1330</v>
          </cell>
          <cell r="S32">
            <v>1263</v>
          </cell>
          <cell r="T32">
            <v>1201</v>
          </cell>
          <cell r="U32">
            <v>1315</v>
          </cell>
          <cell r="V32">
            <v>1262</v>
          </cell>
          <cell r="W32">
            <v>1236</v>
          </cell>
          <cell r="X32">
            <v>1195</v>
          </cell>
          <cell r="Y32">
            <v>1056</v>
          </cell>
          <cell r="Z32">
            <v>1283</v>
          </cell>
          <cell r="AA32">
            <v>1166</v>
          </cell>
          <cell r="AB32">
            <v>1208</v>
          </cell>
          <cell r="AC32">
            <v>1215</v>
          </cell>
          <cell r="AD32">
            <v>947</v>
          </cell>
          <cell r="AE32">
            <v>1126</v>
          </cell>
          <cell r="AF32">
            <v>1299</v>
          </cell>
          <cell r="AG32">
            <v>1158</v>
          </cell>
          <cell r="AH32">
            <v>1322</v>
          </cell>
          <cell r="AI32">
            <v>1256</v>
          </cell>
          <cell r="AJ32">
            <v>1248</v>
          </cell>
          <cell r="AK32">
            <v>1187</v>
          </cell>
          <cell r="AL32">
            <v>1116</v>
          </cell>
          <cell r="AM32">
            <v>1184</v>
          </cell>
          <cell r="AN32">
            <v>1257</v>
          </cell>
          <cell r="AO32">
            <v>1139</v>
          </cell>
          <cell r="AP32">
            <v>1158</v>
          </cell>
          <cell r="AQ32">
            <v>1133</v>
          </cell>
          <cell r="AR32">
            <v>1200</v>
          </cell>
          <cell r="AS32">
            <v>1173</v>
          </cell>
          <cell r="AT32">
            <v>1136</v>
          </cell>
          <cell r="AU32">
            <v>1103</v>
          </cell>
          <cell r="AV32">
            <v>1140</v>
          </cell>
          <cell r="AW32">
            <v>1172</v>
          </cell>
          <cell r="AX32">
            <v>1061</v>
          </cell>
          <cell r="AY32">
            <v>1093</v>
          </cell>
          <cell r="AZ32">
            <v>996</v>
          </cell>
          <cell r="BA32">
            <v>1204</v>
          </cell>
          <cell r="BB32">
            <v>1121</v>
          </cell>
          <cell r="BC32">
            <v>1072</v>
          </cell>
          <cell r="BD32">
            <v>1081</v>
          </cell>
          <cell r="BE32">
            <v>957</v>
          </cell>
          <cell r="BF32">
            <v>1058</v>
          </cell>
          <cell r="BG32">
            <v>1040</v>
          </cell>
          <cell r="BH32">
            <v>1108</v>
          </cell>
          <cell r="BI32">
            <v>1144</v>
          </cell>
          <cell r="BJ32">
            <v>1086</v>
          </cell>
          <cell r="BK32">
            <v>1027</v>
          </cell>
          <cell r="BL32">
            <v>1055</v>
          </cell>
          <cell r="BM32">
            <v>1004</v>
          </cell>
          <cell r="BN32">
            <v>906</v>
          </cell>
          <cell r="BO32">
            <v>1096</v>
          </cell>
          <cell r="BP32">
            <v>1106</v>
          </cell>
          <cell r="BQ32">
            <v>979</v>
          </cell>
          <cell r="BR32">
            <v>1108</v>
          </cell>
          <cell r="BS32">
            <v>1071</v>
          </cell>
          <cell r="BT32">
            <v>1048</v>
          </cell>
          <cell r="BU32">
            <v>1012</v>
          </cell>
          <cell r="BV32">
            <v>1021</v>
          </cell>
          <cell r="BW32">
            <v>901</v>
          </cell>
          <cell r="BX32">
            <v>956</v>
          </cell>
          <cell r="BY32">
            <v>843</v>
          </cell>
          <cell r="BZ32">
            <v>1006</v>
          </cell>
          <cell r="CA32">
            <v>1054</v>
          </cell>
          <cell r="CB32">
            <v>976</v>
          </cell>
          <cell r="CC32">
            <v>1012</v>
          </cell>
          <cell r="CD32">
            <v>777</v>
          </cell>
          <cell r="CE32">
            <v>848</v>
          </cell>
          <cell r="CF32">
            <v>1015</v>
          </cell>
          <cell r="CG32">
            <v>1011</v>
          </cell>
          <cell r="CH32">
            <v>938</v>
          </cell>
          <cell r="CI32">
            <v>1030</v>
          </cell>
          <cell r="CJ32">
            <v>1022</v>
          </cell>
          <cell r="CK32">
            <v>981</v>
          </cell>
          <cell r="CL32">
            <v>873</v>
          </cell>
          <cell r="CM32">
            <v>955</v>
          </cell>
          <cell r="CN32">
            <v>1023</v>
          </cell>
          <cell r="CO32">
            <v>948</v>
          </cell>
          <cell r="CP32">
            <v>978</v>
          </cell>
          <cell r="CQ32">
            <v>1008</v>
          </cell>
          <cell r="CR32">
            <v>996</v>
          </cell>
          <cell r="CS32">
            <v>900</v>
          </cell>
          <cell r="CT32">
            <v>927</v>
          </cell>
          <cell r="CU32">
            <v>930</v>
          </cell>
          <cell r="CV32">
            <v>930</v>
          </cell>
          <cell r="CW32">
            <v>896</v>
          </cell>
          <cell r="CX32">
            <v>788</v>
          </cell>
          <cell r="CY32">
            <v>886</v>
          </cell>
          <cell r="CZ32">
            <v>727</v>
          </cell>
          <cell r="DA32">
            <v>873</v>
          </cell>
          <cell r="DB32">
            <v>835</v>
          </cell>
          <cell r="DC32">
            <v>823</v>
          </cell>
          <cell r="DD32">
            <v>883</v>
          </cell>
          <cell r="DE32">
            <v>778</v>
          </cell>
          <cell r="DF32">
            <v>809</v>
          </cell>
          <cell r="DG32">
            <v>865</v>
          </cell>
          <cell r="DH32">
            <v>845</v>
          </cell>
          <cell r="DI32">
            <v>866</v>
          </cell>
          <cell r="DJ32">
            <v>837</v>
          </cell>
          <cell r="DK32">
            <v>815</v>
          </cell>
          <cell r="DL32">
            <v>741</v>
          </cell>
          <cell r="DM32">
            <v>747</v>
          </cell>
          <cell r="DN32">
            <v>786</v>
          </cell>
          <cell r="DO32">
            <v>958</v>
          </cell>
          <cell r="DP32">
            <v>780</v>
          </cell>
          <cell r="DQ32">
            <v>842</v>
          </cell>
          <cell r="DR32">
            <v>839</v>
          </cell>
          <cell r="DS32">
            <v>814</v>
          </cell>
          <cell r="DT32">
            <v>748</v>
          </cell>
          <cell r="DU32">
            <v>766</v>
          </cell>
          <cell r="DV32">
            <v>747</v>
          </cell>
          <cell r="DW32">
            <v>805</v>
          </cell>
          <cell r="DX32">
            <v>744</v>
          </cell>
          <cell r="DY32">
            <v>760</v>
          </cell>
          <cell r="DZ32">
            <v>650</v>
          </cell>
          <cell r="EA32">
            <v>791</v>
          </cell>
          <cell r="EB32">
            <v>783</v>
          </cell>
          <cell r="EC32">
            <v>766</v>
          </cell>
          <cell r="ED32">
            <v>578</v>
          </cell>
          <cell r="EE32">
            <v>657</v>
          </cell>
          <cell r="EF32">
            <v>824</v>
          </cell>
          <cell r="EG32">
            <v>779</v>
          </cell>
          <cell r="EH32">
            <v>756</v>
          </cell>
          <cell r="EI32">
            <v>811</v>
          </cell>
          <cell r="EJ32">
            <v>787</v>
          </cell>
          <cell r="EK32">
            <v>709</v>
          </cell>
          <cell r="EL32">
            <v>742</v>
          </cell>
          <cell r="EM32">
            <v>739</v>
          </cell>
          <cell r="EN32">
            <v>806</v>
          </cell>
          <cell r="EO32">
            <v>697</v>
          </cell>
          <cell r="EP32">
            <v>769</v>
          </cell>
          <cell r="EQ32">
            <v>632</v>
          </cell>
          <cell r="ER32">
            <v>628</v>
          </cell>
          <cell r="ES32">
            <v>561</v>
          </cell>
          <cell r="ET32">
            <v>622</v>
          </cell>
          <cell r="EU32">
            <v>540</v>
          </cell>
          <cell r="EV32">
            <v>602</v>
          </cell>
          <cell r="EW32">
            <v>531</v>
          </cell>
          <cell r="EX32">
            <v>544</v>
          </cell>
          <cell r="EY32">
            <v>561</v>
          </cell>
          <cell r="EZ32">
            <v>422</v>
          </cell>
          <cell r="FA32">
            <v>528</v>
          </cell>
          <cell r="FB32">
            <v>486</v>
          </cell>
          <cell r="FC32">
            <v>530</v>
          </cell>
          <cell r="FD32">
            <v>491</v>
          </cell>
          <cell r="FE32">
            <v>490</v>
          </cell>
          <cell r="FF32">
            <v>421</v>
          </cell>
          <cell r="FG32">
            <v>414</v>
          </cell>
          <cell r="FH32">
            <v>371</v>
          </cell>
          <cell r="FI32">
            <v>505</v>
          </cell>
          <cell r="FJ32">
            <v>507</v>
          </cell>
          <cell r="FK32">
            <v>478</v>
          </cell>
          <cell r="FL32">
            <v>475</v>
          </cell>
          <cell r="FM32">
            <v>428</v>
          </cell>
          <cell r="FN32">
            <v>499</v>
          </cell>
          <cell r="FO32">
            <v>428</v>
          </cell>
          <cell r="FP32">
            <v>473</v>
          </cell>
          <cell r="FQ32">
            <v>468</v>
          </cell>
          <cell r="FR32">
            <v>514</v>
          </cell>
          <cell r="FS32">
            <v>423</v>
          </cell>
          <cell r="FT32">
            <v>412</v>
          </cell>
          <cell r="FU32">
            <v>452</v>
          </cell>
          <cell r="FV32">
            <v>445</v>
          </cell>
          <cell r="FW32">
            <v>405</v>
          </cell>
          <cell r="FX32">
            <v>439</v>
          </cell>
          <cell r="FY32">
            <v>462</v>
          </cell>
          <cell r="FZ32">
            <v>326</v>
          </cell>
          <cell r="GA32">
            <v>457</v>
          </cell>
          <cell r="GB32">
            <v>482</v>
          </cell>
          <cell r="GC32">
            <v>443</v>
          </cell>
          <cell r="GD32">
            <v>357</v>
          </cell>
          <cell r="GE32">
            <v>392</v>
          </cell>
          <cell r="GF32">
            <v>465</v>
          </cell>
          <cell r="GG32">
            <v>429</v>
          </cell>
          <cell r="GH32">
            <v>406</v>
          </cell>
          <cell r="GI32">
            <v>487</v>
          </cell>
          <cell r="GJ32">
            <v>475</v>
          </cell>
          <cell r="GK32">
            <v>430</v>
          </cell>
          <cell r="GL32">
            <v>429</v>
          </cell>
          <cell r="GM32">
            <v>444</v>
          </cell>
          <cell r="GN32">
            <v>426</v>
          </cell>
        </row>
        <row r="33">
          <cell r="B33" t="str">
            <v>RETROVIR</v>
          </cell>
          <cell r="C33" t="str">
            <v>GSK</v>
          </cell>
          <cell r="D33">
            <v>270</v>
          </cell>
          <cell r="E33">
            <v>199</v>
          </cell>
          <cell r="F33">
            <v>182</v>
          </cell>
          <cell r="G33">
            <v>228</v>
          </cell>
          <cell r="H33">
            <v>194</v>
          </cell>
          <cell r="I33">
            <v>212</v>
          </cell>
          <cell r="J33">
            <v>202</v>
          </cell>
          <cell r="K33">
            <v>191</v>
          </cell>
          <cell r="L33">
            <v>171</v>
          </cell>
          <cell r="M33">
            <v>207</v>
          </cell>
          <cell r="N33">
            <v>174</v>
          </cell>
          <cell r="O33">
            <v>201</v>
          </cell>
          <cell r="P33">
            <v>220</v>
          </cell>
          <cell r="Q33">
            <v>205</v>
          </cell>
          <cell r="R33">
            <v>218</v>
          </cell>
          <cell r="S33">
            <v>169</v>
          </cell>
          <cell r="T33">
            <v>143</v>
          </cell>
          <cell r="U33">
            <v>164</v>
          </cell>
          <cell r="V33">
            <v>160</v>
          </cell>
          <cell r="W33">
            <v>169</v>
          </cell>
          <cell r="X33">
            <v>147</v>
          </cell>
          <cell r="Y33">
            <v>151</v>
          </cell>
          <cell r="Z33">
            <v>191</v>
          </cell>
          <cell r="AA33">
            <v>164</v>
          </cell>
          <cell r="AB33">
            <v>141</v>
          </cell>
          <cell r="AC33">
            <v>145</v>
          </cell>
          <cell r="AD33">
            <v>136</v>
          </cell>
          <cell r="AE33">
            <v>134</v>
          </cell>
          <cell r="AF33">
            <v>149</v>
          </cell>
          <cell r="AG33">
            <v>138</v>
          </cell>
          <cell r="AH33">
            <v>150</v>
          </cell>
          <cell r="AI33">
            <v>129</v>
          </cell>
          <cell r="AJ33">
            <v>148</v>
          </cell>
          <cell r="AK33">
            <v>136</v>
          </cell>
          <cell r="AL33">
            <v>110</v>
          </cell>
          <cell r="AM33">
            <v>161</v>
          </cell>
          <cell r="AN33">
            <v>129</v>
          </cell>
          <cell r="AO33">
            <v>94</v>
          </cell>
          <cell r="AP33">
            <v>114</v>
          </cell>
          <cell r="AQ33">
            <v>91</v>
          </cell>
          <cell r="AR33">
            <v>90</v>
          </cell>
          <cell r="AS33">
            <v>100</v>
          </cell>
          <cell r="AT33">
            <v>95</v>
          </cell>
          <cell r="AU33">
            <v>90</v>
          </cell>
          <cell r="AV33">
            <v>109</v>
          </cell>
          <cell r="AW33">
            <v>77</v>
          </cell>
          <cell r="AX33">
            <v>109</v>
          </cell>
          <cell r="AY33">
            <v>97</v>
          </cell>
          <cell r="AZ33">
            <v>77</v>
          </cell>
          <cell r="BA33">
            <v>147</v>
          </cell>
          <cell r="BB33">
            <v>100</v>
          </cell>
          <cell r="BC33">
            <v>95</v>
          </cell>
          <cell r="BD33">
            <v>99</v>
          </cell>
          <cell r="BE33">
            <v>85</v>
          </cell>
          <cell r="BF33">
            <v>100</v>
          </cell>
          <cell r="BG33">
            <v>82</v>
          </cell>
          <cell r="BH33">
            <v>73</v>
          </cell>
          <cell r="BI33">
            <v>111</v>
          </cell>
          <cell r="BJ33">
            <v>69</v>
          </cell>
          <cell r="BK33">
            <v>71</v>
          </cell>
          <cell r="BL33">
            <v>76</v>
          </cell>
          <cell r="BM33">
            <v>98</v>
          </cell>
          <cell r="BN33">
            <v>90</v>
          </cell>
          <cell r="BO33">
            <v>74</v>
          </cell>
          <cell r="BP33">
            <v>93</v>
          </cell>
          <cell r="BQ33">
            <v>73</v>
          </cell>
          <cell r="BR33">
            <v>73</v>
          </cell>
          <cell r="BS33">
            <v>80</v>
          </cell>
          <cell r="BT33">
            <v>97</v>
          </cell>
          <cell r="BU33">
            <v>74</v>
          </cell>
          <cell r="BV33">
            <v>58</v>
          </cell>
          <cell r="BW33">
            <v>84</v>
          </cell>
          <cell r="BX33">
            <v>73</v>
          </cell>
          <cell r="BY33">
            <v>64</v>
          </cell>
          <cell r="BZ33">
            <v>68</v>
          </cell>
          <cell r="CA33">
            <v>86</v>
          </cell>
          <cell r="CB33">
            <v>78</v>
          </cell>
          <cell r="CC33">
            <v>113</v>
          </cell>
          <cell r="CD33">
            <v>68</v>
          </cell>
          <cell r="CE33">
            <v>64</v>
          </cell>
          <cell r="CF33">
            <v>70</v>
          </cell>
          <cell r="CG33">
            <v>70</v>
          </cell>
          <cell r="CH33">
            <v>76</v>
          </cell>
          <cell r="CI33">
            <v>71</v>
          </cell>
          <cell r="CJ33">
            <v>85</v>
          </cell>
          <cell r="CK33">
            <v>82</v>
          </cell>
          <cell r="CL33">
            <v>50</v>
          </cell>
          <cell r="CM33">
            <v>48</v>
          </cell>
          <cell r="CN33">
            <v>57</v>
          </cell>
          <cell r="CO33">
            <v>69</v>
          </cell>
          <cell r="CP33">
            <v>61</v>
          </cell>
          <cell r="CQ33">
            <v>45</v>
          </cell>
          <cell r="CR33">
            <v>45</v>
          </cell>
          <cell r="CS33">
            <v>47</v>
          </cell>
          <cell r="CT33">
            <v>62</v>
          </cell>
          <cell r="CU33">
            <v>55</v>
          </cell>
          <cell r="CV33">
            <v>62</v>
          </cell>
          <cell r="CW33">
            <v>52</v>
          </cell>
          <cell r="CX33">
            <v>71</v>
          </cell>
          <cell r="CY33">
            <v>72</v>
          </cell>
          <cell r="CZ33">
            <v>64</v>
          </cell>
          <cell r="DA33">
            <v>55</v>
          </cell>
          <cell r="DB33">
            <v>46</v>
          </cell>
          <cell r="DC33">
            <v>38</v>
          </cell>
          <cell r="DD33">
            <v>43</v>
          </cell>
          <cell r="DE33">
            <v>43</v>
          </cell>
          <cell r="DF33">
            <v>28</v>
          </cell>
          <cell r="DG33">
            <v>44</v>
          </cell>
          <cell r="DH33">
            <v>53</v>
          </cell>
          <cell r="DI33">
            <v>54</v>
          </cell>
          <cell r="DJ33">
            <v>40</v>
          </cell>
          <cell r="DK33">
            <v>48</v>
          </cell>
          <cell r="DL33">
            <v>71</v>
          </cell>
          <cell r="DM33">
            <v>40</v>
          </cell>
          <cell r="DN33">
            <v>53</v>
          </cell>
          <cell r="DO33">
            <v>51</v>
          </cell>
          <cell r="DP33">
            <v>32</v>
          </cell>
          <cell r="DQ33">
            <v>58</v>
          </cell>
          <cell r="DR33">
            <v>44</v>
          </cell>
          <cell r="DS33">
            <v>43</v>
          </cell>
          <cell r="DT33">
            <v>36</v>
          </cell>
          <cell r="DU33">
            <v>39</v>
          </cell>
          <cell r="DV33">
            <v>56</v>
          </cell>
          <cell r="DW33">
            <v>33</v>
          </cell>
          <cell r="DX33">
            <v>54</v>
          </cell>
          <cell r="DY33">
            <v>42</v>
          </cell>
          <cell r="DZ33">
            <v>42</v>
          </cell>
          <cell r="EA33">
            <v>40</v>
          </cell>
          <cell r="EB33">
            <v>41</v>
          </cell>
          <cell r="EC33">
            <v>42</v>
          </cell>
          <cell r="ED33">
            <v>27</v>
          </cell>
          <cell r="EE33">
            <v>33</v>
          </cell>
          <cell r="EF33">
            <v>56</v>
          </cell>
          <cell r="EG33">
            <v>42</v>
          </cell>
          <cell r="EH33">
            <v>30</v>
          </cell>
          <cell r="EI33">
            <v>30</v>
          </cell>
          <cell r="EJ33">
            <v>34</v>
          </cell>
          <cell r="EK33">
            <v>40</v>
          </cell>
          <cell r="EL33">
            <v>30</v>
          </cell>
          <cell r="EM33">
            <v>29</v>
          </cell>
          <cell r="EN33">
            <v>23</v>
          </cell>
          <cell r="EO33">
            <v>26</v>
          </cell>
          <cell r="EP33">
            <v>36</v>
          </cell>
          <cell r="EQ33">
            <v>43</v>
          </cell>
          <cell r="ER33">
            <v>46</v>
          </cell>
          <cell r="ES33">
            <v>29</v>
          </cell>
          <cell r="ET33">
            <v>37</v>
          </cell>
          <cell r="EU33">
            <v>60</v>
          </cell>
          <cell r="EV33">
            <v>36</v>
          </cell>
          <cell r="EW33">
            <v>34</v>
          </cell>
          <cell r="EX33">
            <v>41</v>
          </cell>
          <cell r="EY33">
            <v>41</v>
          </cell>
          <cell r="EZ33">
            <v>22</v>
          </cell>
          <cell r="FA33">
            <v>38</v>
          </cell>
          <cell r="FB33">
            <v>31</v>
          </cell>
          <cell r="FC33">
            <v>22</v>
          </cell>
          <cell r="FD33">
            <v>21</v>
          </cell>
          <cell r="FE33">
            <v>40</v>
          </cell>
          <cell r="FF33">
            <v>34</v>
          </cell>
          <cell r="FG33">
            <v>36</v>
          </cell>
          <cell r="FH33">
            <v>33</v>
          </cell>
          <cell r="FI33">
            <v>25</v>
          </cell>
          <cell r="FJ33">
            <v>28</v>
          </cell>
          <cell r="FK33">
            <v>39</v>
          </cell>
          <cell r="FL33">
            <v>32</v>
          </cell>
          <cell r="FM33">
            <v>30</v>
          </cell>
          <cell r="FN33">
            <v>27</v>
          </cell>
          <cell r="FO33">
            <v>22</v>
          </cell>
          <cell r="FP33">
            <v>35</v>
          </cell>
          <cell r="FQ33">
            <v>26</v>
          </cell>
          <cell r="FR33">
            <v>54</v>
          </cell>
          <cell r="FS33">
            <v>25</v>
          </cell>
          <cell r="FT33">
            <v>34</v>
          </cell>
          <cell r="FU33">
            <v>34</v>
          </cell>
          <cell r="FV33">
            <v>38</v>
          </cell>
          <cell r="FW33">
            <v>29</v>
          </cell>
          <cell r="FX33">
            <v>21</v>
          </cell>
          <cell r="FY33">
            <v>24</v>
          </cell>
          <cell r="FZ33">
            <v>25</v>
          </cell>
          <cell r="GA33">
            <v>25</v>
          </cell>
          <cell r="GB33">
            <v>31</v>
          </cell>
          <cell r="GC33">
            <v>24</v>
          </cell>
          <cell r="GD33">
            <v>19</v>
          </cell>
          <cell r="GE33">
            <v>21</v>
          </cell>
          <cell r="GF33">
            <v>27</v>
          </cell>
          <cell r="GG33">
            <v>26</v>
          </cell>
          <cell r="GH33">
            <v>37</v>
          </cell>
          <cell r="GI33">
            <v>25</v>
          </cell>
          <cell r="GJ33">
            <v>29</v>
          </cell>
          <cell r="GK33">
            <v>30</v>
          </cell>
          <cell r="GL33">
            <v>51</v>
          </cell>
          <cell r="GM33">
            <v>33</v>
          </cell>
          <cell r="GN33">
            <v>35</v>
          </cell>
        </row>
        <row r="34">
          <cell r="B34" t="str">
            <v>EMTRIVA</v>
          </cell>
          <cell r="C34" t="str">
            <v>GS-</v>
          </cell>
          <cell r="D34">
            <v>301</v>
          </cell>
          <cell r="E34">
            <v>278</v>
          </cell>
          <cell r="F34">
            <v>324</v>
          </cell>
          <cell r="G34">
            <v>288</v>
          </cell>
          <cell r="H34">
            <v>303</v>
          </cell>
          <cell r="I34">
            <v>330</v>
          </cell>
          <cell r="J34">
            <v>307</v>
          </cell>
          <cell r="K34">
            <v>286</v>
          </cell>
          <cell r="L34">
            <v>257</v>
          </cell>
          <cell r="M34">
            <v>291</v>
          </cell>
          <cell r="N34">
            <v>282</v>
          </cell>
          <cell r="O34">
            <v>293</v>
          </cell>
          <cell r="P34">
            <v>285</v>
          </cell>
          <cell r="Q34">
            <v>287</v>
          </cell>
          <cell r="R34">
            <v>307</v>
          </cell>
          <cell r="S34">
            <v>297</v>
          </cell>
          <cell r="T34">
            <v>280</v>
          </cell>
          <cell r="U34">
            <v>311</v>
          </cell>
          <cell r="V34">
            <v>329</v>
          </cell>
          <cell r="W34">
            <v>265</v>
          </cell>
          <cell r="X34">
            <v>262</v>
          </cell>
          <cell r="Y34">
            <v>245</v>
          </cell>
          <cell r="Z34">
            <v>312</v>
          </cell>
          <cell r="AA34">
            <v>286</v>
          </cell>
          <cell r="AB34">
            <v>242</v>
          </cell>
          <cell r="AC34">
            <v>329</v>
          </cell>
          <cell r="AD34">
            <v>256</v>
          </cell>
          <cell r="AE34">
            <v>239</v>
          </cell>
          <cell r="AF34">
            <v>269</v>
          </cell>
          <cell r="AG34">
            <v>293</v>
          </cell>
          <cell r="AH34">
            <v>290</v>
          </cell>
          <cell r="AI34">
            <v>281</v>
          </cell>
          <cell r="AJ34">
            <v>279</v>
          </cell>
          <cell r="AK34">
            <v>281</v>
          </cell>
          <cell r="AL34">
            <v>274</v>
          </cell>
          <cell r="AM34">
            <v>301</v>
          </cell>
          <cell r="AN34">
            <v>289</v>
          </cell>
          <cell r="AO34">
            <v>250</v>
          </cell>
          <cell r="AP34">
            <v>297</v>
          </cell>
          <cell r="AQ34">
            <v>281</v>
          </cell>
          <cell r="AR34">
            <v>289</v>
          </cell>
          <cell r="AS34">
            <v>264</v>
          </cell>
          <cell r="AT34">
            <v>285</v>
          </cell>
          <cell r="AU34">
            <v>317</v>
          </cell>
          <cell r="AV34">
            <v>269</v>
          </cell>
          <cell r="AW34">
            <v>303</v>
          </cell>
          <cell r="AX34">
            <v>283</v>
          </cell>
          <cell r="AY34">
            <v>299</v>
          </cell>
          <cell r="AZ34">
            <v>234</v>
          </cell>
          <cell r="BA34">
            <v>282</v>
          </cell>
          <cell r="BB34">
            <v>264</v>
          </cell>
          <cell r="BC34">
            <v>256</v>
          </cell>
          <cell r="BD34">
            <v>254</v>
          </cell>
          <cell r="BE34">
            <v>231</v>
          </cell>
          <cell r="BF34">
            <v>248</v>
          </cell>
          <cell r="BG34">
            <v>252</v>
          </cell>
          <cell r="BH34">
            <v>303</v>
          </cell>
          <cell r="BI34">
            <v>280</v>
          </cell>
          <cell r="BJ34">
            <v>252</v>
          </cell>
          <cell r="BK34">
            <v>244</v>
          </cell>
          <cell r="BL34">
            <v>245</v>
          </cell>
          <cell r="BM34">
            <v>267</v>
          </cell>
          <cell r="BN34">
            <v>223</v>
          </cell>
          <cell r="BO34">
            <v>275</v>
          </cell>
          <cell r="BP34">
            <v>257</v>
          </cell>
          <cell r="BQ34">
            <v>245</v>
          </cell>
          <cell r="BR34">
            <v>317</v>
          </cell>
          <cell r="BS34">
            <v>271</v>
          </cell>
          <cell r="BT34">
            <v>241</v>
          </cell>
          <cell r="BU34">
            <v>237</v>
          </cell>
          <cell r="BV34">
            <v>233</v>
          </cell>
          <cell r="BW34">
            <v>243</v>
          </cell>
          <cell r="BX34">
            <v>274</v>
          </cell>
          <cell r="BY34">
            <v>212</v>
          </cell>
          <cell r="BZ34">
            <v>283</v>
          </cell>
          <cell r="CA34">
            <v>273</v>
          </cell>
          <cell r="CB34">
            <v>232</v>
          </cell>
          <cell r="CC34">
            <v>258</v>
          </cell>
          <cell r="CD34">
            <v>233</v>
          </cell>
          <cell r="CE34">
            <v>219</v>
          </cell>
          <cell r="CF34">
            <v>290</v>
          </cell>
          <cell r="CG34">
            <v>261</v>
          </cell>
          <cell r="CH34">
            <v>195</v>
          </cell>
          <cell r="CI34">
            <v>282</v>
          </cell>
          <cell r="CJ34">
            <v>284</v>
          </cell>
          <cell r="CK34">
            <v>258</v>
          </cell>
          <cell r="CL34">
            <v>255</v>
          </cell>
          <cell r="CM34">
            <v>312</v>
          </cell>
          <cell r="CN34">
            <v>307</v>
          </cell>
          <cell r="CO34">
            <v>261</v>
          </cell>
          <cell r="CP34">
            <v>239</v>
          </cell>
          <cell r="CQ34">
            <v>235</v>
          </cell>
          <cell r="CR34">
            <v>261</v>
          </cell>
          <cell r="CS34">
            <v>280</v>
          </cell>
          <cell r="CT34">
            <v>252</v>
          </cell>
          <cell r="CU34">
            <v>241</v>
          </cell>
          <cell r="CV34">
            <v>267</v>
          </cell>
          <cell r="CW34">
            <v>282</v>
          </cell>
          <cell r="CX34">
            <v>280</v>
          </cell>
          <cell r="CY34">
            <v>265</v>
          </cell>
          <cell r="CZ34">
            <v>223</v>
          </cell>
          <cell r="DA34">
            <v>280</v>
          </cell>
          <cell r="DB34">
            <v>258</v>
          </cell>
          <cell r="DC34">
            <v>252</v>
          </cell>
          <cell r="DD34">
            <v>274</v>
          </cell>
          <cell r="DE34">
            <v>272</v>
          </cell>
          <cell r="DF34">
            <v>262</v>
          </cell>
          <cell r="DG34">
            <v>274</v>
          </cell>
          <cell r="DH34">
            <v>258</v>
          </cell>
          <cell r="DI34">
            <v>234</v>
          </cell>
          <cell r="DJ34">
            <v>271</v>
          </cell>
          <cell r="DK34">
            <v>239</v>
          </cell>
          <cell r="DL34">
            <v>248</v>
          </cell>
          <cell r="DM34">
            <v>257</v>
          </cell>
          <cell r="DN34">
            <v>281</v>
          </cell>
          <cell r="DO34">
            <v>307</v>
          </cell>
          <cell r="DP34">
            <v>275</v>
          </cell>
          <cell r="DQ34">
            <v>246</v>
          </cell>
          <cell r="DR34">
            <v>260</v>
          </cell>
          <cell r="DS34">
            <v>259</v>
          </cell>
          <cell r="DT34">
            <v>233</v>
          </cell>
          <cell r="DU34">
            <v>234</v>
          </cell>
          <cell r="DV34">
            <v>232</v>
          </cell>
          <cell r="DW34">
            <v>273</v>
          </cell>
          <cell r="DX34">
            <v>270</v>
          </cell>
          <cell r="DY34">
            <v>246</v>
          </cell>
          <cell r="DZ34">
            <v>232</v>
          </cell>
          <cell r="EA34">
            <v>404</v>
          </cell>
          <cell r="EB34">
            <v>276</v>
          </cell>
          <cell r="EC34">
            <v>246</v>
          </cell>
          <cell r="ED34">
            <v>206</v>
          </cell>
          <cell r="EE34">
            <v>239</v>
          </cell>
          <cell r="EF34">
            <v>279</v>
          </cell>
          <cell r="EG34">
            <v>261</v>
          </cell>
          <cell r="EH34">
            <v>263</v>
          </cell>
          <cell r="EI34">
            <v>288</v>
          </cell>
          <cell r="EJ34">
            <v>272</v>
          </cell>
          <cell r="EK34">
            <v>278</v>
          </cell>
          <cell r="EL34">
            <v>253</v>
          </cell>
          <cell r="EM34">
            <v>292</v>
          </cell>
          <cell r="EN34">
            <v>284</v>
          </cell>
          <cell r="EO34">
            <v>310</v>
          </cell>
          <cell r="EP34">
            <v>310</v>
          </cell>
          <cell r="EQ34">
            <v>281</v>
          </cell>
          <cell r="ER34">
            <v>300</v>
          </cell>
          <cell r="ES34">
            <v>294</v>
          </cell>
          <cell r="ET34">
            <v>292</v>
          </cell>
          <cell r="EU34">
            <v>268</v>
          </cell>
          <cell r="EV34">
            <v>275</v>
          </cell>
          <cell r="EW34">
            <v>324</v>
          </cell>
          <cell r="EX34">
            <v>284</v>
          </cell>
          <cell r="EY34">
            <v>319</v>
          </cell>
          <cell r="EZ34">
            <v>257</v>
          </cell>
          <cell r="FA34">
            <v>297</v>
          </cell>
          <cell r="FB34">
            <v>272</v>
          </cell>
          <cell r="FC34">
            <v>289</v>
          </cell>
          <cell r="FD34">
            <v>245</v>
          </cell>
          <cell r="FE34">
            <v>267</v>
          </cell>
          <cell r="FF34">
            <v>257</v>
          </cell>
          <cell r="FG34">
            <v>272</v>
          </cell>
          <cell r="FH34">
            <v>256</v>
          </cell>
          <cell r="FI34">
            <v>276</v>
          </cell>
          <cell r="FJ34">
            <v>290</v>
          </cell>
          <cell r="FK34">
            <v>332</v>
          </cell>
          <cell r="FL34">
            <v>275</v>
          </cell>
          <cell r="FM34">
            <v>306</v>
          </cell>
          <cell r="FN34">
            <v>255</v>
          </cell>
          <cell r="FO34">
            <v>278</v>
          </cell>
          <cell r="FP34">
            <v>301</v>
          </cell>
          <cell r="FQ34">
            <v>269</v>
          </cell>
          <cell r="FR34">
            <v>248</v>
          </cell>
          <cell r="FS34">
            <v>285</v>
          </cell>
          <cell r="FT34">
            <v>259</v>
          </cell>
          <cell r="FU34">
            <v>284</v>
          </cell>
          <cell r="FV34">
            <v>252</v>
          </cell>
          <cell r="FW34">
            <v>280</v>
          </cell>
          <cell r="FX34">
            <v>286</v>
          </cell>
          <cell r="FY34">
            <v>262</v>
          </cell>
          <cell r="FZ34">
            <v>245</v>
          </cell>
          <cell r="GA34">
            <v>325</v>
          </cell>
          <cell r="GB34">
            <v>306</v>
          </cell>
          <cell r="GC34">
            <v>257</v>
          </cell>
          <cell r="GD34">
            <v>239</v>
          </cell>
          <cell r="GE34">
            <v>288</v>
          </cell>
          <cell r="GF34">
            <v>315</v>
          </cell>
          <cell r="GG34">
            <v>314</v>
          </cell>
          <cell r="GH34">
            <v>297</v>
          </cell>
          <cell r="GI34">
            <v>327</v>
          </cell>
          <cell r="GJ34">
            <v>271</v>
          </cell>
          <cell r="GK34">
            <v>280</v>
          </cell>
          <cell r="GL34">
            <v>269</v>
          </cell>
          <cell r="GM34">
            <v>320</v>
          </cell>
          <cell r="GN34">
            <v>285</v>
          </cell>
        </row>
        <row r="35">
          <cell r="B35" t="str">
            <v>ENBREL</v>
          </cell>
          <cell r="C35" t="str">
            <v>AAI</v>
          </cell>
          <cell r="D35">
            <v>12981</v>
          </cell>
          <cell r="E35">
            <v>9954</v>
          </cell>
          <cell r="F35">
            <v>13151</v>
          </cell>
          <cell r="G35">
            <v>12637</v>
          </cell>
          <cell r="H35">
            <v>12915</v>
          </cell>
          <cell r="I35">
            <v>12857</v>
          </cell>
          <cell r="J35">
            <v>13016</v>
          </cell>
          <cell r="K35">
            <v>12610</v>
          </cell>
          <cell r="L35">
            <v>12757</v>
          </cell>
          <cell r="M35">
            <v>13774</v>
          </cell>
          <cell r="N35">
            <v>11500</v>
          </cell>
          <cell r="O35">
            <v>12836</v>
          </cell>
          <cell r="P35">
            <v>13596</v>
          </cell>
          <cell r="Q35">
            <v>13811</v>
          </cell>
          <cell r="R35">
            <v>13866</v>
          </cell>
          <cell r="S35">
            <v>13724</v>
          </cell>
          <cell r="T35">
            <v>13573</v>
          </cell>
          <cell r="U35">
            <v>13783</v>
          </cell>
          <cell r="V35">
            <v>14078</v>
          </cell>
          <cell r="W35">
            <v>13996</v>
          </cell>
          <cell r="X35">
            <v>13719</v>
          </cell>
          <cell r="Y35">
            <v>10147</v>
          </cell>
          <cell r="Z35">
            <v>14913</v>
          </cell>
          <cell r="AA35">
            <v>14224</v>
          </cell>
          <cell r="AB35">
            <v>14285</v>
          </cell>
          <cell r="AC35">
            <v>14682</v>
          </cell>
          <cell r="AD35">
            <v>12091</v>
          </cell>
          <cell r="AE35">
            <v>11991</v>
          </cell>
          <cell r="AF35">
            <v>14450</v>
          </cell>
          <cell r="AG35">
            <v>14240</v>
          </cell>
          <cell r="AH35">
            <v>15080</v>
          </cell>
          <cell r="AI35">
            <v>15300</v>
          </cell>
          <cell r="AJ35">
            <v>15017</v>
          </cell>
          <cell r="AK35">
            <v>14080</v>
          </cell>
          <cell r="AL35">
            <v>14423</v>
          </cell>
          <cell r="AM35">
            <v>14818</v>
          </cell>
          <cell r="AN35">
            <v>14196</v>
          </cell>
          <cell r="AO35">
            <v>13297</v>
          </cell>
          <cell r="AP35">
            <v>13956</v>
          </cell>
          <cell r="AQ35">
            <v>13886</v>
          </cell>
          <cell r="AR35">
            <v>13474</v>
          </cell>
          <cell r="AS35">
            <v>13674</v>
          </cell>
          <cell r="AT35">
            <v>13827</v>
          </cell>
          <cell r="AU35">
            <v>14131</v>
          </cell>
          <cell r="AV35">
            <v>14054</v>
          </cell>
          <cell r="AW35">
            <v>13748</v>
          </cell>
          <cell r="AX35">
            <v>13174</v>
          </cell>
          <cell r="AY35">
            <v>14421</v>
          </cell>
          <cell r="AZ35">
            <v>12818</v>
          </cell>
          <cell r="BA35">
            <v>15770</v>
          </cell>
          <cell r="BB35">
            <v>15259</v>
          </cell>
          <cell r="BC35">
            <v>17425</v>
          </cell>
          <cell r="BD35">
            <v>17876</v>
          </cell>
          <cell r="BE35">
            <v>13463</v>
          </cell>
          <cell r="BF35">
            <v>16334</v>
          </cell>
          <cell r="BG35">
            <v>15554</v>
          </cell>
          <cell r="BH35">
            <v>15758</v>
          </cell>
          <cell r="BI35">
            <v>15678</v>
          </cell>
          <cell r="BJ35">
            <v>15235</v>
          </cell>
          <cell r="BK35">
            <v>15077</v>
          </cell>
          <cell r="BL35">
            <v>15156</v>
          </cell>
          <cell r="BM35">
            <v>16234</v>
          </cell>
          <cell r="BN35">
            <v>12534</v>
          </cell>
          <cell r="BO35">
            <v>14572</v>
          </cell>
          <cell r="BP35">
            <v>14407</v>
          </cell>
          <cell r="BQ35">
            <v>14227</v>
          </cell>
          <cell r="BR35">
            <v>14197</v>
          </cell>
          <cell r="BS35">
            <v>13884</v>
          </cell>
          <cell r="BT35">
            <v>14509</v>
          </cell>
          <cell r="BU35">
            <v>14058</v>
          </cell>
          <cell r="BV35">
            <v>14215</v>
          </cell>
          <cell r="BW35">
            <v>13942</v>
          </cell>
          <cell r="BX35">
            <v>14815</v>
          </cell>
          <cell r="BY35">
            <v>10903</v>
          </cell>
          <cell r="BZ35">
            <v>15900</v>
          </cell>
          <cell r="CA35">
            <v>14482</v>
          </cell>
          <cell r="CB35">
            <v>15188</v>
          </cell>
          <cell r="CC35">
            <v>16279</v>
          </cell>
          <cell r="CD35">
            <v>11564</v>
          </cell>
          <cell r="CE35">
            <v>11994</v>
          </cell>
          <cell r="CF35">
            <v>15082</v>
          </cell>
          <cell r="CG35">
            <v>15159</v>
          </cell>
          <cell r="CH35">
            <v>15473</v>
          </cell>
          <cell r="CI35">
            <v>15328</v>
          </cell>
          <cell r="CJ35">
            <v>15230</v>
          </cell>
          <cell r="CK35">
            <v>15006</v>
          </cell>
          <cell r="CL35">
            <v>12861</v>
          </cell>
          <cell r="CM35">
            <v>12976</v>
          </cell>
          <cell r="CN35">
            <v>13001</v>
          </cell>
          <cell r="CO35">
            <v>12876</v>
          </cell>
          <cell r="CP35">
            <v>12974</v>
          </cell>
          <cell r="CQ35">
            <v>12999</v>
          </cell>
          <cell r="CR35">
            <v>13324</v>
          </cell>
          <cell r="CS35">
            <v>12366</v>
          </cell>
          <cell r="CT35">
            <v>12711</v>
          </cell>
          <cell r="CU35">
            <v>12903</v>
          </cell>
          <cell r="CV35">
            <v>14117</v>
          </cell>
          <cell r="CW35">
            <v>13523</v>
          </cell>
          <cell r="CX35">
            <v>13318</v>
          </cell>
          <cell r="CY35">
            <v>13973</v>
          </cell>
          <cell r="CZ35">
            <v>12072</v>
          </cell>
          <cell r="DA35">
            <v>13904</v>
          </cell>
          <cell r="DB35">
            <v>13606</v>
          </cell>
          <cell r="DC35">
            <v>13594</v>
          </cell>
          <cell r="DD35">
            <v>14147</v>
          </cell>
          <cell r="DE35">
            <v>11570</v>
          </cell>
          <cell r="DF35">
            <v>15196</v>
          </cell>
          <cell r="DG35">
            <v>14623</v>
          </cell>
          <cell r="DH35">
            <v>14418</v>
          </cell>
          <cell r="DI35">
            <v>14726</v>
          </cell>
          <cell r="DJ35">
            <v>13795</v>
          </cell>
          <cell r="DK35">
            <v>13711</v>
          </cell>
          <cell r="DL35">
            <v>13088</v>
          </cell>
          <cell r="DM35">
            <v>14758</v>
          </cell>
          <cell r="DN35">
            <v>11259</v>
          </cell>
          <cell r="DO35">
            <v>13140</v>
          </cell>
          <cell r="DP35">
            <v>13026</v>
          </cell>
          <cell r="DQ35">
            <v>13334</v>
          </cell>
          <cell r="DR35">
            <v>13136</v>
          </cell>
          <cell r="DS35">
            <v>12780</v>
          </cell>
          <cell r="DT35">
            <v>13261</v>
          </cell>
          <cell r="DU35">
            <v>13855</v>
          </cell>
          <cell r="DV35">
            <v>13817</v>
          </cell>
          <cell r="DW35">
            <v>12960</v>
          </cell>
          <cell r="DX35">
            <v>12875</v>
          </cell>
          <cell r="DY35">
            <v>13325</v>
          </cell>
          <cell r="DZ35">
            <v>9782</v>
          </cell>
          <cell r="EA35">
            <v>14540</v>
          </cell>
          <cell r="EB35">
            <v>13008</v>
          </cell>
          <cell r="EC35">
            <v>13852</v>
          </cell>
          <cell r="ED35">
            <v>9154</v>
          </cell>
          <cell r="EE35">
            <v>10875</v>
          </cell>
          <cell r="EF35">
            <v>12331</v>
          </cell>
          <cell r="EG35">
            <v>11819</v>
          </cell>
          <cell r="EH35">
            <v>11861</v>
          </cell>
          <cell r="EI35">
            <v>12285</v>
          </cell>
          <cell r="EJ35">
            <v>12524</v>
          </cell>
          <cell r="EK35">
            <v>12166</v>
          </cell>
          <cell r="EL35">
            <v>11981</v>
          </cell>
          <cell r="EM35">
            <v>12198</v>
          </cell>
          <cell r="EN35">
            <v>12547</v>
          </cell>
          <cell r="EO35">
            <v>11784</v>
          </cell>
          <cell r="EP35">
            <v>11988</v>
          </cell>
          <cell r="EQ35">
            <v>11891</v>
          </cell>
          <cell r="ER35">
            <v>11954</v>
          </cell>
          <cell r="ES35">
            <v>11218</v>
          </cell>
          <cell r="ET35">
            <v>11584</v>
          </cell>
          <cell r="EU35">
            <v>12072</v>
          </cell>
          <cell r="EV35">
            <v>12196</v>
          </cell>
          <cell r="EW35">
            <v>12026</v>
          </cell>
          <cell r="EX35">
            <v>11707</v>
          </cell>
          <cell r="EY35">
            <v>11849</v>
          </cell>
          <cell r="EZ35">
            <v>10312</v>
          </cell>
          <cell r="FA35">
            <v>12018</v>
          </cell>
          <cell r="FB35">
            <v>11993</v>
          </cell>
          <cell r="FC35">
            <v>11839</v>
          </cell>
          <cell r="FD35">
            <v>11836</v>
          </cell>
          <cell r="FE35">
            <v>10944</v>
          </cell>
          <cell r="FF35">
            <v>10631</v>
          </cell>
          <cell r="FG35">
            <v>10791</v>
          </cell>
          <cell r="FH35">
            <v>10880</v>
          </cell>
          <cell r="FI35">
            <v>11513</v>
          </cell>
          <cell r="FJ35">
            <v>10779</v>
          </cell>
          <cell r="FK35">
            <v>11171</v>
          </cell>
          <cell r="FL35">
            <v>11271</v>
          </cell>
          <cell r="FM35">
            <v>11138</v>
          </cell>
          <cell r="FN35">
            <v>11287</v>
          </cell>
          <cell r="FO35">
            <v>9431</v>
          </cell>
          <cell r="FP35">
            <v>11251</v>
          </cell>
          <cell r="FQ35">
            <v>11407</v>
          </cell>
          <cell r="FR35">
            <v>11166</v>
          </cell>
          <cell r="FS35">
            <v>10807</v>
          </cell>
          <cell r="FT35">
            <v>10580</v>
          </cell>
          <cell r="FU35">
            <v>10535</v>
          </cell>
          <cell r="FV35">
            <v>10880</v>
          </cell>
          <cell r="FW35">
            <v>10645</v>
          </cell>
          <cell r="FX35">
            <v>10976</v>
          </cell>
          <cell r="FY35">
            <v>10997</v>
          </cell>
          <cell r="FZ35">
            <v>8338</v>
          </cell>
          <cell r="GA35">
            <v>12038</v>
          </cell>
          <cell r="GB35">
            <v>11547</v>
          </cell>
          <cell r="GC35">
            <v>12120</v>
          </cell>
          <cell r="GD35">
            <v>9106</v>
          </cell>
          <cell r="GE35">
            <v>10221</v>
          </cell>
          <cell r="GF35">
            <v>11232</v>
          </cell>
          <cell r="GG35">
            <v>11613</v>
          </cell>
          <cell r="GH35">
            <v>10923</v>
          </cell>
          <cell r="GI35">
            <v>12125</v>
          </cell>
          <cell r="GJ35">
            <v>11911</v>
          </cell>
          <cell r="GK35">
            <v>10876</v>
          </cell>
          <cell r="GL35">
            <v>11706</v>
          </cell>
          <cell r="GM35">
            <v>12134</v>
          </cell>
          <cell r="GN35">
            <v>12684</v>
          </cell>
        </row>
        <row r="36">
          <cell r="B36" t="str">
            <v>EPIVIR</v>
          </cell>
          <cell r="C36" t="str">
            <v>GSK</v>
          </cell>
          <cell r="D36">
            <v>2595</v>
          </cell>
          <cell r="E36">
            <v>2362</v>
          </cell>
          <cell r="F36">
            <v>2431</v>
          </cell>
          <cell r="G36">
            <v>2289</v>
          </cell>
          <cell r="H36">
            <v>2345</v>
          </cell>
          <cell r="I36">
            <v>2491</v>
          </cell>
          <cell r="J36">
            <v>2449</v>
          </cell>
          <cell r="K36">
            <v>2399</v>
          </cell>
          <cell r="L36">
            <v>2320</v>
          </cell>
          <cell r="M36">
            <v>2445</v>
          </cell>
          <cell r="N36">
            <v>2149</v>
          </cell>
          <cell r="O36">
            <v>2288</v>
          </cell>
          <cell r="P36">
            <v>2332</v>
          </cell>
          <cell r="Q36">
            <v>2311</v>
          </cell>
          <cell r="R36">
            <v>2294</v>
          </cell>
          <cell r="S36">
            <v>2204</v>
          </cell>
          <cell r="T36">
            <v>2120</v>
          </cell>
          <cell r="U36">
            <v>2189</v>
          </cell>
          <cell r="V36">
            <v>2269</v>
          </cell>
          <cell r="W36">
            <v>2174</v>
          </cell>
          <cell r="X36">
            <v>2049</v>
          </cell>
          <cell r="Y36">
            <v>1903</v>
          </cell>
          <cell r="Z36">
            <v>2255</v>
          </cell>
          <cell r="AA36">
            <v>2258</v>
          </cell>
          <cell r="AB36">
            <v>2201</v>
          </cell>
          <cell r="AC36">
            <v>2153</v>
          </cell>
          <cell r="AD36">
            <v>1873</v>
          </cell>
          <cell r="AE36">
            <v>2062</v>
          </cell>
          <cell r="AF36">
            <v>2290</v>
          </cell>
          <cell r="AG36">
            <v>1970</v>
          </cell>
          <cell r="AH36">
            <v>2226</v>
          </cell>
          <cell r="AI36">
            <v>2205</v>
          </cell>
          <cell r="AJ36">
            <v>2092</v>
          </cell>
          <cell r="AK36">
            <v>2027</v>
          </cell>
          <cell r="AL36">
            <v>1990</v>
          </cell>
          <cell r="AM36">
            <v>2139</v>
          </cell>
          <cell r="AN36">
            <v>2194</v>
          </cell>
          <cell r="AO36">
            <v>2022</v>
          </cell>
          <cell r="AP36">
            <v>1967</v>
          </cell>
          <cell r="AQ36">
            <v>1889</v>
          </cell>
          <cell r="AR36">
            <v>2009</v>
          </cell>
          <cell r="AS36">
            <v>1982</v>
          </cell>
          <cell r="AT36">
            <v>1913</v>
          </cell>
          <cell r="AU36">
            <v>1876</v>
          </cell>
          <cell r="AV36">
            <v>2029</v>
          </cell>
          <cell r="AW36">
            <v>1874</v>
          </cell>
          <cell r="AX36">
            <v>1856</v>
          </cell>
          <cell r="AY36">
            <v>1954</v>
          </cell>
          <cell r="AZ36">
            <v>1740</v>
          </cell>
          <cell r="BA36">
            <v>2153</v>
          </cell>
          <cell r="BB36">
            <v>1881</v>
          </cell>
          <cell r="BC36">
            <v>1785</v>
          </cell>
          <cell r="BD36">
            <v>1992</v>
          </cell>
          <cell r="BE36">
            <v>1850</v>
          </cell>
          <cell r="BF36">
            <v>1815</v>
          </cell>
          <cell r="BG36">
            <v>1856</v>
          </cell>
          <cell r="BH36">
            <v>1879</v>
          </cell>
          <cell r="BI36">
            <v>1911</v>
          </cell>
          <cell r="BJ36">
            <v>1903</v>
          </cell>
          <cell r="BK36">
            <v>1663</v>
          </cell>
          <cell r="BL36">
            <v>1737</v>
          </cell>
          <cell r="BM36">
            <v>1805</v>
          </cell>
          <cell r="BN36">
            <v>1633</v>
          </cell>
          <cell r="BO36">
            <v>1820</v>
          </cell>
          <cell r="BP36">
            <v>1848</v>
          </cell>
          <cell r="BQ36">
            <v>1733</v>
          </cell>
          <cell r="BR36">
            <v>1855</v>
          </cell>
          <cell r="BS36">
            <v>1705</v>
          </cell>
          <cell r="BT36">
            <v>1889</v>
          </cell>
          <cell r="BU36">
            <v>1744</v>
          </cell>
          <cell r="BV36">
            <v>1805</v>
          </cell>
          <cell r="BW36">
            <v>1805</v>
          </cell>
          <cell r="BX36">
            <v>1691</v>
          </cell>
          <cell r="BY36">
            <v>1542</v>
          </cell>
          <cell r="BZ36">
            <v>1839</v>
          </cell>
          <cell r="CA36">
            <v>1848</v>
          </cell>
          <cell r="CB36">
            <v>1767</v>
          </cell>
          <cell r="CC36">
            <v>1829</v>
          </cell>
          <cell r="CD36">
            <v>1396</v>
          </cell>
          <cell r="CE36">
            <v>1610</v>
          </cell>
          <cell r="CF36">
            <v>1817</v>
          </cell>
          <cell r="CG36">
            <v>1758</v>
          </cell>
          <cell r="CH36">
            <v>1750</v>
          </cell>
          <cell r="CI36">
            <v>1850</v>
          </cell>
          <cell r="CJ36">
            <v>1719</v>
          </cell>
          <cell r="CK36">
            <v>1673</v>
          </cell>
          <cell r="CL36">
            <v>1638</v>
          </cell>
          <cell r="CM36">
            <v>1702</v>
          </cell>
          <cell r="CN36">
            <v>1867</v>
          </cell>
          <cell r="CO36">
            <v>1690</v>
          </cell>
          <cell r="CP36">
            <v>1579</v>
          </cell>
          <cell r="CQ36">
            <v>1557</v>
          </cell>
          <cell r="CR36">
            <v>1718</v>
          </cell>
          <cell r="CS36">
            <v>1669</v>
          </cell>
          <cell r="CT36">
            <v>1562</v>
          </cell>
          <cell r="CU36">
            <v>1564</v>
          </cell>
          <cell r="CV36">
            <v>1723</v>
          </cell>
          <cell r="CW36">
            <v>1587</v>
          </cell>
          <cell r="CX36">
            <v>1548</v>
          </cell>
          <cell r="CY36">
            <v>1618</v>
          </cell>
          <cell r="CZ36">
            <v>1434</v>
          </cell>
          <cell r="DA36">
            <v>1683</v>
          </cell>
          <cell r="DB36">
            <v>1584</v>
          </cell>
          <cell r="DC36">
            <v>1595</v>
          </cell>
          <cell r="DD36">
            <v>1536</v>
          </cell>
          <cell r="DE36">
            <v>1530</v>
          </cell>
          <cell r="DF36">
            <v>1645</v>
          </cell>
          <cell r="DG36">
            <v>1649</v>
          </cell>
          <cell r="DH36">
            <v>1613</v>
          </cell>
          <cell r="DI36">
            <v>1562</v>
          </cell>
          <cell r="DJ36">
            <v>1617</v>
          </cell>
          <cell r="DK36">
            <v>1650</v>
          </cell>
          <cell r="DL36">
            <v>1553</v>
          </cell>
          <cell r="DM36">
            <v>1487</v>
          </cell>
          <cell r="DN36">
            <v>1505</v>
          </cell>
          <cell r="DO36">
            <v>1662</v>
          </cell>
          <cell r="DP36">
            <v>1612</v>
          </cell>
          <cell r="DQ36">
            <v>1652</v>
          </cell>
          <cell r="DR36">
            <v>1676</v>
          </cell>
          <cell r="DS36">
            <v>1637</v>
          </cell>
          <cell r="DT36">
            <v>1455</v>
          </cell>
          <cell r="DU36">
            <v>1563</v>
          </cell>
          <cell r="DV36">
            <v>1402</v>
          </cell>
          <cell r="DW36">
            <v>1589</v>
          </cell>
          <cell r="DX36">
            <v>1377</v>
          </cell>
          <cell r="DY36">
            <v>1578</v>
          </cell>
          <cell r="DZ36">
            <v>1212</v>
          </cell>
          <cell r="EA36">
            <v>1644</v>
          </cell>
          <cell r="EB36">
            <v>1509</v>
          </cell>
          <cell r="EC36">
            <v>1636</v>
          </cell>
          <cell r="ED36">
            <v>1191</v>
          </cell>
          <cell r="EE36">
            <v>1338</v>
          </cell>
          <cell r="EF36">
            <v>1678</v>
          </cell>
          <cell r="EG36">
            <v>1444</v>
          </cell>
          <cell r="EH36">
            <v>1384</v>
          </cell>
          <cell r="EI36">
            <v>1569</v>
          </cell>
          <cell r="EJ36">
            <v>1548</v>
          </cell>
          <cell r="EK36">
            <v>1485</v>
          </cell>
          <cell r="EL36">
            <v>1346</v>
          </cell>
          <cell r="EM36">
            <v>1504</v>
          </cell>
          <cell r="EN36">
            <v>1636</v>
          </cell>
          <cell r="EO36">
            <v>1525</v>
          </cell>
          <cell r="EP36">
            <v>1530</v>
          </cell>
          <cell r="EQ36">
            <v>1484</v>
          </cell>
          <cell r="ER36">
            <v>1506</v>
          </cell>
          <cell r="ES36">
            <v>1429</v>
          </cell>
          <cell r="ET36">
            <v>1353</v>
          </cell>
          <cell r="EU36">
            <v>1408</v>
          </cell>
          <cell r="EV36">
            <v>1523</v>
          </cell>
          <cell r="EW36">
            <v>1483</v>
          </cell>
          <cell r="EX36">
            <v>1444</v>
          </cell>
          <cell r="EY36">
            <v>1368</v>
          </cell>
          <cell r="EZ36">
            <v>1391</v>
          </cell>
          <cell r="FA36">
            <v>1443</v>
          </cell>
          <cell r="FB36">
            <v>1485</v>
          </cell>
          <cell r="FC36">
            <v>1418</v>
          </cell>
          <cell r="FD36">
            <v>1373</v>
          </cell>
          <cell r="FE36">
            <v>1411</v>
          </cell>
          <cell r="FF36">
            <v>1229</v>
          </cell>
          <cell r="FG36">
            <v>1337</v>
          </cell>
          <cell r="FH36">
            <v>1218</v>
          </cell>
          <cell r="FI36">
            <v>1325</v>
          </cell>
          <cell r="FJ36">
            <v>1370</v>
          </cell>
          <cell r="FK36">
            <v>1389</v>
          </cell>
          <cell r="FL36">
            <v>1283</v>
          </cell>
          <cell r="FM36">
            <v>1436</v>
          </cell>
          <cell r="FN36">
            <v>1373</v>
          </cell>
          <cell r="FO36">
            <v>1242</v>
          </cell>
          <cell r="FP36">
            <v>1435</v>
          </cell>
          <cell r="FQ36">
            <v>1389</v>
          </cell>
          <cell r="FR36">
            <v>1456</v>
          </cell>
          <cell r="FS36">
            <v>1433</v>
          </cell>
          <cell r="FT36">
            <v>1300</v>
          </cell>
          <cell r="FU36">
            <v>1357</v>
          </cell>
          <cell r="FV36">
            <v>1279</v>
          </cell>
          <cell r="FW36">
            <v>1418</v>
          </cell>
          <cell r="FX36">
            <v>1420</v>
          </cell>
          <cell r="FY36">
            <v>1461</v>
          </cell>
          <cell r="FZ36">
            <v>1084</v>
          </cell>
          <cell r="GA36">
            <v>1533</v>
          </cell>
          <cell r="GB36">
            <v>1371</v>
          </cell>
          <cell r="GC36">
            <v>1359</v>
          </cell>
          <cell r="GD36">
            <v>1161</v>
          </cell>
          <cell r="GE36">
            <v>1153</v>
          </cell>
          <cell r="GF36">
            <v>1503</v>
          </cell>
          <cell r="GG36">
            <v>1509</v>
          </cell>
          <cell r="GH36">
            <v>1227</v>
          </cell>
          <cell r="GI36">
            <v>1395</v>
          </cell>
          <cell r="GJ36">
            <v>1457</v>
          </cell>
          <cell r="GK36">
            <v>1301</v>
          </cell>
          <cell r="GL36">
            <v>1339</v>
          </cell>
          <cell r="GM36">
            <v>1362</v>
          </cell>
          <cell r="GN36">
            <v>1474</v>
          </cell>
        </row>
        <row r="37">
          <cell r="B37" t="str">
            <v>EPIVIR HBV</v>
          </cell>
          <cell r="C37" t="str">
            <v>GSK</v>
          </cell>
          <cell r="D37">
            <v>509</v>
          </cell>
          <cell r="E37">
            <v>405</v>
          </cell>
          <cell r="F37">
            <v>478</v>
          </cell>
          <cell r="G37">
            <v>467</v>
          </cell>
          <cell r="H37">
            <v>486</v>
          </cell>
          <cell r="I37">
            <v>466</v>
          </cell>
          <cell r="J37">
            <v>476</v>
          </cell>
          <cell r="K37">
            <v>541</v>
          </cell>
          <cell r="L37">
            <v>479</v>
          </cell>
          <cell r="M37">
            <v>498</v>
          </cell>
          <cell r="N37">
            <v>443</v>
          </cell>
          <cell r="O37">
            <v>531</v>
          </cell>
          <cell r="P37">
            <v>517</v>
          </cell>
          <cell r="Q37">
            <v>483</v>
          </cell>
          <cell r="R37">
            <v>505</v>
          </cell>
          <cell r="S37">
            <v>501</v>
          </cell>
          <cell r="T37">
            <v>496</v>
          </cell>
          <cell r="U37">
            <v>462</v>
          </cell>
          <cell r="V37">
            <v>462</v>
          </cell>
          <cell r="W37">
            <v>452</v>
          </cell>
          <cell r="X37">
            <v>487</v>
          </cell>
          <cell r="Y37">
            <v>421</v>
          </cell>
          <cell r="Z37">
            <v>461</v>
          </cell>
          <cell r="AA37">
            <v>467</v>
          </cell>
          <cell r="AB37">
            <v>466</v>
          </cell>
          <cell r="AC37">
            <v>490</v>
          </cell>
          <cell r="AD37">
            <v>383</v>
          </cell>
          <cell r="AE37">
            <v>451</v>
          </cell>
          <cell r="AF37">
            <v>522</v>
          </cell>
          <cell r="AG37">
            <v>449</v>
          </cell>
          <cell r="AH37">
            <v>481</v>
          </cell>
          <cell r="AI37">
            <v>484</v>
          </cell>
          <cell r="AJ37">
            <v>472</v>
          </cell>
          <cell r="AK37">
            <v>456</v>
          </cell>
          <cell r="AL37">
            <v>443</v>
          </cell>
          <cell r="AM37">
            <v>513</v>
          </cell>
          <cell r="AN37">
            <v>515</v>
          </cell>
          <cell r="AO37">
            <v>512</v>
          </cell>
          <cell r="AP37">
            <v>483</v>
          </cell>
          <cell r="AQ37">
            <v>472</v>
          </cell>
          <cell r="AR37">
            <v>526</v>
          </cell>
          <cell r="AS37">
            <v>463</v>
          </cell>
          <cell r="AT37">
            <v>487</v>
          </cell>
          <cell r="AU37">
            <v>494</v>
          </cell>
          <cell r="AV37">
            <v>469</v>
          </cell>
          <cell r="AW37">
            <v>445</v>
          </cell>
          <cell r="AX37">
            <v>459</v>
          </cell>
          <cell r="AY37">
            <v>458</v>
          </cell>
          <cell r="AZ37">
            <v>400</v>
          </cell>
          <cell r="BA37">
            <v>512</v>
          </cell>
          <cell r="BB37">
            <v>445</v>
          </cell>
          <cell r="BC37">
            <v>437</v>
          </cell>
          <cell r="BD37">
            <v>459</v>
          </cell>
          <cell r="BE37">
            <v>398</v>
          </cell>
          <cell r="BF37">
            <v>446</v>
          </cell>
          <cell r="BG37">
            <v>453</v>
          </cell>
          <cell r="BH37">
            <v>453</v>
          </cell>
          <cell r="BI37">
            <v>482</v>
          </cell>
          <cell r="BJ37">
            <v>474</v>
          </cell>
          <cell r="BK37">
            <v>430</v>
          </cell>
          <cell r="BL37">
            <v>404</v>
          </cell>
          <cell r="BM37">
            <v>468</v>
          </cell>
          <cell r="BN37">
            <v>441</v>
          </cell>
          <cell r="BO37">
            <v>445</v>
          </cell>
          <cell r="BP37">
            <v>476</v>
          </cell>
          <cell r="BQ37">
            <v>476</v>
          </cell>
          <cell r="BR37">
            <v>439</v>
          </cell>
          <cell r="BS37">
            <v>451</v>
          </cell>
          <cell r="BT37">
            <v>414</v>
          </cell>
          <cell r="BU37">
            <v>394</v>
          </cell>
          <cell r="BV37">
            <v>463</v>
          </cell>
          <cell r="BW37">
            <v>434</v>
          </cell>
          <cell r="BX37">
            <v>388</v>
          </cell>
          <cell r="BY37">
            <v>372</v>
          </cell>
          <cell r="BZ37">
            <v>398</v>
          </cell>
          <cell r="CA37">
            <v>434</v>
          </cell>
          <cell r="CB37">
            <v>422</v>
          </cell>
          <cell r="CC37">
            <v>436</v>
          </cell>
          <cell r="CD37">
            <v>378</v>
          </cell>
          <cell r="CE37">
            <v>378</v>
          </cell>
          <cell r="CF37">
            <v>481</v>
          </cell>
          <cell r="CG37">
            <v>475</v>
          </cell>
          <cell r="CH37">
            <v>398</v>
          </cell>
          <cell r="CI37">
            <v>449</v>
          </cell>
          <cell r="CJ37">
            <v>433</v>
          </cell>
          <cell r="CK37">
            <v>433</v>
          </cell>
          <cell r="CL37">
            <v>430</v>
          </cell>
          <cell r="CM37">
            <v>467</v>
          </cell>
          <cell r="CN37">
            <v>432</v>
          </cell>
          <cell r="CO37">
            <v>504</v>
          </cell>
          <cell r="CP37">
            <v>477</v>
          </cell>
          <cell r="CQ37">
            <v>450</v>
          </cell>
          <cell r="CR37">
            <v>452</v>
          </cell>
          <cell r="CS37">
            <v>464</v>
          </cell>
          <cell r="CT37">
            <v>467</v>
          </cell>
          <cell r="CU37">
            <v>405</v>
          </cell>
          <cell r="CV37">
            <v>423</v>
          </cell>
          <cell r="CW37">
            <v>426</v>
          </cell>
          <cell r="CX37">
            <v>416</v>
          </cell>
          <cell r="CY37">
            <v>424</v>
          </cell>
          <cell r="CZ37">
            <v>381</v>
          </cell>
          <cell r="DA37">
            <v>455</v>
          </cell>
          <cell r="DB37">
            <v>443</v>
          </cell>
          <cell r="DC37">
            <v>383</v>
          </cell>
          <cell r="DD37">
            <v>445</v>
          </cell>
          <cell r="DE37">
            <v>361</v>
          </cell>
          <cell r="DF37">
            <v>422</v>
          </cell>
          <cell r="DG37">
            <v>373</v>
          </cell>
          <cell r="DH37">
            <v>384</v>
          </cell>
          <cell r="DI37">
            <v>413</v>
          </cell>
          <cell r="DJ37">
            <v>434</v>
          </cell>
          <cell r="DK37">
            <v>393</v>
          </cell>
          <cell r="DL37">
            <v>429</v>
          </cell>
          <cell r="DM37">
            <v>433</v>
          </cell>
          <cell r="DN37">
            <v>343</v>
          </cell>
          <cell r="DO37">
            <v>455</v>
          </cell>
          <cell r="DP37">
            <v>445</v>
          </cell>
          <cell r="DQ37">
            <v>380</v>
          </cell>
          <cell r="DR37">
            <v>434</v>
          </cell>
          <cell r="DS37">
            <v>423</v>
          </cell>
          <cell r="DT37">
            <v>406</v>
          </cell>
          <cell r="DU37">
            <v>345</v>
          </cell>
          <cell r="DV37">
            <v>390</v>
          </cell>
          <cell r="DW37">
            <v>416</v>
          </cell>
          <cell r="DX37">
            <v>434</v>
          </cell>
          <cell r="DY37">
            <v>386</v>
          </cell>
          <cell r="DZ37">
            <v>307</v>
          </cell>
          <cell r="EA37">
            <v>421</v>
          </cell>
          <cell r="EB37">
            <v>451</v>
          </cell>
          <cell r="EC37">
            <v>444</v>
          </cell>
          <cell r="ED37">
            <v>344</v>
          </cell>
          <cell r="EE37">
            <v>387</v>
          </cell>
          <cell r="EF37">
            <v>433</v>
          </cell>
          <cell r="EG37">
            <v>485</v>
          </cell>
          <cell r="EH37">
            <v>392</v>
          </cell>
          <cell r="EI37">
            <v>425</v>
          </cell>
          <cell r="EJ37">
            <v>442</v>
          </cell>
          <cell r="EK37">
            <v>468</v>
          </cell>
          <cell r="EL37">
            <v>377</v>
          </cell>
          <cell r="EM37">
            <v>396</v>
          </cell>
          <cell r="EN37">
            <v>399</v>
          </cell>
          <cell r="EO37">
            <v>422</v>
          </cell>
          <cell r="EP37">
            <v>423</v>
          </cell>
          <cell r="EQ37">
            <v>428</v>
          </cell>
          <cell r="ER37">
            <v>403</v>
          </cell>
          <cell r="ES37">
            <v>382</v>
          </cell>
          <cell r="ET37">
            <v>359</v>
          </cell>
          <cell r="EU37">
            <v>464</v>
          </cell>
          <cell r="EV37">
            <v>525</v>
          </cell>
          <cell r="EW37">
            <v>449</v>
          </cell>
          <cell r="EX37">
            <v>421</v>
          </cell>
          <cell r="EY37">
            <v>394</v>
          </cell>
          <cell r="EZ37">
            <v>360</v>
          </cell>
          <cell r="FA37">
            <v>408</v>
          </cell>
          <cell r="FB37">
            <v>405</v>
          </cell>
          <cell r="FC37">
            <v>380</v>
          </cell>
          <cell r="FD37">
            <v>351</v>
          </cell>
          <cell r="FE37">
            <v>385</v>
          </cell>
          <cell r="FF37">
            <v>339</v>
          </cell>
          <cell r="FG37">
            <v>319</v>
          </cell>
          <cell r="FH37">
            <v>326</v>
          </cell>
          <cell r="FI37">
            <v>375</v>
          </cell>
          <cell r="FJ37">
            <v>351</v>
          </cell>
          <cell r="FK37">
            <v>401</v>
          </cell>
          <cell r="FL37">
            <v>349</v>
          </cell>
          <cell r="FM37">
            <v>353</v>
          </cell>
          <cell r="FN37">
            <v>335</v>
          </cell>
          <cell r="FO37">
            <v>306</v>
          </cell>
          <cell r="FP37">
            <v>375</v>
          </cell>
          <cell r="FQ37">
            <v>379</v>
          </cell>
          <cell r="FR37">
            <v>373</v>
          </cell>
          <cell r="FS37">
            <v>400</v>
          </cell>
          <cell r="FT37">
            <v>406</v>
          </cell>
          <cell r="FU37">
            <v>377</v>
          </cell>
          <cell r="FV37">
            <v>363</v>
          </cell>
          <cell r="FW37">
            <v>389</v>
          </cell>
          <cell r="FX37">
            <v>338</v>
          </cell>
          <cell r="FY37">
            <v>321</v>
          </cell>
          <cell r="FZ37">
            <v>276</v>
          </cell>
          <cell r="GA37">
            <v>388</v>
          </cell>
          <cell r="GB37">
            <v>375</v>
          </cell>
          <cell r="GC37">
            <v>374</v>
          </cell>
          <cell r="GD37">
            <v>318</v>
          </cell>
          <cell r="GE37">
            <v>300</v>
          </cell>
          <cell r="GF37">
            <v>439</v>
          </cell>
          <cell r="GG37">
            <v>379</v>
          </cell>
          <cell r="GH37">
            <v>363</v>
          </cell>
          <cell r="GI37">
            <v>392</v>
          </cell>
          <cell r="GJ37">
            <v>408</v>
          </cell>
          <cell r="GK37">
            <v>372</v>
          </cell>
          <cell r="GL37">
            <v>364</v>
          </cell>
          <cell r="GM37">
            <v>343</v>
          </cell>
          <cell r="GN37">
            <v>431</v>
          </cell>
        </row>
        <row r="38">
          <cell r="B38" t="str">
            <v>EPOGEN</v>
          </cell>
          <cell r="C38" t="str">
            <v>AAI</v>
          </cell>
          <cell r="D38">
            <v>972</v>
          </cell>
          <cell r="E38">
            <v>728</v>
          </cell>
          <cell r="F38">
            <v>968</v>
          </cell>
          <cell r="G38">
            <v>873</v>
          </cell>
          <cell r="H38">
            <v>925</v>
          </cell>
          <cell r="I38">
            <v>889</v>
          </cell>
          <cell r="J38">
            <v>830</v>
          </cell>
          <cell r="K38">
            <v>907</v>
          </cell>
          <cell r="L38">
            <v>912</v>
          </cell>
          <cell r="M38">
            <v>855</v>
          </cell>
          <cell r="N38">
            <v>701</v>
          </cell>
          <cell r="O38">
            <v>861</v>
          </cell>
          <cell r="P38">
            <v>946</v>
          </cell>
          <cell r="Q38">
            <v>894</v>
          </cell>
          <cell r="R38">
            <v>936</v>
          </cell>
          <cell r="S38">
            <v>864</v>
          </cell>
          <cell r="T38">
            <v>826</v>
          </cell>
          <cell r="U38">
            <v>873</v>
          </cell>
          <cell r="V38">
            <v>805</v>
          </cell>
          <cell r="W38">
            <v>891</v>
          </cell>
          <cell r="X38">
            <v>921</v>
          </cell>
          <cell r="Y38">
            <v>691</v>
          </cell>
          <cell r="Z38">
            <v>802</v>
          </cell>
          <cell r="AA38">
            <v>853</v>
          </cell>
          <cell r="AB38">
            <v>866</v>
          </cell>
          <cell r="AC38">
            <v>908</v>
          </cell>
          <cell r="AD38">
            <v>747</v>
          </cell>
          <cell r="AE38">
            <v>703</v>
          </cell>
          <cell r="AF38">
            <v>867</v>
          </cell>
          <cell r="AG38">
            <v>787</v>
          </cell>
          <cell r="AH38">
            <v>855</v>
          </cell>
          <cell r="AI38">
            <v>796</v>
          </cell>
          <cell r="AJ38">
            <v>780</v>
          </cell>
          <cell r="AK38">
            <v>811</v>
          </cell>
          <cell r="AL38">
            <v>827</v>
          </cell>
          <cell r="AM38">
            <v>850</v>
          </cell>
          <cell r="AN38">
            <v>895</v>
          </cell>
          <cell r="AO38">
            <v>766</v>
          </cell>
          <cell r="AP38">
            <v>827</v>
          </cell>
          <cell r="AQ38">
            <v>773</v>
          </cell>
          <cell r="AR38">
            <v>785</v>
          </cell>
          <cell r="AS38">
            <v>727</v>
          </cell>
          <cell r="AT38">
            <v>701</v>
          </cell>
          <cell r="AU38">
            <v>712</v>
          </cell>
          <cell r="AV38">
            <v>708</v>
          </cell>
          <cell r="AW38">
            <v>659</v>
          </cell>
          <cell r="AX38">
            <v>745</v>
          </cell>
          <cell r="AY38">
            <v>737</v>
          </cell>
          <cell r="AZ38">
            <v>556</v>
          </cell>
          <cell r="BA38">
            <v>698</v>
          </cell>
          <cell r="BB38">
            <v>708</v>
          </cell>
          <cell r="BC38">
            <v>695</v>
          </cell>
          <cell r="BD38">
            <v>703</v>
          </cell>
          <cell r="BE38">
            <v>600</v>
          </cell>
          <cell r="BF38">
            <v>679</v>
          </cell>
          <cell r="BG38">
            <v>680</v>
          </cell>
          <cell r="BH38">
            <v>655</v>
          </cell>
          <cell r="BI38">
            <v>738</v>
          </cell>
          <cell r="BJ38">
            <v>710</v>
          </cell>
          <cell r="BK38">
            <v>689</v>
          </cell>
          <cell r="BL38">
            <v>646</v>
          </cell>
          <cell r="BM38">
            <v>703</v>
          </cell>
          <cell r="BN38">
            <v>545</v>
          </cell>
          <cell r="BO38">
            <v>613</v>
          </cell>
          <cell r="BP38">
            <v>690</v>
          </cell>
          <cell r="BQ38">
            <v>618</v>
          </cell>
          <cell r="BR38">
            <v>572</v>
          </cell>
          <cell r="BS38">
            <v>552</v>
          </cell>
          <cell r="BT38">
            <v>589</v>
          </cell>
          <cell r="BU38">
            <v>617</v>
          </cell>
          <cell r="BV38">
            <v>620</v>
          </cell>
          <cell r="BW38">
            <v>594</v>
          </cell>
          <cell r="BX38">
            <v>537</v>
          </cell>
          <cell r="BY38">
            <v>473</v>
          </cell>
          <cell r="BZ38">
            <v>642</v>
          </cell>
          <cell r="CA38">
            <v>602</v>
          </cell>
          <cell r="CB38">
            <v>578</v>
          </cell>
          <cell r="CC38">
            <v>616</v>
          </cell>
          <cell r="CD38">
            <v>438</v>
          </cell>
          <cell r="CE38">
            <v>461</v>
          </cell>
          <cell r="CF38">
            <v>604</v>
          </cell>
          <cell r="CG38">
            <v>579</v>
          </cell>
          <cell r="CH38">
            <v>570</v>
          </cell>
          <cell r="CI38">
            <v>586</v>
          </cell>
          <cell r="CJ38">
            <v>573</v>
          </cell>
          <cell r="CK38">
            <v>489</v>
          </cell>
          <cell r="CL38">
            <v>544</v>
          </cell>
          <cell r="CM38">
            <v>631</v>
          </cell>
          <cell r="CN38">
            <v>596</v>
          </cell>
          <cell r="CO38">
            <v>539</v>
          </cell>
          <cell r="CP38">
            <v>618</v>
          </cell>
          <cell r="CQ38">
            <v>500</v>
          </cell>
          <cell r="CR38">
            <v>517</v>
          </cell>
          <cell r="CS38">
            <v>566</v>
          </cell>
          <cell r="CT38">
            <v>534</v>
          </cell>
          <cell r="CU38">
            <v>518</v>
          </cell>
          <cell r="CV38">
            <v>554</v>
          </cell>
          <cell r="CW38">
            <v>495</v>
          </cell>
          <cell r="CX38">
            <v>501</v>
          </cell>
          <cell r="CY38">
            <v>525</v>
          </cell>
          <cell r="CZ38">
            <v>434</v>
          </cell>
          <cell r="DA38">
            <v>446</v>
          </cell>
          <cell r="DB38">
            <v>474</v>
          </cell>
          <cell r="DC38">
            <v>472</v>
          </cell>
          <cell r="DD38">
            <v>508</v>
          </cell>
          <cell r="DE38">
            <v>380</v>
          </cell>
          <cell r="DF38">
            <v>521</v>
          </cell>
          <cell r="DG38">
            <v>555</v>
          </cell>
          <cell r="DH38">
            <v>488</v>
          </cell>
          <cell r="DI38">
            <v>480</v>
          </cell>
          <cell r="DJ38">
            <v>489</v>
          </cell>
          <cell r="DK38">
            <v>446</v>
          </cell>
          <cell r="DL38">
            <v>481</v>
          </cell>
          <cell r="DM38">
            <v>434</v>
          </cell>
          <cell r="DN38">
            <v>429</v>
          </cell>
          <cell r="DO38">
            <v>494</v>
          </cell>
          <cell r="DP38">
            <v>451</v>
          </cell>
          <cell r="DQ38">
            <v>478</v>
          </cell>
          <cell r="DR38">
            <v>517</v>
          </cell>
          <cell r="DS38">
            <v>507</v>
          </cell>
          <cell r="DT38">
            <v>434</v>
          </cell>
          <cell r="DU38">
            <v>471</v>
          </cell>
          <cell r="DV38">
            <v>470</v>
          </cell>
          <cell r="DW38">
            <v>435</v>
          </cell>
          <cell r="DX38">
            <v>446</v>
          </cell>
          <cell r="DY38">
            <v>481</v>
          </cell>
          <cell r="DZ38">
            <v>372</v>
          </cell>
          <cell r="EA38">
            <v>442</v>
          </cell>
          <cell r="EB38">
            <v>433</v>
          </cell>
          <cell r="EC38">
            <v>436</v>
          </cell>
          <cell r="ED38">
            <v>364</v>
          </cell>
          <cell r="EE38">
            <v>350</v>
          </cell>
          <cell r="EF38">
            <v>408</v>
          </cell>
          <cell r="EG38">
            <v>394</v>
          </cell>
          <cell r="EH38">
            <v>393</v>
          </cell>
          <cell r="EI38">
            <v>487</v>
          </cell>
          <cell r="EJ38">
            <v>419</v>
          </cell>
          <cell r="EK38">
            <v>391</v>
          </cell>
          <cell r="EL38">
            <v>461</v>
          </cell>
          <cell r="EM38">
            <v>434</v>
          </cell>
          <cell r="EN38">
            <v>421</v>
          </cell>
          <cell r="EO38">
            <v>483</v>
          </cell>
          <cell r="EP38">
            <v>400</v>
          </cell>
          <cell r="EQ38">
            <v>441</v>
          </cell>
          <cell r="ER38">
            <v>414</v>
          </cell>
          <cell r="ES38">
            <v>496</v>
          </cell>
          <cell r="ET38">
            <v>424</v>
          </cell>
          <cell r="EU38">
            <v>450</v>
          </cell>
          <cell r="EV38">
            <v>428</v>
          </cell>
          <cell r="EW38">
            <v>434</v>
          </cell>
          <cell r="EX38">
            <v>431</v>
          </cell>
          <cell r="EY38">
            <v>479</v>
          </cell>
          <cell r="EZ38">
            <v>385</v>
          </cell>
          <cell r="FA38">
            <v>459</v>
          </cell>
          <cell r="FB38">
            <v>448</v>
          </cell>
          <cell r="FC38">
            <v>388</v>
          </cell>
          <cell r="FD38">
            <v>428</v>
          </cell>
          <cell r="FE38">
            <v>416</v>
          </cell>
          <cell r="FF38">
            <v>379</v>
          </cell>
          <cell r="FG38">
            <v>397</v>
          </cell>
          <cell r="FH38">
            <v>353</v>
          </cell>
          <cell r="FI38">
            <v>454</v>
          </cell>
          <cell r="FJ38">
            <v>407</v>
          </cell>
          <cell r="FK38">
            <v>412</v>
          </cell>
          <cell r="FL38">
            <v>367</v>
          </cell>
          <cell r="FM38">
            <v>402</v>
          </cell>
          <cell r="FN38">
            <v>385</v>
          </cell>
          <cell r="FO38">
            <v>318</v>
          </cell>
          <cell r="FP38">
            <v>371</v>
          </cell>
          <cell r="FQ38">
            <v>366</v>
          </cell>
          <cell r="FR38">
            <v>427</v>
          </cell>
          <cell r="FS38">
            <v>368</v>
          </cell>
          <cell r="FT38">
            <v>348</v>
          </cell>
          <cell r="FU38">
            <v>383</v>
          </cell>
          <cell r="FV38">
            <v>333</v>
          </cell>
          <cell r="FW38">
            <v>402</v>
          </cell>
          <cell r="FX38">
            <v>357</v>
          </cell>
          <cell r="FY38">
            <v>361</v>
          </cell>
          <cell r="FZ38">
            <v>335</v>
          </cell>
          <cell r="GA38">
            <v>401</v>
          </cell>
          <cell r="GB38">
            <v>390</v>
          </cell>
          <cell r="GC38">
            <v>399</v>
          </cell>
          <cell r="GD38">
            <v>303</v>
          </cell>
          <cell r="GE38">
            <v>362</v>
          </cell>
          <cell r="GF38">
            <v>418</v>
          </cell>
          <cell r="GG38">
            <v>443</v>
          </cell>
          <cell r="GH38">
            <v>412</v>
          </cell>
          <cell r="GI38">
            <v>410</v>
          </cell>
          <cell r="GJ38">
            <v>368</v>
          </cell>
          <cell r="GK38">
            <v>389</v>
          </cell>
          <cell r="GL38">
            <v>342</v>
          </cell>
          <cell r="GM38">
            <v>354</v>
          </cell>
          <cell r="GN38">
            <v>368</v>
          </cell>
        </row>
        <row r="39">
          <cell r="B39" t="str">
            <v>EPZICOM</v>
          </cell>
          <cell r="C39" t="str">
            <v>GSK</v>
          </cell>
          <cell r="D39">
            <v>1871</v>
          </cell>
          <cell r="E39">
            <v>1699</v>
          </cell>
          <cell r="F39">
            <v>1906</v>
          </cell>
          <cell r="G39">
            <v>1938</v>
          </cell>
          <cell r="H39">
            <v>1859</v>
          </cell>
          <cell r="I39">
            <v>1926</v>
          </cell>
          <cell r="J39">
            <v>2012</v>
          </cell>
          <cell r="K39">
            <v>1901</v>
          </cell>
          <cell r="L39">
            <v>2036</v>
          </cell>
          <cell r="M39">
            <v>2004</v>
          </cell>
          <cell r="N39">
            <v>1816</v>
          </cell>
          <cell r="O39">
            <v>2064</v>
          </cell>
          <cell r="P39">
            <v>1976</v>
          </cell>
          <cell r="Q39">
            <v>2066</v>
          </cell>
          <cell r="R39">
            <v>2138</v>
          </cell>
          <cell r="S39">
            <v>2031</v>
          </cell>
          <cell r="T39">
            <v>1937</v>
          </cell>
          <cell r="U39">
            <v>2145</v>
          </cell>
          <cell r="V39">
            <v>2127</v>
          </cell>
          <cell r="W39">
            <v>1932</v>
          </cell>
          <cell r="X39">
            <v>1892</v>
          </cell>
          <cell r="Y39">
            <v>1707</v>
          </cell>
          <cell r="Z39">
            <v>2114</v>
          </cell>
          <cell r="AA39">
            <v>1997</v>
          </cell>
          <cell r="AB39">
            <v>1965</v>
          </cell>
          <cell r="AC39">
            <v>2075</v>
          </cell>
          <cell r="AD39">
            <v>1817</v>
          </cell>
          <cell r="AE39">
            <v>1876</v>
          </cell>
          <cell r="AF39">
            <v>2174</v>
          </cell>
          <cell r="AG39">
            <v>1968</v>
          </cell>
          <cell r="AH39">
            <v>2041</v>
          </cell>
          <cell r="AI39">
            <v>2077</v>
          </cell>
          <cell r="AJ39">
            <v>2058</v>
          </cell>
          <cell r="AK39">
            <v>2076</v>
          </cell>
          <cell r="AL39">
            <v>2007</v>
          </cell>
          <cell r="AM39">
            <v>2223</v>
          </cell>
          <cell r="AN39">
            <v>2261</v>
          </cell>
          <cell r="AO39">
            <v>2064</v>
          </cell>
          <cell r="AP39">
            <v>2057</v>
          </cell>
          <cell r="AQ39">
            <v>2128</v>
          </cell>
          <cell r="AR39">
            <v>2185</v>
          </cell>
          <cell r="AS39">
            <v>2163</v>
          </cell>
          <cell r="AT39">
            <v>2140</v>
          </cell>
          <cell r="AU39">
            <v>2120</v>
          </cell>
          <cell r="AV39">
            <v>2309</v>
          </cell>
          <cell r="AW39">
            <v>2089</v>
          </cell>
          <cell r="AX39">
            <v>2010</v>
          </cell>
          <cell r="AY39">
            <v>2211</v>
          </cell>
          <cell r="AZ39">
            <v>2022</v>
          </cell>
          <cell r="BA39">
            <v>2259</v>
          </cell>
          <cell r="BB39">
            <v>2134</v>
          </cell>
          <cell r="BC39">
            <v>2104</v>
          </cell>
          <cell r="BD39">
            <v>2184</v>
          </cell>
          <cell r="BE39">
            <v>2024</v>
          </cell>
          <cell r="BF39">
            <v>2248</v>
          </cell>
          <cell r="BG39">
            <v>2121</v>
          </cell>
          <cell r="BH39">
            <v>2197</v>
          </cell>
          <cell r="BI39">
            <v>2273</v>
          </cell>
          <cell r="BJ39">
            <v>2214</v>
          </cell>
          <cell r="BK39">
            <v>2262</v>
          </cell>
          <cell r="BL39">
            <v>2203</v>
          </cell>
          <cell r="BM39">
            <v>2218</v>
          </cell>
          <cell r="BN39">
            <v>2035</v>
          </cell>
          <cell r="BO39">
            <v>2340</v>
          </cell>
          <cell r="BP39">
            <v>2208</v>
          </cell>
          <cell r="BQ39">
            <v>2334</v>
          </cell>
          <cell r="BR39">
            <v>2303</v>
          </cell>
          <cell r="BS39">
            <v>2299</v>
          </cell>
          <cell r="BT39">
            <v>2218</v>
          </cell>
          <cell r="BU39">
            <v>2312</v>
          </cell>
          <cell r="BV39">
            <v>2329</v>
          </cell>
          <cell r="BW39">
            <v>2376</v>
          </cell>
          <cell r="BX39">
            <v>2344</v>
          </cell>
          <cell r="BY39">
            <v>1947</v>
          </cell>
          <cell r="BZ39">
            <v>2455</v>
          </cell>
          <cell r="CA39">
            <v>2322</v>
          </cell>
          <cell r="CB39">
            <v>2316</v>
          </cell>
          <cell r="CC39">
            <v>2461</v>
          </cell>
          <cell r="CD39">
            <v>2002</v>
          </cell>
          <cell r="CE39">
            <v>1947</v>
          </cell>
          <cell r="CF39">
            <v>2607</v>
          </cell>
          <cell r="CG39">
            <v>2357</v>
          </cell>
          <cell r="CH39">
            <v>2244</v>
          </cell>
          <cell r="CI39">
            <v>2475</v>
          </cell>
          <cell r="CJ39">
            <v>2511</v>
          </cell>
          <cell r="CK39">
            <v>2381</v>
          </cell>
          <cell r="CL39">
            <v>2305</v>
          </cell>
          <cell r="CM39">
            <v>2542</v>
          </cell>
          <cell r="CN39">
            <v>2573</v>
          </cell>
          <cell r="CO39">
            <v>2441</v>
          </cell>
          <cell r="CP39">
            <v>2394</v>
          </cell>
          <cell r="CQ39">
            <v>2368</v>
          </cell>
          <cell r="CR39">
            <v>2417</v>
          </cell>
          <cell r="CS39">
            <v>2430</v>
          </cell>
          <cell r="CT39">
            <v>2261</v>
          </cell>
          <cell r="CU39">
            <v>2294</v>
          </cell>
          <cell r="CV39">
            <v>2374</v>
          </cell>
          <cell r="CW39">
            <v>2469</v>
          </cell>
          <cell r="CX39">
            <v>2343</v>
          </cell>
          <cell r="CY39">
            <v>2452</v>
          </cell>
          <cell r="CZ39">
            <v>2217</v>
          </cell>
          <cell r="DA39">
            <v>2500</v>
          </cell>
          <cell r="DB39">
            <v>2388</v>
          </cell>
          <cell r="DC39">
            <v>2262</v>
          </cell>
          <cell r="DD39">
            <v>2340</v>
          </cell>
          <cell r="DE39">
            <v>2148</v>
          </cell>
          <cell r="DF39">
            <v>2331</v>
          </cell>
          <cell r="DG39">
            <v>2434</v>
          </cell>
          <cell r="DH39">
            <v>2361</v>
          </cell>
          <cell r="DI39">
            <v>2394</v>
          </cell>
          <cell r="DJ39">
            <v>2366</v>
          </cell>
          <cell r="DK39">
            <v>2412</v>
          </cell>
          <cell r="DL39">
            <v>2394</v>
          </cell>
          <cell r="DM39">
            <v>2384</v>
          </cell>
          <cell r="DN39">
            <v>2404</v>
          </cell>
          <cell r="DO39">
            <v>2614</v>
          </cell>
          <cell r="DP39">
            <v>2527</v>
          </cell>
          <cell r="DQ39">
            <v>2524</v>
          </cell>
          <cell r="DR39">
            <v>2673</v>
          </cell>
          <cell r="DS39">
            <v>2795</v>
          </cell>
          <cell r="DT39">
            <v>2492</v>
          </cell>
          <cell r="DU39">
            <v>2585</v>
          </cell>
          <cell r="DV39">
            <v>2453</v>
          </cell>
          <cell r="DW39">
            <v>2539</v>
          </cell>
          <cell r="DX39">
            <v>2413</v>
          </cell>
          <cell r="DY39">
            <v>2485</v>
          </cell>
          <cell r="DZ39">
            <v>2260</v>
          </cell>
          <cell r="EA39">
            <v>2646</v>
          </cell>
          <cell r="EB39">
            <v>2430</v>
          </cell>
          <cell r="EC39">
            <v>2540</v>
          </cell>
          <cell r="ED39">
            <v>1911</v>
          </cell>
          <cell r="EE39">
            <v>2208</v>
          </cell>
          <cell r="EF39">
            <v>2722</v>
          </cell>
          <cell r="EG39">
            <v>2675</v>
          </cell>
          <cell r="EH39">
            <v>2397</v>
          </cell>
          <cell r="EI39">
            <v>2398</v>
          </cell>
          <cell r="EJ39">
            <v>2572</v>
          </cell>
          <cell r="EK39">
            <v>2493</v>
          </cell>
          <cell r="EL39">
            <v>2409</v>
          </cell>
          <cell r="EM39">
            <v>2472</v>
          </cell>
          <cell r="EN39">
            <v>2635</v>
          </cell>
          <cell r="EO39">
            <v>2458</v>
          </cell>
          <cell r="EP39">
            <v>2500</v>
          </cell>
          <cell r="EQ39">
            <v>2432</v>
          </cell>
          <cell r="ER39">
            <v>2662</v>
          </cell>
          <cell r="ES39">
            <v>2466</v>
          </cell>
          <cell r="ET39">
            <v>2375</v>
          </cell>
          <cell r="EU39">
            <v>2363</v>
          </cell>
          <cell r="EV39">
            <v>2550</v>
          </cell>
          <cell r="EW39">
            <v>2607</v>
          </cell>
          <cell r="EX39">
            <v>2440</v>
          </cell>
          <cell r="EY39">
            <v>2365</v>
          </cell>
          <cell r="EZ39">
            <v>2185</v>
          </cell>
          <cell r="FA39">
            <v>2514</v>
          </cell>
          <cell r="FB39">
            <v>2461</v>
          </cell>
          <cell r="FC39">
            <v>2490</v>
          </cell>
          <cell r="FD39">
            <v>2367</v>
          </cell>
          <cell r="FE39">
            <v>2449</v>
          </cell>
          <cell r="FF39">
            <v>2084</v>
          </cell>
          <cell r="FG39">
            <v>2214</v>
          </cell>
          <cell r="FH39">
            <v>2262</v>
          </cell>
          <cell r="FI39">
            <v>2374</v>
          </cell>
          <cell r="FJ39">
            <v>2651</v>
          </cell>
          <cell r="FK39">
            <v>2364</v>
          </cell>
          <cell r="FL39">
            <v>2437</v>
          </cell>
          <cell r="FM39">
            <v>2362</v>
          </cell>
          <cell r="FN39">
            <v>2556</v>
          </cell>
          <cell r="FO39">
            <v>2244</v>
          </cell>
          <cell r="FP39">
            <v>2712</v>
          </cell>
          <cell r="FQ39">
            <v>2649</v>
          </cell>
          <cell r="FR39">
            <v>2618</v>
          </cell>
          <cell r="FS39">
            <v>2671</v>
          </cell>
          <cell r="FT39">
            <v>2604</v>
          </cell>
          <cell r="FU39">
            <v>2530</v>
          </cell>
          <cell r="FV39">
            <v>2635</v>
          </cell>
          <cell r="FW39">
            <v>2556</v>
          </cell>
          <cell r="FX39">
            <v>2757</v>
          </cell>
          <cell r="FY39">
            <v>2667</v>
          </cell>
          <cell r="FZ39">
            <v>2153</v>
          </cell>
          <cell r="GA39">
            <v>2865</v>
          </cell>
          <cell r="GB39">
            <v>2585</v>
          </cell>
          <cell r="GC39">
            <v>2610</v>
          </cell>
          <cell r="GD39">
            <v>2166</v>
          </cell>
          <cell r="GE39">
            <v>2241</v>
          </cell>
          <cell r="GF39">
            <v>2640</v>
          </cell>
          <cell r="GG39">
            <v>2673</v>
          </cell>
          <cell r="GH39">
            <v>2373</v>
          </cell>
          <cell r="GI39">
            <v>2681</v>
          </cell>
          <cell r="GJ39">
            <v>2654</v>
          </cell>
          <cell r="GK39">
            <v>2490</v>
          </cell>
          <cell r="GL39">
            <v>2595</v>
          </cell>
          <cell r="GM39">
            <v>2530</v>
          </cell>
          <cell r="GN39">
            <v>2660</v>
          </cell>
        </row>
        <row r="40">
          <cell r="B40" t="str">
            <v>ERBITUX</v>
          </cell>
          <cell r="C40" t="str">
            <v>ISY</v>
          </cell>
          <cell r="D40">
            <v>14</v>
          </cell>
          <cell r="E40">
            <v>8</v>
          </cell>
          <cell r="F40">
            <v>17</v>
          </cell>
          <cell r="G40">
            <v>12</v>
          </cell>
          <cell r="H40">
            <v>8</v>
          </cell>
          <cell r="I40">
            <v>8</v>
          </cell>
          <cell r="J40">
            <v>10</v>
          </cell>
          <cell r="K40">
            <v>9</v>
          </cell>
          <cell r="L40">
            <v>8</v>
          </cell>
          <cell r="M40">
            <v>12</v>
          </cell>
          <cell r="N40">
            <v>11</v>
          </cell>
          <cell r="O40">
            <v>11</v>
          </cell>
          <cell r="P40">
            <v>13</v>
          </cell>
          <cell r="Q40">
            <v>10</v>
          </cell>
          <cell r="R40">
            <v>10</v>
          </cell>
          <cell r="S40">
            <v>9</v>
          </cell>
          <cell r="T40">
            <v>8</v>
          </cell>
          <cell r="U40">
            <v>8</v>
          </cell>
          <cell r="V40">
            <v>12</v>
          </cell>
          <cell r="W40">
            <v>24</v>
          </cell>
          <cell r="X40">
            <v>10</v>
          </cell>
          <cell r="Y40">
            <v>8</v>
          </cell>
          <cell r="Z40">
            <v>10</v>
          </cell>
          <cell r="AA40">
            <v>8</v>
          </cell>
          <cell r="AB40">
            <v>9</v>
          </cell>
          <cell r="AC40">
            <v>9</v>
          </cell>
          <cell r="AD40">
            <v>3</v>
          </cell>
          <cell r="AE40">
            <v>8</v>
          </cell>
          <cell r="AF40">
            <v>6</v>
          </cell>
          <cell r="AG40">
            <v>11</v>
          </cell>
          <cell r="AH40">
            <v>8</v>
          </cell>
          <cell r="AI40">
            <v>21</v>
          </cell>
          <cell r="AJ40">
            <v>7</v>
          </cell>
          <cell r="AK40">
            <v>3</v>
          </cell>
          <cell r="AL40">
            <v>5</v>
          </cell>
          <cell r="AM40">
            <v>7</v>
          </cell>
          <cell r="AN40">
            <v>2</v>
          </cell>
          <cell r="AO40">
            <v>6</v>
          </cell>
          <cell r="AP40">
            <v>8</v>
          </cell>
          <cell r="AQ40">
            <v>4</v>
          </cell>
          <cell r="AR40">
            <v>7</v>
          </cell>
          <cell r="AS40">
            <v>11</v>
          </cell>
          <cell r="AT40">
            <v>8</v>
          </cell>
          <cell r="AU40">
            <v>5</v>
          </cell>
          <cell r="AV40">
            <v>8</v>
          </cell>
          <cell r="AW40">
            <v>12</v>
          </cell>
          <cell r="AX40">
            <v>7</v>
          </cell>
          <cell r="AY40">
            <v>3</v>
          </cell>
          <cell r="AZ40">
            <v>11</v>
          </cell>
          <cell r="BA40">
            <v>18</v>
          </cell>
          <cell r="BB40">
            <v>6</v>
          </cell>
          <cell r="BC40">
            <v>10</v>
          </cell>
          <cell r="BD40">
            <v>9</v>
          </cell>
          <cell r="BE40">
            <v>12</v>
          </cell>
          <cell r="BF40">
            <v>4</v>
          </cell>
          <cell r="BG40">
            <v>9</v>
          </cell>
          <cell r="BH40">
            <v>10</v>
          </cell>
          <cell r="BI40">
            <v>13</v>
          </cell>
          <cell r="BJ40">
            <v>9</v>
          </cell>
          <cell r="BK40">
            <v>18</v>
          </cell>
          <cell r="BL40">
            <v>12</v>
          </cell>
          <cell r="BM40">
            <v>14</v>
          </cell>
          <cell r="BN40">
            <v>8</v>
          </cell>
          <cell r="BO40">
            <v>11</v>
          </cell>
          <cell r="BP40">
            <v>9</v>
          </cell>
          <cell r="BQ40">
            <v>17</v>
          </cell>
          <cell r="BR40">
            <v>11</v>
          </cell>
          <cell r="BS40">
            <v>14</v>
          </cell>
          <cell r="BT40">
            <v>17</v>
          </cell>
          <cell r="BU40">
            <v>18</v>
          </cell>
          <cell r="BV40">
            <v>10</v>
          </cell>
          <cell r="BW40">
            <v>9</v>
          </cell>
          <cell r="BX40">
            <v>10</v>
          </cell>
          <cell r="BY40">
            <v>9</v>
          </cell>
          <cell r="BZ40">
            <v>13</v>
          </cell>
          <cell r="CA40">
            <v>20</v>
          </cell>
          <cell r="CB40">
            <v>14</v>
          </cell>
          <cell r="CC40">
            <v>17</v>
          </cell>
          <cell r="CD40">
            <v>9</v>
          </cell>
          <cell r="CE40">
            <v>9</v>
          </cell>
          <cell r="CF40">
            <v>29</v>
          </cell>
          <cell r="CG40">
            <v>22</v>
          </cell>
          <cell r="CH40">
            <v>14</v>
          </cell>
          <cell r="CI40">
            <v>18</v>
          </cell>
          <cell r="CJ40">
            <v>18</v>
          </cell>
          <cell r="CK40">
            <v>14</v>
          </cell>
          <cell r="CL40">
            <v>11</v>
          </cell>
          <cell r="CM40">
            <v>19</v>
          </cell>
          <cell r="CN40">
            <v>8</v>
          </cell>
          <cell r="CO40">
            <v>10</v>
          </cell>
          <cell r="CP40">
            <v>14</v>
          </cell>
          <cell r="CQ40">
            <v>14</v>
          </cell>
          <cell r="CR40">
            <v>13</v>
          </cell>
          <cell r="CS40">
            <v>17</v>
          </cell>
          <cell r="CT40">
            <v>13</v>
          </cell>
          <cell r="CU40">
            <v>4</v>
          </cell>
          <cell r="CV40">
            <v>10</v>
          </cell>
          <cell r="CW40">
            <v>18</v>
          </cell>
          <cell r="CX40">
            <v>12</v>
          </cell>
          <cell r="CY40">
            <v>13</v>
          </cell>
          <cell r="CZ40">
            <v>19</v>
          </cell>
          <cell r="DA40">
            <v>13</v>
          </cell>
          <cell r="DB40">
            <v>27</v>
          </cell>
          <cell r="DC40">
            <v>20</v>
          </cell>
          <cell r="DD40">
            <v>15</v>
          </cell>
          <cell r="DE40">
            <v>19</v>
          </cell>
          <cell r="DF40">
            <v>29</v>
          </cell>
          <cell r="DG40">
            <v>12</v>
          </cell>
          <cell r="DH40">
            <v>15</v>
          </cell>
          <cell r="DI40">
            <v>11</v>
          </cell>
          <cell r="DJ40">
            <v>28</v>
          </cell>
          <cell r="DK40">
            <v>12</v>
          </cell>
          <cell r="DL40">
            <v>22</v>
          </cell>
          <cell r="DM40">
            <v>13</v>
          </cell>
          <cell r="DN40">
            <v>14</v>
          </cell>
          <cell r="DO40">
            <v>12</v>
          </cell>
          <cell r="DP40">
            <v>22</v>
          </cell>
          <cell r="DQ40">
            <v>24</v>
          </cell>
          <cell r="DR40">
            <v>15</v>
          </cell>
          <cell r="DS40">
            <v>16</v>
          </cell>
          <cell r="DT40">
            <v>22</v>
          </cell>
          <cell r="DU40">
            <v>8</v>
          </cell>
          <cell r="DV40">
            <v>16</v>
          </cell>
          <cell r="DW40">
            <v>13</v>
          </cell>
          <cell r="DX40">
            <v>13</v>
          </cell>
          <cell r="DY40">
            <v>18</v>
          </cell>
          <cell r="DZ40">
            <v>8</v>
          </cell>
          <cell r="EA40">
            <v>27</v>
          </cell>
          <cell r="EB40">
            <v>13</v>
          </cell>
          <cell r="EC40">
            <v>9</v>
          </cell>
          <cell r="ED40">
            <v>3</v>
          </cell>
          <cell r="EE40">
            <v>9</v>
          </cell>
          <cell r="EF40">
            <v>11</v>
          </cell>
          <cell r="EG40">
            <v>14</v>
          </cell>
          <cell r="EH40">
            <v>7</v>
          </cell>
          <cell r="EI40">
            <v>15</v>
          </cell>
          <cell r="EJ40">
            <v>21</v>
          </cell>
          <cell r="EK40">
            <v>16</v>
          </cell>
          <cell r="EL40">
            <v>24</v>
          </cell>
          <cell r="EM40">
            <v>18</v>
          </cell>
          <cell r="EN40">
            <v>22</v>
          </cell>
          <cell r="EO40">
            <v>21</v>
          </cell>
          <cell r="EP40">
            <v>24</v>
          </cell>
          <cell r="EQ40">
            <v>17</v>
          </cell>
          <cell r="ER40">
            <v>15</v>
          </cell>
          <cell r="ES40">
            <v>22</v>
          </cell>
          <cell r="ET40">
            <v>23</v>
          </cell>
          <cell r="EU40">
            <v>16</v>
          </cell>
          <cell r="EV40">
            <v>18</v>
          </cell>
          <cell r="EW40">
            <v>26</v>
          </cell>
          <cell r="EX40">
            <v>19</v>
          </cell>
          <cell r="EY40">
            <v>13</v>
          </cell>
          <cell r="EZ40">
            <v>20</v>
          </cell>
          <cell r="FA40">
            <v>15</v>
          </cell>
          <cell r="FB40">
            <v>21</v>
          </cell>
          <cell r="FC40">
            <v>17</v>
          </cell>
          <cell r="FD40">
            <v>16</v>
          </cell>
          <cell r="FE40">
            <v>15</v>
          </cell>
          <cell r="FF40">
            <v>14</v>
          </cell>
          <cell r="FG40">
            <v>16</v>
          </cell>
          <cell r="FH40">
            <v>16</v>
          </cell>
          <cell r="FI40">
            <v>16</v>
          </cell>
          <cell r="FJ40">
            <v>5</v>
          </cell>
          <cell r="FK40">
            <v>26</v>
          </cell>
          <cell r="FL40">
            <v>3</v>
          </cell>
          <cell r="FM40">
            <v>11</v>
          </cell>
          <cell r="FN40">
            <v>23</v>
          </cell>
          <cell r="FO40">
            <v>15</v>
          </cell>
          <cell r="FP40">
            <v>63</v>
          </cell>
          <cell r="FQ40">
            <v>39</v>
          </cell>
          <cell r="FR40">
            <v>24</v>
          </cell>
          <cell r="FS40">
            <v>15</v>
          </cell>
          <cell r="FT40">
            <v>23</v>
          </cell>
          <cell r="FU40">
            <v>17</v>
          </cell>
          <cell r="FV40">
            <v>26</v>
          </cell>
          <cell r="FW40">
            <v>7</v>
          </cell>
          <cell r="FX40">
            <v>15</v>
          </cell>
          <cell r="FY40">
            <v>13</v>
          </cell>
          <cell r="FZ40">
            <v>14</v>
          </cell>
          <cell r="GA40">
            <v>18</v>
          </cell>
          <cell r="GB40">
            <v>13</v>
          </cell>
          <cell r="GC40">
            <v>13</v>
          </cell>
          <cell r="GD40">
            <v>14</v>
          </cell>
          <cell r="GE40">
            <v>9</v>
          </cell>
          <cell r="GF40">
            <v>9</v>
          </cell>
          <cell r="GG40">
            <v>23</v>
          </cell>
          <cell r="GH40">
            <v>22</v>
          </cell>
          <cell r="GI40">
            <v>10</v>
          </cell>
          <cell r="GJ40">
            <v>18</v>
          </cell>
          <cell r="GK40">
            <v>15</v>
          </cell>
          <cell r="GL40">
            <v>18</v>
          </cell>
          <cell r="GM40">
            <v>28</v>
          </cell>
          <cell r="GN40">
            <v>23</v>
          </cell>
        </row>
        <row r="41">
          <cell r="B41" t="str">
            <v>EUFLEXXA</v>
          </cell>
          <cell r="C41" t="str">
            <v>FER</v>
          </cell>
          <cell r="D41">
            <v>134</v>
          </cell>
          <cell r="E41">
            <v>83</v>
          </cell>
          <cell r="F41">
            <v>159</v>
          </cell>
          <cell r="G41">
            <v>128</v>
          </cell>
          <cell r="H41">
            <v>153</v>
          </cell>
          <cell r="I41">
            <v>156</v>
          </cell>
          <cell r="J41">
            <v>192</v>
          </cell>
          <cell r="K41">
            <v>174</v>
          </cell>
          <cell r="L41">
            <v>172</v>
          </cell>
          <cell r="M41">
            <v>155</v>
          </cell>
          <cell r="N41">
            <v>167</v>
          </cell>
          <cell r="O41">
            <v>207</v>
          </cell>
          <cell r="P41">
            <v>226</v>
          </cell>
          <cell r="Q41">
            <v>222</v>
          </cell>
          <cell r="R41">
            <v>176</v>
          </cell>
          <cell r="S41">
            <v>216</v>
          </cell>
          <cell r="T41">
            <v>205</v>
          </cell>
          <cell r="U41">
            <v>222</v>
          </cell>
          <cell r="V41">
            <v>236</v>
          </cell>
          <cell r="W41">
            <v>217</v>
          </cell>
          <cell r="X41">
            <v>237</v>
          </cell>
          <cell r="Y41">
            <v>180</v>
          </cell>
          <cell r="Z41">
            <v>315</v>
          </cell>
          <cell r="AA41">
            <v>346</v>
          </cell>
          <cell r="AB41">
            <v>299</v>
          </cell>
          <cell r="AC41">
            <v>287</v>
          </cell>
          <cell r="AD41">
            <v>204</v>
          </cell>
          <cell r="AE41">
            <v>206</v>
          </cell>
          <cell r="AF41">
            <v>306</v>
          </cell>
          <cell r="AG41">
            <v>214</v>
          </cell>
          <cell r="AH41">
            <v>282</v>
          </cell>
          <cell r="AI41">
            <v>263</v>
          </cell>
          <cell r="AJ41">
            <v>243</v>
          </cell>
          <cell r="AK41">
            <v>217</v>
          </cell>
          <cell r="AL41">
            <v>275</v>
          </cell>
          <cell r="AM41">
            <v>296</v>
          </cell>
          <cell r="AN41">
            <v>217</v>
          </cell>
          <cell r="AO41">
            <v>279</v>
          </cell>
          <cell r="AP41">
            <v>264</v>
          </cell>
          <cell r="AQ41">
            <v>302</v>
          </cell>
          <cell r="AR41">
            <v>243</v>
          </cell>
          <cell r="AS41">
            <v>306</v>
          </cell>
          <cell r="AT41">
            <v>327</v>
          </cell>
          <cell r="AU41">
            <v>305</v>
          </cell>
          <cell r="AV41">
            <v>327</v>
          </cell>
          <cell r="AW41">
            <v>307</v>
          </cell>
          <cell r="AX41">
            <v>353</v>
          </cell>
          <cell r="AY41">
            <v>313</v>
          </cell>
          <cell r="AZ41">
            <v>249</v>
          </cell>
          <cell r="BA41">
            <v>332</v>
          </cell>
          <cell r="BB41">
            <v>356</v>
          </cell>
          <cell r="BC41">
            <v>319</v>
          </cell>
          <cell r="BD41">
            <v>292</v>
          </cell>
          <cell r="BE41">
            <v>244</v>
          </cell>
          <cell r="BF41">
            <v>277</v>
          </cell>
          <cell r="BG41">
            <v>357</v>
          </cell>
          <cell r="BH41">
            <v>374</v>
          </cell>
          <cell r="BI41">
            <v>327</v>
          </cell>
          <cell r="BJ41">
            <v>328</v>
          </cell>
          <cell r="BK41">
            <v>381</v>
          </cell>
          <cell r="BL41">
            <v>376</v>
          </cell>
          <cell r="BM41">
            <v>362</v>
          </cell>
          <cell r="BN41">
            <v>344</v>
          </cell>
          <cell r="BO41">
            <v>362</v>
          </cell>
          <cell r="BP41">
            <v>403</v>
          </cell>
          <cell r="BQ41">
            <v>411</v>
          </cell>
          <cell r="BR41">
            <v>370</v>
          </cell>
          <cell r="BS41">
            <v>368</v>
          </cell>
          <cell r="BT41">
            <v>347</v>
          </cell>
          <cell r="BU41">
            <v>428</v>
          </cell>
          <cell r="BV41">
            <v>327</v>
          </cell>
          <cell r="BW41">
            <v>369</v>
          </cell>
          <cell r="BX41">
            <v>369</v>
          </cell>
          <cell r="BY41">
            <v>277</v>
          </cell>
          <cell r="BZ41">
            <v>360</v>
          </cell>
          <cell r="CA41">
            <v>381</v>
          </cell>
          <cell r="CB41">
            <v>403</v>
          </cell>
          <cell r="CC41">
            <v>330</v>
          </cell>
          <cell r="CD41">
            <v>236</v>
          </cell>
          <cell r="CE41">
            <v>240</v>
          </cell>
          <cell r="CF41">
            <v>406</v>
          </cell>
          <cell r="CG41">
            <v>363</v>
          </cell>
          <cell r="CH41">
            <v>369</v>
          </cell>
          <cell r="CI41">
            <v>390</v>
          </cell>
          <cell r="CJ41">
            <v>392</v>
          </cell>
          <cell r="CK41">
            <v>392</v>
          </cell>
          <cell r="CL41">
            <v>402</v>
          </cell>
          <cell r="CM41">
            <v>418</v>
          </cell>
          <cell r="CN41">
            <v>439</v>
          </cell>
          <cell r="CO41">
            <v>456</v>
          </cell>
          <cell r="CP41">
            <v>468</v>
          </cell>
          <cell r="CQ41">
            <v>456</v>
          </cell>
          <cell r="CR41">
            <v>492</v>
          </cell>
          <cell r="CS41">
            <v>483</v>
          </cell>
          <cell r="CT41">
            <v>394</v>
          </cell>
          <cell r="CU41">
            <v>491</v>
          </cell>
          <cell r="CV41">
            <v>499</v>
          </cell>
          <cell r="CW41">
            <v>459</v>
          </cell>
          <cell r="CX41">
            <v>441</v>
          </cell>
          <cell r="CY41">
            <v>410</v>
          </cell>
          <cell r="CZ41">
            <v>329</v>
          </cell>
          <cell r="DA41">
            <v>426</v>
          </cell>
          <cell r="DB41">
            <v>414</v>
          </cell>
          <cell r="DC41">
            <v>448</v>
          </cell>
          <cell r="DD41">
            <v>467</v>
          </cell>
          <cell r="DE41">
            <v>357</v>
          </cell>
          <cell r="DF41">
            <v>512</v>
          </cell>
          <cell r="DG41">
            <v>484</v>
          </cell>
          <cell r="DH41">
            <v>477</v>
          </cell>
          <cell r="DI41">
            <v>499</v>
          </cell>
          <cell r="DJ41">
            <v>533</v>
          </cell>
          <cell r="DK41">
            <v>461</v>
          </cell>
          <cell r="DL41">
            <v>480</v>
          </cell>
          <cell r="DM41">
            <v>498</v>
          </cell>
          <cell r="DN41">
            <v>386</v>
          </cell>
          <cell r="DO41">
            <v>569</v>
          </cell>
          <cell r="DP41">
            <v>514</v>
          </cell>
          <cell r="DQ41">
            <v>537</v>
          </cell>
          <cell r="DR41">
            <v>570</v>
          </cell>
          <cell r="DS41">
            <v>509</v>
          </cell>
          <cell r="DT41">
            <v>573</v>
          </cell>
          <cell r="DU41">
            <v>561</v>
          </cell>
          <cell r="DV41">
            <v>559</v>
          </cell>
          <cell r="DW41">
            <v>489</v>
          </cell>
          <cell r="DX41">
            <v>517</v>
          </cell>
          <cell r="DY41">
            <v>541</v>
          </cell>
          <cell r="DZ41">
            <v>317</v>
          </cell>
          <cell r="EA41">
            <v>518</v>
          </cell>
          <cell r="EB41">
            <v>510</v>
          </cell>
          <cell r="EC41">
            <v>514</v>
          </cell>
          <cell r="ED41">
            <v>285</v>
          </cell>
          <cell r="EE41">
            <v>281</v>
          </cell>
          <cell r="EF41">
            <v>383</v>
          </cell>
          <cell r="EG41">
            <v>399</v>
          </cell>
          <cell r="EH41">
            <v>368</v>
          </cell>
          <cell r="EI41">
            <v>366</v>
          </cell>
          <cell r="EJ41">
            <v>411</v>
          </cell>
          <cell r="EK41">
            <v>444</v>
          </cell>
          <cell r="EL41">
            <v>418</v>
          </cell>
          <cell r="EM41">
            <v>416</v>
          </cell>
          <cell r="EN41">
            <v>415</v>
          </cell>
          <cell r="EO41">
            <v>495</v>
          </cell>
          <cell r="EP41">
            <v>448</v>
          </cell>
          <cell r="EQ41">
            <v>531</v>
          </cell>
          <cell r="ER41">
            <v>478</v>
          </cell>
          <cell r="ES41">
            <v>432</v>
          </cell>
          <cell r="ET41">
            <v>508</v>
          </cell>
          <cell r="EU41">
            <v>521</v>
          </cell>
          <cell r="EV41">
            <v>532</v>
          </cell>
          <cell r="EW41">
            <v>535</v>
          </cell>
          <cell r="EX41">
            <v>539</v>
          </cell>
          <cell r="EY41">
            <v>493</v>
          </cell>
          <cell r="EZ41">
            <v>384</v>
          </cell>
          <cell r="FA41">
            <v>529</v>
          </cell>
          <cell r="FB41">
            <v>636</v>
          </cell>
          <cell r="FC41">
            <v>533</v>
          </cell>
          <cell r="FD41">
            <v>572</v>
          </cell>
          <cell r="FE41">
            <v>424</v>
          </cell>
          <cell r="FF41">
            <v>582</v>
          </cell>
          <cell r="FG41">
            <v>511</v>
          </cell>
          <cell r="FH41">
            <v>590</v>
          </cell>
          <cell r="FI41">
            <v>515</v>
          </cell>
          <cell r="FJ41">
            <v>547</v>
          </cell>
          <cell r="FK41">
            <v>571</v>
          </cell>
          <cell r="FL41">
            <v>473</v>
          </cell>
          <cell r="FM41">
            <v>536</v>
          </cell>
          <cell r="FN41">
            <v>488</v>
          </cell>
          <cell r="FO41">
            <v>383</v>
          </cell>
          <cell r="FP41">
            <v>540</v>
          </cell>
          <cell r="FQ41">
            <v>590</v>
          </cell>
          <cell r="FR41">
            <v>541</v>
          </cell>
          <cell r="FS41">
            <v>564</v>
          </cell>
          <cell r="FT41">
            <v>618</v>
          </cell>
          <cell r="FU41">
            <v>598</v>
          </cell>
          <cell r="FV41">
            <v>641</v>
          </cell>
          <cell r="FW41">
            <v>539</v>
          </cell>
          <cell r="FX41">
            <v>546</v>
          </cell>
          <cell r="FY41">
            <v>602</v>
          </cell>
          <cell r="FZ41">
            <v>302</v>
          </cell>
          <cell r="GA41">
            <v>572</v>
          </cell>
          <cell r="GB41">
            <v>543</v>
          </cell>
          <cell r="GC41">
            <v>516</v>
          </cell>
          <cell r="GD41">
            <v>362</v>
          </cell>
          <cell r="GE41">
            <v>320</v>
          </cell>
          <cell r="GF41">
            <v>494</v>
          </cell>
          <cell r="GG41">
            <v>499</v>
          </cell>
          <cell r="GH41">
            <v>522</v>
          </cell>
          <cell r="GI41">
            <v>643</v>
          </cell>
          <cell r="GJ41">
            <v>557</v>
          </cell>
          <cell r="GK41">
            <v>401</v>
          </cell>
          <cell r="GL41">
            <v>699</v>
          </cell>
          <cell r="GM41">
            <v>561</v>
          </cell>
          <cell r="GN41">
            <v>606</v>
          </cell>
        </row>
        <row r="42">
          <cell r="B42" t="str">
            <v>FABRAZYME</v>
          </cell>
          <cell r="C42" t="str">
            <v>GZY</v>
          </cell>
          <cell r="D42">
            <v>0</v>
          </cell>
          <cell r="E42">
            <v>0</v>
          </cell>
          <cell r="F42">
            <v>5</v>
          </cell>
          <cell r="G42">
            <v>0</v>
          </cell>
          <cell r="H42">
            <v>3</v>
          </cell>
          <cell r="I42">
            <v>2</v>
          </cell>
          <cell r="J42">
            <v>4</v>
          </cell>
          <cell r="K42">
            <v>7</v>
          </cell>
          <cell r="L42">
            <v>5</v>
          </cell>
          <cell r="M42">
            <v>3</v>
          </cell>
          <cell r="N42">
            <v>2</v>
          </cell>
          <cell r="O42">
            <v>0</v>
          </cell>
          <cell r="P42">
            <v>0</v>
          </cell>
          <cell r="Q42">
            <v>0</v>
          </cell>
          <cell r="R42">
            <v>0</v>
          </cell>
          <cell r="S42">
            <v>4</v>
          </cell>
          <cell r="T42">
            <v>0</v>
          </cell>
          <cell r="U42">
            <v>6</v>
          </cell>
          <cell r="V42">
            <v>0</v>
          </cell>
          <cell r="W42">
            <v>3</v>
          </cell>
          <cell r="X42">
            <v>1</v>
          </cell>
          <cell r="Y42">
            <v>2</v>
          </cell>
          <cell r="Z42">
            <v>1</v>
          </cell>
          <cell r="AA42">
            <v>0</v>
          </cell>
          <cell r="AB42">
            <v>7</v>
          </cell>
          <cell r="AC42">
            <v>0</v>
          </cell>
          <cell r="AD42">
            <v>0</v>
          </cell>
          <cell r="AE42">
            <v>3</v>
          </cell>
          <cell r="AF42">
            <v>3</v>
          </cell>
          <cell r="AG42">
            <v>4</v>
          </cell>
          <cell r="AH42">
            <v>2</v>
          </cell>
          <cell r="AI42">
            <v>0</v>
          </cell>
          <cell r="AJ42">
            <v>4</v>
          </cell>
          <cell r="AK42">
            <v>2</v>
          </cell>
          <cell r="AL42">
            <v>8</v>
          </cell>
          <cell r="AM42">
            <v>3</v>
          </cell>
          <cell r="AN42">
            <v>0</v>
          </cell>
          <cell r="AO42">
            <v>2</v>
          </cell>
          <cell r="AP42">
            <v>3</v>
          </cell>
          <cell r="AQ42">
            <v>2</v>
          </cell>
          <cell r="AR42">
            <v>7</v>
          </cell>
          <cell r="AS42">
            <v>0</v>
          </cell>
          <cell r="AT42">
            <v>6</v>
          </cell>
          <cell r="AU42">
            <v>0</v>
          </cell>
          <cell r="AV42">
            <v>1</v>
          </cell>
          <cell r="AW42">
            <v>2</v>
          </cell>
          <cell r="AX42">
            <v>4</v>
          </cell>
          <cell r="AY42">
            <v>0</v>
          </cell>
          <cell r="AZ42">
            <v>1</v>
          </cell>
          <cell r="BA42">
            <v>8</v>
          </cell>
          <cell r="BB42">
            <v>3</v>
          </cell>
          <cell r="BC42">
            <v>1</v>
          </cell>
          <cell r="BD42">
            <v>3</v>
          </cell>
          <cell r="BE42">
            <v>3</v>
          </cell>
          <cell r="BF42">
            <v>3</v>
          </cell>
          <cell r="BG42">
            <v>8</v>
          </cell>
          <cell r="BH42">
            <v>4</v>
          </cell>
          <cell r="BI42">
            <v>4</v>
          </cell>
          <cell r="BJ42">
            <v>1</v>
          </cell>
          <cell r="BK42">
            <v>1</v>
          </cell>
          <cell r="BL42">
            <v>4</v>
          </cell>
          <cell r="BM42">
            <v>1</v>
          </cell>
          <cell r="BN42">
            <v>4</v>
          </cell>
          <cell r="BO42">
            <v>5</v>
          </cell>
          <cell r="BP42">
            <v>3</v>
          </cell>
          <cell r="BQ42">
            <v>3</v>
          </cell>
          <cell r="BR42">
            <v>2</v>
          </cell>
          <cell r="BS42">
            <v>0</v>
          </cell>
          <cell r="BT42">
            <v>2</v>
          </cell>
          <cell r="BU42">
            <v>0</v>
          </cell>
          <cell r="BV42">
            <v>0</v>
          </cell>
          <cell r="BW42">
            <v>0</v>
          </cell>
          <cell r="BX42">
            <v>1</v>
          </cell>
          <cell r="BY42">
            <v>0</v>
          </cell>
          <cell r="BZ42">
            <v>2</v>
          </cell>
          <cell r="CA42">
            <v>4</v>
          </cell>
          <cell r="CB42">
            <v>4</v>
          </cell>
          <cell r="CC42">
            <v>6</v>
          </cell>
          <cell r="CD42">
            <v>0</v>
          </cell>
          <cell r="CE42">
            <v>2</v>
          </cell>
          <cell r="CF42">
            <v>9</v>
          </cell>
          <cell r="CG42">
            <v>6</v>
          </cell>
          <cell r="CH42">
            <v>5</v>
          </cell>
          <cell r="CI42">
            <v>1</v>
          </cell>
          <cell r="CJ42">
            <v>3</v>
          </cell>
          <cell r="CK42">
            <v>1</v>
          </cell>
          <cell r="CL42">
            <v>2</v>
          </cell>
          <cell r="CM42">
            <v>2</v>
          </cell>
          <cell r="CN42">
            <v>8</v>
          </cell>
          <cell r="CO42">
            <v>3</v>
          </cell>
          <cell r="CP42">
            <v>4</v>
          </cell>
          <cell r="CQ42">
            <v>5</v>
          </cell>
          <cell r="CR42">
            <v>4</v>
          </cell>
          <cell r="CS42">
            <v>2</v>
          </cell>
          <cell r="CT42">
            <v>0</v>
          </cell>
          <cell r="CU42">
            <v>2</v>
          </cell>
          <cell r="CV42">
            <v>2</v>
          </cell>
          <cell r="CW42">
            <v>3</v>
          </cell>
          <cell r="CX42">
            <v>1</v>
          </cell>
          <cell r="CY42">
            <v>2</v>
          </cell>
          <cell r="CZ42">
            <v>0</v>
          </cell>
          <cell r="DA42">
            <v>4</v>
          </cell>
          <cell r="DB42">
            <v>4</v>
          </cell>
          <cell r="DC42">
            <v>6</v>
          </cell>
          <cell r="DD42">
            <v>8</v>
          </cell>
          <cell r="DE42">
            <v>3</v>
          </cell>
          <cell r="DF42">
            <v>3</v>
          </cell>
          <cell r="DG42">
            <v>4</v>
          </cell>
          <cell r="DH42">
            <v>3</v>
          </cell>
          <cell r="DI42">
            <v>0</v>
          </cell>
          <cell r="DJ42">
            <v>2</v>
          </cell>
          <cell r="DK42">
            <v>2</v>
          </cell>
          <cell r="DL42">
            <v>1</v>
          </cell>
          <cell r="DM42">
            <v>2</v>
          </cell>
          <cell r="DN42">
            <v>0</v>
          </cell>
          <cell r="DO42">
            <v>3</v>
          </cell>
          <cell r="DP42">
            <v>6</v>
          </cell>
          <cell r="DQ42">
            <v>0</v>
          </cell>
          <cell r="DR42">
            <v>5</v>
          </cell>
          <cell r="DS42">
            <v>7</v>
          </cell>
          <cell r="DT42">
            <v>6</v>
          </cell>
          <cell r="DU42">
            <v>2</v>
          </cell>
          <cell r="DV42">
            <v>4</v>
          </cell>
          <cell r="DW42">
            <v>3</v>
          </cell>
          <cell r="DX42">
            <v>7</v>
          </cell>
          <cell r="DY42">
            <v>0</v>
          </cell>
          <cell r="DZ42">
            <v>0</v>
          </cell>
          <cell r="EA42">
            <v>2</v>
          </cell>
          <cell r="EB42">
            <v>2</v>
          </cell>
          <cell r="EC42">
            <v>4</v>
          </cell>
          <cell r="ED42">
            <v>0</v>
          </cell>
          <cell r="EE42">
            <v>4</v>
          </cell>
          <cell r="EF42">
            <v>6</v>
          </cell>
          <cell r="EG42">
            <v>4</v>
          </cell>
          <cell r="EH42">
            <v>0</v>
          </cell>
          <cell r="EI42">
            <v>4</v>
          </cell>
          <cell r="EJ42">
            <v>6</v>
          </cell>
          <cell r="EK42">
            <v>6</v>
          </cell>
          <cell r="EL42">
            <v>9</v>
          </cell>
          <cell r="EM42">
            <v>3</v>
          </cell>
          <cell r="EN42">
            <v>6</v>
          </cell>
          <cell r="EO42">
            <v>5</v>
          </cell>
          <cell r="EP42">
            <v>4</v>
          </cell>
          <cell r="EQ42">
            <v>4</v>
          </cell>
          <cell r="ER42">
            <v>0</v>
          </cell>
          <cell r="ES42">
            <v>4</v>
          </cell>
          <cell r="ET42">
            <v>5</v>
          </cell>
          <cell r="EU42">
            <v>0</v>
          </cell>
          <cell r="EV42">
            <v>0</v>
          </cell>
          <cell r="EW42">
            <v>2</v>
          </cell>
          <cell r="EX42">
            <v>2</v>
          </cell>
          <cell r="EY42">
            <v>3</v>
          </cell>
          <cell r="EZ42">
            <v>0</v>
          </cell>
          <cell r="FA42">
            <v>5</v>
          </cell>
          <cell r="FB42">
            <v>1</v>
          </cell>
          <cell r="FC42">
            <v>4</v>
          </cell>
          <cell r="FD42">
            <v>1</v>
          </cell>
          <cell r="FE42">
            <v>0</v>
          </cell>
          <cell r="FF42">
            <v>2</v>
          </cell>
          <cell r="FG42">
            <v>12</v>
          </cell>
          <cell r="FH42">
            <v>10</v>
          </cell>
          <cell r="FI42">
            <v>5</v>
          </cell>
          <cell r="FJ42">
            <v>6</v>
          </cell>
          <cell r="FK42">
            <v>6</v>
          </cell>
          <cell r="FL42">
            <v>2</v>
          </cell>
          <cell r="FM42">
            <v>4</v>
          </cell>
          <cell r="FN42">
            <v>2</v>
          </cell>
          <cell r="FO42">
            <v>0</v>
          </cell>
          <cell r="FP42">
            <v>5</v>
          </cell>
          <cell r="FQ42">
            <v>8</v>
          </cell>
          <cell r="FR42">
            <v>3</v>
          </cell>
          <cell r="FS42">
            <v>7</v>
          </cell>
          <cell r="FT42">
            <v>8</v>
          </cell>
          <cell r="FU42">
            <v>6</v>
          </cell>
          <cell r="FV42">
            <v>7</v>
          </cell>
          <cell r="FW42">
            <v>6</v>
          </cell>
          <cell r="FX42">
            <v>1</v>
          </cell>
          <cell r="FY42">
            <v>4</v>
          </cell>
          <cell r="GA42">
            <v>0</v>
          </cell>
          <cell r="GB42">
            <v>0</v>
          </cell>
          <cell r="GC42">
            <v>4</v>
          </cell>
          <cell r="GD42">
            <v>0</v>
          </cell>
          <cell r="GE42">
            <v>1</v>
          </cell>
          <cell r="GF42">
            <v>10</v>
          </cell>
          <cell r="GG42">
            <v>19</v>
          </cell>
          <cell r="GH42">
            <v>6</v>
          </cell>
          <cell r="GI42">
            <v>14</v>
          </cell>
          <cell r="GJ42">
            <v>13</v>
          </cell>
          <cell r="GK42">
            <v>3</v>
          </cell>
          <cell r="GL42">
            <v>10</v>
          </cell>
          <cell r="GM42">
            <v>7</v>
          </cell>
          <cell r="GN42">
            <v>2</v>
          </cell>
        </row>
        <row r="43">
          <cell r="B43" t="str">
            <v>FORTOVASE</v>
          </cell>
          <cell r="C43" t="str">
            <v>ROC</v>
          </cell>
          <cell r="D43">
            <v>20</v>
          </cell>
          <cell r="E43">
            <v>16</v>
          </cell>
          <cell r="F43">
            <v>13</v>
          </cell>
          <cell r="G43">
            <v>8</v>
          </cell>
          <cell r="H43">
            <v>17</v>
          </cell>
          <cell r="I43">
            <v>4</v>
          </cell>
          <cell r="J43">
            <v>9</v>
          </cell>
          <cell r="K43">
            <v>11</v>
          </cell>
          <cell r="L43">
            <v>0</v>
          </cell>
          <cell r="M43">
            <v>3</v>
          </cell>
          <cell r="N43">
            <v>5</v>
          </cell>
          <cell r="O43">
            <v>8</v>
          </cell>
          <cell r="P43">
            <v>4</v>
          </cell>
          <cell r="Q43">
            <v>3</v>
          </cell>
          <cell r="R43">
            <v>5</v>
          </cell>
          <cell r="S43">
            <v>3</v>
          </cell>
          <cell r="T43">
            <v>0</v>
          </cell>
          <cell r="U43">
            <v>2</v>
          </cell>
          <cell r="V43">
            <v>3</v>
          </cell>
          <cell r="W43">
            <v>3</v>
          </cell>
          <cell r="X43">
            <v>0</v>
          </cell>
          <cell r="Y43">
            <v>3</v>
          </cell>
          <cell r="Z43">
            <v>3</v>
          </cell>
          <cell r="AA43">
            <v>0</v>
          </cell>
          <cell r="AB43">
            <v>0</v>
          </cell>
          <cell r="AC43">
            <v>2</v>
          </cell>
          <cell r="AD43">
            <v>1</v>
          </cell>
          <cell r="AE43">
            <v>1</v>
          </cell>
          <cell r="AF43">
            <v>0</v>
          </cell>
          <cell r="AG43">
            <v>0</v>
          </cell>
          <cell r="AH43">
            <v>4</v>
          </cell>
          <cell r="AI43">
            <v>6</v>
          </cell>
          <cell r="AJ43">
            <v>1</v>
          </cell>
          <cell r="AK43">
            <v>2</v>
          </cell>
          <cell r="AL43">
            <v>1</v>
          </cell>
          <cell r="AM43">
            <v>1</v>
          </cell>
          <cell r="AN43">
            <v>1</v>
          </cell>
          <cell r="AO43">
            <v>1</v>
          </cell>
          <cell r="AP43">
            <v>0</v>
          </cell>
          <cell r="AQ43">
            <v>1</v>
          </cell>
          <cell r="AR43">
            <v>0</v>
          </cell>
          <cell r="AS43">
            <v>0</v>
          </cell>
          <cell r="AT43">
            <v>1</v>
          </cell>
          <cell r="AU43">
            <v>0</v>
          </cell>
          <cell r="AV43">
            <v>0</v>
          </cell>
          <cell r="AW43">
            <v>0</v>
          </cell>
          <cell r="AX43">
            <v>0</v>
          </cell>
          <cell r="AY43">
            <v>0</v>
          </cell>
          <cell r="AZ43">
            <v>1</v>
          </cell>
          <cell r="BA43">
            <v>0</v>
          </cell>
          <cell r="BB43">
            <v>0</v>
          </cell>
          <cell r="BC43">
            <v>0</v>
          </cell>
          <cell r="BD43">
            <v>0</v>
          </cell>
          <cell r="BE43">
            <v>0</v>
          </cell>
          <cell r="BF43">
            <v>1</v>
          </cell>
          <cell r="BG43">
            <v>0</v>
          </cell>
          <cell r="BH43">
            <v>2</v>
          </cell>
          <cell r="BI43">
            <v>0</v>
          </cell>
          <cell r="BJ43">
            <v>1</v>
          </cell>
          <cell r="BK43">
            <v>3</v>
          </cell>
          <cell r="BL43">
            <v>0</v>
          </cell>
          <cell r="BM43">
            <v>0</v>
          </cell>
          <cell r="BN43">
            <v>0</v>
          </cell>
          <cell r="BO43">
            <v>0</v>
          </cell>
          <cell r="BP43">
            <v>0</v>
          </cell>
          <cell r="BQ43">
            <v>1</v>
          </cell>
          <cell r="BR43">
            <v>0</v>
          </cell>
          <cell r="BS43">
            <v>1</v>
          </cell>
          <cell r="BT43">
            <v>0</v>
          </cell>
          <cell r="BU43">
            <v>0</v>
          </cell>
          <cell r="BV43">
            <v>2</v>
          </cell>
          <cell r="BW43">
            <v>0</v>
          </cell>
          <cell r="BX43">
            <v>0</v>
          </cell>
          <cell r="BY43">
            <v>0</v>
          </cell>
          <cell r="BZ43">
            <v>0</v>
          </cell>
          <cell r="CA43">
            <v>0</v>
          </cell>
          <cell r="CB43">
            <v>0</v>
          </cell>
          <cell r="CC43">
            <v>0</v>
          </cell>
          <cell r="CD43">
            <v>0</v>
          </cell>
          <cell r="CE43">
            <v>1</v>
          </cell>
          <cell r="CF43">
            <v>1</v>
          </cell>
          <cell r="CG43">
            <v>0</v>
          </cell>
          <cell r="CH43">
            <v>0</v>
          </cell>
          <cell r="CI43">
            <v>1</v>
          </cell>
          <cell r="CJ43">
            <v>0</v>
          </cell>
          <cell r="CK43">
            <v>0</v>
          </cell>
          <cell r="CL43">
            <v>0</v>
          </cell>
          <cell r="CM43">
            <v>0</v>
          </cell>
          <cell r="CN43">
            <v>0</v>
          </cell>
          <cell r="CO43">
            <v>0</v>
          </cell>
          <cell r="CP43">
            <v>0</v>
          </cell>
          <cell r="CQ43">
            <v>0</v>
          </cell>
          <cell r="CR43">
            <v>1</v>
          </cell>
          <cell r="CS43">
            <v>0</v>
          </cell>
          <cell r="CT43">
            <v>0</v>
          </cell>
          <cell r="CU43">
            <v>0</v>
          </cell>
          <cell r="CV43">
            <v>0</v>
          </cell>
          <cell r="CW43">
            <v>0</v>
          </cell>
          <cell r="CX43">
            <v>0</v>
          </cell>
          <cell r="CY43">
            <v>0</v>
          </cell>
          <cell r="CZ43">
            <v>0</v>
          </cell>
          <cell r="DA43">
            <v>0</v>
          </cell>
          <cell r="DB43">
            <v>0</v>
          </cell>
          <cell r="DC43">
            <v>1</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row>
        <row r="44">
          <cell r="B44" t="str">
            <v>FOSRENOL</v>
          </cell>
          <cell r="C44" t="str">
            <v>SHI</v>
          </cell>
          <cell r="D44">
            <v>1632</v>
          </cell>
          <cell r="E44">
            <v>1506</v>
          </cell>
          <cell r="F44">
            <v>1842</v>
          </cell>
          <cell r="G44">
            <v>1830</v>
          </cell>
          <cell r="H44">
            <v>1654</v>
          </cell>
          <cell r="I44">
            <v>1690</v>
          </cell>
          <cell r="J44">
            <v>1681</v>
          </cell>
          <cell r="K44">
            <v>1706</v>
          </cell>
          <cell r="L44">
            <v>1737</v>
          </cell>
          <cell r="M44">
            <v>1694</v>
          </cell>
          <cell r="N44">
            <v>1583</v>
          </cell>
          <cell r="O44">
            <v>1767</v>
          </cell>
          <cell r="P44">
            <v>1865</v>
          </cell>
          <cell r="Q44">
            <v>1909</v>
          </cell>
          <cell r="R44">
            <v>1883</v>
          </cell>
          <cell r="S44">
            <v>1741</v>
          </cell>
          <cell r="T44">
            <v>1831</v>
          </cell>
          <cell r="U44">
            <v>1745</v>
          </cell>
          <cell r="V44">
            <v>1704</v>
          </cell>
          <cell r="W44">
            <v>1811</v>
          </cell>
          <cell r="X44">
            <v>1779</v>
          </cell>
          <cell r="Y44">
            <v>1542</v>
          </cell>
          <cell r="Z44">
            <v>1734</v>
          </cell>
          <cell r="AA44">
            <v>1816</v>
          </cell>
          <cell r="AB44">
            <v>1733</v>
          </cell>
          <cell r="AC44">
            <v>1818</v>
          </cell>
          <cell r="AD44">
            <v>1424</v>
          </cell>
          <cell r="AE44">
            <v>1596</v>
          </cell>
          <cell r="AF44">
            <v>1852</v>
          </cell>
          <cell r="AG44">
            <v>1870</v>
          </cell>
          <cell r="AH44">
            <v>1835</v>
          </cell>
          <cell r="AI44">
            <v>1780</v>
          </cell>
          <cell r="AJ44">
            <v>1617</v>
          </cell>
          <cell r="AK44">
            <v>1757</v>
          </cell>
          <cell r="AL44">
            <v>1746</v>
          </cell>
          <cell r="AM44">
            <v>1819</v>
          </cell>
          <cell r="AN44">
            <v>1697</v>
          </cell>
          <cell r="AO44">
            <v>1831</v>
          </cell>
          <cell r="AP44">
            <v>1799</v>
          </cell>
          <cell r="AQ44">
            <v>1584</v>
          </cell>
          <cell r="AR44">
            <v>1625</v>
          </cell>
          <cell r="AS44">
            <v>1540</v>
          </cell>
          <cell r="AT44">
            <v>1739</v>
          </cell>
          <cell r="AU44">
            <v>1780</v>
          </cell>
          <cell r="AV44">
            <v>1651</v>
          </cell>
          <cell r="AW44">
            <v>1612</v>
          </cell>
          <cell r="AX44">
            <v>1680</v>
          </cell>
          <cell r="AY44">
            <v>1729</v>
          </cell>
          <cell r="AZ44">
            <v>1543</v>
          </cell>
          <cell r="BA44">
            <v>1659</v>
          </cell>
          <cell r="BB44">
            <v>1790</v>
          </cell>
          <cell r="BC44">
            <v>1700</v>
          </cell>
          <cell r="BD44">
            <v>1633</v>
          </cell>
          <cell r="BE44">
            <v>1439</v>
          </cell>
          <cell r="BF44">
            <v>1611</v>
          </cell>
          <cell r="BG44">
            <v>1772</v>
          </cell>
          <cell r="BH44">
            <v>1634</v>
          </cell>
          <cell r="BI44">
            <v>1561</v>
          </cell>
          <cell r="BJ44">
            <v>1506</v>
          </cell>
          <cell r="BK44">
            <v>1665</v>
          </cell>
          <cell r="BL44">
            <v>1590</v>
          </cell>
          <cell r="BM44">
            <v>1665</v>
          </cell>
          <cell r="BN44">
            <v>1481</v>
          </cell>
          <cell r="BO44">
            <v>1707</v>
          </cell>
          <cell r="BP44">
            <v>1692</v>
          </cell>
          <cell r="BQ44">
            <v>1586</v>
          </cell>
          <cell r="BR44">
            <v>1649</v>
          </cell>
          <cell r="BS44">
            <v>1618</v>
          </cell>
          <cell r="BT44">
            <v>1634</v>
          </cell>
          <cell r="BU44">
            <v>1561</v>
          </cell>
          <cell r="BV44">
            <v>1471</v>
          </cell>
          <cell r="BW44">
            <v>1554</v>
          </cell>
          <cell r="BX44">
            <v>1702</v>
          </cell>
          <cell r="BY44">
            <v>1386</v>
          </cell>
          <cell r="BZ44">
            <v>1674</v>
          </cell>
          <cell r="CA44">
            <v>1608</v>
          </cell>
          <cell r="CB44">
            <v>1624</v>
          </cell>
          <cell r="CC44">
            <v>1649</v>
          </cell>
          <cell r="CD44">
            <v>1239</v>
          </cell>
          <cell r="CE44">
            <v>1266</v>
          </cell>
          <cell r="CF44">
            <v>1607</v>
          </cell>
          <cell r="CG44">
            <v>1661</v>
          </cell>
          <cell r="CH44">
            <v>1571</v>
          </cell>
          <cell r="CI44">
            <v>1596</v>
          </cell>
          <cell r="CJ44">
            <v>1565</v>
          </cell>
          <cell r="CK44">
            <v>1611</v>
          </cell>
          <cell r="CL44">
            <v>1680</v>
          </cell>
          <cell r="CM44">
            <v>1479</v>
          </cell>
          <cell r="CN44">
            <v>1592</v>
          </cell>
          <cell r="CO44">
            <v>1758</v>
          </cell>
          <cell r="CP44">
            <v>1655</v>
          </cell>
          <cell r="CQ44">
            <v>1532</v>
          </cell>
          <cell r="CR44">
            <v>1617</v>
          </cell>
          <cell r="CS44">
            <v>1478</v>
          </cell>
          <cell r="CT44">
            <v>1619</v>
          </cell>
          <cell r="CU44">
            <v>1659</v>
          </cell>
          <cell r="CV44">
            <v>1598</v>
          </cell>
          <cell r="CW44">
            <v>1552</v>
          </cell>
          <cell r="CX44">
            <v>1759</v>
          </cell>
          <cell r="CY44">
            <v>1624</v>
          </cell>
          <cell r="CZ44">
            <v>1432</v>
          </cell>
          <cell r="DA44">
            <v>1508</v>
          </cell>
          <cell r="DB44">
            <v>1721</v>
          </cell>
          <cell r="DC44">
            <v>1565</v>
          </cell>
          <cell r="DD44">
            <v>1629</v>
          </cell>
          <cell r="DE44">
            <v>1450</v>
          </cell>
          <cell r="DF44">
            <v>1533</v>
          </cell>
          <cell r="DG44">
            <v>1542</v>
          </cell>
          <cell r="DH44">
            <v>1598</v>
          </cell>
          <cell r="DI44">
            <v>1545</v>
          </cell>
          <cell r="DJ44">
            <v>1489</v>
          </cell>
          <cell r="DK44">
            <v>1516</v>
          </cell>
          <cell r="DL44">
            <v>1681</v>
          </cell>
          <cell r="DM44">
            <v>1473</v>
          </cell>
          <cell r="DN44">
            <v>1323</v>
          </cell>
          <cell r="DO44">
            <v>1546</v>
          </cell>
          <cell r="DP44">
            <v>1523</v>
          </cell>
          <cell r="DQ44">
            <v>1543</v>
          </cell>
          <cell r="DR44">
            <v>1445</v>
          </cell>
          <cell r="DS44">
            <v>1336</v>
          </cell>
          <cell r="DT44">
            <v>1542</v>
          </cell>
          <cell r="DU44">
            <v>1473</v>
          </cell>
          <cell r="DV44">
            <v>1307</v>
          </cell>
          <cell r="DW44">
            <v>1403</v>
          </cell>
          <cell r="DX44">
            <v>1490</v>
          </cell>
          <cell r="DY44">
            <v>1604</v>
          </cell>
          <cell r="DZ44">
            <v>1195</v>
          </cell>
          <cell r="EA44">
            <v>1395</v>
          </cell>
          <cell r="EB44">
            <v>1479</v>
          </cell>
          <cell r="EC44">
            <v>1436</v>
          </cell>
          <cell r="ED44">
            <v>1168</v>
          </cell>
          <cell r="EE44">
            <v>1130</v>
          </cell>
          <cell r="EF44">
            <v>1410</v>
          </cell>
          <cell r="EG44">
            <v>1544</v>
          </cell>
          <cell r="EH44">
            <v>1458</v>
          </cell>
          <cell r="EI44">
            <v>1474</v>
          </cell>
          <cell r="EJ44">
            <v>1518</v>
          </cell>
          <cell r="EK44">
            <v>1563</v>
          </cell>
          <cell r="EL44">
            <v>1532</v>
          </cell>
          <cell r="EM44">
            <v>1533</v>
          </cell>
          <cell r="EN44">
            <v>1597</v>
          </cell>
          <cell r="EO44">
            <v>1648</v>
          </cell>
          <cell r="EP44">
            <v>1538</v>
          </cell>
          <cell r="EQ44">
            <v>1608</v>
          </cell>
          <cell r="ER44">
            <v>1475</v>
          </cell>
          <cell r="ES44">
            <v>1514</v>
          </cell>
          <cell r="ET44">
            <v>1430</v>
          </cell>
          <cell r="EU44">
            <v>1549</v>
          </cell>
          <cell r="EV44">
            <v>1472</v>
          </cell>
          <cell r="EW44">
            <v>1509</v>
          </cell>
          <cell r="EX44">
            <v>1560</v>
          </cell>
          <cell r="EY44">
            <v>1637</v>
          </cell>
          <cell r="EZ44">
            <v>1434</v>
          </cell>
          <cell r="FA44">
            <v>1499</v>
          </cell>
          <cell r="FB44">
            <v>1601</v>
          </cell>
          <cell r="FC44">
            <v>1668</v>
          </cell>
          <cell r="FD44">
            <v>1485</v>
          </cell>
          <cell r="FE44">
            <v>1356</v>
          </cell>
          <cell r="FF44">
            <v>1269</v>
          </cell>
          <cell r="FG44">
            <v>1405</v>
          </cell>
          <cell r="FH44">
            <v>1454</v>
          </cell>
          <cell r="FI44">
            <v>1431</v>
          </cell>
          <cell r="FJ44">
            <v>1367</v>
          </cell>
          <cell r="FK44">
            <v>1556</v>
          </cell>
          <cell r="FL44">
            <v>1512</v>
          </cell>
          <cell r="FM44">
            <v>1473</v>
          </cell>
          <cell r="FN44">
            <v>1485</v>
          </cell>
          <cell r="FO44">
            <v>1387</v>
          </cell>
          <cell r="FP44">
            <v>1597</v>
          </cell>
          <cell r="FQ44">
            <v>1528</v>
          </cell>
          <cell r="FR44">
            <v>1462</v>
          </cell>
          <cell r="FS44">
            <v>1475</v>
          </cell>
          <cell r="FT44">
            <v>1508</v>
          </cell>
          <cell r="FU44">
            <v>1534</v>
          </cell>
          <cell r="FV44">
            <v>1443</v>
          </cell>
          <cell r="FW44">
            <v>1463</v>
          </cell>
          <cell r="FX44">
            <v>1531</v>
          </cell>
          <cell r="FY44">
            <v>1494</v>
          </cell>
          <cell r="FZ44">
            <v>1272</v>
          </cell>
          <cell r="GA44">
            <v>1469</v>
          </cell>
          <cell r="GB44">
            <v>1382</v>
          </cell>
          <cell r="GC44">
            <v>1337</v>
          </cell>
          <cell r="GD44">
            <v>1184</v>
          </cell>
          <cell r="GE44">
            <v>1122</v>
          </cell>
          <cell r="GF44">
            <v>1253</v>
          </cell>
          <cell r="GG44">
            <v>1336</v>
          </cell>
          <cell r="GH44">
            <v>1374</v>
          </cell>
          <cell r="GI44">
            <v>1354</v>
          </cell>
          <cell r="GJ44">
            <v>1310</v>
          </cell>
          <cell r="GK44">
            <v>1275</v>
          </cell>
          <cell r="GL44">
            <v>1329</v>
          </cell>
          <cell r="GM44">
            <v>1359</v>
          </cell>
          <cell r="GN44">
            <v>1376</v>
          </cell>
        </row>
        <row r="45">
          <cell r="B45" t="str">
            <v>FUZEON</v>
          </cell>
          <cell r="C45" t="str">
            <v>ROC</v>
          </cell>
          <cell r="D45">
            <v>347</v>
          </cell>
          <cell r="E45">
            <v>312</v>
          </cell>
          <cell r="F45">
            <v>343</v>
          </cell>
          <cell r="G45">
            <v>375</v>
          </cell>
          <cell r="H45">
            <v>350</v>
          </cell>
          <cell r="I45">
            <v>362</v>
          </cell>
          <cell r="J45">
            <v>369</v>
          </cell>
          <cell r="K45">
            <v>325</v>
          </cell>
          <cell r="L45">
            <v>349</v>
          </cell>
          <cell r="M45">
            <v>331</v>
          </cell>
          <cell r="N45">
            <v>354</v>
          </cell>
          <cell r="O45">
            <v>339</v>
          </cell>
          <cell r="P45">
            <v>362</v>
          </cell>
          <cell r="Q45">
            <v>364</v>
          </cell>
          <cell r="R45">
            <v>340</v>
          </cell>
          <cell r="S45">
            <v>337</v>
          </cell>
          <cell r="T45">
            <v>334</v>
          </cell>
          <cell r="U45">
            <v>386</v>
          </cell>
          <cell r="V45">
            <v>367</v>
          </cell>
          <cell r="W45">
            <v>367</v>
          </cell>
          <cell r="X45">
            <v>357</v>
          </cell>
          <cell r="Y45">
            <v>252</v>
          </cell>
          <cell r="Z45">
            <v>383</v>
          </cell>
          <cell r="AA45">
            <v>379</v>
          </cell>
          <cell r="AB45">
            <v>341</v>
          </cell>
          <cell r="AC45">
            <v>325</v>
          </cell>
          <cell r="AD45">
            <v>279</v>
          </cell>
          <cell r="AE45">
            <v>324</v>
          </cell>
          <cell r="AF45">
            <v>345</v>
          </cell>
          <cell r="AG45">
            <v>329</v>
          </cell>
          <cell r="AH45">
            <v>385</v>
          </cell>
          <cell r="AI45">
            <v>355</v>
          </cell>
          <cell r="AJ45">
            <v>357</v>
          </cell>
          <cell r="AK45">
            <v>335</v>
          </cell>
          <cell r="AL45">
            <v>316</v>
          </cell>
          <cell r="AM45">
            <v>336</v>
          </cell>
          <cell r="AN45">
            <v>333</v>
          </cell>
          <cell r="AO45">
            <v>300</v>
          </cell>
          <cell r="AP45">
            <v>319</v>
          </cell>
          <cell r="AQ45">
            <v>320</v>
          </cell>
          <cell r="AR45">
            <v>329</v>
          </cell>
          <cell r="AS45">
            <v>383</v>
          </cell>
          <cell r="AT45">
            <v>321</v>
          </cell>
          <cell r="AU45">
            <v>362</v>
          </cell>
          <cell r="AV45">
            <v>332</v>
          </cell>
          <cell r="AW45">
            <v>264</v>
          </cell>
          <cell r="AX45">
            <v>323</v>
          </cell>
          <cell r="AY45">
            <v>330</v>
          </cell>
          <cell r="AZ45">
            <v>268</v>
          </cell>
          <cell r="BA45">
            <v>285</v>
          </cell>
          <cell r="BB45">
            <v>296</v>
          </cell>
          <cell r="BC45">
            <v>273</v>
          </cell>
          <cell r="BD45">
            <v>324</v>
          </cell>
          <cell r="BE45">
            <v>256</v>
          </cell>
          <cell r="BF45">
            <v>347</v>
          </cell>
          <cell r="BG45">
            <v>269</v>
          </cell>
          <cell r="BH45">
            <v>361</v>
          </cell>
          <cell r="BI45">
            <v>278</v>
          </cell>
          <cell r="BJ45">
            <v>291</v>
          </cell>
          <cell r="BK45">
            <v>323</v>
          </cell>
          <cell r="BL45">
            <v>318</v>
          </cell>
          <cell r="BM45">
            <v>334</v>
          </cell>
          <cell r="BN45">
            <v>277</v>
          </cell>
          <cell r="BO45">
            <v>281</v>
          </cell>
          <cell r="BP45">
            <v>332</v>
          </cell>
          <cell r="BQ45">
            <v>287</v>
          </cell>
          <cell r="BR45">
            <v>288</v>
          </cell>
          <cell r="BS45">
            <v>269</v>
          </cell>
          <cell r="BT45">
            <v>326</v>
          </cell>
          <cell r="BU45">
            <v>283</v>
          </cell>
          <cell r="BV45">
            <v>255</v>
          </cell>
          <cell r="BW45">
            <v>281</v>
          </cell>
          <cell r="BX45">
            <v>279</v>
          </cell>
          <cell r="BY45">
            <v>224</v>
          </cell>
          <cell r="BZ45">
            <v>301</v>
          </cell>
          <cell r="CA45">
            <v>226</v>
          </cell>
          <cell r="CB45">
            <v>205</v>
          </cell>
          <cell r="CC45">
            <v>187</v>
          </cell>
          <cell r="CD45">
            <v>203</v>
          </cell>
          <cell r="CE45">
            <v>210</v>
          </cell>
          <cell r="CF45">
            <v>217</v>
          </cell>
          <cell r="CG45">
            <v>245</v>
          </cell>
          <cell r="CH45">
            <v>234</v>
          </cell>
          <cell r="CI45">
            <v>234</v>
          </cell>
          <cell r="CJ45">
            <v>238</v>
          </cell>
          <cell r="CK45">
            <v>169</v>
          </cell>
          <cell r="CL45">
            <v>167</v>
          </cell>
          <cell r="CM45">
            <v>210</v>
          </cell>
          <cell r="CN45">
            <v>207</v>
          </cell>
          <cell r="CO45">
            <v>216</v>
          </cell>
          <cell r="CP45">
            <v>160</v>
          </cell>
          <cell r="CQ45">
            <v>181</v>
          </cell>
          <cell r="CR45">
            <v>207</v>
          </cell>
          <cell r="CS45">
            <v>149</v>
          </cell>
          <cell r="CT45">
            <v>153</v>
          </cell>
          <cell r="CU45">
            <v>174</v>
          </cell>
          <cell r="CV45">
            <v>141</v>
          </cell>
          <cell r="CW45">
            <v>181</v>
          </cell>
          <cell r="CX45">
            <v>130</v>
          </cell>
          <cell r="CY45">
            <v>190</v>
          </cell>
          <cell r="CZ45">
            <v>133</v>
          </cell>
          <cell r="DA45">
            <v>161</v>
          </cell>
          <cell r="DB45">
            <v>149</v>
          </cell>
          <cell r="DC45">
            <v>133</v>
          </cell>
          <cell r="DD45">
            <v>137</v>
          </cell>
          <cell r="DE45">
            <v>112</v>
          </cell>
          <cell r="DF45">
            <v>140</v>
          </cell>
          <cell r="DG45">
            <v>159</v>
          </cell>
          <cell r="DH45">
            <v>129</v>
          </cell>
          <cell r="DI45">
            <v>160</v>
          </cell>
          <cell r="DJ45">
            <v>120</v>
          </cell>
          <cell r="DK45">
            <v>113</v>
          </cell>
          <cell r="DL45">
            <v>111</v>
          </cell>
          <cell r="DM45">
            <v>137</v>
          </cell>
          <cell r="DN45">
            <v>104</v>
          </cell>
          <cell r="DO45">
            <v>134</v>
          </cell>
          <cell r="DP45">
            <v>116</v>
          </cell>
          <cell r="DQ45">
            <v>122</v>
          </cell>
          <cell r="DR45">
            <v>133</v>
          </cell>
          <cell r="DS45">
            <v>97</v>
          </cell>
          <cell r="DT45">
            <v>99</v>
          </cell>
          <cell r="DU45">
            <v>110</v>
          </cell>
          <cell r="DV45">
            <v>109</v>
          </cell>
          <cell r="DW45">
            <v>107</v>
          </cell>
          <cell r="DX45">
            <v>117</v>
          </cell>
          <cell r="DY45">
            <v>139</v>
          </cell>
          <cell r="DZ45">
            <v>83</v>
          </cell>
          <cell r="EA45">
            <v>119</v>
          </cell>
          <cell r="EB45">
            <v>129</v>
          </cell>
          <cell r="EC45">
            <v>103</v>
          </cell>
          <cell r="ED45">
            <v>96</v>
          </cell>
          <cell r="EE45">
            <v>103</v>
          </cell>
          <cell r="EF45">
            <v>102</v>
          </cell>
          <cell r="EG45">
            <v>116</v>
          </cell>
          <cell r="EH45">
            <v>85</v>
          </cell>
          <cell r="EI45">
            <v>104</v>
          </cell>
          <cell r="EJ45">
            <v>107</v>
          </cell>
          <cell r="EK45">
            <v>96</v>
          </cell>
          <cell r="EL45">
            <v>114</v>
          </cell>
          <cell r="EM45">
            <v>98</v>
          </cell>
          <cell r="EN45">
            <v>96</v>
          </cell>
          <cell r="EO45">
            <v>103</v>
          </cell>
          <cell r="EP45">
            <v>89</v>
          </cell>
          <cell r="EQ45">
            <v>102</v>
          </cell>
          <cell r="ER45">
            <v>86</v>
          </cell>
          <cell r="ES45">
            <v>84</v>
          </cell>
          <cell r="ET45">
            <v>81</v>
          </cell>
          <cell r="EU45">
            <v>67</v>
          </cell>
          <cell r="EV45">
            <v>128</v>
          </cell>
          <cell r="EW45">
            <v>118</v>
          </cell>
          <cell r="EX45">
            <v>113</v>
          </cell>
          <cell r="EY45">
            <v>77</v>
          </cell>
          <cell r="EZ45">
            <v>80</v>
          </cell>
          <cell r="FA45">
            <v>120</v>
          </cell>
          <cell r="FB45">
            <v>90</v>
          </cell>
          <cell r="FC45">
            <v>65</v>
          </cell>
          <cell r="FD45">
            <v>94</v>
          </cell>
          <cell r="FE45">
            <v>79</v>
          </cell>
          <cell r="FF45">
            <v>74</v>
          </cell>
          <cell r="FG45">
            <v>94</v>
          </cell>
          <cell r="FH45">
            <v>67</v>
          </cell>
          <cell r="FI45">
            <v>78</v>
          </cell>
          <cell r="FJ45">
            <v>84</v>
          </cell>
          <cell r="FK45">
            <v>77</v>
          </cell>
          <cell r="FL45">
            <v>64</v>
          </cell>
          <cell r="FM45">
            <v>86</v>
          </cell>
          <cell r="FN45">
            <v>82</v>
          </cell>
          <cell r="FO45">
            <v>59</v>
          </cell>
          <cell r="FP45">
            <v>69</v>
          </cell>
          <cell r="FQ45">
            <v>101</v>
          </cell>
          <cell r="FR45">
            <v>78</v>
          </cell>
          <cell r="FS45">
            <v>70</v>
          </cell>
          <cell r="FT45">
            <v>67</v>
          </cell>
          <cell r="FU45">
            <v>61</v>
          </cell>
          <cell r="FV45">
            <v>81</v>
          </cell>
          <cell r="FW45">
            <v>75</v>
          </cell>
          <cell r="FX45">
            <v>82</v>
          </cell>
          <cell r="FY45">
            <v>59</v>
          </cell>
          <cell r="FZ45">
            <v>68</v>
          </cell>
          <cell r="GA45">
            <v>85</v>
          </cell>
          <cell r="GB45">
            <v>80</v>
          </cell>
          <cell r="GC45">
            <v>85</v>
          </cell>
          <cell r="GD45">
            <v>63</v>
          </cell>
          <cell r="GE45">
            <v>57</v>
          </cell>
          <cell r="GF45">
            <v>70</v>
          </cell>
          <cell r="GG45">
            <v>86</v>
          </cell>
          <cell r="GH45">
            <v>55</v>
          </cell>
          <cell r="GI45">
            <v>68</v>
          </cell>
          <cell r="GJ45">
            <v>51</v>
          </cell>
          <cell r="GK45">
            <v>78</v>
          </cell>
          <cell r="GL45">
            <v>70</v>
          </cell>
          <cell r="GM45">
            <v>75</v>
          </cell>
          <cell r="GN45">
            <v>59</v>
          </cell>
        </row>
        <row r="46">
          <cell r="B46" t="str">
            <v>HECTOROL</v>
          </cell>
          <cell r="C46" t="str">
            <v>GZY</v>
          </cell>
          <cell r="D46">
            <v>1454</v>
          </cell>
          <cell r="E46">
            <v>1139</v>
          </cell>
          <cell r="F46">
            <v>1582</v>
          </cell>
          <cell r="G46">
            <v>1369</v>
          </cell>
          <cell r="H46">
            <v>1434</v>
          </cell>
          <cell r="I46">
            <v>1471</v>
          </cell>
          <cell r="J46">
            <v>1504</v>
          </cell>
          <cell r="K46">
            <v>1475</v>
          </cell>
          <cell r="L46">
            <v>1428</v>
          </cell>
          <cell r="M46">
            <v>1412</v>
          </cell>
          <cell r="N46">
            <v>1362</v>
          </cell>
          <cell r="O46">
            <v>1430</v>
          </cell>
          <cell r="P46">
            <v>1451</v>
          </cell>
          <cell r="Q46">
            <v>1513</v>
          </cell>
          <cell r="R46">
            <v>1563</v>
          </cell>
          <cell r="S46">
            <v>1459</v>
          </cell>
          <cell r="T46">
            <v>1499</v>
          </cell>
          <cell r="U46">
            <v>1579</v>
          </cell>
          <cell r="V46">
            <v>1442</v>
          </cell>
          <cell r="W46">
            <v>1405</v>
          </cell>
          <cell r="X46">
            <v>1557</v>
          </cell>
          <cell r="Y46">
            <v>1278</v>
          </cell>
          <cell r="Z46">
            <v>1579</v>
          </cell>
          <cell r="AA46">
            <v>1576</v>
          </cell>
          <cell r="AB46">
            <v>1563</v>
          </cell>
          <cell r="AC46">
            <v>1624</v>
          </cell>
          <cell r="AD46">
            <v>1303</v>
          </cell>
          <cell r="AE46">
            <v>1359</v>
          </cell>
          <cell r="AF46">
            <v>1582</v>
          </cell>
          <cell r="AG46">
            <v>1686</v>
          </cell>
          <cell r="AH46">
            <v>1643</v>
          </cell>
          <cell r="AI46">
            <v>1679</v>
          </cell>
          <cell r="AJ46">
            <v>1795</v>
          </cell>
          <cell r="AK46">
            <v>1682</v>
          </cell>
          <cell r="AL46">
            <v>1647</v>
          </cell>
          <cell r="AM46">
            <v>1821</v>
          </cell>
          <cell r="AN46">
            <v>1808</v>
          </cell>
          <cell r="AO46">
            <v>1623</v>
          </cell>
          <cell r="AP46">
            <v>1647</v>
          </cell>
          <cell r="AQ46">
            <v>1660</v>
          </cell>
          <cell r="AR46">
            <v>1674</v>
          </cell>
          <cell r="AS46">
            <v>1595</v>
          </cell>
          <cell r="AT46">
            <v>1634</v>
          </cell>
          <cell r="AU46">
            <v>1694</v>
          </cell>
          <cell r="AV46">
            <v>1588</v>
          </cell>
          <cell r="AW46">
            <v>1545</v>
          </cell>
          <cell r="AX46">
            <v>1659</v>
          </cell>
          <cell r="AY46">
            <v>1634</v>
          </cell>
          <cell r="AZ46">
            <v>1376</v>
          </cell>
          <cell r="BA46">
            <v>1627</v>
          </cell>
          <cell r="BB46">
            <v>1620</v>
          </cell>
          <cell r="BC46">
            <v>1526</v>
          </cell>
          <cell r="BD46">
            <v>1639</v>
          </cell>
          <cell r="BE46">
            <v>1523</v>
          </cell>
          <cell r="BF46">
            <v>1715</v>
          </cell>
          <cell r="BG46">
            <v>1605</v>
          </cell>
          <cell r="BH46">
            <v>1705</v>
          </cell>
          <cell r="BI46">
            <v>1606</v>
          </cell>
          <cell r="BJ46">
            <v>1476</v>
          </cell>
          <cell r="BK46">
            <v>1453</v>
          </cell>
          <cell r="BL46">
            <v>1618</v>
          </cell>
          <cell r="BM46">
            <v>1504</v>
          </cell>
          <cell r="BN46">
            <v>1319</v>
          </cell>
          <cell r="BO46">
            <v>1423</v>
          </cell>
          <cell r="BP46">
            <v>1531</v>
          </cell>
          <cell r="BQ46">
            <v>1464</v>
          </cell>
          <cell r="BR46">
            <v>1449</v>
          </cell>
          <cell r="BS46">
            <v>1390</v>
          </cell>
          <cell r="BT46">
            <v>1502</v>
          </cell>
          <cell r="BU46">
            <v>1542</v>
          </cell>
          <cell r="BV46">
            <v>1476</v>
          </cell>
          <cell r="BW46">
            <v>1461</v>
          </cell>
          <cell r="BX46">
            <v>1498</v>
          </cell>
          <cell r="BY46">
            <v>1199</v>
          </cell>
          <cell r="BZ46">
            <v>1542</v>
          </cell>
          <cell r="CA46">
            <v>1581</v>
          </cell>
          <cell r="CB46">
            <v>1440</v>
          </cell>
          <cell r="CC46">
            <v>1481</v>
          </cell>
          <cell r="CD46">
            <v>1179</v>
          </cell>
          <cell r="CE46">
            <v>1275</v>
          </cell>
          <cell r="CF46">
            <v>1550</v>
          </cell>
          <cell r="CG46">
            <v>1673</v>
          </cell>
          <cell r="CH46">
            <v>1521</v>
          </cell>
          <cell r="CI46">
            <v>1656</v>
          </cell>
          <cell r="CJ46">
            <v>1609</v>
          </cell>
          <cell r="CK46">
            <v>1644</v>
          </cell>
          <cell r="CL46">
            <v>1661</v>
          </cell>
          <cell r="CM46">
            <v>1579</v>
          </cell>
          <cell r="CN46">
            <v>1578</v>
          </cell>
          <cell r="CO46">
            <v>1509</v>
          </cell>
          <cell r="CP46">
            <v>1439</v>
          </cell>
          <cell r="CQ46">
            <v>1569</v>
          </cell>
          <cell r="CR46">
            <v>1560</v>
          </cell>
          <cell r="CS46">
            <v>1473</v>
          </cell>
          <cell r="CT46">
            <v>1505</v>
          </cell>
          <cell r="CU46">
            <v>1554</v>
          </cell>
          <cell r="CV46">
            <v>1525</v>
          </cell>
          <cell r="CW46">
            <v>1567</v>
          </cell>
          <cell r="CX46">
            <v>1505</v>
          </cell>
          <cell r="CY46">
            <v>1524</v>
          </cell>
          <cell r="CZ46">
            <v>1330</v>
          </cell>
          <cell r="DA46">
            <v>1585</v>
          </cell>
          <cell r="DB46">
            <v>1531</v>
          </cell>
          <cell r="DC46">
            <v>1529</v>
          </cell>
          <cell r="DD46">
            <v>1467</v>
          </cell>
          <cell r="DE46">
            <v>1444</v>
          </cell>
          <cell r="DF46">
            <v>1516</v>
          </cell>
          <cell r="DG46">
            <v>1505</v>
          </cell>
          <cell r="DH46">
            <v>1565</v>
          </cell>
          <cell r="DI46">
            <v>1477</v>
          </cell>
          <cell r="DJ46">
            <v>1581</v>
          </cell>
          <cell r="DK46">
            <v>1426</v>
          </cell>
          <cell r="DL46">
            <v>1455</v>
          </cell>
          <cell r="DM46">
            <v>1500</v>
          </cell>
          <cell r="DN46">
            <v>1232</v>
          </cell>
          <cell r="DO46">
            <v>1383</v>
          </cell>
          <cell r="DP46">
            <v>1344</v>
          </cell>
          <cell r="DQ46">
            <v>1442</v>
          </cell>
          <cell r="DR46">
            <v>1400</v>
          </cell>
          <cell r="DS46">
            <v>1366</v>
          </cell>
          <cell r="DT46">
            <v>1329</v>
          </cell>
          <cell r="DU46">
            <v>1443</v>
          </cell>
          <cell r="DV46">
            <v>1433</v>
          </cell>
          <cell r="DW46">
            <v>1409</v>
          </cell>
          <cell r="DX46">
            <v>1464</v>
          </cell>
          <cell r="DY46">
            <v>1415</v>
          </cell>
          <cell r="DZ46">
            <v>1083</v>
          </cell>
          <cell r="EA46">
            <v>1447</v>
          </cell>
          <cell r="EB46">
            <v>1416</v>
          </cell>
          <cell r="EC46">
            <v>1422</v>
          </cell>
          <cell r="ED46">
            <v>1022</v>
          </cell>
          <cell r="EE46">
            <v>1160</v>
          </cell>
          <cell r="EF46">
            <v>1431</v>
          </cell>
          <cell r="EG46">
            <v>1496</v>
          </cell>
          <cell r="EH46">
            <v>1612</v>
          </cell>
          <cell r="EI46">
            <v>1513</v>
          </cell>
          <cell r="EJ46">
            <v>1671</v>
          </cell>
          <cell r="EK46">
            <v>1475</v>
          </cell>
          <cell r="EL46">
            <v>1471</v>
          </cell>
          <cell r="EM46">
            <v>1477</v>
          </cell>
          <cell r="EN46">
            <v>1539</v>
          </cell>
          <cell r="EO46">
            <v>1504</v>
          </cell>
          <cell r="EP46">
            <v>1440</v>
          </cell>
          <cell r="EQ46">
            <v>1585</v>
          </cell>
          <cell r="ER46">
            <v>1403</v>
          </cell>
          <cell r="ES46">
            <v>1372</v>
          </cell>
          <cell r="ET46">
            <v>1388</v>
          </cell>
          <cell r="EU46">
            <v>1379</v>
          </cell>
          <cell r="EV46">
            <v>1528</v>
          </cell>
          <cell r="EW46">
            <v>1443</v>
          </cell>
          <cell r="EX46">
            <v>1496</v>
          </cell>
          <cell r="EY46">
            <v>1554</v>
          </cell>
          <cell r="EZ46">
            <v>1453</v>
          </cell>
          <cell r="FA46">
            <v>1536</v>
          </cell>
          <cell r="FB46">
            <v>1564</v>
          </cell>
          <cell r="FC46">
            <v>1477</v>
          </cell>
          <cell r="FD46">
            <v>1442</v>
          </cell>
          <cell r="FE46">
            <v>1404</v>
          </cell>
          <cell r="FF46">
            <v>1425</v>
          </cell>
          <cell r="FG46">
            <v>1528</v>
          </cell>
          <cell r="FH46">
            <v>1348</v>
          </cell>
          <cell r="FI46">
            <v>1453</v>
          </cell>
          <cell r="FJ46">
            <v>1445</v>
          </cell>
          <cell r="FK46">
            <v>1477</v>
          </cell>
          <cell r="FL46">
            <v>1429</v>
          </cell>
          <cell r="FM46">
            <v>1510</v>
          </cell>
          <cell r="FN46">
            <v>1538</v>
          </cell>
          <cell r="FO46">
            <v>1331</v>
          </cell>
          <cell r="FP46">
            <v>1583</v>
          </cell>
          <cell r="FQ46">
            <v>1570</v>
          </cell>
          <cell r="FR46">
            <v>1581</v>
          </cell>
          <cell r="FS46">
            <v>1522</v>
          </cell>
          <cell r="FT46">
            <v>1496</v>
          </cell>
          <cell r="FU46">
            <v>1568</v>
          </cell>
          <cell r="FV46">
            <v>1628</v>
          </cell>
          <cell r="FW46">
            <v>1632</v>
          </cell>
          <cell r="FX46">
            <v>1535</v>
          </cell>
          <cell r="FY46">
            <v>1597</v>
          </cell>
          <cell r="FZ46">
            <v>1242</v>
          </cell>
          <cell r="GA46">
            <v>1720</v>
          </cell>
          <cell r="GB46">
            <v>1573</v>
          </cell>
          <cell r="GC46">
            <v>1567</v>
          </cell>
          <cell r="GD46">
            <v>1281</v>
          </cell>
          <cell r="GE46">
            <v>1215</v>
          </cell>
          <cell r="GF46">
            <v>1584</v>
          </cell>
          <cell r="GG46">
            <v>1711</v>
          </cell>
          <cell r="GH46">
            <v>1704</v>
          </cell>
          <cell r="GI46">
            <v>1612</v>
          </cell>
          <cell r="GJ46">
            <v>1688</v>
          </cell>
          <cell r="GK46">
            <v>1644</v>
          </cell>
          <cell r="GL46">
            <v>1589</v>
          </cell>
          <cell r="GM46">
            <v>1557</v>
          </cell>
          <cell r="GN46">
            <v>1691</v>
          </cell>
        </row>
        <row r="47">
          <cell r="B47" t="str">
            <v>IRESSA</v>
          </cell>
          <cell r="C47" t="str">
            <v>AZN</v>
          </cell>
          <cell r="D47">
            <v>31</v>
          </cell>
          <cell r="E47">
            <v>8</v>
          </cell>
          <cell r="F47">
            <v>29</v>
          </cell>
          <cell r="G47">
            <v>30</v>
          </cell>
          <cell r="H47">
            <v>20</v>
          </cell>
          <cell r="I47">
            <v>24</v>
          </cell>
          <cell r="J47">
            <v>27</v>
          </cell>
          <cell r="K47">
            <v>31</v>
          </cell>
          <cell r="L47">
            <v>29</v>
          </cell>
          <cell r="M47">
            <v>15</v>
          </cell>
          <cell r="N47">
            <v>32</v>
          </cell>
          <cell r="O47">
            <v>49</v>
          </cell>
          <cell r="P47">
            <v>29</v>
          </cell>
          <cell r="Q47">
            <v>40</v>
          </cell>
          <cell r="R47">
            <v>48</v>
          </cell>
          <cell r="S47">
            <v>48</v>
          </cell>
          <cell r="T47">
            <v>48</v>
          </cell>
          <cell r="U47">
            <v>45</v>
          </cell>
          <cell r="V47">
            <v>42</v>
          </cell>
          <cell r="W47">
            <v>16</v>
          </cell>
          <cell r="X47">
            <v>1</v>
          </cell>
          <cell r="Y47">
            <v>21</v>
          </cell>
          <cell r="Z47">
            <v>2</v>
          </cell>
          <cell r="AA47">
            <v>42</v>
          </cell>
          <cell r="AB47">
            <v>37</v>
          </cell>
          <cell r="AC47">
            <v>49</v>
          </cell>
          <cell r="AD47">
            <v>22</v>
          </cell>
          <cell r="AE47">
            <v>31</v>
          </cell>
          <cell r="AF47">
            <v>24</v>
          </cell>
          <cell r="AG47">
            <v>41</v>
          </cell>
          <cell r="AH47">
            <v>32</v>
          </cell>
          <cell r="AI47">
            <v>26</v>
          </cell>
          <cell r="AJ47">
            <v>29</v>
          </cell>
          <cell r="AK47">
            <v>19</v>
          </cell>
          <cell r="AL47">
            <v>26</v>
          </cell>
          <cell r="AM47">
            <v>22</v>
          </cell>
          <cell r="AN47">
            <v>22</v>
          </cell>
          <cell r="AO47">
            <v>15</v>
          </cell>
          <cell r="AP47">
            <v>24</v>
          </cell>
          <cell r="AQ47">
            <v>22</v>
          </cell>
          <cell r="AR47">
            <v>27</v>
          </cell>
          <cell r="AS47">
            <v>27</v>
          </cell>
          <cell r="AT47">
            <v>15</v>
          </cell>
          <cell r="AU47">
            <v>22</v>
          </cell>
          <cell r="AV47">
            <v>24</v>
          </cell>
          <cell r="AW47">
            <v>48</v>
          </cell>
          <cell r="AX47">
            <v>42</v>
          </cell>
          <cell r="AY47">
            <v>31</v>
          </cell>
          <cell r="AZ47">
            <v>47</v>
          </cell>
          <cell r="BA47">
            <v>30</v>
          </cell>
          <cell r="BB47">
            <v>35</v>
          </cell>
          <cell r="BC47">
            <v>21</v>
          </cell>
          <cell r="BD47">
            <v>18</v>
          </cell>
          <cell r="BE47">
            <v>15</v>
          </cell>
          <cell r="BF47">
            <v>20</v>
          </cell>
          <cell r="BG47">
            <v>31</v>
          </cell>
          <cell r="BH47">
            <v>19</v>
          </cell>
          <cell r="BI47">
            <v>13</v>
          </cell>
          <cell r="BJ47">
            <v>16</v>
          </cell>
          <cell r="BK47">
            <v>17</v>
          </cell>
          <cell r="BL47">
            <v>19</v>
          </cell>
          <cell r="BM47">
            <v>23</v>
          </cell>
          <cell r="BN47">
            <v>11</v>
          </cell>
          <cell r="BO47">
            <v>21</v>
          </cell>
          <cell r="BP47">
            <v>12</v>
          </cell>
          <cell r="BQ47">
            <v>134</v>
          </cell>
          <cell r="BR47">
            <v>94</v>
          </cell>
          <cell r="BS47">
            <v>100</v>
          </cell>
          <cell r="BT47">
            <v>68</v>
          </cell>
          <cell r="BU47">
            <v>23</v>
          </cell>
          <cell r="BV47">
            <v>28</v>
          </cell>
          <cell r="BW47">
            <v>29</v>
          </cell>
          <cell r="BX47">
            <v>22</v>
          </cell>
          <cell r="BY47">
            <v>13</v>
          </cell>
          <cell r="BZ47">
            <v>20</v>
          </cell>
          <cell r="CA47">
            <v>23</v>
          </cell>
          <cell r="CB47">
            <v>16</v>
          </cell>
          <cell r="CC47">
            <v>19</v>
          </cell>
          <cell r="CD47">
            <v>13</v>
          </cell>
          <cell r="CE47">
            <v>18</v>
          </cell>
          <cell r="CF47">
            <v>14</v>
          </cell>
          <cell r="CG47">
            <v>16</v>
          </cell>
          <cell r="CH47">
            <v>13</v>
          </cell>
          <cell r="CI47">
            <v>10</v>
          </cell>
          <cell r="CJ47">
            <v>13</v>
          </cell>
          <cell r="CK47">
            <v>13</v>
          </cell>
          <cell r="CL47">
            <v>12</v>
          </cell>
          <cell r="CM47">
            <v>14</v>
          </cell>
          <cell r="CN47">
            <v>12</v>
          </cell>
          <cell r="CO47">
            <v>12</v>
          </cell>
          <cell r="CP47">
            <v>15</v>
          </cell>
          <cell r="CQ47">
            <v>21</v>
          </cell>
          <cell r="CR47">
            <v>7</v>
          </cell>
          <cell r="CS47">
            <v>21</v>
          </cell>
          <cell r="CT47">
            <v>13</v>
          </cell>
          <cell r="CU47">
            <v>6</v>
          </cell>
          <cell r="CV47">
            <v>16</v>
          </cell>
          <cell r="CW47">
            <v>12</v>
          </cell>
          <cell r="CX47">
            <v>13</v>
          </cell>
          <cell r="CY47">
            <v>20</v>
          </cell>
          <cell r="CZ47">
            <v>11</v>
          </cell>
          <cell r="DA47">
            <v>22</v>
          </cell>
          <cell r="DB47">
            <v>8</v>
          </cell>
          <cell r="DC47">
            <v>11</v>
          </cell>
          <cell r="DD47">
            <v>13</v>
          </cell>
          <cell r="DE47">
            <v>14</v>
          </cell>
          <cell r="DF47">
            <v>12</v>
          </cell>
          <cell r="DG47">
            <v>11</v>
          </cell>
          <cell r="DH47">
            <v>12</v>
          </cell>
          <cell r="DI47">
            <v>14</v>
          </cell>
          <cell r="DJ47">
            <v>8</v>
          </cell>
          <cell r="DK47">
            <v>15</v>
          </cell>
          <cell r="DL47">
            <v>14</v>
          </cell>
          <cell r="DM47">
            <v>8</v>
          </cell>
          <cell r="DN47">
            <v>9</v>
          </cell>
          <cell r="DO47">
            <v>19</v>
          </cell>
          <cell r="DP47">
            <v>8</v>
          </cell>
          <cell r="DQ47">
            <v>10</v>
          </cell>
          <cell r="DR47">
            <v>10</v>
          </cell>
          <cell r="DS47">
            <v>7</v>
          </cell>
          <cell r="DT47">
            <v>11</v>
          </cell>
          <cell r="DU47">
            <v>12</v>
          </cell>
          <cell r="DV47">
            <v>11</v>
          </cell>
          <cell r="DW47">
            <v>12</v>
          </cell>
          <cell r="DX47">
            <v>11</v>
          </cell>
          <cell r="DY47">
            <v>13</v>
          </cell>
          <cell r="DZ47">
            <v>12</v>
          </cell>
          <cell r="EA47">
            <v>14</v>
          </cell>
          <cell r="EB47">
            <v>10</v>
          </cell>
          <cell r="EC47">
            <v>19</v>
          </cell>
          <cell r="ED47">
            <v>3</v>
          </cell>
          <cell r="EE47">
            <v>4</v>
          </cell>
          <cell r="EF47">
            <v>10</v>
          </cell>
          <cell r="EG47">
            <v>10</v>
          </cell>
          <cell r="EH47">
            <v>9</v>
          </cell>
          <cell r="EI47">
            <v>14</v>
          </cell>
          <cell r="EJ47">
            <v>16</v>
          </cell>
          <cell r="EK47">
            <v>7</v>
          </cell>
          <cell r="EL47">
            <v>11</v>
          </cell>
          <cell r="EM47">
            <v>13</v>
          </cell>
          <cell r="EN47">
            <v>13</v>
          </cell>
          <cell r="EO47">
            <v>9</v>
          </cell>
          <cell r="EP47">
            <v>10</v>
          </cell>
          <cell r="EQ47">
            <v>9</v>
          </cell>
          <cell r="ER47">
            <v>10</v>
          </cell>
          <cell r="ES47">
            <v>9</v>
          </cell>
          <cell r="ET47">
            <v>13</v>
          </cell>
          <cell r="EU47">
            <v>9</v>
          </cell>
          <cell r="EV47">
            <v>8</v>
          </cell>
          <cell r="EW47">
            <v>8</v>
          </cell>
          <cell r="EX47">
            <v>12</v>
          </cell>
          <cell r="EY47">
            <v>7</v>
          </cell>
          <cell r="EZ47">
            <v>10</v>
          </cell>
          <cell r="FA47">
            <v>11</v>
          </cell>
          <cell r="FB47">
            <v>8</v>
          </cell>
          <cell r="FC47">
            <v>8</v>
          </cell>
          <cell r="FD47">
            <v>6</v>
          </cell>
          <cell r="FE47">
            <v>7</v>
          </cell>
          <cell r="FF47">
            <v>5</v>
          </cell>
          <cell r="FG47">
            <v>11</v>
          </cell>
          <cell r="FH47">
            <v>8</v>
          </cell>
          <cell r="FI47">
            <v>8</v>
          </cell>
          <cell r="FJ47">
            <v>15</v>
          </cell>
          <cell r="FK47">
            <v>5</v>
          </cell>
          <cell r="FL47">
            <v>8</v>
          </cell>
          <cell r="FM47">
            <v>3</v>
          </cell>
          <cell r="FN47">
            <v>11</v>
          </cell>
          <cell r="FO47">
            <v>6</v>
          </cell>
          <cell r="FP47">
            <v>4</v>
          </cell>
          <cell r="FQ47">
            <v>12</v>
          </cell>
          <cell r="FR47">
            <v>6</v>
          </cell>
          <cell r="FS47">
            <v>10</v>
          </cell>
          <cell r="FT47">
            <v>3</v>
          </cell>
          <cell r="FU47">
            <v>4</v>
          </cell>
          <cell r="FV47">
            <v>10</v>
          </cell>
          <cell r="FW47">
            <v>12</v>
          </cell>
          <cell r="FX47">
            <v>6</v>
          </cell>
          <cell r="FY47">
            <v>12</v>
          </cell>
          <cell r="FZ47">
            <v>4</v>
          </cell>
          <cell r="GA47">
            <v>8</v>
          </cell>
          <cell r="GB47">
            <v>10</v>
          </cell>
          <cell r="GC47">
            <v>5</v>
          </cell>
          <cell r="GD47">
            <v>4</v>
          </cell>
          <cell r="GE47">
            <v>11</v>
          </cell>
          <cell r="GF47">
            <v>5</v>
          </cell>
          <cell r="GG47">
            <v>10</v>
          </cell>
          <cell r="GH47">
            <v>5</v>
          </cell>
          <cell r="GI47">
            <v>12</v>
          </cell>
          <cell r="GJ47">
            <v>35</v>
          </cell>
          <cell r="GK47">
            <v>26</v>
          </cell>
          <cell r="GL47">
            <v>16</v>
          </cell>
          <cell r="GM47">
            <v>16</v>
          </cell>
          <cell r="GN47">
            <v>8</v>
          </cell>
        </row>
        <row r="48">
          <cell r="B48" t="str">
            <v>HUMIRA</v>
          </cell>
          <cell r="C48" t="str">
            <v>ABT</v>
          </cell>
          <cell r="D48">
            <v>5425</v>
          </cell>
          <cell r="E48">
            <v>3929</v>
          </cell>
          <cell r="F48">
            <v>4944</v>
          </cell>
          <cell r="G48">
            <v>4840</v>
          </cell>
          <cell r="H48">
            <v>4988</v>
          </cell>
          <cell r="I48">
            <v>5125</v>
          </cell>
          <cell r="J48">
            <v>4940</v>
          </cell>
          <cell r="K48">
            <v>5238</v>
          </cell>
          <cell r="L48">
            <v>5215</v>
          </cell>
          <cell r="M48">
            <v>5565</v>
          </cell>
          <cell r="N48">
            <v>5073</v>
          </cell>
          <cell r="O48">
            <v>5648</v>
          </cell>
          <cell r="P48">
            <v>6279</v>
          </cell>
          <cell r="Q48">
            <v>6220</v>
          </cell>
          <cell r="R48">
            <v>6020</v>
          </cell>
          <cell r="S48">
            <v>5887</v>
          </cell>
          <cell r="T48">
            <v>5666</v>
          </cell>
          <cell r="U48">
            <v>5905</v>
          </cell>
          <cell r="V48">
            <v>6032</v>
          </cell>
          <cell r="W48">
            <v>5904</v>
          </cell>
          <cell r="X48">
            <v>6026</v>
          </cell>
          <cell r="Y48">
            <v>4292</v>
          </cell>
          <cell r="Z48">
            <v>6330</v>
          </cell>
          <cell r="AA48">
            <v>6243</v>
          </cell>
          <cell r="AB48">
            <v>6222</v>
          </cell>
          <cell r="AC48">
            <v>6149</v>
          </cell>
          <cell r="AD48">
            <v>5154</v>
          </cell>
          <cell r="AE48">
            <v>4934</v>
          </cell>
          <cell r="AF48">
            <v>6139</v>
          </cell>
          <cell r="AG48">
            <v>6240</v>
          </cell>
          <cell r="AH48">
            <v>6395</v>
          </cell>
          <cell r="AI48">
            <v>6443</v>
          </cell>
          <cell r="AJ48">
            <v>6344</v>
          </cell>
          <cell r="AK48">
            <v>5919</v>
          </cell>
          <cell r="AL48">
            <v>6300</v>
          </cell>
          <cell r="AM48">
            <v>6503</v>
          </cell>
          <cell r="AN48">
            <v>6318</v>
          </cell>
          <cell r="AO48">
            <v>6080</v>
          </cell>
          <cell r="AP48">
            <v>6390</v>
          </cell>
          <cell r="AQ48">
            <v>6580</v>
          </cell>
          <cell r="AR48">
            <v>6822</v>
          </cell>
          <cell r="AS48">
            <v>6492</v>
          </cell>
          <cell r="AT48">
            <v>6477</v>
          </cell>
          <cell r="AU48">
            <v>6677</v>
          </cell>
          <cell r="AV48">
            <v>6575</v>
          </cell>
          <cell r="AW48">
            <v>7022</v>
          </cell>
          <cell r="AX48">
            <v>7151</v>
          </cell>
          <cell r="AY48">
            <v>7313</v>
          </cell>
          <cell r="AZ48">
            <v>6679</v>
          </cell>
          <cell r="BA48">
            <v>7677</v>
          </cell>
          <cell r="BB48">
            <v>7739</v>
          </cell>
          <cell r="BC48">
            <v>7910</v>
          </cell>
          <cell r="BD48">
            <v>8425</v>
          </cell>
          <cell r="BE48">
            <v>6158</v>
          </cell>
          <cell r="BF48">
            <v>8318</v>
          </cell>
          <cell r="BG48">
            <v>8222</v>
          </cell>
          <cell r="BH48">
            <v>8217</v>
          </cell>
          <cell r="BI48">
            <v>8591</v>
          </cell>
          <cell r="BJ48">
            <v>8349</v>
          </cell>
          <cell r="BK48">
            <v>7966</v>
          </cell>
          <cell r="BL48">
            <v>8108</v>
          </cell>
          <cell r="BM48">
            <v>8461</v>
          </cell>
          <cell r="BN48">
            <v>6566</v>
          </cell>
          <cell r="BO48">
            <v>7438</v>
          </cell>
          <cell r="BP48">
            <v>7605</v>
          </cell>
          <cell r="BQ48">
            <v>7386</v>
          </cell>
          <cell r="BR48">
            <v>7465</v>
          </cell>
          <cell r="BS48">
            <v>6972</v>
          </cell>
          <cell r="BT48">
            <v>7333</v>
          </cell>
          <cell r="BU48">
            <v>7108</v>
          </cell>
          <cell r="BV48">
            <v>7408</v>
          </cell>
          <cell r="BW48">
            <v>7394</v>
          </cell>
          <cell r="BX48">
            <v>7556</v>
          </cell>
          <cell r="BY48">
            <v>5384</v>
          </cell>
          <cell r="BZ48">
            <v>7905</v>
          </cell>
          <cell r="CA48">
            <v>7188</v>
          </cell>
          <cell r="CB48">
            <v>7465</v>
          </cell>
          <cell r="CC48">
            <v>8164</v>
          </cell>
          <cell r="CD48">
            <v>5962</v>
          </cell>
          <cell r="CE48">
            <v>7757</v>
          </cell>
          <cell r="CF48">
            <v>9170</v>
          </cell>
          <cell r="CG48">
            <v>8850</v>
          </cell>
          <cell r="CH48">
            <v>8880</v>
          </cell>
          <cell r="CI48">
            <v>8935</v>
          </cell>
          <cell r="CJ48">
            <v>8250</v>
          </cell>
          <cell r="CK48">
            <v>8192</v>
          </cell>
          <cell r="CL48">
            <v>7615</v>
          </cell>
          <cell r="CM48">
            <v>8183</v>
          </cell>
          <cell r="CN48">
            <v>8293</v>
          </cell>
          <cell r="CO48">
            <v>8587</v>
          </cell>
          <cell r="CP48">
            <v>8718</v>
          </cell>
          <cell r="CQ48">
            <v>8894</v>
          </cell>
          <cell r="CR48">
            <v>9078</v>
          </cell>
          <cell r="CS48">
            <v>8969</v>
          </cell>
          <cell r="CT48">
            <v>8936</v>
          </cell>
          <cell r="CU48">
            <v>8939</v>
          </cell>
          <cell r="CV48">
            <v>9324</v>
          </cell>
          <cell r="CW48">
            <v>9104</v>
          </cell>
          <cell r="CX48">
            <v>8992</v>
          </cell>
          <cell r="CY48">
            <v>9180</v>
          </cell>
          <cell r="CZ48">
            <v>8183</v>
          </cell>
          <cell r="DA48">
            <v>9741</v>
          </cell>
          <cell r="DB48">
            <v>9121</v>
          </cell>
          <cell r="DC48">
            <v>9338</v>
          </cell>
          <cell r="DD48">
            <v>9503</v>
          </cell>
          <cell r="DE48">
            <v>8108</v>
          </cell>
          <cell r="DF48">
            <v>10090</v>
          </cell>
          <cell r="DG48">
            <v>9992</v>
          </cell>
          <cell r="DH48">
            <v>10107</v>
          </cell>
          <cell r="DI48">
            <v>9896</v>
          </cell>
          <cell r="DJ48">
            <v>9776</v>
          </cell>
          <cell r="DK48">
            <v>9632</v>
          </cell>
          <cell r="DL48">
            <v>9748</v>
          </cell>
          <cell r="DM48">
            <v>10621</v>
          </cell>
          <cell r="DN48">
            <v>8318</v>
          </cell>
          <cell r="DO48">
            <v>9552</v>
          </cell>
          <cell r="DP48">
            <v>9672</v>
          </cell>
          <cell r="DQ48">
            <v>9617</v>
          </cell>
          <cell r="DR48">
            <v>9558</v>
          </cell>
          <cell r="DS48">
            <v>9155</v>
          </cell>
          <cell r="DT48">
            <v>9452</v>
          </cell>
          <cell r="DU48">
            <v>9795</v>
          </cell>
          <cell r="DV48">
            <v>9750</v>
          </cell>
          <cell r="DW48">
            <v>9600</v>
          </cell>
          <cell r="DX48">
            <v>9634</v>
          </cell>
          <cell r="DY48">
            <v>9889</v>
          </cell>
          <cell r="DZ48">
            <v>7024</v>
          </cell>
          <cell r="EA48">
            <v>10907</v>
          </cell>
          <cell r="EB48">
            <v>9972</v>
          </cell>
          <cell r="EC48">
            <v>10340</v>
          </cell>
          <cell r="ED48">
            <v>6471</v>
          </cell>
          <cell r="EE48">
            <v>8469</v>
          </cell>
          <cell r="EF48">
            <v>9450</v>
          </cell>
          <cell r="EG48">
            <v>9199</v>
          </cell>
          <cell r="EH48">
            <v>8691</v>
          </cell>
          <cell r="EI48">
            <v>9146</v>
          </cell>
          <cell r="EJ48">
            <v>9526</v>
          </cell>
          <cell r="EK48">
            <v>9413</v>
          </cell>
          <cell r="EL48">
            <v>9104</v>
          </cell>
          <cell r="EM48">
            <v>9298</v>
          </cell>
          <cell r="EN48">
            <v>9528</v>
          </cell>
          <cell r="EO48">
            <v>9452</v>
          </cell>
          <cell r="EP48">
            <v>9340</v>
          </cell>
          <cell r="EQ48">
            <v>9350</v>
          </cell>
          <cell r="ER48">
            <v>9597</v>
          </cell>
          <cell r="ES48">
            <v>9016</v>
          </cell>
          <cell r="ET48">
            <v>9070</v>
          </cell>
          <cell r="EU48">
            <v>9422</v>
          </cell>
          <cell r="EV48">
            <v>10089</v>
          </cell>
          <cell r="EW48">
            <v>10087</v>
          </cell>
          <cell r="EX48">
            <v>9845</v>
          </cell>
          <cell r="EY48">
            <v>9693</v>
          </cell>
          <cell r="EZ48">
            <v>8503</v>
          </cell>
          <cell r="FA48">
            <v>9937</v>
          </cell>
          <cell r="FB48">
            <v>9493</v>
          </cell>
          <cell r="FC48">
            <v>9559</v>
          </cell>
          <cell r="FD48">
            <v>9644</v>
          </cell>
          <cell r="FE48">
            <v>8963</v>
          </cell>
          <cell r="FF48">
            <v>8632</v>
          </cell>
          <cell r="FG48">
            <v>8788</v>
          </cell>
          <cell r="FH48">
            <v>8735</v>
          </cell>
          <cell r="FI48">
            <v>9008</v>
          </cell>
          <cell r="FJ48">
            <v>9339</v>
          </cell>
          <cell r="FK48">
            <v>9537</v>
          </cell>
          <cell r="FL48">
            <v>8988</v>
          </cell>
          <cell r="FM48">
            <v>9252</v>
          </cell>
          <cell r="FN48">
            <v>9358</v>
          </cell>
          <cell r="FO48">
            <v>7942</v>
          </cell>
          <cell r="FP48">
            <v>9428</v>
          </cell>
          <cell r="FQ48">
            <v>9403</v>
          </cell>
          <cell r="FR48">
            <v>9302</v>
          </cell>
          <cell r="FS48">
            <v>9060</v>
          </cell>
          <cell r="FT48">
            <v>9005</v>
          </cell>
          <cell r="FU48">
            <v>8890</v>
          </cell>
          <cell r="FV48">
            <v>9389</v>
          </cell>
          <cell r="FW48">
            <v>8937</v>
          </cell>
          <cell r="FX48">
            <v>9002</v>
          </cell>
          <cell r="FY48">
            <v>9385</v>
          </cell>
          <cell r="FZ48">
            <v>7227</v>
          </cell>
          <cell r="GA48">
            <v>10004</v>
          </cell>
          <cell r="GB48">
            <v>9849</v>
          </cell>
          <cell r="GC48">
            <v>10356</v>
          </cell>
          <cell r="GD48">
            <v>7579</v>
          </cell>
          <cell r="GE48">
            <v>8713</v>
          </cell>
          <cell r="GF48">
            <v>9453</v>
          </cell>
          <cell r="GG48">
            <v>9815</v>
          </cell>
          <cell r="GH48">
            <v>9481</v>
          </cell>
          <cell r="GI48">
            <v>10298</v>
          </cell>
          <cell r="GJ48">
            <v>9633</v>
          </cell>
          <cell r="GK48">
            <v>8925</v>
          </cell>
          <cell r="GL48">
            <v>10112</v>
          </cell>
          <cell r="GM48">
            <v>10193</v>
          </cell>
          <cell r="GN48">
            <v>10712</v>
          </cell>
        </row>
        <row r="49">
          <cell r="B49" t="str">
            <v>HEPSERA</v>
          </cell>
          <cell r="C49" t="str">
            <v>GS-</v>
          </cell>
          <cell r="D49">
            <v>1019</v>
          </cell>
          <cell r="E49">
            <v>851</v>
          </cell>
          <cell r="F49">
            <v>977</v>
          </cell>
          <cell r="G49">
            <v>944</v>
          </cell>
          <cell r="H49">
            <v>901</v>
          </cell>
          <cell r="I49">
            <v>941</v>
          </cell>
          <cell r="J49">
            <v>931</v>
          </cell>
          <cell r="K49">
            <v>988</v>
          </cell>
          <cell r="L49">
            <v>983</v>
          </cell>
          <cell r="M49">
            <v>964</v>
          </cell>
          <cell r="N49">
            <v>910</v>
          </cell>
          <cell r="O49">
            <v>1126</v>
          </cell>
          <cell r="P49">
            <v>1144</v>
          </cell>
          <cell r="Q49">
            <v>959</v>
          </cell>
          <cell r="R49">
            <v>1076</v>
          </cell>
          <cell r="S49">
            <v>1080</v>
          </cell>
          <cell r="T49">
            <v>1054</v>
          </cell>
          <cell r="U49">
            <v>980</v>
          </cell>
          <cell r="V49">
            <v>1002</v>
          </cell>
          <cell r="W49">
            <v>999</v>
          </cell>
          <cell r="X49">
            <v>1057</v>
          </cell>
          <cell r="Y49">
            <v>879</v>
          </cell>
          <cell r="Z49">
            <v>1077</v>
          </cell>
          <cell r="AA49">
            <v>1059</v>
          </cell>
          <cell r="AB49">
            <v>946</v>
          </cell>
          <cell r="AC49">
            <v>1029</v>
          </cell>
          <cell r="AD49">
            <v>807</v>
          </cell>
          <cell r="AE49">
            <v>997</v>
          </cell>
          <cell r="AF49">
            <v>1051</v>
          </cell>
          <cell r="AG49">
            <v>1023</v>
          </cell>
          <cell r="AH49">
            <v>1055</v>
          </cell>
          <cell r="AI49">
            <v>1115</v>
          </cell>
          <cell r="AJ49">
            <v>1056</v>
          </cell>
          <cell r="AK49">
            <v>999</v>
          </cell>
          <cell r="AL49">
            <v>927</v>
          </cell>
          <cell r="AM49">
            <v>1129</v>
          </cell>
          <cell r="AN49">
            <v>1078</v>
          </cell>
          <cell r="AO49">
            <v>1093</v>
          </cell>
          <cell r="AP49">
            <v>1033</v>
          </cell>
          <cell r="AQ49">
            <v>1074</v>
          </cell>
          <cell r="AR49">
            <v>961</v>
          </cell>
          <cell r="AS49">
            <v>979</v>
          </cell>
          <cell r="AT49">
            <v>953</v>
          </cell>
          <cell r="AU49">
            <v>1053</v>
          </cell>
          <cell r="AV49">
            <v>1056</v>
          </cell>
          <cell r="AW49">
            <v>970</v>
          </cell>
          <cell r="AX49">
            <v>1062</v>
          </cell>
          <cell r="AY49">
            <v>1029</v>
          </cell>
          <cell r="AZ49">
            <v>941</v>
          </cell>
          <cell r="BA49">
            <v>1087</v>
          </cell>
          <cell r="BB49">
            <v>1080</v>
          </cell>
          <cell r="BC49">
            <v>1031</v>
          </cell>
          <cell r="BD49">
            <v>1043</v>
          </cell>
          <cell r="BE49">
            <v>970</v>
          </cell>
          <cell r="BF49">
            <v>1072</v>
          </cell>
          <cell r="BG49">
            <v>977</v>
          </cell>
          <cell r="BH49">
            <v>1072</v>
          </cell>
          <cell r="BI49">
            <v>1060</v>
          </cell>
          <cell r="BJ49">
            <v>1076</v>
          </cell>
          <cell r="BK49">
            <v>1113</v>
          </cell>
          <cell r="BL49">
            <v>1006</v>
          </cell>
          <cell r="BM49">
            <v>1112</v>
          </cell>
          <cell r="BN49">
            <v>1047</v>
          </cell>
          <cell r="BO49">
            <v>1101</v>
          </cell>
          <cell r="BP49">
            <v>1061</v>
          </cell>
          <cell r="BQ49">
            <v>1087</v>
          </cell>
          <cell r="BR49">
            <v>1072</v>
          </cell>
          <cell r="BS49">
            <v>1097</v>
          </cell>
          <cell r="BT49">
            <v>966</v>
          </cell>
          <cell r="BU49">
            <v>1043</v>
          </cell>
          <cell r="BV49">
            <v>1033</v>
          </cell>
          <cell r="BW49">
            <v>1035</v>
          </cell>
          <cell r="BX49">
            <v>977</v>
          </cell>
          <cell r="BY49">
            <v>857</v>
          </cell>
          <cell r="BZ49">
            <v>1034</v>
          </cell>
          <cell r="CA49">
            <v>1051</v>
          </cell>
          <cell r="CB49">
            <v>1037</v>
          </cell>
          <cell r="CC49">
            <v>1045</v>
          </cell>
          <cell r="CD49">
            <v>904</v>
          </cell>
          <cell r="CE49">
            <v>869</v>
          </cell>
          <cell r="CF49">
            <v>1128</v>
          </cell>
          <cell r="CG49">
            <v>992</v>
          </cell>
          <cell r="CH49">
            <v>1024</v>
          </cell>
          <cell r="CI49">
            <v>1116</v>
          </cell>
          <cell r="CJ49">
            <v>1097</v>
          </cell>
          <cell r="CK49">
            <v>1041</v>
          </cell>
          <cell r="CL49">
            <v>1056</v>
          </cell>
          <cell r="CM49">
            <v>1031</v>
          </cell>
          <cell r="CN49">
            <v>1116</v>
          </cell>
          <cell r="CO49">
            <v>1047</v>
          </cell>
          <cell r="CP49">
            <v>1119</v>
          </cell>
          <cell r="CQ49">
            <v>1007</v>
          </cell>
          <cell r="CR49">
            <v>1134</v>
          </cell>
          <cell r="CS49">
            <v>1028</v>
          </cell>
          <cell r="CT49">
            <v>1048</v>
          </cell>
          <cell r="CU49">
            <v>1128</v>
          </cell>
          <cell r="CV49">
            <v>1196</v>
          </cell>
          <cell r="CW49">
            <v>1128</v>
          </cell>
          <cell r="CX49">
            <v>1030</v>
          </cell>
          <cell r="CY49">
            <v>1166</v>
          </cell>
          <cell r="CZ49">
            <v>940</v>
          </cell>
          <cell r="DA49">
            <v>1224</v>
          </cell>
          <cell r="DB49">
            <v>1039</v>
          </cell>
          <cell r="DC49">
            <v>950</v>
          </cell>
          <cell r="DD49">
            <v>982</v>
          </cell>
          <cell r="DE49">
            <v>980</v>
          </cell>
          <cell r="DF49">
            <v>992</v>
          </cell>
          <cell r="DG49">
            <v>1033</v>
          </cell>
          <cell r="DH49">
            <v>1053</v>
          </cell>
          <cell r="DI49">
            <v>1045</v>
          </cell>
          <cell r="DJ49">
            <v>973</v>
          </cell>
          <cell r="DK49">
            <v>919</v>
          </cell>
          <cell r="DL49">
            <v>996</v>
          </cell>
          <cell r="DM49">
            <v>1054</v>
          </cell>
          <cell r="DN49">
            <v>964</v>
          </cell>
          <cell r="DO49">
            <v>1014</v>
          </cell>
          <cell r="DP49">
            <v>984</v>
          </cell>
          <cell r="DQ49">
            <v>937</v>
          </cell>
          <cell r="DR49">
            <v>990</v>
          </cell>
          <cell r="DS49">
            <v>1009</v>
          </cell>
          <cell r="DT49">
            <v>833</v>
          </cell>
          <cell r="DU49">
            <v>830</v>
          </cell>
          <cell r="DV49">
            <v>890</v>
          </cell>
          <cell r="DW49">
            <v>832</v>
          </cell>
          <cell r="DX49">
            <v>823</v>
          </cell>
          <cell r="DY49">
            <v>863</v>
          </cell>
          <cell r="DZ49">
            <v>730</v>
          </cell>
          <cell r="EA49">
            <v>958</v>
          </cell>
          <cell r="EB49">
            <v>719</v>
          </cell>
          <cell r="EC49">
            <v>812</v>
          </cell>
          <cell r="ED49">
            <v>659</v>
          </cell>
          <cell r="EE49">
            <v>733</v>
          </cell>
          <cell r="EF49">
            <v>903</v>
          </cell>
          <cell r="EG49">
            <v>883</v>
          </cell>
          <cell r="EH49">
            <v>849</v>
          </cell>
          <cell r="EI49">
            <v>794</v>
          </cell>
          <cell r="EJ49">
            <v>853</v>
          </cell>
          <cell r="EK49">
            <v>788</v>
          </cell>
          <cell r="EL49">
            <v>784</v>
          </cell>
          <cell r="EM49">
            <v>848</v>
          </cell>
          <cell r="EN49">
            <v>914</v>
          </cell>
          <cell r="EO49">
            <v>813</v>
          </cell>
          <cell r="EP49">
            <v>729</v>
          </cell>
          <cell r="EQ49">
            <v>778</v>
          </cell>
          <cell r="ER49">
            <v>780</v>
          </cell>
          <cell r="ES49">
            <v>749</v>
          </cell>
          <cell r="ET49">
            <v>751</v>
          </cell>
          <cell r="EU49">
            <v>706</v>
          </cell>
          <cell r="EV49">
            <v>694</v>
          </cell>
          <cell r="EW49">
            <v>682</v>
          </cell>
          <cell r="EX49">
            <v>632</v>
          </cell>
          <cell r="EY49">
            <v>693</v>
          </cell>
          <cell r="EZ49">
            <v>650</v>
          </cell>
          <cell r="FA49">
            <v>701</v>
          </cell>
          <cell r="FB49">
            <v>685</v>
          </cell>
          <cell r="FC49">
            <v>612</v>
          </cell>
          <cell r="FD49">
            <v>627</v>
          </cell>
          <cell r="FE49">
            <v>633</v>
          </cell>
          <cell r="FF49">
            <v>539</v>
          </cell>
          <cell r="FG49">
            <v>625</v>
          </cell>
          <cell r="FH49">
            <v>499</v>
          </cell>
          <cell r="FI49">
            <v>598</v>
          </cell>
          <cell r="FJ49">
            <v>596</v>
          </cell>
          <cell r="FK49">
            <v>716</v>
          </cell>
          <cell r="FL49">
            <v>494</v>
          </cell>
          <cell r="FM49">
            <v>551</v>
          </cell>
          <cell r="FN49">
            <v>613</v>
          </cell>
          <cell r="FO49">
            <v>531</v>
          </cell>
          <cell r="FP49">
            <v>598</v>
          </cell>
          <cell r="FQ49">
            <v>594</v>
          </cell>
          <cell r="FR49">
            <v>572</v>
          </cell>
          <cell r="FS49">
            <v>617</v>
          </cell>
          <cell r="FT49">
            <v>632</v>
          </cell>
          <cell r="FU49">
            <v>483</v>
          </cell>
          <cell r="FV49">
            <v>558</v>
          </cell>
          <cell r="FW49">
            <v>604</v>
          </cell>
          <cell r="FX49">
            <v>539</v>
          </cell>
          <cell r="FY49">
            <v>677</v>
          </cell>
          <cell r="FZ49">
            <v>470</v>
          </cell>
          <cell r="GA49">
            <v>634</v>
          </cell>
          <cell r="GB49">
            <v>567</v>
          </cell>
          <cell r="GC49">
            <v>545</v>
          </cell>
          <cell r="GD49">
            <v>476</v>
          </cell>
          <cell r="GE49">
            <v>449</v>
          </cell>
          <cell r="GF49">
            <v>605</v>
          </cell>
          <cell r="GG49">
            <v>630</v>
          </cell>
          <cell r="GH49">
            <v>582</v>
          </cell>
          <cell r="GI49">
            <v>568</v>
          </cell>
          <cell r="GJ49">
            <v>634</v>
          </cell>
          <cell r="GK49">
            <v>528</v>
          </cell>
          <cell r="GL49">
            <v>472</v>
          </cell>
          <cell r="GM49">
            <v>571</v>
          </cell>
          <cell r="GN49">
            <v>536</v>
          </cell>
        </row>
        <row r="50">
          <cell r="B50" t="str">
            <v>HERCEPTIN</v>
          </cell>
          <cell r="C50" t="str">
            <v>GTC</v>
          </cell>
          <cell r="D50">
            <v>31</v>
          </cell>
          <cell r="E50">
            <v>27</v>
          </cell>
          <cell r="F50">
            <v>27</v>
          </cell>
          <cell r="G50">
            <v>31</v>
          </cell>
          <cell r="H50">
            <v>29</v>
          </cell>
          <cell r="I50">
            <v>26</v>
          </cell>
          <cell r="J50">
            <v>38</v>
          </cell>
          <cell r="K50">
            <v>21</v>
          </cell>
          <cell r="L50">
            <v>19</v>
          </cell>
          <cell r="M50">
            <v>32</v>
          </cell>
          <cell r="N50">
            <v>26</v>
          </cell>
          <cell r="O50">
            <v>24</v>
          </cell>
          <cell r="P50">
            <v>30</v>
          </cell>
          <cell r="Q50">
            <v>29</v>
          </cell>
          <cell r="R50">
            <v>25</v>
          </cell>
          <cell r="S50">
            <v>23</v>
          </cell>
          <cell r="T50">
            <v>27</v>
          </cell>
          <cell r="U50">
            <v>15</v>
          </cell>
          <cell r="V50">
            <v>38</v>
          </cell>
          <cell r="W50">
            <v>33</v>
          </cell>
          <cell r="X50">
            <v>33</v>
          </cell>
          <cell r="Y50">
            <v>20</v>
          </cell>
          <cell r="Z50">
            <v>26</v>
          </cell>
          <cell r="AA50">
            <v>25</v>
          </cell>
          <cell r="AB50">
            <v>19</v>
          </cell>
          <cell r="AC50">
            <v>24</v>
          </cell>
          <cell r="AD50">
            <v>17</v>
          </cell>
          <cell r="AE50">
            <v>16</v>
          </cell>
          <cell r="AF50">
            <v>29</v>
          </cell>
          <cell r="AG50">
            <v>19</v>
          </cell>
          <cell r="AH50">
            <v>15</v>
          </cell>
          <cell r="AI50">
            <v>37</v>
          </cell>
          <cell r="AJ50">
            <v>22</v>
          </cell>
          <cell r="AK50">
            <v>27</v>
          </cell>
          <cell r="AL50">
            <v>30</v>
          </cell>
          <cell r="AM50">
            <v>18</v>
          </cell>
          <cell r="AN50">
            <v>26</v>
          </cell>
          <cell r="AO50">
            <v>43</v>
          </cell>
          <cell r="AP50">
            <v>18</v>
          </cell>
          <cell r="AQ50">
            <v>30</v>
          </cell>
          <cell r="AR50">
            <v>33</v>
          </cell>
          <cell r="AS50">
            <v>24</v>
          </cell>
          <cell r="AT50">
            <v>20</v>
          </cell>
          <cell r="AU50">
            <v>33</v>
          </cell>
          <cell r="AV50">
            <v>22</v>
          </cell>
          <cell r="AW50">
            <v>23</v>
          </cell>
          <cell r="AX50">
            <v>39</v>
          </cell>
          <cell r="AY50">
            <v>32</v>
          </cell>
          <cell r="AZ50">
            <v>26</v>
          </cell>
          <cell r="BA50">
            <v>24</v>
          </cell>
          <cell r="BB50">
            <v>30</v>
          </cell>
          <cell r="BC50">
            <v>29</v>
          </cell>
          <cell r="BD50">
            <v>22</v>
          </cell>
          <cell r="BE50">
            <v>20</v>
          </cell>
          <cell r="BF50">
            <v>23</v>
          </cell>
          <cell r="BG50">
            <v>44</v>
          </cell>
          <cell r="BH50">
            <v>22</v>
          </cell>
          <cell r="BI50">
            <v>36</v>
          </cell>
          <cell r="BJ50">
            <v>43</v>
          </cell>
          <cell r="BK50">
            <v>27</v>
          </cell>
          <cell r="BL50">
            <v>27</v>
          </cell>
          <cell r="BM50">
            <v>40</v>
          </cell>
          <cell r="BN50">
            <v>33</v>
          </cell>
          <cell r="BO50">
            <v>33</v>
          </cell>
          <cell r="BP50">
            <v>38</v>
          </cell>
          <cell r="BQ50">
            <v>34</v>
          </cell>
          <cell r="BR50">
            <v>34</v>
          </cell>
          <cell r="BS50">
            <v>33</v>
          </cell>
          <cell r="BT50">
            <v>36</v>
          </cell>
          <cell r="BU50">
            <v>28</v>
          </cell>
          <cell r="BV50">
            <v>24</v>
          </cell>
          <cell r="BW50">
            <v>24</v>
          </cell>
          <cell r="BX50">
            <v>21</v>
          </cell>
          <cell r="BY50">
            <v>24</v>
          </cell>
          <cell r="BZ50">
            <v>27</v>
          </cell>
          <cell r="CA50">
            <v>19</v>
          </cell>
          <cell r="CB50">
            <v>32</v>
          </cell>
          <cell r="CC50">
            <v>28</v>
          </cell>
          <cell r="CD50">
            <v>22</v>
          </cell>
          <cell r="CE50">
            <v>31</v>
          </cell>
          <cell r="CF50">
            <v>36</v>
          </cell>
          <cell r="CG50">
            <v>26</v>
          </cell>
          <cell r="CH50">
            <v>41</v>
          </cell>
          <cell r="CI50">
            <v>38</v>
          </cell>
          <cell r="CJ50">
            <v>40</v>
          </cell>
          <cell r="CK50">
            <v>23</v>
          </cell>
          <cell r="CL50">
            <v>18</v>
          </cell>
          <cell r="CM50">
            <v>30</v>
          </cell>
          <cell r="CN50">
            <v>13</v>
          </cell>
          <cell r="CO50">
            <v>21</v>
          </cell>
          <cell r="CP50">
            <v>25</v>
          </cell>
          <cell r="CQ50">
            <v>24</v>
          </cell>
          <cell r="CR50">
            <v>59</v>
          </cell>
          <cell r="CS50">
            <v>47</v>
          </cell>
          <cell r="CT50">
            <v>32</v>
          </cell>
          <cell r="CU50">
            <v>23</v>
          </cell>
          <cell r="CV50">
            <v>22</v>
          </cell>
          <cell r="CW50">
            <v>22</v>
          </cell>
          <cell r="CX50">
            <v>39</v>
          </cell>
          <cell r="CY50">
            <v>18</v>
          </cell>
          <cell r="CZ50">
            <v>20</v>
          </cell>
          <cell r="DA50">
            <v>38</v>
          </cell>
          <cell r="DB50">
            <v>49</v>
          </cell>
          <cell r="DC50">
            <v>36</v>
          </cell>
          <cell r="DD50">
            <v>39</v>
          </cell>
          <cell r="DE50">
            <v>21</v>
          </cell>
          <cell r="DF50">
            <v>36</v>
          </cell>
          <cell r="DG50">
            <v>42</v>
          </cell>
          <cell r="DH50">
            <v>23</v>
          </cell>
          <cell r="DI50">
            <v>20</v>
          </cell>
          <cell r="DJ50">
            <v>24</v>
          </cell>
          <cell r="DK50">
            <v>22</v>
          </cell>
          <cell r="DL50">
            <v>23</v>
          </cell>
          <cell r="DM50">
            <v>28</v>
          </cell>
          <cell r="DN50">
            <v>27</v>
          </cell>
          <cell r="DO50">
            <v>18</v>
          </cell>
          <cell r="DP50">
            <v>26</v>
          </cell>
          <cell r="DQ50">
            <v>30</v>
          </cell>
          <cell r="DR50">
            <v>27</v>
          </cell>
          <cell r="DS50">
            <v>22</v>
          </cell>
          <cell r="DT50">
            <v>33</v>
          </cell>
          <cell r="DU50">
            <v>25</v>
          </cell>
          <cell r="DV50">
            <v>21</v>
          </cell>
          <cell r="DW50">
            <v>31</v>
          </cell>
          <cell r="DX50">
            <v>20</v>
          </cell>
          <cell r="DY50">
            <v>28</v>
          </cell>
          <cell r="DZ50">
            <v>23</v>
          </cell>
          <cell r="EA50">
            <v>31</v>
          </cell>
          <cell r="EB50">
            <v>18</v>
          </cell>
          <cell r="EC50">
            <v>26</v>
          </cell>
          <cell r="ED50">
            <v>11</v>
          </cell>
          <cell r="EE50">
            <v>10</v>
          </cell>
          <cell r="EF50">
            <v>43</v>
          </cell>
          <cell r="EG50">
            <v>33</v>
          </cell>
          <cell r="EH50">
            <v>19</v>
          </cell>
          <cell r="EI50">
            <v>24</v>
          </cell>
          <cell r="EJ50">
            <v>28</v>
          </cell>
          <cell r="EK50">
            <v>36</v>
          </cell>
          <cell r="EL50">
            <v>30</v>
          </cell>
          <cell r="EM50">
            <v>14</v>
          </cell>
          <cell r="EN50">
            <v>36</v>
          </cell>
          <cell r="EO50">
            <v>19</v>
          </cell>
          <cell r="EP50">
            <v>32</v>
          </cell>
          <cell r="EQ50">
            <v>32</v>
          </cell>
          <cell r="ER50">
            <v>27</v>
          </cell>
          <cell r="ES50">
            <v>38</v>
          </cell>
          <cell r="ET50">
            <v>38</v>
          </cell>
          <cell r="EU50">
            <v>30</v>
          </cell>
          <cell r="EV50">
            <v>26</v>
          </cell>
          <cell r="EW50">
            <v>36</v>
          </cell>
          <cell r="EX50">
            <v>28</v>
          </cell>
          <cell r="EY50">
            <v>32</v>
          </cell>
          <cell r="EZ50">
            <v>35</v>
          </cell>
          <cell r="FA50">
            <v>36</v>
          </cell>
          <cell r="FB50">
            <v>39</v>
          </cell>
          <cell r="FC50">
            <v>35</v>
          </cell>
          <cell r="FD50">
            <v>59</v>
          </cell>
          <cell r="FE50">
            <v>27</v>
          </cell>
          <cell r="FF50">
            <v>34</v>
          </cell>
          <cell r="FG50">
            <v>45</v>
          </cell>
          <cell r="FH50">
            <v>33</v>
          </cell>
          <cell r="FI50">
            <v>21</v>
          </cell>
          <cell r="FJ50">
            <v>20</v>
          </cell>
          <cell r="FK50">
            <v>33</v>
          </cell>
          <cell r="FL50">
            <v>25</v>
          </cell>
          <cell r="FM50">
            <v>34</v>
          </cell>
          <cell r="FN50">
            <v>43</v>
          </cell>
          <cell r="FO50">
            <v>29</v>
          </cell>
          <cell r="FP50">
            <v>29</v>
          </cell>
          <cell r="FQ50">
            <v>30</v>
          </cell>
          <cell r="FR50">
            <v>28</v>
          </cell>
          <cell r="FS50">
            <v>27</v>
          </cell>
          <cell r="FT50">
            <v>35</v>
          </cell>
          <cell r="FU50">
            <v>33</v>
          </cell>
          <cell r="FV50">
            <v>28</v>
          </cell>
          <cell r="FW50">
            <v>28</v>
          </cell>
          <cell r="FX50">
            <v>34</v>
          </cell>
          <cell r="FY50">
            <v>33</v>
          </cell>
          <cell r="FZ50">
            <v>19</v>
          </cell>
          <cell r="GA50">
            <v>35</v>
          </cell>
          <cell r="GB50">
            <v>26</v>
          </cell>
          <cell r="GC50">
            <v>15</v>
          </cell>
          <cell r="GD50">
            <v>21</v>
          </cell>
          <cell r="GE50">
            <v>21</v>
          </cell>
          <cell r="GF50">
            <v>41</v>
          </cell>
          <cell r="GG50">
            <v>30</v>
          </cell>
          <cell r="GH50">
            <v>29</v>
          </cell>
          <cell r="GI50">
            <v>29</v>
          </cell>
          <cell r="GJ50">
            <v>28</v>
          </cell>
          <cell r="GK50">
            <v>38</v>
          </cell>
          <cell r="GL50">
            <v>26</v>
          </cell>
          <cell r="GM50">
            <v>34</v>
          </cell>
          <cell r="GN50">
            <v>24</v>
          </cell>
        </row>
        <row r="51">
          <cell r="B51" t="str">
            <v>HIVID</v>
          </cell>
          <cell r="C51" t="str">
            <v>ROC</v>
          </cell>
          <cell r="D51">
            <v>21</v>
          </cell>
          <cell r="E51">
            <v>20</v>
          </cell>
          <cell r="F51">
            <v>14</v>
          </cell>
          <cell r="G51">
            <v>18</v>
          </cell>
          <cell r="H51">
            <v>21</v>
          </cell>
          <cell r="I51">
            <v>20</v>
          </cell>
          <cell r="J51">
            <v>20</v>
          </cell>
          <cell r="K51">
            <v>17</v>
          </cell>
          <cell r="L51">
            <v>28</v>
          </cell>
          <cell r="M51">
            <v>13</v>
          </cell>
          <cell r="N51">
            <v>21</v>
          </cell>
          <cell r="O51">
            <v>19</v>
          </cell>
          <cell r="P51">
            <v>18</v>
          </cell>
          <cell r="Q51">
            <v>17</v>
          </cell>
          <cell r="R51">
            <v>18</v>
          </cell>
          <cell r="S51">
            <v>18</v>
          </cell>
          <cell r="T51">
            <v>11</v>
          </cell>
          <cell r="U51">
            <v>16</v>
          </cell>
          <cell r="V51">
            <v>8</v>
          </cell>
          <cell r="W51">
            <v>19</v>
          </cell>
          <cell r="X51">
            <v>12</v>
          </cell>
          <cell r="Y51">
            <v>10</v>
          </cell>
          <cell r="Z51">
            <v>19</v>
          </cell>
          <cell r="AA51">
            <v>13</v>
          </cell>
          <cell r="AB51">
            <v>9</v>
          </cell>
          <cell r="AC51">
            <v>13</v>
          </cell>
          <cell r="AD51">
            <v>10</v>
          </cell>
          <cell r="AE51">
            <v>15</v>
          </cell>
          <cell r="AF51">
            <v>23</v>
          </cell>
          <cell r="AG51">
            <v>8</v>
          </cell>
          <cell r="AH51">
            <v>17</v>
          </cell>
          <cell r="AI51">
            <v>16</v>
          </cell>
          <cell r="AJ51">
            <v>20</v>
          </cell>
          <cell r="AK51">
            <v>22</v>
          </cell>
          <cell r="AL51">
            <v>14</v>
          </cell>
          <cell r="AM51">
            <v>17</v>
          </cell>
          <cell r="AN51">
            <v>13</v>
          </cell>
          <cell r="AO51">
            <v>5</v>
          </cell>
          <cell r="AP51">
            <v>8</v>
          </cell>
          <cell r="AQ51">
            <v>12</v>
          </cell>
          <cell r="AR51">
            <v>6</v>
          </cell>
          <cell r="AS51">
            <v>13</v>
          </cell>
          <cell r="AT51">
            <v>4</v>
          </cell>
          <cell r="AU51">
            <v>6</v>
          </cell>
          <cell r="AV51">
            <v>2</v>
          </cell>
          <cell r="AW51">
            <v>7</v>
          </cell>
          <cell r="AX51">
            <v>6</v>
          </cell>
          <cell r="AY51">
            <v>7</v>
          </cell>
          <cell r="AZ51">
            <v>9</v>
          </cell>
          <cell r="BA51">
            <v>4</v>
          </cell>
          <cell r="BB51">
            <v>6</v>
          </cell>
          <cell r="BC51">
            <v>3</v>
          </cell>
          <cell r="BD51">
            <v>4</v>
          </cell>
          <cell r="BE51">
            <v>2</v>
          </cell>
          <cell r="BF51">
            <v>1</v>
          </cell>
          <cell r="BG51">
            <v>1</v>
          </cell>
          <cell r="BH51">
            <v>1</v>
          </cell>
          <cell r="BI51">
            <v>0</v>
          </cell>
          <cell r="BJ51">
            <v>4</v>
          </cell>
          <cell r="BK51">
            <v>2</v>
          </cell>
          <cell r="BL51">
            <v>1</v>
          </cell>
          <cell r="BM51">
            <v>0</v>
          </cell>
          <cell r="BN51">
            <v>2</v>
          </cell>
          <cell r="BO51">
            <v>0</v>
          </cell>
          <cell r="BP51">
            <v>1</v>
          </cell>
          <cell r="BQ51">
            <v>2</v>
          </cell>
          <cell r="BR51">
            <v>2</v>
          </cell>
          <cell r="BS51">
            <v>0</v>
          </cell>
          <cell r="BT51">
            <v>0</v>
          </cell>
          <cell r="BU51">
            <v>1</v>
          </cell>
          <cell r="BV51">
            <v>0</v>
          </cell>
          <cell r="BW51">
            <v>1</v>
          </cell>
          <cell r="BX51">
            <v>1</v>
          </cell>
          <cell r="BY51">
            <v>0</v>
          </cell>
          <cell r="BZ51">
            <v>0</v>
          </cell>
          <cell r="CA51">
            <v>1</v>
          </cell>
          <cell r="CB51">
            <v>0</v>
          </cell>
          <cell r="CC51">
            <v>0</v>
          </cell>
          <cell r="CD51">
            <v>0</v>
          </cell>
          <cell r="CE51">
            <v>0</v>
          </cell>
          <cell r="CF51">
            <v>0</v>
          </cell>
          <cell r="CG51">
            <v>0</v>
          </cell>
          <cell r="CH51">
            <v>1</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1</v>
          </cell>
          <cell r="DC51">
            <v>0</v>
          </cell>
          <cell r="DD51">
            <v>0</v>
          </cell>
          <cell r="DE51">
            <v>1</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C51">
            <v>1</v>
          </cell>
          <cell r="FZ51">
            <v>1</v>
          </cell>
        </row>
        <row r="52">
          <cell r="B52" t="str">
            <v>INTEGRILIN</v>
          </cell>
          <cell r="C52" t="str">
            <v>SHC</v>
          </cell>
          <cell r="D52">
            <v>2</v>
          </cell>
          <cell r="E52">
            <v>0</v>
          </cell>
          <cell r="F52">
            <v>0</v>
          </cell>
          <cell r="G52">
            <v>0</v>
          </cell>
          <cell r="H52">
            <v>0</v>
          </cell>
          <cell r="I52">
            <v>0</v>
          </cell>
          <cell r="J52">
            <v>0</v>
          </cell>
          <cell r="K52">
            <v>0</v>
          </cell>
          <cell r="L52">
            <v>0</v>
          </cell>
          <cell r="M52">
            <v>0</v>
          </cell>
          <cell r="N52">
            <v>0</v>
          </cell>
          <cell r="O52">
            <v>0</v>
          </cell>
          <cell r="P52">
            <v>0</v>
          </cell>
          <cell r="Q52">
            <v>0</v>
          </cell>
          <cell r="R52">
            <v>1</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1</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1</v>
          </cell>
          <cell r="BO52">
            <v>0</v>
          </cell>
          <cell r="BP52">
            <v>0</v>
          </cell>
          <cell r="BQ52">
            <v>0</v>
          </cell>
          <cell r="BR52">
            <v>0</v>
          </cell>
          <cell r="BS52">
            <v>0</v>
          </cell>
          <cell r="BT52">
            <v>0</v>
          </cell>
          <cell r="BU52">
            <v>0</v>
          </cell>
          <cell r="BV52">
            <v>0</v>
          </cell>
          <cell r="BW52">
            <v>1</v>
          </cell>
          <cell r="BX52">
            <v>0</v>
          </cell>
          <cell r="BY52">
            <v>0</v>
          </cell>
          <cell r="BZ52">
            <v>1</v>
          </cell>
          <cell r="CA52">
            <v>1</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2</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1</v>
          </cell>
          <cell r="DV52">
            <v>0</v>
          </cell>
          <cell r="DW52">
            <v>0</v>
          </cell>
          <cell r="DX52">
            <v>0</v>
          </cell>
          <cell r="DY52">
            <v>0</v>
          </cell>
          <cell r="DZ52">
            <v>0</v>
          </cell>
          <cell r="EN52">
            <v>1</v>
          </cell>
          <cell r="GK52">
            <v>1</v>
          </cell>
        </row>
        <row r="53">
          <cell r="B53" t="str">
            <v>INVIRASE</v>
          </cell>
          <cell r="C53" t="str">
            <v>ROC</v>
          </cell>
          <cell r="D53">
            <v>459</v>
          </cell>
          <cell r="E53">
            <v>447</v>
          </cell>
          <cell r="F53">
            <v>511</v>
          </cell>
          <cell r="G53">
            <v>444</v>
          </cell>
          <cell r="H53">
            <v>450</v>
          </cell>
          <cell r="I53">
            <v>506</v>
          </cell>
          <cell r="J53">
            <v>491</v>
          </cell>
          <cell r="K53">
            <v>492</v>
          </cell>
          <cell r="L53">
            <v>456</v>
          </cell>
          <cell r="M53">
            <v>468</v>
          </cell>
          <cell r="N53">
            <v>430</v>
          </cell>
          <cell r="O53">
            <v>475</v>
          </cell>
          <cell r="P53">
            <v>438</v>
          </cell>
          <cell r="Q53">
            <v>497</v>
          </cell>
          <cell r="R53">
            <v>452</v>
          </cell>
          <cell r="S53">
            <v>402</v>
          </cell>
          <cell r="T53">
            <v>430</v>
          </cell>
          <cell r="U53">
            <v>437</v>
          </cell>
          <cell r="V53">
            <v>452</v>
          </cell>
          <cell r="W53">
            <v>408</v>
          </cell>
          <cell r="X53">
            <v>400</v>
          </cell>
          <cell r="Y53">
            <v>374</v>
          </cell>
          <cell r="Z53">
            <v>484</v>
          </cell>
          <cell r="AA53">
            <v>485</v>
          </cell>
          <cell r="AB53">
            <v>404</v>
          </cell>
          <cell r="AC53">
            <v>482</v>
          </cell>
          <cell r="AD53">
            <v>394</v>
          </cell>
          <cell r="AE53">
            <v>380</v>
          </cell>
          <cell r="AF53">
            <v>432</v>
          </cell>
          <cell r="AG53">
            <v>422</v>
          </cell>
          <cell r="AH53">
            <v>431</v>
          </cell>
          <cell r="AI53">
            <v>421</v>
          </cell>
          <cell r="AJ53">
            <v>470</v>
          </cell>
          <cell r="AK53">
            <v>435</v>
          </cell>
          <cell r="AL53">
            <v>403</v>
          </cell>
          <cell r="AM53">
            <v>474</v>
          </cell>
          <cell r="AN53">
            <v>443</v>
          </cell>
          <cell r="AO53">
            <v>454</v>
          </cell>
          <cell r="AP53">
            <v>470</v>
          </cell>
          <cell r="AQ53">
            <v>437</v>
          </cell>
          <cell r="AR53">
            <v>442</v>
          </cell>
          <cell r="AS53">
            <v>433</v>
          </cell>
          <cell r="AT53">
            <v>438</v>
          </cell>
          <cell r="AU53">
            <v>472</v>
          </cell>
          <cell r="AV53">
            <v>439</v>
          </cell>
          <cell r="AW53">
            <v>408</v>
          </cell>
          <cell r="AX53">
            <v>441</v>
          </cell>
          <cell r="AY53">
            <v>377</v>
          </cell>
          <cell r="AZ53">
            <v>331</v>
          </cell>
          <cell r="BA53">
            <v>469</v>
          </cell>
          <cell r="BB53">
            <v>409</v>
          </cell>
          <cell r="BC53">
            <v>423</v>
          </cell>
          <cell r="BD53">
            <v>412</v>
          </cell>
          <cell r="BE53">
            <v>369</v>
          </cell>
          <cell r="BF53">
            <v>433</v>
          </cell>
          <cell r="BG53">
            <v>397</v>
          </cell>
          <cell r="BH53">
            <v>429</v>
          </cell>
          <cell r="BI53">
            <v>502</v>
          </cell>
          <cell r="BJ53">
            <v>410</v>
          </cell>
          <cell r="BK53">
            <v>357</v>
          </cell>
          <cell r="BL53">
            <v>403</v>
          </cell>
          <cell r="BM53">
            <v>420</v>
          </cell>
          <cell r="BN53">
            <v>341</v>
          </cell>
          <cell r="BO53">
            <v>439</v>
          </cell>
          <cell r="BP53">
            <v>345</v>
          </cell>
          <cell r="BQ53">
            <v>460</v>
          </cell>
          <cell r="BR53">
            <v>408</v>
          </cell>
          <cell r="BS53">
            <v>369</v>
          </cell>
          <cell r="BT53">
            <v>376</v>
          </cell>
          <cell r="BU53">
            <v>415</v>
          </cell>
          <cell r="BV53">
            <v>411</v>
          </cell>
          <cell r="BW53">
            <v>421</v>
          </cell>
          <cell r="BX53">
            <v>337</v>
          </cell>
          <cell r="BY53">
            <v>335</v>
          </cell>
          <cell r="BZ53">
            <v>441</v>
          </cell>
          <cell r="CA53">
            <v>387</v>
          </cell>
          <cell r="CB53">
            <v>372</v>
          </cell>
          <cell r="CC53">
            <v>385</v>
          </cell>
          <cell r="CD53">
            <v>316</v>
          </cell>
          <cell r="CE53">
            <v>334</v>
          </cell>
          <cell r="CF53">
            <v>384</v>
          </cell>
          <cell r="CG53">
            <v>411</v>
          </cell>
          <cell r="CH53">
            <v>385</v>
          </cell>
          <cell r="CI53">
            <v>418</v>
          </cell>
          <cell r="CJ53">
            <v>379</v>
          </cell>
          <cell r="CK53">
            <v>360</v>
          </cell>
          <cell r="CL53">
            <v>368</v>
          </cell>
          <cell r="CM53">
            <v>372</v>
          </cell>
          <cell r="CN53">
            <v>378</v>
          </cell>
          <cell r="CO53">
            <v>394</v>
          </cell>
          <cell r="CP53">
            <v>336</v>
          </cell>
          <cell r="CQ53">
            <v>371</v>
          </cell>
          <cell r="CR53">
            <v>378</v>
          </cell>
          <cell r="CS53">
            <v>384</v>
          </cell>
          <cell r="CT53">
            <v>331</v>
          </cell>
          <cell r="CU53">
            <v>323</v>
          </cell>
          <cell r="CV53">
            <v>309</v>
          </cell>
          <cell r="CW53">
            <v>314</v>
          </cell>
          <cell r="CX53">
            <v>331</v>
          </cell>
          <cell r="CY53">
            <v>339</v>
          </cell>
          <cell r="CZ53">
            <v>299</v>
          </cell>
          <cell r="DA53">
            <v>383</v>
          </cell>
          <cell r="DB53">
            <v>274</v>
          </cell>
          <cell r="DC53">
            <v>307</v>
          </cell>
          <cell r="DD53">
            <v>286</v>
          </cell>
          <cell r="DE53">
            <v>310</v>
          </cell>
          <cell r="DF53">
            <v>296</v>
          </cell>
          <cell r="DG53">
            <v>328</v>
          </cell>
          <cell r="DH53">
            <v>271</v>
          </cell>
          <cell r="DI53">
            <v>330</v>
          </cell>
          <cell r="DJ53">
            <v>290</v>
          </cell>
          <cell r="DK53">
            <v>291</v>
          </cell>
          <cell r="DL53">
            <v>278</v>
          </cell>
          <cell r="DM53">
            <v>269</v>
          </cell>
          <cell r="DN53">
            <v>265</v>
          </cell>
          <cell r="DO53">
            <v>326</v>
          </cell>
          <cell r="DP53">
            <v>290</v>
          </cell>
          <cell r="DQ53">
            <v>350</v>
          </cell>
          <cell r="DR53">
            <v>344</v>
          </cell>
          <cell r="DS53">
            <v>302</v>
          </cell>
          <cell r="DT53">
            <v>317</v>
          </cell>
          <cell r="DU53">
            <v>305</v>
          </cell>
          <cell r="DV53">
            <v>309</v>
          </cell>
          <cell r="DW53">
            <v>302</v>
          </cell>
          <cell r="DX53">
            <v>275</v>
          </cell>
          <cell r="DY53">
            <v>261</v>
          </cell>
          <cell r="DZ53">
            <v>241</v>
          </cell>
          <cell r="EA53">
            <v>361</v>
          </cell>
          <cell r="EB53">
            <v>285</v>
          </cell>
          <cell r="EC53">
            <v>286</v>
          </cell>
          <cell r="ED53">
            <v>227</v>
          </cell>
          <cell r="EE53">
            <v>273</v>
          </cell>
          <cell r="EF53">
            <v>315</v>
          </cell>
          <cell r="EG53">
            <v>323</v>
          </cell>
          <cell r="EH53">
            <v>265</v>
          </cell>
          <cell r="EI53">
            <v>326</v>
          </cell>
          <cell r="EJ53">
            <v>327</v>
          </cell>
          <cell r="EK53">
            <v>329</v>
          </cell>
          <cell r="EL53">
            <v>309</v>
          </cell>
          <cell r="EM53">
            <v>329</v>
          </cell>
          <cell r="EN53">
            <v>306</v>
          </cell>
          <cell r="EO53">
            <v>302</v>
          </cell>
          <cell r="EP53">
            <v>262</v>
          </cell>
          <cell r="EQ53">
            <v>260</v>
          </cell>
          <cell r="ER53">
            <v>320</v>
          </cell>
          <cell r="ES53">
            <v>227</v>
          </cell>
          <cell r="ET53">
            <v>268</v>
          </cell>
          <cell r="EU53">
            <v>236</v>
          </cell>
          <cell r="EV53">
            <v>272</v>
          </cell>
          <cell r="EW53">
            <v>315</v>
          </cell>
          <cell r="EX53">
            <v>298</v>
          </cell>
          <cell r="EY53">
            <v>259</v>
          </cell>
          <cell r="EZ53">
            <v>230</v>
          </cell>
          <cell r="FA53">
            <v>273</v>
          </cell>
          <cell r="FB53">
            <v>253</v>
          </cell>
          <cell r="FC53">
            <v>288</v>
          </cell>
          <cell r="FD53">
            <v>267</v>
          </cell>
          <cell r="FE53">
            <v>266</v>
          </cell>
          <cell r="FF53">
            <v>232</v>
          </cell>
          <cell r="FG53">
            <v>224</v>
          </cell>
          <cell r="FH53">
            <v>196</v>
          </cell>
          <cell r="FI53">
            <v>277</v>
          </cell>
          <cell r="FJ53">
            <v>278</v>
          </cell>
          <cell r="FK53">
            <v>267</v>
          </cell>
          <cell r="FL53">
            <v>262</v>
          </cell>
          <cell r="FM53">
            <v>239</v>
          </cell>
          <cell r="FN53">
            <v>249</v>
          </cell>
          <cell r="FO53">
            <v>245</v>
          </cell>
          <cell r="FP53">
            <v>245</v>
          </cell>
          <cell r="FQ53">
            <v>259</v>
          </cell>
          <cell r="FR53">
            <v>270</v>
          </cell>
          <cell r="FS53">
            <v>249</v>
          </cell>
          <cell r="FT53">
            <v>235</v>
          </cell>
          <cell r="FU53">
            <v>256</v>
          </cell>
          <cell r="FV53">
            <v>260</v>
          </cell>
          <cell r="FW53">
            <v>239</v>
          </cell>
          <cell r="FX53">
            <v>258</v>
          </cell>
          <cell r="FY53">
            <v>234</v>
          </cell>
          <cell r="FZ53">
            <v>205</v>
          </cell>
          <cell r="GA53">
            <v>277</v>
          </cell>
          <cell r="GB53">
            <v>301</v>
          </cell>
          <cell r="GC53">
            <v>255</v>
          </cell>
          <cell r="GD53">
            <v>224</v>
          </cell>
          <cell r="GE53">
            <v>221</v>
          </cell>
          <cell r="GF53">
            <v>291</v>
          </cell>
          <cell r="GG53">
            <v>310</v>
          </cell>
          <cell r="GH53">
            <v>247</v>
          </cell>
          <cell r="GI53">
            <v>274</v>
          </cell>
          <cell r="GJ53">
            <v>259</v>
          </cell>
          <cell r="GK53">
            <v>207</v>
          </cell>
          <cell r="GL53">
            <v>278</v>
          </cell>
          <cell r="GM53">
            <v>239</v>
          </cell>
          <cell r="GN53">
            <v>277</v>
          </cell>
        </row>
        <row r="54">
          <cell r="B54" t="str">
            <v>KALETRA</v>
          </cell>
          <cell r="C54" t="str">
            <v>ABT</v>
          </cell>
          <cell r="D54">
            <v>4304</v>
          </cell>
          <cell r="E54">
            <v>3825</v>
          </cell>
          <cell r="F54">
            <v>4370</v>
          </cell>
          <cell r="G54">
            <v>4097</v>
          </cell>
          <cell r="H54">
            <v>4072</v>
          </cell>
          <cell r="I54">
            <v>4287</v>
          </cell>
          <cell r="J54">
            <v>4364</v>
          </cell>
          <cell r="K54">
            <v>4178</v>
          </cell>
          <cell r="L54">
            <v>4117</v>
          </cell>
          <cell r="M54">
            <v>4322</v>
          </cell>
          <cell r="N54">
            <v>3815</v>
          </cell>
          <cell r="O54">
            <v>4120</v>
          </cell>
          <cell r="P54">
            <v>4151</v>
          </cell>
          <cell r="Q54">
            <v>4233</v>
          </cell>
          <cell r="R54">
            <v>4412</v>
          </cell>
          <cell r="S54">
            <v>4241</v>
          </cell>
          <cell r="T54">
            <v>4061</v>
          </cell>
          <cell r="U54">
            <v>4367</v>
          </cell>
          <cell r="V54">
            <v>4530</v>
          </cell>
          <cell r="W54">
            <v>3923</v>
          </cell>
          <cell r="X54">
            <v>3770</v>
          </cell>
          <cell r="Y54">
            <v>3217</v>
          </cell>
          <cell r="Z54">
            <v>4157</v>
          </cell>
          <cell r="AA54">
            <v>4084</v>
          </cell>
          <cell r="AB54">
            <v>4150</v>
          </cell>
          <cell r="AC54">
            <v>4386</v>
          </cell>
          <cell r="AD54">
            <v>3516</v>
          </cell>
          <cell r="AE54">
            <v>3874</v>
          </cell>
          <cell r="AF54">
            <v>4560</v>
          </cell>
          <cell r="AG54">
            <v>4163</v>
          </cell>
          <cell r="AH54">
            <v>4382</v>
          </cell>
          <cell r="AI54">
            <v>4536</v>
          </cell>
          <cell r="AJ54">
            <v>4506</v>
          </cell>
          <cell r="AK54">
            <v>4293</v>
          </cell>
          <cell r="AL54">
            <v>4056</v>
          </cell>
          <cell r="AM54">
            <v>4574</v>
          </cell>
          <cell r="AN54">
            <v>4522</v>
          </cell>
          <cell r="AO54">
            <v>4235</v>
          </cell>
          <cell r="AP54">
            <v>4213</v>
          </cell>
          <cell r="AQ54">
            <v>4224</v>
          </cell>
          <cell r="AR54">
            <v>4510</v>
          </cell>
          <cell r="AS54">
            <v>4390</v>
          </cell>
          <cell r="AT54">
            <v>3998</v>
          </cell>
          <cell r="AU54">
            <v>4035</v>
          </cell>
          <cell r="AV54">
            <v>4317</v>
          </cell>
          <cell r="AW54">
            <v>4156</v>
          </cell>
          <cell r="AX54">
            <v>4105</v>
          </cell>
          <cell r="AY54">
            <v>4235</v>
          </cell>
          <cell r="AZ54">
            <v>3892</v>
          </cell>
          <cell r="BA54">
            <v>4290</v>
          </cell>
          <cell r="BB54">
            <v>4135</v>
          </cell>
          <cell r="BC54">
            <v>3979</v>
          </cell>
          <cell r="BD54">
            <v>4177</v>
          </cell>
          <cell r="BE54">
            <v>3734</v>
          </cell>
          <cell r="BF54">
            <v>4239</v>
          </cell>
          <cell r="BG54">
            <v>4071</v>
          </cell>
          <cell r="BH54">
            <v>3936</v>
          </cell>
          <cell r="BI54">
            <v>4372</v>
          </cell>
          <cell r="BJ54">
            <v>4106</v>
          </cell>
          <cell r="BK54">
            <v>3964</v>
          </cell>
          <cell r="BL54">
            <v>3985</v>
          </cell>
          <cell r="BM54">
            <v>4120</v>
          </cell>
          <cell r="BN54">
            <v>3794</v>
          </cell>
          <cell r="BO54">
            <v>4340</v>
          </cell>
          <cell r="BP54">
            <v>4191</v>
          </cell>
          <cell r="BQ54">
            <v>4176</v>
          </cell>
          <cell r="BR54">
            <v>4202</v>
          </cell>
          <cell r="BS54">
            <v>4138</v>
          </cell>
          <cell r="BT54">
            <v>4222</v>
          </cell>
          <cell r="BU54">
            <v>4014</v>
          </cell>
          <cell r="BV54">
            <v>4113</v>
          </cell>
          <cell r="BW54">
            <v>4117</v>
          </cell>
          <cell r="BX54">
            <v>4124</v>
          </cell>
          <cell r="BY54">
            <v>3518</v>
          </cell>
          <cell r="BZ54">
            <v>4348</v>
          </cell>
          <cell r="CA54">
            <v>4222</v>
          </cell>
          <cell r="CB54">
            <v>4054</v>
          </cell>
          <cell r="CC54">
            <v>4462</v>
          </cell>
          <cell r="CD54">
            <v>3305</v>
          </cell>
          <cell r="CE54">
            <v>3645</v>
          </cell>
          <cell r="CF54">
            <v>4278</v>
          </cell>
          <cell r="CG54">
            <v>4452</v>
          </cell>
          <cell r="CH54">
            <v>4070</v>
          </cell>
          <cell r="CI54">
            <v>4399</v>
          </cell>
          <cell r="CJ54">
            <v>4178</v>
          </cell>
          <cell r="CK54">
            <v>4273</v>
          </cell>
          <cell r="CL54">
            <v>4094</v>
          </cell>
          <cell r="CM54">
            <v>4374</v>
          </cell>
          <cell r="CN54">
            <v>4556</v>
          </cell>
          <cell r="CO54">
            <v>4257</v>
          </cell>
          <cell r="CP54">
            <v>4189</v>
          </cell>
          <cell r="CQ54">
            <v>3906</v>
          </cell>
          <cell r="CR54">
            <v>4289</v>
          </cell>
          <cell r="CS54">
            <v>4259</v>
          </cell>
          <cell r="CT54">
            <v>4093</v>
          </cell>
          <cell r="CU54">
            <v>3930</v>
          </cell>
          <cell r="CV54">
            <v>4177</v>
          </cell>
          <cell r="CW54">
            <v>4066</v>
          </cell>
          <cell r="CX54">
            <v>4053</v>
          </cell>
          <cell r="CY54">
            <v>4022</v>
          </cell>
          <cell r="CZ54">
            <v>3576</v>
          </cell>
          <cell r="DA54">
            <v>4244</v>
          </cell>
          <cell r="DB54">
            <v>3970</v>
          </cell>
          <cell r="DC54">
            <v>3833</v>
          </cell>
          <cell r="DD54">
            <v>3934</v>
          </cell>
          <cell r="DE54">
            <v>3437</v>
          </cell>
          <cell r="DF54">
            <v>4090</v>
          </cell>
          <cell r="DG54">
            <v>4070</v>
          </cell>
          <cell r="DH54">
            <v>4013</v>
          </cell>
          <cell r="DI54">
            <v>4069</v>
          </cell>
          <cell r="DJ54">
            <v>4017</v>
          </cell>
          <cell r="DK54">
            <v>4094</v>
          </cell>
          <cell r="DL54">
            <v>4183</v>
          </cell>
          <cell r="DM54">
            <v>3888</v>
          </cell>
          <cell r="DN54">
            <v>3763</v>
          </cell>
          <cell r="DO54">
            <v>4239</v>
          </cell>
          <cell r="DP54">
            <v>4119</v>
          </cell>
          <cell r="DQ54">
            <v>4204</v>
          </cell>
          <cell r="DR54">
            <v>4263</v>
          </cell>
          <cell r="DS54">
            <v>3996</v>
          </cell>
          <cell r="DT54">
            <v>3902</v>
          </cell>
          <cell r="DU54">
            <v>4177</v>
          </cell>
          <cell r="DV54">
            <v>3903</v>
          </cell>
          <cell r="DW54">
            <v>4044</v>
          </cell>
          <cell r="DX54">
            <v>3960</v>
          </cell>
          <cell r="DY54">
            <v>4014</v>
          </cell>
          <cell r="DZ54">
            <v>3302</v>
          </cell>
          <cell r="EA54">
            <v>4240</v>
          </cell>
          <cell r="EB54">
            <v>4044</v>
          </cell>
          <cell r="EC54">
            <v>4122</v>
          </cell>
          <cell r="ED54">
            <v>3072</v>
          </cell>
          <cell r="EE54">
            <v>3480</v>
          </cell>
          <cell r="EF54">
            <v>4186</v>
          </cell>
          <cell r="EG54">
            <v>4318</v>
          </cell>
          <cell r="EH54">
            <v>3839</v>
          </cell>
          <cell r="EI54">
            <v>3950</v>
          </cell>
          <cell r="EJ54">
            <v>4064</v>
          </cell>
          <cell r="EK54">
            <v>3906</v>
          </cell>
          <cell r="EL54">
            <v>3787</v>
          </cell>
          <cell r="EM54">
            <v>4123</v>
          </cell>
          <cell r="EN54">
            <v>4117</v>
          </cell>
          <cell r="EO54">
            <v>3835</v>
          </cell>
          <cell r="EP54">
            <v>3975</v>
          </cell>
          <cell r="EQ54">
            <v>3816</v>
          </cell>
          <cell r="ER54">
            <v>3889</v>
          </cell>
          <cell r="ES54">
            <v>3958</v>
          </cell>
          <cell r="ET54">
            <v>3705</v>
          </cell>
          <cell r="EU54">
            <v>3798</v>
          </cell>
          <cell r="EV54">
            <v>3963</v>
          </cell>
          <cell r="EW54">
            <v>4056</v>
          </cell>
          <cell r="EX54">
            <v>3837</v>
          </cell>
          <cell r="EY54">
            <v>3757</v>
          </cell>
          <cell r="EZ54">
            <v>3556</v>
          </cell>
          <cell r="FA54">
            <v>3949</v>
          </cell>
          <cell r="FB54">
            <v>3888</v>
          </cell>
          <cell r="FC54">
            <v>3797</v>
          </cell>
          <cell r="FD54">
            <v>3815</v>
          </cell>
          <cell r="FE54">
            <v>3825</v>
          </cell>
          <cell r="FF54">
            <v>3367</v>
          </cell>
          <cell r="FG54">
            <v>3400</v>
          </cell>
          <cell r="FH54">
            <v>3239</v>
          </cell>
          <cell r="FI54">
            <v>3563</v>
          </cell>
          <cell r="FJ54">
            <v>3802</v>
          </cell>
          <cell r="FK54">
            <v>3821</v>
          </cell>
          <cell r="FL54">
            <v>3600</v>
          </cell>
          <cell r="FM54">
            <v>3719</v>
          </cell>
          <cell r="FN54">
            <v>3769</v>
          </cell>
          <cell r="FO54">
            <v>3157</v>
          </cell>
          <cell r="FP54">
            <v>3760</v>
          </cell>
          <cell r="FQ54">
            <v>3643</v>
          </cell>
          <cell r="FR54">
            <v>3777</v>
          </cell>
          <cell r="FS54">
            <v>3778</v>
          </cell>
          <cell r="FT54">
            <v>3658</v>
          </cell>
          <cell r="FU54">
            <v>3685</v>
          </cell>
          <cell r="FV54">
            <v>3581</v>
          </cell>
          <cell r="FW54">
            <v>3736</v>
          </cell>
          <cell r="FX54">
            <v>3728</v>
          </cell>
          <cell r="FY54">
            <v>3366</v>
          </cell>
          <cell r="FZ54">
            <v>3188</v>
          </cell>
          <cell r="GA54">
            <v>3780</v>
          </cell>
          <cell r="GB54">
            <v>3738</v>
          </cell>
          <cell r="GC54">
            <v>3512</v>
          </cell>
          <cell r="GD54">
            <v>2982</v>
          </cell>
          <cell r="GE54">
            <v>3293</v>
          </cell>
          <cell r="GF54">
            <v>3808</v>
          </cell>
          <cell r="GG54">
            <v>3802</v>
          </cell>
          <cell r="GH54">
            <v>3431</v>
          </cell>
          <cell r="GI54">
            <v>3691</v>
          </cell>
          <cell r="GJ54">
            <v>3968</v>
          </cell>
          <cell r="GK54">
            <v>3400</v>
          </cell>
          <cell r="GL54">
            <v>3565</v>
          </cell>
          <cell r="GM54">
            <v>3557</v>
          </cell>
          <cell r="GN54">
            <v>3620</v>
          </cell>
        </row>
        <row r="55">
          <cell r="B55" t="str">
            <v>KEPIVANCE</v>
          </cell>
          <cell r="C55" t="str">
            <v>AAI</v>
          </cell>
          <cell r="D55">
            <v>0</v>
          </cell>
          <cell r="E55">
            <v>0</v>
          </cell>
          <cell r="F55">
            <v>0</v>
          </cell>
          <cell r="G55">
            <v>0</v>
          </cell>
          <cell r="H55">
            <v>0</v>
          </cell>
          <cell r="I55">
            <v>2</v>
          </cell>
          <cell r="J55">
            <v>3</v>
          </cell>
          <cell r="K55">
            <v>2</v>
          </cell>
          <cell r="L55">
            <v>0</v>
          </cell>
          <cell r="M55">
            <v>0</v>
          </cell>
          <cell r="N55">
            <v>0</v>
          </cell>
          <cell r="O55">
            <v>2</v>
          </cell>
          <cell r="P55">
            <v>1</v>
          </cell>
          <cell r="Q55">
            <v>0</v>
          </cell>
          <cell r="R55">
            <v>1</v>
          </cell>
          <cell r="S55">
            <v>1</v>
          </cell>
          <cell r="T55">
            <v>0</v>
          </cell>
          <cell r="U55">
            <v>0</v>
          </cell>
          <cell r="V55">
            <v>0</v>
          </cell>
          <cell r="W55">
            <v>0</v>
          </cell>
          <cell r="X55">
            <v>0</v>
          </cell>
          <cell r="Y55">
            <v>1</v>
          </cell>
          <cell r="Z55">
            <v>2</v>
          </cell>
          <cell r="AA55">
            <v>0</v>
          </cell>
          <cell r="AB55">
            <v>0</v>
          </cell>
          <cell r="AC55">
            <v>0</v>
          </cell>
          <cell r="AD55">
            <v>0</v>
          </cell>
          <cell r="AE55">
            <v>0</v>
          </cell>
          <cell r="AF55">
            <v>0</v>
          </cell>
          <cell r="AG55">
            <v>0</v>
          </cell>
          <cell r="AH55">
            <v>0</v>
          </cell>
          <cell r="AI55">
            <v>0</v>
          </cell>
          <cell r="AJ55">
            <v>0</v>
          </cell>
          <cell r="AK55">
            <v>0</v>
          </cell>
          <cell r="AL55">
            <v>1</v>
          </cell>
          <cell r="AM55">
            <v>0</v>
          </cell>
          <cell r="AN55">
            <v>0</v>
          </cell>
          <cell r="AO55">
            <v>0</v>
          </cell>
          <cell r="AP55">
            <v>0</v>
          </cell>
          <cell r="AQ55">
            <v>0</v>
          </cell>
          <cell r="AR55">
            <v>0</v>
          </cell>
          <cell r="AS55">
            <v>0</v>
          </cell>
          <cell r="AT55">
            <v>0</v>
          </cell>
          <cell r="AU55">
            <v>1</v>
          </cell>
          <cell r="AV55">
            <v>0</v>
          </cell>
          <cell r="AW55">
            <v>0</v>
          </cell>
          <cell r="AX55">
            <v>0</v>
          </cell>
          <cell r="AY55">
            <v>0</v>
          </cell>
          <cell r="AZ55">
            <v>0</v>
          </cell>
          <cell r="BA55">
            <v>0</v>
          </cell>
          <cell r="BB55">
            <v>1</v>
          </cell>
          <cell r="BC55">
            <v>1</v>
          </cell>
          <cell r="BD55">
            <v>0</v>
          </cell>
          <cell r="BE55">
            <v>1</v>
          </cell>
          <cell r="BF55">
            <v>0</v>
          </cell>
          <cell r="BG55">
            <v>0</v>
          </cell>
          <cell r="BH55">
            <v>0</v>
          </cell>
          <cell r="BI55">
            <v>0</v>
          </cell>
          <cell r="BJ55">
            <v>1</v>
          </cell>
          <cell r="BK55">
            <v>1</v>
          </cell>
          <cell r="BL55">
            <v>0</v>
          </cell>
          <cell r="BM55">
            <v>0</v>
          </cell>
          <cell r="BN55">
            <v>0</v>
          </cell>
          <cell r="BO55">
            <v>0</v>
          </cell>
          <cell r="BP55">
            <v>2</v>
          </cell>
          <cell r="BQ55">
            <v>0</v>
          </cell>
          <cell r="BR55">
            <v>0</v>
          </cell>
          <cell r="BS55">
            <v>0</v>
          </cell>
          <cell r="BT55">
            <v>2</v>
          </cell>
          <cell r="BU55">
            <v>0</v>
          </cell>
          <cell r="BV55">
            <v>0</v>
          </cell>
          <cell r="BW55">
            <v>0</v>
          </cell>
          <cell r="BX55">
            <v>0</v>
          </cell>
          <cell r="BY55">
            <v>0</v>
          </cell>
          <cell r="BZ55">
            <v>0</v>
          </cell>
          <cell r="CA55">
            <v>0</v>
          </cell>
          <cell r="CB55">
            <v>0</v>
          </cell>
          <cell r="CC55">
            <v>0</v>
          </cell>
          <cell r="CD55">
            <v>0</v>
          </cell>
          <cell r="CE55">
            <v>1</v>
          </cell>
          <cell r="CF55">
            <v>0</v>
          </cell>
          <cell r="CG55">
            <v>0</v>
          </cell>
          <cell r="CH55">
            <v>0</v>
          </cell>
          <cell r="CI55">
            <v>1</v>
          </cell>
          <cell r="CJ55">
            <v>0</v>
          </cell>
          <cell r="CK55">
            <v>0</v>
          </cell>
          <cell r="CL55">
            <v>0</v>
          </cell>
          <cell r="CM55">
            <v>0</v>
          </cell>
          <cell r="CN55">
            <v>0</v>
          </cell>
          <cell r="CO55">
            <v>0</v>
          </cell>
          <cell r="CP55">
            <v>0</v>
          </cell>
          <cell r="CQ55">
            <v>0</v>
          </cell>
          <cell r="CR55">
            <v>0</v>
          </cell>
          <cell r="CS55">
            <v>0</v>
          </cell>
          <cell r="CT55">
            <v>0</v>
          </cell>
          <cell r="CU55">
            <v>1</v>
          </cell>
          <cell r="CV55">
            <v>0</v>
          </cell>
          <cell r="CW55">
            <v>0</v>
          </cell>
          <cell r="CX55">
            <v>0</v>
          </cell>
          <cell r="CY55">
            <v>0</v>
          </cell>
          <cell r="CZ55">
            <v>0</v>
          </cell>
          <cell r="DA55">
            <v>0</v>
          </cell>
          <cell r="DB55">
            <v>0</v>
          </cell>
          <cell r="DC55">
            <v>0</v>
          </cell>
          <cell r="DD55">
            <v>0</v>
          </cell>
          <cell r="DE55">
            <v>0</v>
          </cell>
          <cell r="DF55">
            <v>1</v>
          </cell>
          <cell r="DG55">
            <v>0</v>
          </cell>
          <cell r="DH55">
            <v>0</v>
          </cell>
          <cell r="DI55">
            <v>0</v>
          </cell>
          <cell r="DJ55">
            <v>0</v>
          </cell>
          <cell r="DK55">
            <v>0</v>
          </cell>
          <cell r="DL55">
            <v>0</v>
          </cell>
          <cell r="DM55">
            <v>0</v>
          </cell>
          <cell r="DN55">
            <v>0</v>
          </cell>
          <cell r="DO55">
            <v>0</v>
          </cell>
          <cell r="DP55">
            <v>0</v>
          </cell>
          <cell r="DQ55">
            <v>0</v>
          </cell>
          <cell r="DR55">
            <v>0</v>
          </cell>
          <cell r="DS55">
            <v>0</v>
          </cell>
          <cell r="DT55">
            <v>0</v>
          </cell>
          <cell r="DU55">
            <v>0</v>
          </cell>
          <cell r="DV55">
            <v>0</v>
          </cell>
          <cell r="DW55">
            <v>0</v>
          </cell>
          <cell r="DX55">
            <v>0</v>
          </cell>
          <cell r="DY55">
            <v>0</v>
          </cell>
          <cell r="DZ55">
            <v>0</v>
          </cell>
          <cell r="FE55">
            <v>1203</v>
          </cell>
          <cell r="FF55">
            <v>1073</v>
          </cell>
          <cell r="FG55">
            <v>1137</v>
          </cell>
          <cell r="FH55">
            <v>1093</v>
          </cell>
          <cell r="FI55">
            <v>1206</v>
          </cell>
          <cell r="FJ55">
            <v>1</v>
          </cell>
          <cell r="FN55">
            <v>1</v>
          </cell>
          <cell r="FQ55">
            <v>1</v>
          </cell>
        </row>
        <row r="56">
          <cell r="B56" t="str">
            <v>LEXIVA</v>
          </cell>
          <cell r="C56" t="str">
            <v>GSK</v>
          </cell>
          <cell r="D56">
            <v>1276</v>
          </cell>
          <cell r="E56">
            <v>1169</v>
          </cell>
          <cell r="F56">
            <v>1186</v>
          </cell>
          <cell r="G56">
            <v>1217</v>
          </cell>
          <cell r="H56">
            <v>1239</v>
          </cell>
          <cell r="I56">
            <v>1250</v>
          </cell>
          <cell r="J56">
            <v>1278</v>
          </cell>
          <cell r="K56">
            <v>1243</v>
          </cell>
          <cell r="L56">
            <v>1243</v>
          </cell>
          <cell r="M56">
            <v>1263</v>
          </cell>
          <cell r="N56">
            <v>1197</v>
          </cell>
          <cell r="O56">
            <v>1305</v>
          </cell>
          <cell r="P56">
            <v>1186</v>
          </cell>
          <cell r="Q56">
            <v>1212</v>
          </cell>
          <cell r="R56">
            <v>1233</v>
          </cell>
          <cell r="S56">
            <v>1329</v>
          </cell>
          <cell r="T56">
            <v>1194</v>
          </cell>
          <cell r="U56">
            <v>1251</v>
          </cell>
          <cell r="V56">
            <v>1207</v>
          </cell>
          <cell r="W56">
            <v>1197</v>
          </cell>
          <cell r="X56">
            <v>1189</v>
          </cell>
          <cell r="Y56">
            <v>1080</v>
          </cell>
          <cell r="Z56">
            <v>1281</v>
          </cell>
          <cell r="AA56">
            <v>1244</v>
          </cell>
          <cell r="AB56">
            <v>1324</v>
          </cell>
          <cell r="AC56">
            <v>1312</v>
          </cell>
          <cell r="AD56">
            <v>1018</v>
          </cell>
          <cell r="AE56">
            <v>1124</v>
          </cell>
          <cell r="AF56">
            <v>1318</v>
          </cell>
          <cell r="AG56">
            <v>1204</v>
          </cell>
          <cell r="AH56">
            <v>1329</v>
          </cell>
          <cell r="AI56">
            <v>1269</v>
          </cell>
          <cell r="AJ56">
            <v>1236</v>
          </cell>
          <cell r="AK56">
            <v>1198</v>
          </cell>
          <cell r="AL56">
            <v>1264</v>
          </cell>
          <cell r="AM56">
            <v>1316</v>
          </cell>
          <cell r="AN56">
            <v>1297</v>
          </cell>
          <cell r="AO56">
            <v>1309</v>
          </cell>
          <cell r="AP56">
            <v>1256</v>
          </cell>
          <cell r="AQ56">
            <v>1204</v>
          </cell>
          <cell r="AR56">
            <v>1279</v>
          </cell>
          <cell r="AS56">
            <v>1240</v>
          </cell>
          <cell r="AT56">
            <v>1200</v>
          </cell>
          <cell r="AU56">
            <v>1229</v>
          </cell>
          <cell r="AV56">
            <v>1202</v>
          </cell>
          <cell r="AW56">
            <v>1208</v>
          </cell>
          <cell r="AX56">
            <v>1193</v>
          </cell>
          <cell r="AY56">
            <v>1290</v>
          </cell>
          <cell r="AZ56">
            <v>1217</v>
          </cell>
          <cell r="BA56">
            <v>1345</v>
          </cell>
          <cell r="BB56">
            <v>1290</v>
          </cell>
          <cell r="BC56">
            <v>1261</v>
          </cell>
          <cell r="BD56">
            <v>1351</v>
          </cell>
          <cell r="BE56">
            <v>1136</v>
          </cell>
          <cell r="BF56">
            <v>1294</v>
          </cell>
          <cell r="BG56">
            <v>1256</v>
          </cell>
          <cell r="BH56">
            <v>1198</v>
          </cell>
          <cell r="BI56">
            <v>1299</v>
          </cell>
          <cell r="BJ56">
            <v>1220</v>
          </cell>
          <cell r="BK56">
            <v>1192</v>
          </cell>
          <cell r="BL56">
            <v>1181</v>
          </cell>
          <cell r="BM56">
            <v>1193</v>
          </cell>
          <cell r="BN56">
            <v>1020</v>
          </cell>
          <cell r="BO56">
            <v>1239</v>
          </cell>
          <cell r="BP56">
            <v>1300</v>
          </cell>
          <cell r="BQ56">
            <v>1270</v>
          </cell>
          <cell r="BR56">
            <v>1382</v>
          </cell>
          <cell r="BS56">
            <v>1282</v>
          </cell>
          <cell r="BT56">
            <v>1257</v>
          </cell>
          <cell r="BU56">
            <v>1211</v>
          </cell>
          <cell r="BV56">
            <v>1297</v>
          </cell>
          <cell r="BW56">
            <v>1318</v>
          </cell>
          <cell r="BX56">
            <v>1244</v>
          </cell>
          <cell r="BY56">
            <v>1044</v>
          </cell>
          <cell r="BZ56">
            <v>1243</v>
          </cell>
          <cell r="CA56">
            <v>1335</v>
          </cell>
          <cell r="CB56">
            <v>1257</v>
          </cell>
          <cell r="CC56">
            <v>1333</v>
          </cell>
          <cell r="CD56">
            <v>1065</v>
          </cell>
          <cell r="CE56">
            <v>1071</v>
          </cell>
          <cell r="CF56">
            <v>1446</v>
          </cell>
          <cell r="CG56">
            <v>1395</v>
          </cell>
          <cell r="CH56">
            <v>1364</v>
          </cell>
          <cell r="CI56">
            <v>1266</v>
          </cell>
          <cell r="CJ56">
            <v>1404</v>
          </cell>
          <cell r="CK56">
            <v>1384</v>
          </cell>
          <cell r="CL56">
            <v>1206</v>
          </cell>
          <cell r="CM56">
            <v>1431</v>
          </cell>
          <cell r="CN56">
            <v>1491</v>
          </cell>
          <cell r="CO56">
            <v>1410</v>
          </cell>
          <cell r="CP56">
            <v>1227</v>
          </cell>
          <cell r="CQ56">
            <v>1277</v>
          </cell>
          <cell r="CR56">
            <v>1417</v>
          </cell>
          <cell r="CS56">
            <v>1390</v>
          </cell>
          <cell r="CT56">
            <v>1300</v>
          </cell>
          <cell r="CU56">
            <v>1336</v>
          </cell>
          <cell r="CV56">
            <v>1232</v>
          </cell>
          <cell r="CW56">
            <v>1301</v>
          </cell>
          <cell r="CX56">
            <v>1262</v>
          </cell>
          <cell r="CY56">
            <v>1357</v>
          </cell>
          <cell r="CZ56">
            <v>1196</v>
          </cell>
          <cell r="DA56">
            <v>1360</v>
          </cell>
          <cell r="DB56">
            <v>1231</v>
          </cell>
          <cell r="DC56">
            <v>1313</v>
          </cell>
          <cell r="DD56">
            <v>1247</v>
          </cell>
          <cell r="DE56">
            <v>1139</v>
          </cell>
          <cell r="DF56">
            <v>1266</v>
          </cell>
          <cell r="DG56">
            <v>1273</v>
          </cell>
          <cell r="DH56">
            <v>1317</v>
          </cell>
          <cell r="DI56">
            <v>1255</v>
          </cell>
          <cell r="DJ56">
            <v>1240</v>
          </cell>
          <cell r="DK56">
            <v>1344</v>
          </cell>
          <cell r="DL56">
            <v>1239</v>
          </cell>
          <cell r="DM56">
            <v>1319</v>
          </cell>
          <cell r="DN56">
            <v>1188</v>
          </cell>
          <cell r="DO56">
            <v>1377</v>
          </cell>
          <cell r="DP56">
            <v>1382</v>
          </cell>
          <cell r="DQ56">
            <v>1483</v>
          </cell>
          <cell r="DR56">
            <v>1421</v>
          </cell>
          <cell r="DS56">
            <v>1470</v>
          </cell>
          <cell r="DT56">
            <v>1367</v>
          </cell>
          <cell r="DU56">
            <v>1380</v>
          </cell>
          <cell r="DV56">
            <v>1333</v>
          </cell>
          <cell r="DW56">
            <v>1300</v>
          </cell>
          <cell r="DX56">
            <v>1341</v>
          </cell>
          <cell r="DY56">
            <v>1391</v>
          </cell>
          <cell r="DZ56">
            <v>1019</v>
          </cell>
          <cell r="EA56">
            <v>1331</v>
          </cell>
          <cell r="EB56">
            <v>1319</v>
          </cell>
          <cell r="EC56">
            <v>1379</v>
          </cell>
          <cell r="ED56">
            <v>1053</v>
          </cell>
          <cell r="EE56">
            <v>1044</v>
          </cell>
          <cell r="EF56">
            <v>1370</v>
          </cell>
          <cell r="EG56">
            <v>1395</v>
          </cell>
          <cell r="EH56">
            <v>1236</v>
          </cell>
          <cell r="EI56">
            <v>1309</v>
          </cell>
          <cell r="EJ56">
            <v>1392</v>
          </cell>
          <cell r="EK56">
            <v>1360</v>
          </cell>
          <cell r="EL56">
            <v>1258</v>
          </cell>
          <cell r="EM56">
            <v>1361</v>
          </cell>
          <cell r="EN56">
            <v>1345</v>
          </cell>
          <cell r="EO56">
            <v>1294</v>
          </cell>
          <cell r="EP56">
            <v>1353</v>
          </cell>
          <cell r="EQ56">
            <v>1290</v>
          </cell>
          <cell r="ER56">
            <v>1268</v>
          </cell>
          <cell r="ES56">
            <v>1340</v>
          </cell>
          <cell r="ET56">
            <v>1286</v>
          </cell>
          <cell r="EU56">
            <v>1260</v>
          </cell>
          <cell r="EV56">
            <v>1365</v>
          </cell>
          <cell r="EW56">
            <v>1423</v>
          </cell>
          <cell r="EX56">
            <v>1360</v>
          </cell>
          <cell r="EY56">
            <v>1220</v>
          </cell>
          <cell r="EZ56">
            <v>1142</v>
          </cell>
          <cell r="FA56">
            <v>1258</v>
          </cell>
          <cell r="FB56">
            <v>1341</v>
          </cell>
          <cell r="FC56">
            <v>1200</v>
          </cell>
          <cell r="FD56">
            <v>1176</v>
          </cell>
          <cell r="FE56">
            <v>28</v>
          </cell>
          <cell r="FF56">
            <v>40</v>
          </cell>
          <cell r="FG56">
            <v>37</v>
          </cell>
          <cell r="FH56">
            <v>28</v>
          </cell>
          <cell r="FI56">
            <v>29</v>
          </cell>
          <cell r="FJ56">
            <v>1261</v>
          </cell>
          <cell r="FK56">
            <v>1147</v>
          </cell>
          <cell r="FL56">
            <v>1219</v>
          </cell>
          <cell r="FM56">
            <v>1138</v>
          </cell>
          <cell r="FN56">
            <v>1307</v>
          </cell>
          <cell r="FO56">
            <v>1143</v>
          </cell>
          <cell r="FP56">
            <v>1207</v>
          </cell>
          <cell r="FQ56">
            <v>1279</v>
          </cell>
          <cell r="FR56">
            <v>1309</v>
          </cell>
          <cell r="FS56">
            <v>1306</v>
          </cell>
          <cell r="FT56">
            <v>1238</v>
          </cell>
          <cell r="FU56">
            <v>1233</v>
          </cell>
          <cell r="FV56">
            <v>1240</v>
          </cell>
          <cell r="FW56">
            <v>1146</v>
          </cell>
          <cell r="FX56">
            <v>1300</v>
          </cell>
          <cell r="FY56">
            <v>1213</v>
          </cell>
          <cell r="FZ56">
            <v>1138</v>
          </cell>
          <cell r="GA56">
            <v>1243</v>
          </cell>
          <cell r="GB56">
            <v>1256</v>
          </cell>
          <cell r="GC56">
            <v>1233</v>
          </cell>
          <cell r="GD56">
            <v>979</v>
          </cell>
          <cell r="GE56">
            <v>1053</v>
          </cell>
          <cell r="GF56">
            <v>1297</v>
          </cell>
          <cell r="GG56">
            <v>1226</v>
          </cell>
          <cell r="GH56">
            <v>1196</v>
          </cell>
          <cell r="GI56">
            <v>1121</v>
          </cell>
          <cell r="GJ56">
            <v>1258</v>
          </cell>
          <cell r="GK56">
            <v>1193</v>
          </cell>
          <cell r="GL56">
            <v>1124</v>
          </cell>
          <cell r="GM56">
            <v>1195</v>
          </cell>
          <cell r="GN56">
            <v>1255</v>
          </cell>
        </row>
        <row r="57">
          <cell r="B57" t="str">
            <v>LUCENTIS</v>
          </cell>
          <cell r="C57" t="str">
            <v>GTC</v>
          </cell>
          <cell r="D57">
            <v>0</v>
          </cell>
          <cell r="E57">
            <v>0</v>
          </cell>
          <cell r="F57">
            <v>0</v>
          </cell>
          <cell r="G57">
            <v>0</v>
          </cell>
          <cell r="H57">
            <v>0</v>
          </cell>
          <cell r="I57">
            <v>0</v>
          </cell>
          <cell r="J57">
            <v>1</v>
          </cell>
          <cell r="K57">
            <v>3</v>
          </cell>
          <cell r="L57">
            <v>2</v>
          </cell>
          <cell r="M57">
            <v>0</v>
          </cell>
          <cell r="N57">
            <v>2</v>
          </cell>
          <cell r="O57">
            <v>2</v>
          </cell>
          <cell r="P57">
            <v>0</v>
          </cell>
          <cell r="Q57">
            <v>2</v>
          </cell>
          <cell r="R57">
            <v>0</v>
          </cell>
          <cell r="S57">
            <v>0</v>
          </cell>
          <cell r="T57">
            <v>0</v>
          </cell>
          <cell r="U57">
            <v>0</v>
          </cell>
          <cell r="V57">
            <v>0</v>
          </cell>
          <cell r="W57">
            <v>3</v>
          </cell>
          <cell r="X57">
            <v>0</v>
          </cell>
          <cell r="Y57">
            <v>0</v>
          </cell>
          <cell r="Z57">
            <v>2</v>
          </cell>
          <cell r="AA57">
            <v>2</v>
          </cell>
          <cell r="AB57">
            <v>0</v>
          </cell>
          <cell r="AC57">
            <v>0</v>
          </cell>
          <cell r="AD57">
            <v>0</v>
          </cell>
          <cell r="AE57">
            <v>0</v>
          </cell>
          <cell r="AF57">
            <v>2</v>
          </cell>
          <cell r="AG57">
            <v>2</v>
          </cell>
          <cell r="AH57">
            <v>4</v>
          </cell>
          <cell r="AI57">
            <v>58</v>
          </cell>
          <cell r="AJ57">
            <v>44</v>
          </cell>
          <cell r="AK57">
            <v>53</v>
          </cell>
          <cell r="AL57">
            <v>55</v>
          </cell>
          <cell r="AM57">
            <v>63</v>
          </cell>
          <cell r="AN57">
            <v>47</v>
          </cell>
          <cell r="AO57">
            <v>58</v>
          </cell>
          <cell r="AP57">
            <v>52</v>
          </cell>
          <cell r="AQ57">
            <v>43</v>
          </cell>
          <cell r="AR57">
            <v>45</v>
          </cell>
          <cell r="AS57">
            <v>36</v>
          </cell>
          <cell r="AT57">
            <v>61</v>
          </cell>
          <cell r="AU57">
            <v>44</v>
          </cell>
          <cell r="AV57">
            <v>53</v>
          </cell>
          <cell r="AW57">
            <v>53</v>
          </cell>
          <cell r="AX57">
            <v>53</v>
          </cell>
          <cell r="AY57">
            <v>47</v>
          </cell>
          <cell r="AZ57">
            <v>39</v>
          </cell>
          <cell r="BA57">
            <v>44</v>
          </cell>
          <cell r="BB57">
            <v>48</v>
          </cell>
          <cell r="BC57">
            <v>36</v>
          </cell>
          <cell r="BD57">
            <v>31</v>
          </cell>
          <cell r="BE57">
            <v>24</v>
          </cell>
          <cell r="BF57">
            <v>44</v>
          </cell>
          <cell r="BG57">
            <v>42</v>
          </cell>
          <cell r="BH57">
            <v>36</v>
          </cell>
          <cell r="BI57">
            <v>42</v>
          </cell>
          <cell r="BJ57">
            <v>39</v>
          </cell>
          <cell r="BK57">
            <v>65</v>
          </cell>
          <cell r="BL57">
            <v>94</v>
          </cell>
          <cell r="BM57">
            <v>64</v>
          </cell>
          <cell r="BN57">
            <v>64</v>
          </cell>
          <cell r="BO57">
            <v>81</v>
          </cell>
          <cell r="BP57">
            <v>126</v>
          </cell>
          <cell r="BQ57">
            <v>46</v>
          </cell>
          <cell r="BR57">
            <v>62</v>
          </cell>
          <cell r="BS57">
            <v>38</v>
          </cell>
          <cell r="BT57">
            <v>70</v>
          </cell>
          <cell r="BU57">
            <v>79</v>
          </cell>
          <cell r="BV57">
            <v>60</v>
          </cell>
          <cell r="BW57">
            <v>62</v>
          </cell>
          <cell r="BX57">
            <v>102</v>
          </cell>
          <cell r="BY57">
            <v>44</v>
          </cell>
          <cell r="BZ57">
            <v>56</v>
          </cell>
          <cell r="CA57">
            <v>73</v>
          </cell>
          <cell r="CB57">
            <v>88</v>
          </cell>
          <cell r="CC57">
            <v>32</v>
          </cell>
          <cell r="CD57">
            <v>21</v>
          </cell>
          <cell r="CE57">
            <v>32</v>
          </cell>
          <cell r="CF57">
            <v>78</v>
          </cell>
          <cell r="CG57">
            <v>100</v>
          </cell>
          <cell r="CH57">
            <v>86</v>
          </cell>
          <cell r="CI57">
            <v>125</v>
          </cell>
          <cell r="CJ57">
            <v>128</v>
          </cell>
          <cell r="CK57">
            <v>135</v>
          </cell>
          <cell r="CL57">
            <v>152</v>
          </cell>
          <cell r="CM57">
            <v>144</v>
          </cell>
          <cell r="CN57">
            <v>143</v>
          </cell>
          <cell r="CO57">
            <v>112</v>
          </cell>
          <cell r="CP57">
            <v>121</v>
          </cell>
          <cell r="CQ57">
            <v>158</v>
          </cell>
          <cell r="CR57">
            <v>107</v>
          </cell>
          <cell r="CS57">
            <v>112</v>
          </cell>
          <cell r="CT57">
            <v>66</v>
          </cell>
          <cell r="CU57">
            <v>37</v>
          </cell>
          <cell r="CV57">
            <v>60</v>
          </cell>
          <cell r="CW57">
            <v>72</v>
          </cell>
          <cell r="CX57">
            <v>117</v>
          </cell>
          <cell r="CY57">
            <v>45</v>
          </cell>
          <cell r="CZ57">
            <v>102</v>
          </cell>
          <cell r="DA57">
            <v>129</v>
          </cell>
          <cell r="DB57">
            <v>110</v>
          </cell>
          <cell r="DC57">
            <v>119</v>
          </cell>
          <cell r="DD57">
            <v>93</v>
          </cell>
          <cell r="DE57">
            <v>86</v>
          </cell>
          <cell r="DF57">
            <v>81</v>
          </cell>
          <cell r="DG57">
            <v>107</v>
          </cell>
          <cell r="DH57">
            <v>114</v>
          </cell>
          <cell r="DI57">
            <v>81</v>
          </cell>
          <cell r="DJ57">
            <v>85</v>
          </cell>
          <cell r="DK57">
            <v>73</v>
          </cell>
          <cell r="DL57">
            <v>85</v>
          </cell>
          <cell r="DM57">
            <v>89</v>
          </cell>
          <cell r="DN57">
            <v>57</v>
          </cell>
          <cell r="DO57">
            <v>95</v>
          </cell>
          <cell r="DP57">
            <v>87</v>
          </cell>
          <cell r="DQ57">
            <v>86</v>
          </cell>
          <cell r="DR57">
            <v>67</v>
          </cell>
          <cell r="DS57">
            <v>99</v>
          </cell>
          <cell r="DT57">
            <v>81</v>
          </cell>
          <cell r="DU57">
            <v>77</v>
          </cell>
          <cell r="DV57">
            <v>81</v>
          </cell>
          <cell r="DW57">
            <v>63</v>
          </cell>
          <cell r="DX57">
            <v>62</v>
          </cell>
          <cell r="DY57">
            <v>87</v>
          </cell>
          <cell r="DZ57">
            <v>25</v>
          </cell>
          <cell r="EA57">
            <v>93</v>
          </cell>
          <cell r="EB57">
            <v>73</v>
          </cell>
          <cell r="EC57">
            <v>71</v>
          </cell>
          <cell r="ED57">
            <v>32</v>
          </cell>
          <cell r="EE57">
            <v>30</v>
          </cell>
          <cell r="EF57">
            <v>34</v>
          </cell>
          <cell r="EG57">
            <v>42</v>
          </cell>
          <cell r="EH57">
            <v>29</v>
          </cell>
          <cell r="EI57">
            <v>44</v>
          </cell>
          <cell r="EJ57">
            <v>38</v>
          </cell>
          <cell r="EK57">
            <v>27</v>
          </cell>
          <cell r="EL57">
            <v>34</v>
          </cell>
          <cell r="EM57">
            <v>55</v>
          </cell>
          <cell r="EN57">
            <v>37</v>
          </cell>
          <cell r="EO57">
            <v>43</v>
          </cell>
          <cell r="EP57">
            <v>55</v>
          </cell>
          <cell r="EQ57">
            <v>38</v>
          </cell>
          <cell r="ER57">
            <v>28</v>
          </cell>
          <cell r="ES57">
            <v>25</v>
          </cell>
          <cell r="ET57">
            <v>38</v>
          </cell>
          <cell r="EU57">
            <v>22</v>
          </cell>
          <cell r="EV57">
            <v>40</v>
          </cell>
          <cell r="EW57">
            <v>39</v>
          </cell>
          <cell r="EX57">
            <v>31</v>
          </cell>
          <cell r="EY57">
            <v>43</v>
          </cell>
          <cell r="EZ57">
            <v>38</v>
          </cell>
          <cell r="FA57">
            <v>36</v>
          </cell>
          <cell r="FB57">
            <v>23</v>
          </cell>
          <cell r="FC57">
            <v>27</v>
          </cell>
          <cell r="FD57">
            <v>37</v>
          </cell>
          <cell r="FE57">
            <v>6</v>
          </cell>
          <cell r="FF57">
            <v>12</v>
          </cell>
          <cell r="FG57">
            <v>4</v>
          </cell>
          <cell r="FH57">
            <v>5</v>
          </cell>
          <cell r="FI57">
            <v>5</v>
          </cell>
          <cell r="FJ57">
            <v>26</v>
          </cell>
          <cell r="FK57">
            <v>34</v>
          </cell>
          <cell r="FL57">
            <v>36</v>
          </cell>
          <cell r="FM57">
            <v>27</v>
          </cell>
          <cell r="FN57">
            <v>22</v>
          </cell>
          <cell r="FO57">
            <v>21</v>
          </cell>
          <cell r="FP57">
            <v>29</v>
          </cell>
          <cell r="FQ57">
            <v>39</v>
          </cell>
          <cell r="FR57">
            <v>34</v>
          </cell>
          <cell r="FS57">
            <v>33</v>
          </cell>
          <cell r="FT57">
            <v>34</v>
          </cell>
          <cell r="FU57">
            <v>23</v>
          </cell>
          <cell r="FV57">
            <v>35</v>
          </cell>
          <cell r="FW57">
            <v>39</v>
          </cell>
          <cell r="FX57">
            <v>31</v>
          </cell>
          <cell r="FY57">
            <v>38</v>
          </cell>
          <cell r="FZ57">
            <v>15</v>
          </cell>
          <cell r="GA57">
            <v>26</v>
          </cell>
          <cell r="GB57">
            <v>38</v>
          </cell>
          <cell r="GC57">
            <v>32</v>
          </cell>
          <cell r="GD57">
            <v>14</v>
          </cell>
          <cell r="GE57">
            <v>17</v>
          </cell>
          <cell r="GF57">
            <v>122</v>
          </cell>
          <cell r="GG57">
            <v>76</v>
          </cell>
          <cell r="GH57">
            <v>103</v>
          </cell>
          <cell r="GI57">
            <v>121</v>
          </cell>
          <cell r="GJ57">
            <v>103</v>
          </cell>
          <cell r="GK57">
            <v>69</v>
          </cell>
          <cell r="GL57">
            <v>151</v>
          </cell>
          <cell r="GM57">
            <v>129</v>
          </cell>
          <cell r="GN57">
            <v>136</v>
          </cell>
        </row>
        <row r="58">
          <cell r="B58" t="str">
            <v>MACUGEN</v>
          </cell>
          <cell r="C58" t="str">
            <v>EYT</v>
          </cell>
          <cell r="D58">
            <v>4</v>
          </cell>
          <cell r="E58">
            <v>8</v>
          </cell>
          <cell r="F58">
            <v>4</v>
          </cell>
          <cell r="G58">
            <v>5</v>
          </cell>
          <cell r="H58">
            <v>2</v>
          </cell>
          <cell r="I58">
            <v>2</v>
          </cell>
          <cell r="J58">
            <v>4</v>
          </cell>
          <cell r="K58">
            <v>7</v>
          </cell>
          <cell r="L58">
            <v>13</v>
          </cell>
          <cell r="M58">
            <v>7</v>
          </cell>
          <cell r="N58">
            <v>9</v>
          </cell>
          <cell r="O58">
            <v>4</v>
          </cell>
          <cell r="P58">
            <v>7</v>
          </cell>
          <cell r="Q58">
            <v>14</v>
          </cell>
          <cell r="R58">
            <v>11</v>
          </cell>
          <cell r="S58">
            <v>9</v>
          </cell>
          <cell r="T58">
            <v>14</v>
          </cell>
          <cell r="U58">
            <v>22</v>
          </cell>
          <cell r="V58">
            <v>5</v>
          </cell>
          <cell r="W58">
            <v>15</v>
          </cell>
          <cell r="X58">
            <v>3</v>
          </cell>
          <cell r="Y58">
            <v>5</v>
          </cell>
          <cell r="Z58">
            <v>15</v>
          </cell>
          <cell r="AA58">
            <v>6</v>
          </cell>
          <cell r="AB58">
            <v>8</v>
          </cell>
          <cell r="AC58">
            <v>8</v>
          </cell>
          <cell r="AD58">
            <v>2</v>
          </cell>
          <cell r="AE58">
            <v>1</v>
          </cell>
          <cell r="AF58">
            <v>4</v>
          </cell>
          <cell r="AG58">
            <v>5</v>
          </cell>
          <cell r="AH58">
            <v>9</v>
          </cell>
          <cell r="AI58">
            <v>2</v>
          </cell>
          <cell r="AJ58">
            <v>4</v>
          </cell>
          <cell r="AK58">
            <v>12</v>
          </cell>
          <cell r="AL58">
            <v>4</v>
          </cell>
          <cell r="AM58">
            <v>1</v>
          </cell>
          <cell r="AN58">
            <v>10</v>
          </cell>
          <cell r="AO58">
            <v>9</v>
          </cell>
          <cell r="AP58">
            <v>6</v>
          </cell>
          <cell r="AQ58">
            <v>2</v>
          </cell>
          <cell r="AR58">
            <v>5</v>
          </cell>
          <cell r="AS58">
            <v>4</v>
          </cell>
          <cell r="AT58">
            <v>18</v>
          </cell>
          <cell r="AU58">
            <v>11</v>
          </cell>
          <cell r="AV58">
            <v>11</v>
          </cell>
          <cell r="AW58">
            <v>7</v>
          </cell>
          <cell r="AX58">
            <v>14</v>
          </cell>
          <cell r="AY58">
            <v>11</v>
          </cell>
          <cell r="AZ58">
            <v>9</v>
          </cell>
          <cell r="BA58">
            <v>5</v>
          </cell>
          <cell r="BB58">
            <v>8</v>
          </cell>
          <cell r="BC58">
            <v>16</v>
          </cell>
          <cell r="BD58">
            <v>18</v>
          </cell>
          <cell r="BE58">
            <v>3</v>
          </cell>
          <cell r="BF58">
            <v>14</v>
          </cell>
          <cell r="BG58">
            <v>5</v>
          </cell>
          <cell r="BH58">
            <v>12</v>
          </cell>
          <cell r="BI58">
            <v>6</v>
          </cell>
          <cell r="BJ58">
            <v>4</v>
          </cell>
          <cell r="BK58">
            <v>9</v>
          </cell>
          <cell r="BL58">
            <v>15</v>
          </cell>
          <cell r="BM58">
            <v>18</v>
          </cell>
          <cell r="BN58">
            <v>7</v>
          </cell>
          <cell r="BO58">
            <v>16</v>
          </cell>
          <cell r="BP58">
            <v>23</v>
          </cell>
          <cell r="BQ58">
            <v>23</v>
          </cell>
          <cell r="BR58">
            <v>9</v>
          </cell>
          <cell r="BS58">
            <v>17</v>
          </cell>
          <cell r="BT58">
            <v>21</v>
          </cell>
          <cell r="BU58">
            <v>14</v>
          </cell>
          <cell r="BV58">
            <v>20</v>
          </cell>
          <cell r="BW58">
            <v>13</v>
          </cell>
          <cell r="BX58">
            <v>9</v>
          </cell>
          <cell r="BY58">
            <v>8</v>
          </cell>
          <cell r="BZ58">
            <v>10</v>
          </cell>
          <cell r="CA58">
            <v>5</v>
          </cell>
          <cell r="CB58">
            <v>6</v>
          </cell>
          <cell r="CC58">
            <v>8</v>
          </cell>
          <cell r="CD58">
            <v>5</v>
          </cell>
          <cell r="CE58">
            <v>5</v>
          </cell>
          <cell r="CF58">
            <v>10</v>
          </cell>
          <cell r="CG58">
            <v>9</v>
          </cell>
          <cell r="CH58">
            <v>8</v>
          </cell>
          <cell r="CI58">
            <v>10</v>
          </cell>
          <cell r="CJ58">
            <v>6</v>
          </cell>
          <cell r="CK58">
            <v>11</v>
          </cell>
          <cell r="CL58">
            <v>20</v>
          </cell>
          <cell r="CM58">
            <v>17</v>
          </cell>
          <cell r="CN58">
            <v>11</v>
          </cell>
          <cell r="CO58">
            <v>7</v>
          </cell>
          <cell r="CP58">
            <v>13</v>
          </cell>
          <cell r="CQ58">
            <v>6</v>
          </cell>
          <cell r="CR58">
            <v>8</v>
          </cell>
          <cell r="CS58">
            <v>6</v>
          </cell>
          <cell r="CT58">
            <v>4</v>
          </cell>
          <cell r="CU58">
            <v>10</v>
          </cell>
          <cell r="CV58">
            <v>4</v>
          </cell>
          <cell r="CW58">
            <v>6</v>
          </cell>
          <cell r="CX58">
            <v>6</v>
          </cell>
          <cell r="CY58">
            <v>5</v>
          </cell>
          <cell r="CZ58">
            <v>2</v>
          </cell>
          <cell r="DA58">
            <v>4</v>
          </cell>
          <cell r="DB58">
            <v>12</v>
          </cell>
          <cell r="DC58">
            <v>7</v>
          </cell>
          <cell r="DD58">
            <v>2</v>
          </cell>
          <cell r="DE58">
            <v>1</v>
          </cell>
          <cell r="DF58">
            <v>9</v>
          </cell>
          <cell r="DG58">
            <v>2</v>
          </cell>
          <cell r="DH58">
            <v>5</v>
          </cell>
          <cell r="DI58">
            <v>4</v>
          </cell>
          <cell r="DJ58">
            <v>3</v>
          </cell>
          <cell r="DK58">
            <v>10</v>
          </cell>
          <cell r="DL58">
            <v>12</v>
          </cell>
          <cell r="DM58">
            <v>6</v>
          </cell>
          <cell r="DN58">
            <v>3</v>
          </cell>
          <cell r="DO58">
            <v>8</v>
          </cell>
          <cell r="DP58">
            <v>6</v>
          </cell>
          <cell r="DQ58">
            <v>7</v>
          </cell>
          <cell r="DR58">
            <v>10</v>
          </cell>
          <cell r="DS58">
            <v>21</v>
          </cell>
          <cell r="DT58">
            <v>8</v>
          </cell>
          <cell r="DU58">
            <v>14</v>
          </cell>
          <cell r="DV58">
            <v>18</v>
          </cell>
          <cell r="DW58">
            <v>14</v>
          </cell>
          <cell r="DX58">
            <v>8</v>
          </cell>
          <cell r="DY58">
            <v>10</v>
          </cell>
          <cell r="DZ58">
            <v>7</v>
          </cell>
          <cell r="EA58">
            <v>7</v>
          </cell>
          <cell r="EB58">
            <v>7</v>
          </cell>
          <cell r="EC58">
            <v>12</v>
          </cell>
          <cell r="ED58">
            <v>7</v>
          </cell>
          <cell r="EE58">
            <v>3</v>
          </cell>
          <cell r="EF58">
            <v>5</v>
          </cell>
          <cell r="EG58">
            <v>9</v>
          </cell>
          <cell r="EH58">
            <v>9</v>
          </cell>
          <cell r="EI58">
            <v>5</v>
          </cell>
          <cell r="EJ58">
            <v>3</v>
          </cell>
          <cell r="EK58">
            <v>13</v>
          </cell>
          <cell r="EL58">
            <v>3</v>
          </cell>
          <cell r="EM58">
            <v>7</v>
          </cell>
          <cell r="EN58">
            <v>6</v>
          </cell>
          <cell r="EO58">
            <v>4</v>
          </cell>
          <cell r="EP58">
            <v>4</v>
          </cell>
          <cell r="EQ58">
            <v>6</v>
          </cell>
          <cell r="ER58">
            <v>15</v>
          </cell>
          <cell r="ES58">
            <v>2</v>
          </cell>
          <cell r="ET58">
            <v>10</v>
          </cell>
          <cell r="EU58">
            <v>13</v>
          </cell>
          <cell r="EV58">
            <v>17</v>
          </cell>
          <cell r="EW58">
            <v>7</v>
          </cell>
          <cell r="EX58">
            <v>17</v>
          </cell>
          <cell r="EY58">
            <v>5</v>
          </cell>
          <cell r="EZ58">
            <v>7</v>
          </cell>
          <cell r="FA58">
            <v>7</v>
          </cell>
          <cell r="FB58">
            <v>6</v>
          </cell>
          <cell r="FC58">
            <v>7</v>
          </cell>
          <cell r="FD58">
            <v>10</v>
          </cell>
          <cell r="FE58">
            <v>698</v>
          </cell>
          <cell r="FF58">
            <v>852</v>
          </cell>
          <cell r="FG58">
            <v>842</v>
          </cell>
          <cell r="FH58">
            <v>852</v>
          </cell>
          <cell r="FI58">
            <v>658</v>
          </cell>
          <cell r="FJ58">
            <v>5</v>
          </cell>
          <cell r="FK58">
            <v>3</v>
          </cell>
          <cell r="FL58">
            <v>3</v>
          </cell>
          <cell r="FM58">
            <v>34</v>
          </cell>
          <cell r="FN58">
            <v>21</v>
          </cell>
          <cell r="FO58">
            <v>5</v>
          </cell>
          <cell r="FP58">
            <v>18</v>
          </cell>
          <cell r="FQ58">
            <v>3</v>
          </cell>
          <cell r="FR58">
            <v>7</v>
          </cell>
          <cell r="FS58">
            <v>4</v>
          </cell>
          <cell r="FT58">
            <v>9</v>
          </cell>
          <cell r="FU58">
            <v>4</v>
          </cell>
          <cell r="FV58">
            <v>5</v>
          </cell>
          <cell r="FW58">
            <v>2</v>
          </cell>
          <cell r="FX58">
            <v>2</v>
          </cell>
          <cell r="FY58">
            <v>2</v>
          </cell>
          <cell r="FZ58">
            <v>3</v>
          </cell>
          <cell r="GA58">
            <v>3</v>
          </cell>
          <cell r="GB58">
            <v>4</v>
          </cell>
          <cell r="GC58">
            <v>6</v>
          </cell>
          <cell r="GD58">
            <v>1</v>
          </cell>
          <cell r="GE58">
            <v>1</v>
          </cell>
          <cell r="GF58">
            <v>9</v>
          </cell>
          <cell r="GG58">
            <v>7</v>
          </cell>
          <cell r="GH58">
            <v>8</v>
          </cell>
          <cell r="GI58">
            <v>4</v>
          </cell>
          <cell r="GJ58">
            <v>2</v>
          </cell>
          <cell r="GK58">
            <v>1</v>
          </cell>
          <cell r="GL58">
            <v>15</v>
          </cell>
          <cell r="GM58">
            <v>3</v>
          </cell>
          <cell r="GN58">
            <v>4</v>
          </cell>
        </row>
        <row r="59">
          <cell r="B59" t="str">
            <v>SYNVISC</v>
          </cell>
          <cell r="C59" t="str">
            <v>GZY</v>
          </cell>
          <cell r="D59">
            <v>981</v>
          </cell>
          <cell r="E59">
            <v>787</v>
          </cell>
          <cell r="F59">
            <v>1093</v>
          </cell>
          <cell r="G59">
            <v>1016</v>
          </cell>
          <cell r="H59">
            <v>1058</v>
          </cell>
          <cell r="I59">
            <v>1002</v>
          </cell>
          <cell r="J59">
            <v>1029</v>
          </cell>
          <cell r="K59">
            <v>1197</v>
          </cell>
          <cell r="L59">
            <v>1220</v>
          </cell>
          <cell r="M59">
            <v>1178</v>
          </cell>
          <cell r="N59">
            <v>1160</v>
          </cell>
          <cell r="O59">
            <v>1296</v>
          </cell>
          <cell r="P59">
            <v>1401</v>
          </cell>
          <cell r="Q59">
            <v>1375</v>
          </cell>
          <cell r="R59">
            <v>1084</v>
          </cell>
          <cell r="S59">
            <v>1239</v>
          </cell>
          <cell r="T59">
            <v>1230</v>
          </cell>
          <cell r="U59">
            <v>1126</v>
          </cell>
          <cell r="V59">
            <v>1202</v>
          </cell>
          <cell r="W59">
            <v>1172</v>
          </cell>
          <cell r="X59">
            <v>1146</v>
          </cell>
          <cell r="Y59">
            <v>772</v>
          </cell>
          <cell r="Z59">
            <v>1122</v>
          </cell>
          <cell r="AA59">
            <v>1370</v>
          </cell>
          <cell r="AB59">
            <v>1242</v>
          </cell>
          <cell r="AC59">
            <v>1061</v>
          </cell>
          <cell r="AD59">
            <v>725</v>
          </cell>
          <cell r="AE59">
            <v>738</v>
          </cell>
          <cell r="AF59">
            <v>1189</v>
          </cell>
          <cell r="AG59">
            <v>1053</v>
          </cell>
          <cell r="AH59">
            <v>1145</v>
          </cell>
          <cell r="AI59">
            <v>1030</v>
          </cell>
          <cell r="AJ59">
            <v>1091</v>
          </cell>
          <cell r="AK59">
            <v>981</v>
          </cell>
          <cell r="AL59">
            <v>931</v>
          </cell>
          <cell r="AM59">
            <v>1042</v>
          </cell>
          <cell r="AN59">
            <v>1177</v>
          </cell>
          <cell r="AO59">
            <v>1038</v>
          </cell>
          <cell r="AP59">
            <v>1045</v>
          </cell>
          <cell r="AQ59">
            <v>1063</v>
          </cell>
          <cell r="AR59">
            <v>1063</v>
          </cell>
          <cell r="AS59">
            <v>1063</v>
          </cell>
          <cell r="AT59">
            <v>1177</v>
          </cell>
          <cell r="AU59">
            <v>1103</v>
          </cell>
          <cell r="AV59">
            <v>1170</v>
          </cell>
          <cell r="AW59">
            <v>1246</v>
          </cell>
          <cell r="AX59">
            <v>1127</v>
          </cell>
          <cell r="AY59">
            <v>1161</v>
          </cell>
          <cell r="AZ59">
            <v>1061</v>
          </cell>
          <cell r="BA59">
            <v>1354</v>
          </cell>
          <cell r="BB59">
            <v>1315</v>
          </cell>
          <cell r="BC59">
            <v>1256</v>
          </cell>
          <cell r="BD59">
            <v>1128</v>
          </cell>
          <cell r="BE59">
            <v>852</v>
          </cell>
          <cell r="BF59">
            <v>1287</v>
          </cell>
          <cell r="BG59">
            <v>1255</v>
          </cell>
          <cell r="BH59">
            <v>1284</v>
          </cell>
          <cell r="BI59">
            <v>1162</v>
          </cell>
          <cell r="BJ59">
            <v>1102</v>
          </cell>
          <cell r="BK59">
            <v>1100</v>
          </cell>
          <cell r="BL59">
            <v>1175</v>
          </cell>
          <cell r="BM59">
            <v>1235</v>
          </cell>
          <cell r="BN59">
            <v>972</v>
          </cell>
          <cell r="BO59">
            <v>1102</v>
          </cell>
          <cell r="BP59">
            <v>1267</v>
          </cell>
          <cell r="BQ59">
            <v>1271</v>
          </cell>
          <cell r="BR59">
            <v>1289</v>
          </cell>
          <cell r="BS59">
            <v>1269</v>
          </cell>
          <cell r="BT59">
            <v>1308</v>
          </cell>
          <cell r="BU59">
            <v>1292</v>
          </cell>
          <cell r="BV59">
            <v>1287</v>
          </cell>
          <cell r="BW59">
            <v>1332</v>
          </cell>
          <cell r="BX59">
            <v>1294</v>
          </cell>
          <cell r="BY59">
            <v>862</v>
          </cell>
          <cell r="BZ59">
            <v>1230</v>
          </cell>
          <cell r="CA59">
            <v>1299</v>
          </cell>
          <cell r="CB59">
            <v>1225</v>
          </cell>
          <cell r="CC59">
            <v>1029</v>
          </cell>
          <cell r="CD59">
            <v>672</v>
          </cell>
          <cell r="CE59">
            <v>717</v>
          </cell>
          <cell r="CF59">
            <v>1003</v>
          </cell>
          <cell r="CG59">
            <v>1093</v>
          </cell>
          <cell r="CH59">
            <v>1118</v>
          </cell>
          <cell r="CI59">
            <v>1208</v>
          </cell>
          <cell r="CJ59">
            <v>1235</v>
          </cell>
          <cell r="CK59">
            <v>1135</v>
          </cell>
          <cell r="CL59">
            <v>1108</v>
          </cell>
          <cell r="CM59">
            <v>1318</v>
          </cell>
          <cell r="CN59">
            <v>1278</v>
          </cell>
          <cell r="CO59">
            <v>1237</v>
          </cell>
          <cell r="CP59">
            <v>1192</v>
          </cell>
          <cell r="CQ59">
            <v>1295</v>
          </cell>
          <cell r="CR59">
            <v>1397</v>
          </cell>
          <cell r="CS59">
            <v>1222</v>
          </cell>
          <cell r="CT59">
            <v>1234</v>
          </cell>
          <cell r="CU59">
            <v>1304</v>
          </cell>
          <cell r="CV59">
            <v>1339</v>
          </cell>
          <cell r="CW59">
            <v>1274</v>
          </cell>
          <cell r="CX59">
            <v>1333</v>
          </cell>
          <cell r="CY59">
            <v>1323</v>
          </cell>
          <cell r="CZ59">
            <v>1159</v>
          </cell>
          <cell r="DA59">
            <v>1274</v>
          </cell>
          <cell r="DB59">
            <v>1346</v>
          </cell>
          <cell r="DC59">
            <v>1322</v>
          </cell>
          <cell r="DD59">
            <v>1221</v>
          </cell>
          <cell r="DE59">
            <v>969</v>
          </cell>
          <cell r="DF59">
            <v>1269</v>
          </cell>
          <cell r="DG59">
            <v>1209</v>
          </cell>
          <cell r="DH59">
            <v>1197</v>
          </cell>
          <cell r="DI59">
            <v>1171</v>
          </cell>
          <cell r="DJ59">
            <v>1232</v>
          </cell>
          <cell r="DK59">
            <v>1123</v>
          </cell>
          <cell r="DL59">
            <v>1186</v>
          </cell>
          <cell r="DM59">
            <v>1188</v>
          </cell>
          <cell r="DN59">
            <v>999</v>
          </cell>
          <cell r="DO59">
            <v>1267</v>
          </cell>
          <cell r="DP59">
            <v>1270</v>
          </cell>
          <cell r="DQ59">
            <v>1249</v>
          </cell>
          <cell r="DR59">
            <v>1274</v>
          </cell>
          <cell r="DS59">
            <v>1201</v>
          </cell>
          <cell r="DT59">
            <v>1240</v>
          </cell>
          <cell r="DU59">
            <v>1253</v>
          </cell>
          <cell r="DV59">
            <v>1322</v>
          </cell>
          <cell r="DW59">
            <v>1199</v>
          </cell>
          <cell r="DX59">
            <v>1407</v>
          </cell>
          <cell r="DY59">
            <v>1290</v>
          </cell>
          <cell r="DZ59">
            <v>817</v>
          </cell>
          <cell r="EA59">
            <v>1245</v>
          </cell>
          <cell r="EB59">
            <v>1288</v>
          </cell>
          <cell r="EC59">
            <v>1179</v>
          </cell>
          <cell r="ED59">
            <v>622</v>
          </cell>
          <cell r="EE59">
            <v>606</v>
          </cell>
          <cell r="EF59">
            <v>930</v>
          </cell>
          <cell r="EG59">
            <v>984</v>
          </cell>
          <cell r="EH59">
            <v>985</v>
          </cell>
          <cell r="EI59">
            <v>1085</v>
          </cell>
          <cell r="EJ59">
            <v>985</v>
          </cell>
          <cell r="EK59">
            <v>1068</v>
          </cell>
          <cell r="EL59">
            <v>1016</v>
          </cell>
          <cell r="EM59">
            <v>1076</v>
          </cell>
          <cell r="EN59">
            <v>1106</v>
          </cell>
          <cell r="EO59">
            <v>1038</v>
          </cell>
          <cell r="EP59">
            <v>1188</v>
          </cell>
          <cell r="EQ59">
            <v>1226</v>
          </cell>
          <cell r="ER59">
            <v>1111</v>
          </cell>
          <cell r="ES59">
            <v>1152</v>
          </cell>
          <cell r="ET59">
            <v>1126</v>
          </cell>
          <cell r="EU59">
            <v>962</v>
          </cell>
          <cell r="EV59">
            <v>1025</v>
          </cell>
          <cell r="EW59">
            <v>1070</v>
          </cell>
          <cell r="EX59">
            <v>963</v>
          </cell>
          <cell r="EY59">
            <v>937</v>
          </cell>
          <cell r="EZ59">
            <v>747</v>
          </cell>
          <cell r="FA59">
            <v>980</v>
          </cell>
          <cell r="FB59">
            <v>1021</v>
          </cell>
          <cell r="FC59">
            <v>981</v>
          </cell>
          <cell r="FD59">
            <v>839</v>
          </cell>
          <cell r="FE59">
            <v>0</v>
          </cell>
          <cell r="FG59">
            <v>0</v>
          </cell>
          <cell r="FH59">
            <v>0</v>
          </cell>
          <cell r="FI59">
            <v>0</v>
          </cell>
          <cell r="FJ59">
            <v>742</v>
          </cell>
          <cell r="FK59">
            <v>676</v>
          </cell>
          <cell r="FL59">
            <v>708</v>
          </cell>
          <cell r="FM59">
            <v>603</v>
          </cell>
          <cell r="FN59">
            <v>629</v>
          </cell>
          <cell r="FO59">
            <v>558</v>
          </cell>
          <cell r="FP59">
            <v>677</v>
          </cell>
          <cell r="FQ59">
            <v>777</v>
          </cell>
          <cell r="FR59">
            <v>770</v>
          </cell>
          <cell r="FS59">
            <v>698</v>
          </cell>
          <cell r="FT59">
            <v>838</v>
          </cell>
          <cell r="FU59">
            <v>730</v>
          </cell>
          <cell r="FV59">
            <v>788</v>
          </cell>
          <cell r="FW59">
            <v>813</v>
          </cell>
          <cell r="FX59">
            <v>849</v>
          </cell>
          <cell r="FY59">
            <v>838</v>
          </cell>
          <cell r="FZ59">
            <v>464</v>
          </cell>
          <cell r="GA59">
            <v>809</v>
          </cell>
          <cell r="GB59">
            <v>757</v>
          </cell>
          <cell r="GC59">
            <v>723</v>
          </cell>
          <cell r="GD59">
            <v>464</v>
          </cell>
          <cell r="GE59">
            <v>540</v>
          </cell>
          <cell r="GF59">
            <v>626</v>
          </cell>
          <cell r="GG59">
            <v>689</v>
          </cell>
          <cell r="GH59">
            <v>715</v>
          </cell>
          <cell r="GI59">
            <v>799</v>
          </cell>
          <cell r="GJ59">
            <v>717</v>
          </cell>
          <cell r="GK59">
            <v>581</v>
          </cell>
          <cell r="GL59">
            <v>903</v>
          </cell>
          <cell r="GM59">
            <v>824</v>
          </cell>
          <cell r="GN59">
            <v>849</v>
          </cell>
        </row>
        <row r="60">
          <cell r="B60" t="str">
            <v>MYOZYME</v>
          </cell>
          <cell r="C60" t="str">
            <v>GZY</v>
          </cell>
          <cell r="D60">
            <v>0</v>
          </cell>
          <cell r="E60">
            <v>0</v>
          </cell>
          <cell r="F60">
            <v>0</v>
          </cell>
          <cell r="G60">
            <v>0</v>
          </cell>
          <cell r="H60">
            <v>0</v>
          </cell>
          <cell r="I60">
            <v>0</v>
          </cell>
          <cell r="J60">
            <v>0</v>
          </cell>
          <cell r="K60">
            <v>0</v>
          </cell>
          <cell r="L60">
            <v>2</v>
          </cell>
          <cell r="M60">
            <v>0</v>
          </cell>
          <cell r="N60">
            <v>1</v>
          </cell>
          <cell r="O60">
            <v>0</v>
          </cell>
          <cell r="P60">
            <v>0</v>
          </cell>
          <cell r="Q60">
            <v>0</v>
          </cell>
          <cell r="R60">
            <v>0</v>
          </cell>
          <cell r="S60">
            <v>0</v>
          </cell>
          <cell r="T60">
            <v>0</v>
          </cell>
          <cell r="U60">
            <v>0</v>
          </cell>
          <cell r="V60">
            <v>1</v>
          </cell>
          <cell r="W60">
            <v>0</v>
          </cell>
          <cell r="X60">
            <v>1</v>
          </cell>
          <cell r="Y60">
            <v>0</v>
          </cell>
          <cell r="Z60">
            <v>1</v>
          </cell>
          <cell r="AA60">
            <v>0</v>
          </cell>
          <cell r="AB60">
            <v>0</v>
          </cell>
          <cell r="AC60">
            <v>0</v>
          </cell>
          <cell r="AD60">
            <v>0</v>
          </cell>
          <cell r="AE60">
            <v>1</v>
          </cell>
          <cell r="AF60">
            <v>1</v>
          </cell>
          <cell r="AG60">
            <v>0</v>
          </cell>
          <cell r="AH60">
            <v>0</v>
          </cell>
          <cell r="AI60">
            <v>0</v>
          </cell>
          <cell r="AJ60">
            <v>2</v>
          </cell>
          <cell r="AK60">
            <v>0</v>
          </cell>
          <cell r="AL60">
            <v>1</v>
          </cell>
          <cell r="AM60">
            <v>0</v>
          </cell>
          <cell r="AN60">
            <v>0</v>
          </cell>
          <cell r="AO60">
            <v>1</v>
          </cell>
          <cell r="AP60">
            <v>1</v>
          </cell>
          <cell r="AQ60">
            <v>0</v>
          </cell>
          <cell r="AR60">
            <v>0</v>
          </cell>
          <cell r="AS60">
            <v>1</v>
          </cell>
          <cell r="AT60">
            <v>0</v>
          </cell>
          <cell r="AU60">
            <v>0</v>
          </cell>
          <cell r="AV60">
            <v>0</v>
          </cell>
          <cell r="AW60">
            <v>1</v>
          </cell>
          <cell r="AX60">
            <v>0</v>
          </cell>
          <cell r="AY60">
            <v>0</v>
          </cell>
          <cell r="AZ60">
            <v>0</v>
          </cell>
          <cell r="BA60">
            <v>0</v>
          </cell>
          <cell r="BB60">
            <v>0</v>
          </cell>
          <cell r="BC60">
            <v>0</v>
          </cell>
          <cell r="BD60">
            <v>0</v>
          </cell>
          <cell r="BE60">
            <v>0</v>
          </cell>
          <cell r="BF60">
            <v>0</v>
          </cell>
          <cell r="BG60">
            <v>0</v>
          </cell>
          <cell r="BH60">
            <v>1</v>
          </cell>
          <cell r="BI60">
            <v>1</v>
          </cell>
          <cell r="BJ60">
            <v>0</v>
          </cell>
          <cell r="BK60">
            <v>0</v>
          </cell>
          <cell r="BL60">
            <v>1</v>
          </cell>
          <cell r="BM60">
            <v>0</v>
          </cell>
          <cell r="BN60">
            <v>0</v>
          </cell>
          <cell r="BO60">
            <v>0</v>
          </cell>
          <cell r="BP60">
            <v>0</v>
          </cell>
          <cell r="BQ60">
            <v>0</v>
          </cell>
          <cell r="BR60">
            <v>0</v>
          </cell>
          <cell r="BS60">
            <v>0</v>
          </cell>
          <cell r="BT60">
            <v>2</v>
          </cell>
          <cell r="BU60">
            <v>0</v>
          </cell>
          <cell r="BV60">
            <v>0</v>
          </cell>
          <cell r="BW60">
            <v>0</v>
          </cell>
          <cell r="BX60">
            <v>0</v>
          </cell>
          <cell r="BY60">
            <v>0</v>
          </cell>
          <cell r="BZ60">
            <v>1</v>
          </cell>
          <cell r="CA60">
            <v>0</v>
          </cell>
          <cell r="CB60">
            <v>0</v>
          </cell>
          <cell r="CC60">
            <v>0</v>
          </cell>
          <cell r="CD60">
            <v>0</v>
          </cell>
          <cell r="CE60">
            <v>2</v>
          </cell>
          <cell r="CF60">
            <v>0</v>
          </cell>
          <cell r="CG60">
            <v>0</v>
          </cell>
          <cell r="CH60">
            <v>2</v>
          </cell>
          <cell r="CI60">
            <v>0</v>
          </cell>
          <cell r="CJ60">
            <v>2</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C60">
            <v>0</v>
          </cell>
          <cell r="EF60">
            <v>1</v>
          </cell>
          <cell r="EG60">
            <v>0</v>
          </cell>
          <cell r="EI60">
            <v>1</v>
          </cell>
          <cell r="EK60">
            <v>2</v>
          </cell>
          <cell r="EM60">
            <v>0</v>
          </cell>
          <cell r="EN60">
            <v>0</v>
          </cell>
          <cell r="EO60">
            <v>0</v>
          </cell>
          <cell r="EQ60">
            <v>1</v>
          </cell>
          <cell r="ER60">
            <v>0</v>
          </cell>
          <cell r="ES60">
            <v>0</v>
          </cell>
          <cell r="EU60">
            <v>0</v>
          </cell>
          <cell r="EW60">
            <v>0</v>
          </cell>
          <cell r="EY60">
            <v>0</v>
          </cell>
          <cell r="EZ60">
            <v>1</v>
          </cell>
          <cell r="FA60">
            <v>2</v>
          </cell>
          <cell r="FC60">
            <v>1</v>
          </cell>
          <cell r="FD60">
            <v>0</v>
          </cell>
          <cell r="FE60">
            <v>1</v>
          </cell>
          <cell r="FF60">
            <v>2</v>
          </cell>
          <cell r="FG60">
            <v>1</v>
          </cell>
          <cell r="FI60">
            <v>1</v>
          </cell>
          <cell r="FJ60">
            <v>0</v>
          </cell>
          <cell r="FK60">
            <v>0</v>
          </cell>
          <cell r="FL60">
            <v>0</v>
          </cell>
          <cell r="FM60">
            <v>0</v>
          </cell>
          <cell r="FN60">
            <v>0</v>
          </cell>
          <cell r="FO60">
            <v>1</v>
          </cell>
          <cell r="FP60">
            <v>0</v>
          </cell>
          <cell r="FQ60">
            <v>1</v>
          </cell>
          <cell r="FR60">
            <v>0</v>
          </cell>
          <cell r="FS60">
            <v>0</v>
          </cell>
          <cell r="FT60">
            <v>0</v>
          </cell>
          <cell r="FU60">
            <v>0</v>
          </cell>
          <cell r="FV60">
            <v>0</v>
          </cell>
          <cell r="FW60">
            <v>0</v>
          </cell>
          <cell r="FX60">
            <v>0</v>
          </cell>
          <cell r="FY60">
            <v>1</v>
          </cell>
          <cell r="FZ60">
            <v>1</v>
          </cell>
          <cell r="GA60">
            <v>0</v>
          </cell>
          <cell r="GB60">
            <v>0</v>
          </cell>
          <cell r="GC60">
            <v>0</v>
          </cell>
          <cell r="GD60">
            <v>0</v>
          </cell>
          <cell r="GE60">
            <v>0</v>
          </cell>
          <cell r="GF60">
            <v>1</v>
          </cell>
          <cell r="GG60">
            <v>1</v>
          </cell>
          <cell r="GH60">
            <v>0</v>
          </cell>
          <cell r="GI60">
            <v>1</v>
          </cell>
          <cell r="GJ60">
            <v>0</v>
          </cell>
          <cell r="GK60">
            <v>2</v>
          </cell>
          <cell r="GL60">
            <v>0</v>
          </cell>
          <cell r="GM60">
            <v>2</v>
          </cell>
          <cell r="GN60">
            <v>1</v>
          </cell>
        </row>
        <row r="61">
          <cell r="B61" t="str">
            <v>NEUPOGEN(OLD)</v>
          </cell>
          <cell r="C61" t="str">
            <v>AAI</v>
          </cell>
          <cell r="D61">
            <v>0</v>
          </cell>
          <cell r="E61">
            <v>1</v>
          </cell>
          <cell r="F61">
            <v>5</v>
          </cell>
          <cell r="G61">
            <v>0</v>
          </cell>
          <cell r="H61">
            <v>1</v>
          </cell>
          <cell r="I61">
            <v>2</v>
          </cell>
          <cell r="J61">
            <v>1</v>
          </cell>
          <cell r="K61">
            <v>1</v>
          </cell>
          <cell r="L61">
            <v>2</v>
          </cell>
          <cell r="M61">
            <v>0</v>
          </cell>
          <cell r="N61">
            <v>1</v>
          </cell>
          <cell r="O61">
            <v>2</v>
          </cell>
          <cell r="P61">
            <v>2</v>
          </cell>
          <cell r="Q61">
            <v>1</v>
          </cell>
          <cell r="R61">
            <v>0</v>
          </cell>
          <cell r="S61">
            <v>0</v>
          </cell>
          <cell r="T61">
            <v>0</v>
          </cell>
          <cell r="U61">
            <v>0</v>
          </cell>
          <cell r="V61">
            <v>0</v>
          </cell>
          <cell r="W61">
            <v>1</v>
          </cell>
          <cell r="X61">
            <v>2</v>
          </cell>
          <cell r="Y61">
            <v>1</v>
          </cell>
          <cell r="Z61">
            <v>1</v>
          </cell>
          <cell r="AA61">
            <v>0</v>
          </cell>
          <cell r="AB61">
            <v>0</v>
          </cell>
          <cell r="AC61">
            <v>1</v>
          </cell>
          <cell r="AD61">
            <v>0</v>
          </cell>
          <cell r="AE61">
            <v>0</v>
          </cell>
          <cell r="AF61">
            <v>9</v>
          </cell>
          <cell r="AG61">
            <v>0</v>
          </cell>
          <cell r="AH61">
            <v>1</v>
          </cell>
          <cell r="AI61">
            <v>5</v>
          </cell>
          <cell r="AJ61">
            <v>2</v>
          </cell>
          <cell r="AK61">
            <v>1</v>
          </cell>
          <cell r="AL61">
            <v>9</v>
          </cell>
          <cell r="AM61">
            <v>9</v>
          </cell>
          <cell r="AN61">
            <v>0</v>
          </cell>
          <cell r="AO61">
            <v>1</v>
          </cell>
          <cell r="AP61">
            <v>2</v>
          </cell>
          <cell r="AQ61">
            <v>1</v>
          </cell>
          <cell r="AR61">
            <v>1</v>
          </cell>
          <cell r="AS61">
            <v>4</v>
          </cell>
          <cell r="AT61">
            <v>1</v>
          </cell>
          <cell r="AU61">
            <v>1</v>
          </cell>
          <cell r="AV61">
            <v>3</v>
          </cell>
          <cell r="AW61">
            <v>0</v>
          </cell>
          <cell r="AX61">
            <v>1</v>
          </cell>
          <cell r="AY61">
            <v>1</v>
          </cell>
          <cell r="AZ61">
            <v>0</v>
          </cell>
          <cell r="BA61">
            <v>2</v>
          </cell>
          <cell r="BB61">
            <v>2</v>
          </cell>
          <cell r="BC61">
            <v>3</v>
          </cell>
          <cell r="BD61">
            <v>4</v>
          </cell>
          <cell r="BE61">
            <v>1</v>
          </cell>
          <cell r="BF61">
            <v>3</v>
          </cell>
          <cell r="BG61">
            <v>3</v>
          </cell>
          <cell r="BH61">
            <v>0</v>
          </cell>
          <cell r="BI61">
            <v>0</v>
          </cell>
          <cell r="BJ61">
            <v>0</v>
          </cell>
          <cell r="BK61">
            <v>5</v>
          </cell>
          <cell r="BL61">
            <v>0</v>
          </cell>
          <cell r="BM61">
            <v>3</v>
          </cell>
          <cell r="BN61">
            <v>0</v>
          </cell>
          <cell r="BO61">
            <v>0</v>
          </cell>
          <cell r="BP61">
            <v>0</v>
          </cell>
          <cell r="BQ61">
            <v>2</v>
          </cell>
          <cell r="BR61">
            <v>4</v>
          </cell>
          <cell r="BS61">
            <v>1</v>
          </cell>
          <cell r="BT61">
            <v>1</v>
          </cell>
          <cell r="BU61">
            <v>2</v>
          </cell>
          <cell r="BV61">
            <v>0</v>
          </cell>
          <cell r="BW61">
            <v>0</v>
          </cell>
          <cell r="BX61">
            <v>0</v>
          </cell>
          <cell r="BY61">
            <v>3</v>
          </cell>
          <cell r="BZ61">
            <v>0</v>
          </cell>
          <cell r="CA61">
            <v>0</v>
          </cell>
          <cell r="CB61">
            <v>4</v>
          </cell>
          <cell r="CC61">
            <v>0</v>
          </cell>
          <cell r="CD61">
            <v>0</v>
          </cell>
          <cell r="CE61">
            <v>1</v>
          </cell>
          <cell r="CF61">
            <v>2</v>
          </cell>
          <cell r="CG61">
            <v>1</v>
          </cell>
          <cell r="CH61">
            <v>5</v>
          </cell>
          <cell r="CI61">
            <v>2</v>
          </cell>
          <cell r="CJ61">
            <v>4</v>
          </cell>
          <cell r="CK61">
            <v>2</v>
          </cell>
          <cell r="CL61">
            <v>3</v>
          </cell>
          <cell r="CM61">
            <v>0</v>
          </cell>
          <cell r="CN61">
            <v>0</v>
          </cell>
          <cell r="CO61">
            <v>7</v>
          </cell>
          <cell r="CP61">
            <v>0</v>
          </cell>
          <cell r="CQ61">
            <v>2</v>
          </cell>
          <cell r="CR61">
            <v>6</v>
          </cell>
          <cell r="CS61">
            <v>1</v>
          </cell>
          <cell r="CT61">
            <v>0</v>
          </cell>
          <cell r="CU61">
            <v>0</v>
          </cell>
          <cell r="CV61">
            <v>1</v>
          </cell>
          <cell r="CW61">
            <v>0</v>
          </cell>
          <cell r="CX61">
            <v>0</v>
          </cell>
          <cell r="CY61">
            <v>3</v>
          </cell>
          <cell r="CZ61">
            <v>0</v>
          </cell>
          <cell r="DA61">
            <v>0</v>
          </cell>
          <cell r="DB61">
            <v>1</v>
          </cell>
          <cell r="DC61">
            <v>1</v>
          </cell>
          <cell r="DD61">
            <v>0</v>
          </cell>
          <cell r="DE61">
            <v>0</v>
          </cell>
          <cell r="DF61">
            <v>0</v>
          </cell>
          <cell r="DG61">
            <v>0</v>
          </cell>
          <cell r="DH61">
            <v>0</v>
          </cell>
          <cell r="DI61">
            <v>0</v>
          </cell>
          <cell r="DJ61">
            <v>0</v>
          </cell>
          <cell r="DK61">
            <v>5</v>
          </cell>
          <cell r="DL61">
            <v>0</v>
          </cell>
          <cell r="DM61">
            <v>8</v>
          </cell>
          <cell r="DN61">
            <v>0</v>
          </cell>
          <cell r="DO61">
            <v>1</v>
          </cell>
          <cell r="DP61">
            <v>0</v>
          </cell>
          <cell r="DQ61">
            <v>0</v>
          </cell>
          <cell r="DR61">
            <v>0</v>
          </cell>
          <cell r="DS61">
            <v>0</v>
          </cell>
          <cell r="DT61">
            <v>0</v>
          </cell>
          <cell r="DU61">
            <v>0</v>
          </cell>
          <cell r="DV61">
            <v>4</v>
          </cell>
          <cell r="DW61">
            <v>2</v>
          </cell>
          <cell r="DX61">
            <v>2</v>
          </cell>
          <cell r="DY61">
            <v>7</v>
          </cell>
          <cell r="DZ61">
            <v>0</v>
          </cell>
          <cell r="EB61">
            <v>0</v>
          </cell>
          <cell r="EC61">
            <v>1</v>
          </cell>
          <cell r="EH61">
            <v>3</v>
          </cell>
          <cell r="EI61">
            <v>1</v>
          </cell>
          <cell r="EO61">
            <v>0</v>
          </cell>
          <cell r="EZ61">
            <v>1</v>
          </cell>
          <cell r="FA61">
            <v>1</v>
          </cell>
          <cell r="FC61">
            <v>2</v>
          </cell>
          <cell r="FP61">
            <v>5</v>
          </cell>
          <cell r="FQ61">
            <v>1</v>
          </cell>
          <cell r="FT61">
            <v>1</v>
          </cell>
          <cell r="GH61">
            <v>4</v>
          </cell>
          <cell r="GI61">
            <v>3</v>
          </cell>
        </row>
        <row r="62">
          <cell r="B62" t="str">
            <v>NEUPOGEN</v>
          </cell>
          <cell r="C62" t="str">
            <v>AAI</v>
          </cell>
          <cell r="D62">
            <v>1503</v>
          </cell>
          <cell r="E62">
            <v>1253</v>
          </cell>
          <cell r="F62">
            <v>1491</v>
          </cell>
          <cell r="G62">
            <v>1483</v>
          </cell>
          <cell r="H62">
            <v>1519</v>
          </cell>
          <cell r="I62">
            <v>1533</v>
          </cell>
          <cell r="J62">
            <v>1521</v>
          </cell>
          <cell r="K62">
            <v>1531</v>
          </cell>
          <cell r="L62">
            <v>1476</v>
          </cell>
          <cell r="M62">
            <v>1618</v>
          </cell>
          <cell r="N62">
            <v>1404</v>
          </cell>
          <cell r="O62">
            <v>1552</v>
          </cell>
          <cell r="P62">
            <v>1496</v>
          </cell>
          <cell r="Q62">
            <v>1639</v>
          </cell>
          <cell r="R62">
            <v>1553</v>
          </cell>
          <cell r="S62">
            <v>1540</v>
          </cell>
          <cell r="T62">
            <v>1415</v>
          </cell>
          <cell r="U62">
            <v>1554</v>
          </cell>
          <cell r="V62">
            <v>1529</v>
          </cell>
          <cell r="W62">
            <v>1515</v>
          </cell>
          <cell r="X62">
            <v>1538</v>
          </cell>
          <cell r="Y62">
            <v>1336</v>
          </cell>
          <cell r="Z62">
            <v>1520</v>
          </cell>
          <cell r="AA62">
            <v>1539</v>
          </cell>
          <cell r="AB62">
            <v>1616</v>
          </cell>
          <cell r="AC62">
            <v>1635</v>
          </cell>
          <cell r="AD62">
            <v>1283</v>
          </cell>
          <cell r="AE62">
            <v>1353</v>
          </cell>
          <cell r="AF62">
            <v>1558</v>
          </cell>
          <cell r="AG62">
            <v>1552</v>
          </cell>
          <cell r="AH62">
            <v>1651</v>
          </cell>
          <cell r="AI62">
            <v>1575</v>
          </cell>
          <cell r="AJ62">
            <v>1653</v>
          </cell>
          <cell r="AK62">
            <v>1545</v>
          </cell>
          <cell r="AL62">
            <v>1496</v>
          </cell>
          <cell r="AM62">
            <v>1553</v>
          </cell>
          <cell r="AN62">
            <v>1526</v>
          </cell>
          <cell r="AO62">
            <v>1549</v>
          </cell>
          <cell r="AP62">
            <v>1480</v>
          </cell>
          <cell r="AQ62">
            <v>1450</v>
          </cell>
          <cell r="AR62">
            <v>1452</v>
          </cell>
          <cell r="AS62">
            <v>1437</v>
          </cell>
          <cell r="AT62">
            <v>1463</v>
          </cell>
          <cell r="AU62">
            <v>1477</v>
          </cell>
          <cell r="AV62">
            <v>1441</v>
          </cell>
          <cell r="AW62">
            <v>1544</v>
          </cell>
          <cell r="AX62">
            <v>1387</v>
          </cell>
          <cell r="AY62">
            <v>1513</v>
          </cell>
          <cell r="AZ62">
            <v>1397</v>
          </cell>
          <cell r="BA62">
            <v>1506</v>
          </cell>
          <cell r="BB62">
            <v>1575</v>
          </cell>
          <cell r="BC62">
            <v>1435</v>
          </cell>
          <cell r="BD62">
            <v>1393</v>
          </cell>
          <cell r="BE62">
            <v>1298</v>
          </cell>
          <cell r="BF62">
            <v>1542</v>
          </cell>
          <cell r="BG62">
            <v>1501</v>
          </cell>
          <cell r="BH62">
            <v>1514</v>
          </cell>
          <cell r="BI62">
            <v>1532</v>
          </cell>
          <cell r="BJ62">
            <v>1519</v>
          </cell>
          <cell r="BK62">
            <v>1509</v>
          </cell>
          <cell r="BL62">
            <v>1565</v>
          </cell>
          <cell r="BM62">
            <v>1616</v>
          </cell>
          <cell r="BN62">
            <v>1192</v>
          </cell>
          <cell r="BO62">
            <v>1568</v>
          </cell>
          <cell r="BP62">
            <v>1448</v>
          </cell>
          <cell r="BQ62">
            <v>1461</v>
          </cell>
          <cell r="BR62">
            <v>1438</v>
          </cell>
          <cell r="BS62">
            <v>1422</v>
          </cell>
          <cell r="BT62">
            <v>1566</v>
          </cell>
          <cell r="BU62">
            <v>1340</v>
          </cell>
          <cell r="BV62">
            <v>1452</v>
          </cell>
          <cell r="BW62">
            <v>1403</v>
          </cell>
          <cell r="BX62">
            <v>1430</v>
          </cell>
          <cell r="BY62">
            <v>1262</v>
          </cell>
          <cell r="BZ62">
            <v>1313</v>
          </cell>
          <cell r="CA62">
            <v>1326</v>
          </cell>
          <cell r="CB62">
            <v>1462</v>
          </cell>
          <cell r="CC62">
            <v>1435</v>
          </cell>
          <cell r="CD62">
            <v>1072</v>
          </cell>
          <cell r="CE62">
            <v>999</v>
          </cell>
          <cell r="CF62">
            <v>1310</v>
          </cell>
          <cell r="CG62">
            <v>1324</v>
          </cell>
          <cell r="CH62">
            <v>1367</v>
          </cell>
          <cell r="CI62">
            <v>1410</v>
          </cell>
          <cell r="CJ62">
            <v>1412</v>
          </cell>
          <cell r="CK62">
            <v>1243</v>
          </cell>
          <cell r="CL62">
            <v>1346</v>
          </cell>
          <cell r="CM62">
            <v>1500</v>
          </cell>
          <cell r="CN62">
            <v>1434</v>
          </cell>
          <cell r="CO62">
            <v>1510</v>
          </cell>
          <cell r="CP62">
            <v>1392</v>
          </cell>
          <cell r="CQ62">
            <v>1434</v>
          </cell>
          <cell r="CR62">
            <v>1420</v>
          </cell>
          <cell r="CS62">
            <v>1468</v>
          </cell>
          <cell r="CT62">
            <v>1394</v>
          </cell>
          <cell r="CU62">
            <v>1419</v>
          </cell>
          <cell r="CV62">
            <v>1354</v>
          </cell>
          <cell r="CW62">
            <v>1330</v>
          </cell>
          <cell r="CX62">
            <v>1394</v>
          </cell>
          <cell r="CY62">
            <v>1425</v>
          </cell>
          <cell r="CZ62">
            <v>1213</v>
          </cell>
          <cell r="DA62">
            <v>1541</v>
          </cell>
          <cell r="DB62">
            <v>1533</v>
          </cell>
          <cell r="DC62">
            <v>1447</v>
          </cell>
          <cell r="DD62">
            <v>1542</v>
          </cell>
          <cell r="DE62">
            <v>1291</v>
          </cell>
          <cell r="DF62">
            <v>1462</v>
          </cell>
          <cell r="DG62">
            <v>1546</v>
          </cell>
          <cell r="DH62">
            <v>1345</v>
          </cell>
          <cell r="DI62">
            <v>1397</v>
          </cell>
          <cell r="DJ62">
            <v>1336</v>
          </cell>
          <cell r="DK62">
            <v>1374</v>
          </cell>
          <cell r="DL62">
            <v>1372</v>
          </cell>
          <cell r="DM62">
            <v>1379</v>
          </cell>
          <cell r="DN62">
            <v>1018</v>
          </cell>
          <cell r="DO62">
            <v>1369</v>
          </cell>
          <cell r="DP62">
            <v>1361</v>
          </cell>
          <cell r="DQ62">
            <v>1340</v>
          </cell>
          <cell r="DR62">
            <v>1330</v>
          </cell>
          <cell r="DS62">
            <v>1389</v>
          </cell>
          <cell r="DT62">
            <v>1423</v>
          </cell>
          <cell r="DU62">
            <v>1403</v>
          </cell>
          <cell r="DV62">
            <v>1401</v>
          </cell>
          <cell r="DW62">
            <v>1319</v>
          </cell>
          <cell r="DX62">
            <v>1433</v>
          </cell>
          <cell r="DY62">
            <v>1260</v>
          </cell>
          <cell r="DZ62">
            <v>1075</v>
          </cell>
          <cell r="EA62">
            <v>1470</v>
          </cell>
          <cell r="EB62">
            <v>1253</v>
          </cell>
          <cell r="EC62">
            <v>1246</v>
          </cell>
          <cell r="ED62">
            <v>943</v>
          </cell>
          <cell r="EE62">
            <v>1038</v>
          </cell>
          <cell r="EF62">
            <v>1269</v>
          </cell>
          <cell r="EG62">
            <v>1260</v>
          </cell>
          <cell r="EH62">
            <v>1202</v>
          </cell>
          <cell r="EI62">
            <v>1292</v>
          </cell>
          <cell r="EJ62">
            <v>1224</v>
          </cell>
          <cell r="EK62">
            <v>1126</v>
          </cell>
          <cell r="EL62">
            <v>1242</v>
          </cell>
          <cell r="EM62">
            <v>1188</v>
          </cell>
          <cell r="EN62">
            <v>1183</v>
          </cell>
          <cell r="EO62">
            <v>1168</v>
          </cell>
          <cell r="EP62">
            <v>1281</v>
          </cell>
          <cell r="EQ62">
            <v>1206</v>
          </cell>
          <cell r="ER62">
            <v>1180</v>
          </cell>
          <cell r="ES62">
            <v>1226</v>
          </cell>
          <cell r="ET62">
            <v>1302</v>
          </cell>
          <cell r="EU62">
            <v>1213</v>
          </cell>
          <cell r="EV62">
            <v>1259</v>
          </cell>
          <cell r="EW62">
            <v>1335</v>
          </cell>
          <cell r="EX62">
            <v>1234</v>
          </cell>
          <cell r="EY62">
            <v>1335</v>
          </cell>
          <cell r="EZ62">
            <v>1018</v>
          </cell>
          <cell r="FA62">
            <v>1227</v>
          </cell>
          <cell r="FB62">
            <v>1260</v>
          </cell>
          <cell r="FC62">
            <v>1217</v>
          </cell>
          <cell r="FD62">
            <v>1259</v>
          </cell>
          <cell r="FE62">
            <v>1116</v>
          </cell>
          <cell r="FF62">
            <v>1182</v>
          </cell>
          <cell r="FG62">
            <v>1134</v>
          </cell>
          <cell r="FH62">
            <v>1148</v>
          </cell>
          <cell r="FI62">
            <v>1302</v>
          </cell>
          <cell r="FJ62">
            <v>1269</v>
          </cell>
          <cell r="FK62">
            <v>1276</v>
          </cell>
          <cell r="FL62">
            <v>1302</v>
          </cell>
          <cell r="FM62">
            <v>1266</v>
          </cell>
          <cell r="FN62">
            <v>1278</v>
          </cell>
          <cell r="FO62">
            <v>1055</v>
          </cell>
          <cell r="FP62">
            <v>1268</v>
          </cell>
          <cell r="FQ62">
            <v>1262</v>
          </cell>
          <cell r="FR62">
            <v>1266</v>
          </cell>
          <cell r="FS62">
            <v>1164</v>
          </cell>
          <cell r="FT62">
            <v>1209</v>
          </cell>
          <cell r="FU62">
            <v>1202</v>
          </cell>
          <cell r="FV62">
            <v>1122</v>
          </cell>
          <cell r="FW62">
            <v>1218</v>
          </cell>
          <cell r="FX62">
            <v>1205</v>
          </cell>
          <cell r="FY62">
            <v>1248</v>
          </cell>
          <cell r="FZ62">
            <v>1043</v>
          </cell>
          <cell r="GA62">
            <v>1272</v>
          </cell>
          <cell r="GB62">
            <v>1187</v>
          </cell>
          <cell r="GC62">
            <v>1272</v>
          </cell>
          <cell r="GD62">
            <v>1094</v>
          </cell>
          <cell r="GE62">
            <v>1037</v>
          </cell>
          <cell r="GF62">
            <v>1191</v>
          </cell>
          <cell r="GG62">
            <v>1235</v>
          </cell>
          <cell r="GH62">
            <v>1200</v>
          </cell>
          <cell r="GI62">
            <v>1109</v>
          </cell>
          <cell r="GJ62">
            <v>1203</v>
          </cell>
          <cell r="GK62">
            <v>1088</v>
          </cell>
          <cell r="GL62">
            <v>1076</v>
          </cell>
          <cell r="GM62">
            <v>1204</v>
          </cell>
          <cell r="GN62">
            <v>1119</v>
          </cell>
        </row>
        <row r="63">
          <cell r="B63" t="str">
            <v>NEULASTA</v>
          </cell>
          <cell r="C63" t="str">
            <v>AAI</v>
          </cell>
          <cell r="D63">
            <v>601</v>
          </cell>
          <cell r="E63">
            <v>439</v>
          </cell>
          <cell r="F63">
            <v>574</v>
          </cell>
          <cell r="G63">
            <v>556</v>
          </cell>
          <cell r="H63">
            <v>538</v>
          </cell>
          <cell r="I63">
            <v>555</v>
          </cell>
          <cell r="J63">
            <v>583</v>
          </cell>
          <cell r="K63">
            <v>539</v>
          </cell>
          <cell r="L63">
            <v>561</v>
          </cell>
          <cell r="M63">
            <v>598</v>
          </cell>
          <cell r="N63">
            <v>487</v>
          </cell>
          <cell r="O63">
            <v>545</v>
          </cell>
          <cell r="P63">
            <v>519</v>
          </cell>
          <cell r="Q63">
            <v>563</v>
          </cell>
          <cell r="R63">
            <v>613</v>
          </cell>
          <cell r="S63">
            <v>563</v>
          </cell>
          <cell r="T63">
            <v>586</v>
          </cell>
          <cell r="U63">
            <v>523</v>
          </cell>
          <cell r="V63">
            <v>625</v>
          </cell>
          <cell r="W63">
            <v>519</v>
          </cell>
          <cell r="X63">
            <v>610</v>
          </cell>
          <cell r="Y63">
            <v>484</v>
          </cell>
          <cell r="Z63">
            <v>571</v>
          </cell>
          <cell r="AA63">
            <v>605</v>
          </cell>
          <cell r="AB63">
            <v>566</v>
          </cell>
          <cell r="AC63">
            <v>613</v>
          </cell>
          <cell r="AD63">
            <v>447</v>
          </cell>
          <cell r="AE63">
            <v>456</v>
          </cell>
          <cell r="AF63">
            <v>632</v>
          </cell>
          <cell r="AG63">
            <v>523</v>
          </cell>
          <cell r="AH63">
            <v>551</v>
          </cell>
          <cell r="AI63">
            <v>643</v>
          </cell>
          <cell r="AJ63">
            <v>609</v>
          </cell>
          <cell r="AK63">
            <v>566</v>
          </cell>
          <cell r="AL63">
            <v>651</v>
          </cell>
          <cell r="AM63">
            <v>598</v>
          </cell>
          <cell r="AN63">
            <v>602</v>
          </cell>
          <cell r="AO63">
            <v>601</v>
          </cell>
          <cell r="AP63">
            <v>529</v>
          </cell>
          <cell r="AQ63">
            <v>587</v>
          </cell>
          <cell r="AR63">
            <v>580</v>
          </cell>
          <cell r="AS63">
            <v>578</v>
          </cell>
          <cell r="AT63">
            <v>521</v>
          </cell>
          <cell r="AU63">
            <v>607</v>
          </cell>
          <cell r="AV63">
            <v>548</v>
          </cell>
          <cell r="AW63">
            <v>550</v>
          </cell>
          <cell r="AX63">
            <v>619</v>
          </cell>
          <cell r="AY63">
            <v>626</v>
          </cell>
          <cell r="AZ63">
            <v>515</v>
          </cell>
          <cell r="BA63">
            <v>599</v>
          </cell>
          <cell r="BB63">
            <v>595</v>
          </cell>
          <cell r="BC63">
            <v>558</v>
          </cell>
          <cell r="BD63">
            <v>643</v>
          </cell>
          <cell r="BE63">
            <v>421</v>
          </cell>
          <cell r="BF63">
            <v>608</v>
          </cell>
          <cell r="BG63">
            <v>619</v>
          </cell>
          <cell r="BH63">
            <v>607</v>
          </cell>
          <cell r="BI63">
            <v>571</v>
          </cell>
          <cell r="BJ63">
            <v>616</v>
          </cell>
          <cell r="BK63">
            <v>589</v>
          </cell>
          <cell r="BL63">
            <v>612</v>
          </cell>
          <cell r="BM63">
            <v>654</v>
          </cell>
          <cell r="BN63">
            <v>470</v>
          </cell>
          <cell r="BO63">
            <v>590</v>
          </cell>
          <cell r="BP63">
            <v>604</v>
          </cell>
          <cell r="BQ63">
            <v>584</v>
          </cell>
          <cell r="BR63">
            <v>523</v>
          </cell>
          <cell r="BS63">
            <v>534</v>
          </cell>
          <cell r="BT63">
            <v>605</v>
          </cell>
          <cell r="BU63">
            <v>494</v>
          </cell>
          <cell r="BV63">
            <v>546</v>
          </cell>
          <cell r="BW63">
            <v>524</v>
          </cell>
          <cell r="BX63">
            <v>573</v>
          </cell>
          <cell r="BY63">
            <v>448</v>
          </cell>
          <cell r="BZ63">
            <v>594</v>
          </cell>
          <cell r="CA63">
            <v>672</v>
          </cell>
          <cell r="CB63">
            <v>542</v>
          </cell>
          <cell r="CC63">
            <v>635</v>
          </cell>
          <cell r="CD63">
            <v>439</v>
          </cell>
          <cell r="CE63">
            <v>440</v>
          </cell>
          <cell r="CF63">
            <v>638</v>
          </cell>
          <cell r="CG63">
            <v>521</v>
          </cell>
          <cell r="CH63">
            <v>557</v>
          </cell>
          <cell r="CI63">
            <v>563</v>
          </cell>
          <cell r="CJ63">
            <v>585</v>
          </cell>
          <cell r="CK63">
            <v>557</v>
          </cell>
          <cell r="CL63">
            <v>567</v>
          </cell>
          <cell r="CM63">
            <v>497</v>
          </cell>
          <cell r="CN63">
            <v>587</v>
          </cell>
          <cell r="CO63">
            <v>511</v>
          </cell>
          <cell r="CP63">
            <v>528</v>
          </cell>
          <cell r="CQ63">
            <v>603</v>
          </cell>
          <cell r="CR63">
            <v>555</v>
          </cell>
          <cell r="CS63">
            <v>565</v>
          </cell>
          <cell r="CT63">
            <v>601</v>
          </cell>
          <cell r="CU63">
            <v>565</v>
          </cell>
          <cell r="CV63">
            <v>599</v>
          </cell>
          <cell r="CW63">
            <v>593</v>
          </cell>
          <cell r="CX63">
            <v>547</v>
          </cell>
          <cell r="CY63">
            <v>611</v>
          </cell>
          <cell r="CZ63">
            <v>525</v>
          </cell>
          <cell r="DA63">
            <v>676</v>
          </cell>
          <cell r="DB63">
            <v>632</v>
          </cell>
          <cell r="DC63">
            <v>646</v>
          </cell>
          <cell r="DD63">
            <v>623</v>
          </cell>
          <cell r="DE63">
            <v>526</v>
          </cell>
          <cell r="DF63">
            <v>641</v>
          </cell>
          <cell r="DG63">
            <v>584</v>
          </cell>
          <cell r="DH63">
            <v>627</v>
          </cell>
          <cell r="DI63">
            <v>598</v>
          </cell>
          <cell r="DJ63">
            <v>588</v>
          </cell>
          <cell r="DK63">
            <v>585</v>
          </cell>
          <cell r="DL63">
            <v>615</v>
          </cell>
          <cell r="DM63">
            <v>691</v>
          </cell>
          <cell r="DN63">
            <v>532</v>
          </cell>
          <cell r="DO63">
            <v>593</v>
          </cell>
          <cell r="DP63">
            <v>544</v>
          </cell>
          <cell r="DQ63">
            <v>512</v>
          </cell>
          <cell r="DR63">
            <v>560</v>
          </cell>
          <cell r="DS63">
            <v>503</v>
          </cell>
          <cell r="DT63">
            <v>504</v>
          </cell>
          <cell r="DU63">
            <v>590</v>
          </cell>
          <cell r="DV63">
            <v>549</v>
          </cell>
          <cell r="DW63">
            <v>513</v>
          </cell>
          <cell r="DX63">
            <v>558</v>
          </cell>
          <cell r="DY63">
            <v>600</v>
          </cell>
          <cell r="DZ63">
            <v>455</v>
          </cell>
          <cell r="EA63">
            <v>629</v>
          </cell>
          <cell r="EB63">
            <v>630</v>
          </cell>
          <cell r="EC63">
            <v>547</v>
          </cell>
          <cell r="ED63">
            <v>404</v>
          </cell>
          <cell r="EE63">
            <v>447</v>
          </cell>
          <cell r="EF63">
            <v>493</v>
          </cell>
          <cell r="EG63">
            <v>575</v>
          </cell>
          <cell r="EH63">
            <v>474</v>
          </cell>
          <cell r="EI63">
            <v>510</v>
          </cell>
          <cell r="EJ63">
            <v>496</v>
          </cell>
          <cell r="EK63">
            <v>506</v>
          </cell>
          <cell r="EL63">
            <v>528</v>
          </cell>
          <cell r="EM63">
            <v>504</v>
          </cell>
          <cell r="EN63">
            <v>463</v>
          </cell>
          <cell r="EO63">
            <v>513</v>
          </cell>
          <cell r="EP63">
            <v>546</v>
          </cell>
          <cell r="EQ63">
            <v>591</v>
          </cell>
          <cell r="ER63">
            <v>538</v>
          </cell>
          <cell r="ES63">
            <v>573</v>
          </cell>
          <cell r="ET63">
            <v>493</v>
          </cell>
          <cell r="EU63">
            <v>549</v>
          </cell>
          <cell r="EV63">
            <v>586</v>
          </cell>
          <cell r="EW63">
            <v>512</v>
          </cell>
          <cell r="EX63">
            <v>515</v>
          </cell>
          <cell r="EY63">
            <v>564</v>
          </cell>
          <cell r="EZ63">
            <v>524</v>
          </cell>
          <cell r="FA63">
            <v>494</v>
          </cell>
          <cell r="FB63">
            <v>524</v>
          </cell>
          <cell r="FC63">
            <v>475</v>
          </cell>
          <cell r="FD63">
            <v>541</v>
          </cell>
          <cell r="FE63">
            <v>488</v>
          </cell>
          <cell r="FF63">
            <v>549</v>
          </cell>
          <cell r="FG63">
            <v>477</v>
          </cell>
          <cell r="FH63">
            <v>495</v>
          </cell>
          <cell r="FI63">
            <v>551</v>
          </cell>
          <cell r="FJ63">
            <v>508</v>
          </cell>
          <cell r="FK63">
            <v>504</v>
          </cell>
          <cell r="FL63">
            <v>529</v>
          </cell>
          <cell r="FM63">
            <v>569</v>
          </cell>
          <cell r="FN63">
            <v>549</v>
          </cell>
          <cell r="FO63">
            <v>463</v>
          </cell>
          <cell r="FP63">
            <v>550</v>
          </cell>
          <cell r="FQ63">
            <v>604</v>
          </cell>
          <cell r="FR63">
            <v>521</v>
          </cell>
          <cell r="FS63">
            <v>466</v>
          </cell>
          <cell r="FT63">
            <v>544</v>
          </cell>
          <cell r="FU63">
            <v>522</v>
          </cell>
          <cell r="FV63">
            <v>516</v>
          </cell>
          <cell r="FW63">
            <v>446</v>
          </cell>
          <cell r="FX63">
            <v>486</v>
          </cell>
          <cell r="FY63">
            <v>592</v>
          </cell>
          <cell r="FZ63">
            <v>379</v>
          </cell>
          <cell r="GA63">
            <v>493</v>
          </cell>
          <cell r="GB63">
            <v>493</v>
          </cell>
          <cell r="GC63">
            <v>512</v>
          </cell>
          <cell r="GD63">
            <v>371</v>
          </cell>
          <cell r="GE63">
            <v>419</v>
          </cell>
          <cell r="GF63">
            <v>504</v>
          </cell>
          <cell r="GG63">
            <v>494</v>
          </cell>
          <cell r="GH63">
            <v>431</v>
          </cell>
          <cell r="GI63">
            <v>492</v>
          </cell>
          <cell r="GJ63">
            <v>497</v>
          </cell>
          <cell r="GK63">
            <v>445</v>
          </cell>
          <cell r="GL63">
            <v>449</v>
          </cell>
          <cell r="GM63">
            <v>525</v>
          </cell>
          <cell r="GN63">
            <v>495</v>
          </cell>
        </row>
        <row r="64">
          <cell r="B64" t="str">
            <v>NORVIR</v>
          </cell>
          <cell r="C64" t="str">
            <v>ABT</v>
          </cell>
          <cell r="D64">
            <v>4216</v>
          </cell>
          <cell r="E64">
            <v>3828</v>
          </cell>
          <cell r="F64">
            <v>4382</v>
          </cell>
          <cell r="G64">
            <v>4269</v>
          </cell>
          <cell r="H64">
            <v>4342</v>
          </cell>
          <cell r="I64">
            <v>4408</v>
          </cell>
          <cell r="J64">
            <v>4489</v>
          </cell>
          <cell r="K64">
            <v>4584</v>
          </cell>
          <cell r="L64">
            <v>4486</v>
          </cell>
          <cell r="M64">
            <v>4413</v>
          </cell>
          <cell r="N64">
            <v>3851</v>
          </cell>
          <cell r="O64">
            <v>4411</v>
          </cell>
          <cell r="P64">
            <v>4421</v>
          </cell>
          <cell r="Q64">
            <v>4281</v>
          </cell>
          <cell r="R64">
            <v>4640</v>
          </cell>
          <cell r="S64">
            <v>4667</v>
          </cell>
          <cell r="T64">
            <v>4442</v>
          </cell>
          <cell r="U64">
            <v>4447</v>
          </cell>
          <cell r="V64">
            <v>4427</v>
          </cell>
          <cell r="W64">
            <v>4515</v>
          </cell>
          <cell r="X64">
            <v>4465</v>
          </cell>
          <cell r="Y64">
            <v>3841</v>
          </cell>
          <cell r="Z64">
            <v>4818</v>
          </cell>
          <cell r="AA64">
            <v>4757</v>
          </cell>
          <cell r="AB64">
            <v>4677</v>
          </cell>
          <cell r="AC64">
            <v>4740</v>
          </cell>
          <cell r="AD64">
            <v>3856</v>
          </cell>
          <cell r="AE64">
            <v>4226</v>
          </cell>
          <cell r="AF64">
            <v>4901</v>
          </cell>
          <cell r="AG64">
            <v>4562</v>
          </cell>
          <cell r="AH64">
            <v>4908</v>
          </cell>
          <cell r="AI64">
            <v>5009</v>
          </cell>
          <cell r="AJ64">
            <v>4782</v>
          </cell>
          <cell r="AK64">
            <v>4581</v>
          </cell>
          <cell r="AL64">
            <v>4609</v>
          </cell>
          <cell r="AM64">
            <v>4883</v>
          </cell>
          <cell r="AN64">
            <v>4967</v>
          </cell>
          <cell r="AO64">
            <v>4785</v>
          </cell>
          <cell r="AP64">
            <v>4622</v>
          </cell>
          <cell r="AQ64">
            <v>4535</v>
          </cell>
          <cell r="AR64">
            <v>4998</v>
          </cell>
          <cell r="AS64">
            <v>4858</v>
          </cell>
          <cell r="AT64">
            <v>4936</v>
          </cell>
          <cell r="AU64">
            <v>4845</v>
          </cell>
          <cell r="AV64">
            <v>4949</v>
          </cell>
          <cell r="AW64">
            <v>4958</v>
          </cell>
          <cell r="AX64">
            <v>4800</v>
          </cell>
          <cell r="AY64">
            <v>4834</v>
          </cell>
          <cell r="AZ64">
            <v>4555</v>
          </cell>
          <cell r="BA64">
            <v>5278</v>
          </cell>
          <cell r="BB64">
            <v>4931</v>
          </cell>
          <cell r="BC64">
            <v>4902</v>
          </cell>
          <cell r="BD64">
            <v>5036</v>
          </cell>
          <cell r="BE64">
            <v>4445</v>
          </cell>
          <cell r="BF64">
            <v>5068</v>
          </cell>
          <cell r="BG64">
            <v>4878</v>
          </cell>
          <cell r="BH64">
            <v>4952</v>
          </cell>
          <cell r="BI64">
            <v>5252</v>
          </cell>
          <cell r="BJ64">
            <v>5096</v>
          </cell>
          <cell r="BK64">
            <v>4890</v>
          </cell>
          <cell r="BL64">
            <v>5008</v>
          </cell>
          <cell r="BM64">
            <v>4988</v>
          </cell>
          <cell r="BN64">
            <v>4538</v>
          </cell>
          <cell r="BO64">
            <v>5197</v>
          </cell>
          <cell r="BP64">
            <v>5203</v>
          </cell>
          <cell r="BQ64">
            <v>5259</v>
          </cell>
          <cell r="BR64">
            <v>5388</v>
          </cell>
          <cell r="BS64">
            <v>5348</v>
          </cell>
          <cell r="BT64">
            <v>5238</v>
          </cell>
          <cell r="BU64">
            <v>5107</v>
          </cell>
          <cell r="BV64">
            <v>5348</v>
          </cell>
          <cell r="BW64">
            <v>5436</v>
          </cell>
          <cell r="BX64">
            <v>5376</v>
          </cell>
          <cell r="BY64">
            <v>4406</v>
          </cell>
          <cell r="BZ64">
            <v>5730</v>
          </cell>
          <cell r="CA64">
            <v>5584</v>
          </cell>
          <cell r="CB64">
            <v>5480</v>
          </cell>
          <cell r="CC64">
            <v>5586</v>
          </cell>
          <cell r="CD64">
            <v>4341</v>
          </cell>
          <cell r="CE64">
            <v>4752</v>
          </cell>
          <cell r="CF64">
            <v>5995</v>
          </cell>
          <cell r="CG64">
            <v>5803</v>
          </cell>
          <cell r="CH64">
            <v>5466</v>
          </cell>
          <cell r="CI64">
            <v>5782</v>
          </cell>
          <cell r="CJ64">
            <v>5914</v>
          </cell>
          <cell r="CK64">
            <v>5831</v>
          </cell>
          <cell r="CL64">
            <v>5533</v>
          </cell>
          <cell r="CM64">
            <v>5919</v>
          </cell>
          <cell r="CN64">
            <v>6465</v>
          </cell>
          <cell r="CO64">
            <v>6092</v>
          </cell>
          <cell r="CP64">
            <v>5750</v>
          </cell>
          <cell r="CQ64">
            <v>5491</v>
          </cell>
          <cell r="CR64">
            <v>6038</v>
          </cell>
          <cell r="CS64">
            <v>6041</v>
          </cell>
          <cell r="CT64">
            <v>5983</v>
          </cell>
          <cell r="CU64">
            <v>5850</v>
          </cell>
          <cell r="CV64">
            <v>5921</v>
          </cell>
          <cell r="CW64">
            <v>6114</v>
          </cell>
          <cell r="CX64">
            <v>5849</v>
          </cell>
          <cell r="CY64">
            <v>5924</v>
          </cell>
          <cell r="CZ64">
            <v>5376</v>
          </cell>
          <cell r="DA64">
            <v>6437</v>
          </cell>
          <cell r="DB64">
            <v>5857</v>
          </cell>
          <cell r="DC64">
            <v>5656</v>
          </cell>
          <cell r="DD64">
            <v>5797</v>
          </cell>
          <cell r="DE64">
            <v>5586</v>
          </cell>
          <cell r="DF64">
            <v>5949</v>
          </cell>
          <cell r="DG64">
            <v>6218</v>
          </cell>
          <cell r="DH64">
            <v>6042</v>
          </cell>
          <cell r="DI64">
            <v>6088</v>
          </cell>
          <cell r="DJ64">
            <v>5841</v>
          </cell>
          <cell r="DK64">
            <v>6080</v>
          </cell>
          <cell r="DL64">
            <v>5973</v>
          </cell>
          <cell r="DM64">
            <v>6053</v>
          </cell>
          <cell r="DN64">
            <v>5984</v>
          </cell>
          <cell r="DO64">
            <v>6621</v>
          </cell>
          <cell r="DP64">
            <v>6580</v>
          </cell>
          <cell r="DQ64">
            <v>6379</v>
          </cell>
          <cell r="DR64">
            <v>6681</v>
          </cell>
          <cell r="DS64">
            <v>6563</v>
          </cell>
          <cell r="DT64">
            <v>6226</v>
          </cell>
          <cell r="DU64">
            <v>6320</v>
          </cell>
          <cell r="DV64">
            <v>6132</v>
          </cell>
          <cell r="DW64">
            <v>6605</v>
          </cell>
          <cell r="DX64">
            <v>6474</v>
          </cell>
          <cell r="DY64">
            <v>6647</v>
          </cell>
          <cell r="DZ64">
            <v>5445</v>
          </cell>
          <cell r="EA64">
            <v>7066</v>
          </cell>
          <cell r="EB64">
            <v>6864</v>
          </cell>
          <cell r="EC64">
            <v>6800</v>
          </cell>
          <cell r="ED64">
            <v>5204</v>
          </cell>
          <cell r="EE64">
            <v>5847</v>
          </cell>
          <cell r="EF64">
            <v>7220</v>
          </cell>
          <cell r="EG64">
            <v>7041</v>
          </cell>
          <cell r="EH64">
            <v>6438</v>
          </cell>
          <cell r="EI64">
            <v>6725</v>
          </cell>
          <cell r="EJ64">
            <v>7118</v>
          </cell>
          <cell r="EK64">
            <v>6885</v>
          </cell>
          <cell r="EL64">
            <v>6641</v>
          </cell>
          <cell r="EM64">
            <v>6878</v>
          </cell>
          <cell r="EN64">
            <v>7200</v>
          </cell>
          <cell r="EO64">
            <v>6871</v>
          </cell>
          <cell r="EP64">
            <v>6989</v>
          </cell>
          <cell r="EQ64">
            <v>6735</v>
          </cell>
          <cell r="ER64">
            <v>7026</v>
          </cell>
          <cell r="ES64">
            <v>7208</v>
          </cell>
          <cell r="ET64">
            <v>7011</v>
          </cell>
          <cell r="EU64">
            <v>6873</v>
          </cell>
          <cell r="EV64">
            <v>7190</v>
          </cell>
          <cell r="EW64">
            <v>7403</v>
          </cell>
          <cell r="EX64">
            <v>7132</v>
          </cell>
          <cell r="EY64">
            <v>6899</v>
          </cell>
          <cell r="EZ64">
            <v>6488</v>
          </cell>
          <cell r="FA64">
            <v>7520</v>
          </cell>
          <cell r="FB64">
            <v>7307</v>
          </cell>
          <cell r="FC64">
            <v>6762</v>
          </cell>
          <cell r="FD64">
            <v>6932</v>
          </cell>
          <cell r="FE64">
            <v>7150</v>
          </cell>
          <cell r="FF64">
            <v>6318</v>
          </cell>
          <cell r="FG64">
            <v>6517</v>
          </cell>
          <cell r="FH64">
            <v>6254</v>
          </cell>
          <cell r="FI64">
            <v>7020</v>
          </cell>
          <cell r="FJ64">
            <v>7471</v>
          </cell>
          <cell r="FK64">
            <v>7174</v>
          </cell>
          <cell r="FL64">
            <v>7211</v>
          </cell>
          <cell r="FM64">
            <v>7076</v>
          </cell>
          <cell r="FN64">
            <v>7484</v>
          </cell>
          <cell r="FO64">
            <v>6770</v>
          </cell>
          <cell r="FP64">
            <v>7413</v>
          </cell>
          <cell r="FQ64">
            <v>7446</v>
          </cell>
          <cell r="FR64">
            <v>7816</v>
          </cell>
          <cell r="FS64">
            <v>7462</v>
          </cell>
          <cell r="FT64">
            <v>7402</v>
          </cell>
          <cell r="FU64">
            <v>7338</v>
          </cell>
          <cell r="FV64">
            <v>7428</v>
          </cell>
          <cell r="FW64">
            <v>7626</v>
          </cell>
          <cell r="FX64">
            <v>7604</v>
          </cell>
          <cell r="FY64">
            <v>7986</v>
          </cell>
          <cell r="FZ64">
            <v>6599</v>
          </cell>
          <cell r="GA64">
            <v>8291</v>
          </cell>
          <cell r="GB64">
            <v>8083</v>
          </cell>
          <cell r="GC64">
            <v>7895</v>
          </cell>
          <cell r="GD64">
            <v>6405</v>
          </cell>
          <cell r="GE64">
            <v>7097</v>
          </cell>
          <cell r="GF64">
            <v>8302</v>
          </cell>
          <cell r="GG64">
            <v>8299</v>
          </cell>
          <cell r="GH64">
            <v>7649</v>
          </cell>
          <cell r="GI64">
            <v>8081</v>
          </cell>
          <cell r="GJ64">
            <v>8451</v>
          </cell>
          <cell r="GK64">
            <v>7877</v>
          </cell>
          <cell r="GL64">
            <v>7726</v>
          </cell>
          <cell r="GM64">
            <v>8155</v>
          </cell>
          <cell r="GN64">
            <v>8751</v>
          </cell>
        </row>
        <row r="65">
          <cell r="B65" t="str">
            <v>ORENCIA</v>
          </cell>
          <cell r="C65" t="str">
            <v>BMP</v>
          </cell>
          <cell r="D65">
            <v>50</v>
          </cell>
          <cell r="E65">
            <v>14</v>
          </cell>
          <cell r="F65">
            <v>54</v>
          </cell>
          <cell r="G65">
            <v>50</v>
          </cell>
          <cell r="H65">
            <v>53</v>
          </cell>
          <cell r="I65">
            <v>48</v>
          </cell>
          <cell r="J65">
            <v>63</v>
          </cell>
          <cell r="K65">
            <v>55</v>
          </cell>
          <cell r="L65">
            <v>66</v>
          </cell>
          <cell r="M65">
            <v>44</v>
          </cell>
          <cell r="N65">
            <v>52</v>
          </cell>
          <cell r="O65">
            <v>69</v>
          </cell>
          <cell r="P65">
            <v>58</v>
          </cell>
          <cell r="Q65">
            <v>56</v>
          </cell>
          <cell r="R65">
            <v>82</v>
          </cell>
          <cell r="S65">
            <v>60</v>
          </cell>
          <cell r="T65">
            <v>53</v>
          </cell>
          <cell r="U65">
            <v>71</v>
          </cell>
          <cell r="V65">
            <v>70</v>
          </cell>
          <cell r="W65">
            <v>68</v>
          </cell>
          <cell r="X65">
            <v>78</v>
          </cell>
          <cell r="Y65">
            <v>53</v>
          </cell>
          <cell r="Z65">
            <v>56</v>
          </cell>
          <cell r="AA65">
            <v>79</v>
          </cell>
          <cell r="AB65">
            <v>87</v>
          </cell>
          <cell r="AC65">
            <v>80</v>
          </cell>
          <cell r="AD65">
            <v>60</v>
          </cell>
          <cell r="AE65">
            <v>58</v>
          </cell>
          <cell r="AF65">
            <v>67</v>
          </cell>
          <cell r="AG65">
            <v>81</v>
          </cell>
          <cell r="AH65">
            <v>76</v>
          </cell>
          <cell r="AI65">
            <v>80</v>
          </cell>
          <cell r="AJ65">
            <v>104</v>
          </cell>
          <cell r="AK65">
            <v>58</v>
          </cell>
          <cell r="AL65">
            <v>86</v>
          </cell>
          <cell r="AM65">
            <v>84</v>
          </cell>
          <cell r="AN65">
            <v>88</v>
          </cell>
          <cell r="AO65">
            <v>58</v>
          </cell>
          <cell r="AP65">
            <v>59</v>
          </cell>
          <cell r="AQ65">
            <v>44</v>
          </cell>
          <cell r="AR65">
            <v>57</v>
          </cell>
          <cell r="AS65">
            <v>42</v>
          </cell>
          <cell r="AT65">
            <v>37</v>
          </cell>
          <cell r="AU65">
            <v>49</v>
          </cell>
          <cell r="AV65">
            <v>37</v>
          </cell>
          <cell r="AW65">
            <v>49</v>
          </cell>
          <cell r="AX65">
            <v>42</v>
          </cell>
          <cell r="AY65">
            <v>51</v>
          </cell>
          <cell r="AZ65">
            <v>55</v>
          </cell>
          <cell r="BA65">
            <v>62</v>
          </cell>
          <cell r="BB65">
            <v>51</v>
          </cell>
          <cell r="BC65">
            <v>53</v>
          </cell>
          <cell r="BD65">
            <v>55</v>
          </cell>
          <cell r="BE65">
            <v>53</v>
          </cell>
          <cell r="BF65">
            <v>62</v>
          </cell>
          <cell r="BG65">
            <v>63</v>
          </cell>
          <cell r="BH65">
            <v>63</v>
          </cell>
          <cell r="BI65">
            <v>63</v>
          </cell>
          <cell r="BJ65">
            <v>52</v>
          </cell>
          <cell r="BK65">
            <v>64</v>
          </cell>
          <cell r="BL65">
            <v>80</v>
          </cell>
          <cell r="BM65">
            <v>72</v>
          </cell>
          <cell r="BN65">
            <v>36</v>
          </cell>
          <cell r="BO65">
            <v>65</v>
          </cell>
          <cell r="BP65">
            <v>78</v>
          </cell>
          <cell r="BQ65">
            <v>72</v>
          </cell>
          <cell r="BR65">
            <v>73</v>
          </cell>
          <cell r="BS65">
            <v>54</v>
          </cell>
          <cell r="BT65">
            <v>68</v>
          </cell>
          <cell r="BU65">
            <v>84</v>
          </cell>
          <cell r="BV65">
            <v>80</v>
          </cell>
          <cell r="BW65">
            <v>78</v>
          </cell>
          <cell r="BX65">
            <v>93</v>
          </cell>
          <cell r="BY65">
            <v>43</v>
          </cell>
          <cell r="BZ65">
            <v>74</v>
          </cell>
          <cell r="CA65">
            <v>65</v>
          </cell>
          <cell r="CB65">
            <v>84</v>
          </cell>
          <cell r="CC65">
            <v>59</v>
          </cell>
          <cell r="CD65">
            <v>44</v>
          </cell>
          <cell r="CE65">
            <v>69</v>
          </cell>
          <cell r="CF65">
            <v>82</v>
          </cell>
          <cell r="CG65">
            <v>73</v>
          </cell>
          <cell r="CH65">
            <v>59</v>
          </cell>
          <cell r="CI65">
            <v>82</v>
          </cell>
          <cell r="CJ65">
            <v>77</v>
          </cell>
          <cell r="CK65">
            <v>80</v>
          </cell>
          <cell r="CL65">
            <v>72</v>
          </cell>
          <cell r="CM65">
            <v>92</v>
          </cell>
          <cell r="CN65">
            <v>113</v>
          </cell>
          <cell r="CO65">
            <v>104</v>
          </cell>
          <cell r="CP65">
            <v>92</v>
          </cell>
          <cell r="CQ65">
            <v>88</v>
          </cell>
          <cell r="CR65">
            <v>115</v>
          </cell>
          <cell r="CS65">
            <v>117</v>
          </cell>
          <cell r="CT65">
            <v>88</v>
          </cell>
          <cell r="CU65">
            <v>106</v>
          </cell>
          <cell r="CV65">
            <v>100</v>
          </cell>
          <cell r="CW65">
            <v>107</v>
          </cell>
          <cell r="CX65">
            <v>132</v>
          </cell>
          <cell r="CY65">
            <v>113</v>
          </cell>
          <cell r="CZ65">
            <v>114</v>
          </cell>
          <cell r="DA65">
            <v>127</v>
          </cell>
          <cell r="DB65">
            <v>127</v>
          </cell>
          <cell r="DC65">
            <v>111</v>
          </cell>
          <cell r="DD65">
            <v>141</v>
          </cell>
          <cell r="DE65">
            <v>117</v>
          </cell>
          <cell r="DF65">
            <v>126</v>
          </cell>
          <cell r="DG65">
            <v>126</v>
          </cell>
          <cell r="DH65">
            <v>127</v>
          </cell>
          <cell r="DI65">
            <v>119</v>
          </cell>
          <cell r="DJ65">
            <v>142</v>
          </cell>
          <cell r="DK65">
            <v>110</v>
          </cell>
          <cell r="DL65">
            <v>123</v>
          </cell>
          <cell r="DM65">
            <v>128</v>
          </cell>
          <cell r="DN65">
            <v>115</v>
          </cell>
          <cell r="DO65">
            <v>142</v>
          </cell>
          <cell r="DP65">
            <v>109</v>
          </cell>
          <cell r="DQ65">
            <v>136</v>
          </cell>
          <cell r="DR65">
            <v>165</v>
          </cell>
          <cell r="DS65">
            <v>169</v>
          </cell>
          <cell r="DT65">
            <v>167</v>
          </cell>
          <cell r="DU65">
            <v>156</v>
          </cell>
          <cell r="DV65">
            <v>187</v>
          </cell>
          <cell r="DW65">
            <v>174</v>
          </cell>
          <cell r="DX65">
            <v>184</v>
          </cell>
          <cell r="DY65">
            <v>183</v>
          </cell>
          <cell r="DZ65">
            <v>137</v>
          </cell>
          <cell r="EA65">
            <v>237</v>
          </cell>
          <cell r="EB65">
            <v>175</v>
          </cell>
          <cell r="EC65">
            <v>188</v>
          </cell>
          <cell r="ED65">
            <v>101</v>
          </cell>
          <cell r="EE65">
            <v>148</v>
          </cell>
          <cell r="EF65">
            <v>176</v>
          </cell>
          <cell r="EG65">
            <v>147</v>
          </cell>
          <cell r="EH65">
            <v>117</v>
          </cell>
          <cell r="EI65">
            <v>156</v>
          </cell>
          <cell r="EJ65">
            <v>189</v>
          </cell>
          <cell r="EK65">
            <v>155</v>
          </cell>
          <cell r="EL65">
            <v>146</v>
          </cell>
          <cell r="EM65">
            <v>160</v>
          </cell>
          <cell r="EN65">
            <v>224</v>
          </cell>
          <cell r="EO65">
            <v>138</v>
          </cell>
          <cell r="EP65">
            <v>157</v>
          </cell>
          <cell r="EQ65">
            <v>133</v>
          </cell>
          <cell r="ER65">
            <v>141</v>
          </cell>
          <cell r="ES65">
            <v>178</v>
          </cell>
          <cell r="ET65">
            <v>163</v>
          </cell>
          <cell r="EU65">
            <v>200</v>
          </cell>
          <cell r="EV65">
            <v>185</v>
          </cell>
          <cell r="EW65">
            <v>172</v>
          </cell>
          <cell r="EX65">
            <v>186</v>
          </cell>
          <cell r="EY65">
            <v>172</v>
          </cell>
          <cell r="EZ65">
            <v>144</v>
          </cell>
          <cell r="FA65">
            <v>161</v>
          </cell>
          <cell r="FB65">
            <v>131</v>
          </cell>
          <cell r="FC65">
            <v>139</v>
          </cell>
          <cell r="FD65">
            <v>139</v>
          </cell>
          <cell r="FE65">
            <v>133</v>
          </cell>
          <cell r="FF65">
            <v>180</v>
          </cell>
          <cell r="FG65">
            <v>156</v>
          </cell>
          <cell r="FH65">
            <v>158</v>
          </cell>
          <cell r="FI65">
            <v>186</v>
          </cell>
          <cell r="FJ65">
            <v>163</v>
          </cell>
          <cell r="FK65">
            <v>153</v>
          </cell>
          <cell r="FL65">
            <v>156</v>
          </cell>
          <cell r="FM65">
            <v>141</v>
          </cell>
          <cell r="FN65">
            <v>202</v>
          </cell>
          <cell r="FO65">
            <v>108</v>
          </cell>
          <cell r="FP65">
            <v>144</v>
          </cell>
          <cell r="FQ65">
            <v>144</v>
          </cell>
          <cell r="FR65">
            <v>166</v>
          </cell>
          <cell r="FS65">
            <v>154</v>
          </cell>
          <cell r="FT65">
            <v>153</v>
          </cell>
          <cell r="FU65">
            <v>153</v>
          </cell>
          <cell r="FV65">
            <v>132</v>
          </cell>
          <cell r="FW65">
            <v>149</v>
          </cell>
          <cell r="FX65">
            <v>158</v>
          </cell>
          <cell r="FY65">
            <v>153</v>
          </cell>
          <cell r="FZ65">
            <v>81</v>
          </cell>
          <cell r="GA65">
            <v>148</v>
          </cell>
          <cell r="GB65">
            <v>199</v>
          </cell>
          <cell r="GC65">
            <v>163</v>
          </cell>
          <cell r="GD65">
            <v>117</v>
          </cell>
          <cell r="GE65">
            <v>125</v>
          </cell>
          <cell r="GF65">
            <v>225</v>
          </cell>
          <cell r="GG65">
            <v>218</v>
          </cell>
          <cell r="GH65">
            <v>198</v>
          </cell>
          <cell r="GI65">
            <v>193</v>
          </cell>
          <cell r="GJ65">
            <v>188</v>
          </cell>
          <cell r="GK65">
            <v>178</v>
          </cell>
          <cell r="GL65">
            <v>194</v>
          </cell>
          <cell r="GM65">
            <v>164</v>
          </cell>
          <cell r="GN65">
            <v>199</v>
          </cell>
        </row>
        <row r="66">
          <cell r="B66" t="str">
            <v>ORTHOVISC</v>
          </cell>
          <cell r="C66" t="str">
            <v>DY+</v>
          </cell>
          <cell r="D66">
            <v>139</v>
          </cell>
          <cell r="E66">
            <v>123</v>
          </cell>
          <cell r="F66">
            <v>164</v>
          </cell>
          <cell r="G66">
            <v>136</v>
          </cell>
          <cell r="H66">
            <v>166</v>
          </cell>
          <cell r="I66">
            <v>150</v>
          </cell>
          <cell r="J66">
            <v>200</v>
          </cell>
          <cell r="K66">
            <v>203</v>
          </cell>
          <cell r="L66">
            <v>182</v>
          </cell>
          <cell r="M66">
            <v>158</v>
          </cell>
          <cell r="N66">
            <v>151</v>
          </cell>
          <cell r="O66">
            <v>180</v>
          </cell>
          <cell r="P66">
            <v>213</v>
          </cell>
          <cell r="Q66">
            <v>188</v>
          </cell>
          <cell r="R66">
            <v>205</v>
          </cell>
          <cell r="S66">
            <v>180</v>
          </cell>
          <cell r="T66">
            <v>175</v>
          </cell>
          <cell r="U66">
            <v>192</v>
          </cell>
          <cell r="V66">
            <v>201</v>
          </cell>
          <cell r="W66">
            <v>190</v>
          </cell>
          <cell r="X66">
            <v>188</v>
          </cell>
          <cell r="Y66">
            <v>150</v>
          </cell>
          <cell r="Z66">
            <v>177</v>
          </cell>
          <cell r="AA66">
            <v>169</v>
          </cell>
          <cell r="AB66">
            <v>212</v>
          </cell>
          <cell r="AC66">
            <v>155</v>
          </cell>
          <cell r="AD66">
            <v>121</v>
          </cell>
          <cell r="AE66">
            <v>118</v>
          </cell>
          <cell r="AF66">
            <v>181</v>
          </cell>
          <cell r="AG66">
            <v>145</v>
          </cell>
          <cell r="AH66">
            <v>152</v>
          </cell>
          <cell r="AI66">
            <v>165</v>
          </cell>
          <cell r="AJ66">
            <v>210</v>
          </cell>
          <cell r="AK66">
            <v>146</v>
          </cell>
          <cell r="AL66">
            <v>184</v>
          </cell>
          <cell r="AM66">
            <v>188</v>
          </cell>
          <cell r="AN66">
            <v>216</v>
          </cell>
          <cell r="AO66">
            <v>191</v>
          </cell>
          <cell r="AP66">
            <v>172</v>
          </cell>
          <cell r="AQ66">
            <v>186</v>
          </cell>
          <cell r="AR66">
            <v>229</v>
          </cell>
          <cell r="AS66">
            <v>201</v>
          </cell>
          <cell r="AT66">
            <v>219</v>
          </cell>
          <cell r="AU66">
            <v>205</v>
          </cell>
          <cell r="AV66">
            <v>206</v>
          </cell>
          <cell r="AW66">
            <v>209</v>
          </cell>
          <cell r="AX66">
            <v>243</v>
          </cell>
          <cell r="AY66">
            <v>244</v>
          </cell>
          <cell r="AZ66">
            <v>166</v>
          </cell>
          <cell r="BA66">
            <v>224</v>
          </cell>
          <cell r="BB66">
            <v>239</v>
          </cell>
          <cell r="BC66">
            <v>204</v>
          </cell>
          <cell r="BD66">
            <v>213</v>
          </cell>
          <cell r="BE66">
            <v>146</v>
          </cell>
          <cell r="BF66">
            <v>207</v>
          </cell>
          <cell r="BG66">
            <v>224</v>
          </cell>
          <cell r="BH66">
            <v>188</v>
          </cell>
          <cell r="BI66">
            <v>214</v>
          </cell>
          <cell r="BJ66">
            <v>222</v>
          </cell>
          <cell r="BK66">
            <v>199</v>
          </cell>
          <cell r="BL66">
            <v>251</v>
          </cell>
          <cell r="BM66">
            <v>219</v>
          </cell>
          <cell r="BN66">
            <v>160</v>
          </cell>
          <cell r="BO66">
            <v>205</v>
          </cell>
          <cell r="BP66">
            <v>256</v>
          </cell>
          <cell r="BQ66">
            <v>245</v>
          </cell>
          <cell r="BR66">
            <v>240</v>
          </cell>
          <cell r="BS66">
            <v>213</v>
          </cell>
          <cell r="BT66">
            <v>267</v>
          </cell>
          <cell r="BU66">
            <v>235</v>
          </cell>
          <cell r="BV66">
            <v>246</v>
          </cell>
          <cell r="BW66">
            <v>236</v>
          </cell>
          <cell r="BX66">
            <v>183</v>
          </cell>
          <cell r="BY66">
            <v>196</v>
          </cell>
          <cell r="BZ66">
            <v>241</v>
          </cell>
          <cell r="CA66">
            <v>206</v>
          </cell>
          <cell r="CB66">
            <v>206</v>
          </cell>
          <cell r="CC66">
            <v>288</v>
          </cell>
          <cell r="CD66">
            <v>167</v>
          </cell>
          <cell r="CE66">
            <v>115</v>
          </cell>
          <cell r="CF66">
            <v>223</v>
          </cell>
          <cell r="CG66">
            <v>230</v>
          </cell>
          <cell r="CH66">
            <v>216</v>
          </cell>
          <cell r="CI66">
            <v>233</v>
          </cell>
          <cell r="CJ66">
            <v>260</v>
          </cell>
          <cell r="CK66">
            <v>239</v>
          </cell>
          <cell r="CL66">
            <v>230</v>
          </cell>
          <cell r="CM66">
            <v>259</v>
          </cell>
          <cell r="CN66">
            <v>317</v>
          </cell>
          <cell r="CO66">
            <v>286</v>
          </cell>
          <cell r="CP66">
            <v>238</v>
          </cell>
          <cell r="CQ66">
            <v>307</v>
          </cell>
          <cell r="CR66">
            <v>280</v>
          </cell>
          <cell r="CS66">
            <v>339</v>
          </cell>
          <cell r="CT66">
            <v>312</v>
          </cell>
          <cell r="CU66">
            <v>329</v>
          </cell>
          <cell r="CV66">
            <v>326</v>
          </cell>
          <cell r="CW66">
            <v>317</v>
          </cell>
          <cell r="CX66">
            <v>325</v>
          </cell>
          <cell r="CY66">
            <v>319</v>
          </cell>
          <cell r="CZ66">
            <v>259</v>
          </cell>
          <cell r="DA66">
            <v>282</v>
          </cell>
          <cell r="DB66">
            <v>352</v>
          </cell>
          <cell r="DC66">
            <v>299</v>
          </cell>
          <cell r="DD66">
            <v>258</v>
          </cell>
          <cell r="DE66">
            <v>192</v>
          </cell>
          <cell r="DF66">
            <v>279</v>
          </cell>
          <cell r="DG66">
            <v>237</v>
          </cell>
          <cell r="DH66">
            <v>212</v>
          </cell>
          <cell r="DI66">
            <v>224</v>
          </cell>
          <cell r="DJ66">
            <v>222</v>
          </cell>
          <cell r="DK66">
            <v>192</v>
          </cell>
          <cell r="DL66">
            <v>230</v>
          </cell>
          <cell r="DM66">
            <v>266</v>
          </cell>
          <cell r="DN66">
            <v>192</v>
          </cell>
          <cell r="DO66">
            <v>304</v>
          </cell>
          <cell r="DP66">
            <v>266</v>
          </cell>
          <cell r="DQ66">
            <v>279</v>
          </cell>
          <cell r="DR66">
            <v>275</v>
          </cell>
          <cell r="DS66">
            <v>267</v>
          </cell>
          <cell r="DT66">
            <v>282</v>
          </cell>
          <cell r="DU66">
            <v>325</v>
          </cell>
          <cell r="DV66">
            <v>304</v>
          </cell>
          <cell r="DW66">
            <v>253</v>
          </cell>
          <cell r="DX66">
            <v>247</v>
          </cell>
          <cell r="DY66">
            <v>261</v>
          </cell>
          <cell r="DZ66">
            <v>165</v>
          </cell>
          <cell r="EA66">
            <v>258</v>
          </cell>
          <cell r="EB66">
            <v>266</v>
          </cell>
          <cell r="EC66">
            <v>251</v>
          </cell>
          <cell r="ED66">
            <v>136</v>
          </cell>
          <cell r="EE66">
            <v>143</v>
          </cell>
          <cell r="EF66">
            <v>195</v>
          </cell>
          <cell r="EG66">
            <v>198</v>
          </cell>
          <cell r="EH66">
            <v>232</v>
          </cell>
          <cell r="EI66">
            <v>215</v>
          </cell>
          <cell r="EJ66">
            <v>186</v>
          </cell>
          <cell r="EK66">
            <v>255</v>
          </cell>
          <cell r="EL66">
            <v>229</v>
          </cell>
          <cell r="EM66">
            <v>252</v>
          </cell>
          <cell r="EN66">
            <v>229</v>
          </cell>
          <cell r="EO66">
            <v>260</v>
          </cell>
          <cell r="EP66">
            <v>269</v>
          </cell>
          <cell r="EQ66">
            <v>282</v>
          </cell>
          <cell r="ER66">
            <v>246</v>
          </cell>
          <cell r="ES66">
            <v>310</v>
          </cell>
          <cell r="ET66">
            <v>282</v>
          </cell>
          <cell r="EU66">
            <v>328</v>
          </cell>
          <cell r="EV66">
            <v>324</v>
          </cell>
          <cell r="EW66">
            <v>326</v>
          </cell>
          <cell r="EX66">
            <v>350</v>
          </cell>
          <cell r="EY66">
            <v>293</v>
          </cell>
          <cell r="EZ66">
            <v>269</v>
          </cell>
          <cell r="FA66">
            <v>373</v>
          </cell>
          <cell r="FB66">
            <v>388</v>
          </cell>
          <cell r="FC66">
            <v>386</v>
          </cell>
          <cell r="FD66">
            <v>372</v>
          </cell>
          <cell r="FE66">
            <v>303</v>
          </cell>
          <cell r="FF66">
            <v>288</v>
          </cell>
          <cell r="FG66">
            <v>340</v>
          </cell>
          <cell r="FH66">
            <v>356</v>
          </cell>
          <cell r="FI66">
            <v>341</v>
          </cell>
          <cell r="FJ66">
            <v>348</v>
          </cell>
          <cell r="FK66">
            <v>343</v>
          </cell>
          <cell r="FL66">
            <v>341</v>
          </cell>
          <cell r="FM66">
            <v>348</v>
          </cell>
          <cell r="FN66">
            <v>318</v>
          </cell>
          <cell r="FO66">
            <v>248</v>
          </cell>
          <cell r="FP66">
            <v>333</v>
          </cell>
          <cell r="FQ66">
            <v>329</v>
          </cell>
          <cell r="FR66">
            <v>346</v>
          </cell>
          <cell r="FS66">
            <v>334</v>
          </cell>
          <cell r="FT66">
            <v>287</v>
          </cell>
          <cell r="FU66">
            <v>255</v>
          </cell>
          <cell r="FV66">
            <v>273</v>
          </cell>
          <cell r="FW66">
            <v>209</v>
          </cell>
          <cell r="FX66">
            <v>252</v>
          </cell>
          <cell r="FY66">
            <v>264</v>
          </cell>
          <cell r="FZ66">
            <v>176</v>
          </cell>
          <cell r="GA66">
            <v>364</v>
          </cell>
          <cell r="GB66">
            <v>348</v>
          </cell>
          <cell r="GC66">
            <v>343</v>
          </cell>
          <cell r="GD66">
            <v>247</v>
          </cell>
          <cell r="GE66">
            <v>226</v>
          </cell>
          <cell r="GF66">
            <v>221</v>
          </cell>
          <cell r="GG66">
            <v>265</v>
          </cell>
          <cell r="GH66">
            <v>281</v>
          </cell>
          <cell r="GI66">
            <v>342</v>
          </cell>
          <cell r="GJ66">
            <v>309</v>
          </cell>
          <cell r="GK66">
            <v>237</v>
          </cell>
          <cell r="GL66">
            <v>348</v>
          </cell>
          <cell r="GM66">
            <v>327</v>
          </cell>
          <cell r="GN66">
            <v>353</v>
          </cell>
        </row>
        <row r="67">
          <cell r="B67" t="str">
            <v>PAMIDRONATE DISOD</v>
          </cell>
          <cell r="C67" t="str">
            <v>SDZ</v>
          </cell>
          <cell r="D67">
            <v>0</v>
          </cell>
          <cell r="E67">
            <v>0</v>
          </cell>
          <cell r="F67">
            <v>0</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4</v>
          </cell>
          <cell r="BR67">
            <v>2</v>
          </cell>
          <cell r="BS67">
            <v>2</v>
          </cell>
          <cell r="BT67">
            <v>0</v>
          </cell>
          <cell r="BU67">
            <v>1</v>
          </cell>
          <cell r="BV67">
            <v>3</v>
          </cell>
          <cell r="BW67">
            <v>1</v>
          </cell>
          <cell r="BX67">
            <v>1</v>
          </cell>
          <cell r="BY67">
            <v>2</v>
          </cell>
          <cell r="BZ67">
            <v>1</v>
          </cell>
          <cell r="CA67">
            <v>0</v>
          </cell>
          <cell r="CB67">
            <v>2</v>
          </cell>
          <cell r="CC67">
            <v>1</v>
          </cell>
          <cell r="CD67">
            <v>0</v>
          </cell>
          <cell r="CE67">
            <v>6</v>
          </cell>
          <cell r="CF67">
            <v>1</v>
          </cell>
          <cell r="CG67">
            <v>0</v>
          </cell>
          <cell r="CH67">
            <v>1</v>
          </cell>
          <cell r="CI67">
            <v>1</v>
          </cell>
          <cell r="CJ67">
            <v>0</v>
          </cell>
          <cell r="CK67">
            <v>6</v>
          </cell>
          <cell r="CL67">
            <v>6</v>
          </cell>
          <cell r="CM67">
            <v>1</v>
          </cell>
          <cell r="CN67">
            <v>4</v>
          </cell>
          <cell r="CO67">
            <v>4</v>
          </cell>
          <cell r="CP67">
            <v>4</v>
          </cell>
          <cell r="CQ67">
            <v>0</v>
          </cell>
          <cell r="CR67">
            <v>5</v>
          </cell>
          <cell r="CS67">
            <v>5</v>
          </cell>
          <cell r="CT67">
            <v>2</v>
          </cell>
          <cell r="CU67">
            <v>6</v>
          </cell>
          <cell r="CV67">
            <v>4</v>
          </cell>
          <cell r="CW67">
            <v>0</v>
          </cell>
          <cell r="CX67">
            <v>7</v>
          </cell>
          <cell r="CY67">
            <v>3</v>
          </cell>
          <cell r="CZ67">
            <v>5</v>
          </cell>
          <cell r="DA67">
            <v>5</v>
          </cell>
          <cell r="DB67">
            <v>3</v>
          </cell>
          <cell r="DC67">
            <v>6</v>
          </cell>
          <cell r="DD67">
            <v>1</v>
          </cell>
          <cell r="DE67">
            <v>6</v>
          </cell>
          <cell r="DF67">
            <v>5</v>
          </cell>
          <cell r="DG67">
            <v>3</v>
          </cell>
          <cell r="DH67">
            <v>6</v>
          </cell>
          <cell r="DI67">
            <v>0</v>
          </cell>
          <cell r="DJ67">
            <v>0</v>
          </cell>
          <cell r="DK67">
            <v>0</v>
          </cell>
          <cell r="DL67">
            <v>6</v>
          </cell>
          <cell r="DM67">
            <v>0</v>
          </cell>
          <cell r="DN67">
            <v>5</v>
          </cell>
          <cell r="DO67">
            <v>3</v>
          </cell>
          <cell r="DP67">
            <v>8</v>
          </cell>
          <cell r="DQ67">
            <v>1</v>
          </cell>
          <cell r="DR67">
            <v>3</v>
          </cell>
          <cell r="DS67">
            <v>2</v>
          </cell>
          <cell r="DT67">
            <v>1</v>
          </cell>
          <cell r="DU67">
            <v>0</v>
          </cell>
          <cell r="DV67">
            <v>1</v>
          </cell>
          <cell r="DW67">
            <v>0</v>
          </cell>
          <cell r="DX67">
            <v>1</v>
          </cell>
          <cell r="DY67">
            <v>3</v>
          </cell>
          <cell r="DZ67">
            <v>0</v>
          </cell>
          <cell r="EA67">
            <v>3</v>
          </cell>
          <cell r="EB67">
            <v>5</v>
          </cell>
          <cell r="EC67">
            <v>1</v>
          </cell>
          <cell r="ED67">
            <v>2</v>
          </cell>
          <cell r="EE67">
            <v>2</v>
          </cell>
          <cell r="EF67">
            <v>3</v>
          </cell>
          <cell r="EG67">
            <v>1</v>
          </cell>
          <cell r="EH67">
            <v>2</v>
          </cell>
          <cell r="EI67">
            <v>1</v>
          </cell>
          <cell r="EJ67">
            <v>4</v>
          </cell>
          <cell r="EK67">
            <v>2</v>
          </cell>
          <cell r="EL67">
            <v>1</v>
          </cell>
          <cell r="EM67">
            <v>0</v>
          </cell>
          <cell r="EN67">
            <v>1</v>
          </cell>
          <cell r="EO67">
            <v>2</v>
          </cell>
          <cell r="EP67">
            <v>1</v>
          </cell>
          <cell r="EQ67">
            <v>2</v>
          </cell>
          <cell r="ER67">
            <v>0</v>
          </cell>
          <cell r="ES67">
            <v>1</v>
          </cell>
          <cell r="ET67">
            <v>2</v>
          </cell>
          <cell r="EU67">
            <v>4</v>
          </cell>
          <cell r="EW67">
            <v>5</v>
          </cell>
          <cell r="EX67">
            <v>1</v>
          </cell>
          <cell r="EZ67">
            <v>6</v>
          </cell>
          <cell r="FA67">
            <v>1</v>
          </cell>
          <cell r="FB67">
            <v>3</v>
          </cell>
          <cell r="FC67">
            <v>3</v>
          </cell>
          <cell r="FD67">
            <v>2</v>
          </cell>
          <cell r="FE67">
            <v>2</v>
          </cell>
          <cell r="FF67">
            <v>1</v>
          </cell>
          <cell r="FG67">
            <v>6</v>
          </cell>
          <cell r="FH67">
            <v>1</v>
          </cell>
          <cell r="FI67">
            <v>1</v>
          </cell>
          <cell r="FJ67">
            <v>1</v>
          </cell>
          <cell r="FK67">
            <v>4</v>
          </cell>
          <cell r="FL67">
            <v>3</v>
          </cell>
          <cell r="FM67">
            <v>1</v>
          </cell>
          <cell r="FN67">
            <v>3</v>
          </cell>
          <cell r="FO67">
            <v>5</v>
          </cell>
          <cell r="FP67">
            <v>2</v>
          </cell>
          <cell r="FQ67">
            <v>0</v>
          </cell>
          <cell r="FR67">
            <v>1</v>
          </cell>
          <cell r="FS67">
            <v>6</v>
          </cell>
          <cell r="FT67">
            <v>4</v>
          </cell>
          <cell r="FU67">
            <v>6</v>
          </cell>
          <cell r="FV67">
            <v>2</v>
          </cell>
          <cell r="FW67">
            <v>4</v>
          </cell>
          <cell r="FX67">
            <v>0</v>
          </cell>
          <cell r="FY67">
            <v>0</v>
          </cell>
          <cell r="FZ67">
            <v>3</v>
          </cell>
          <cell r="GA67">
            <v>2</v>
          </cell>
          <cell r="GB67">
            <v>0</v>
          </cell>
          <cell r="GC67">
            <v>1</v>
          </cell>
          <cell r="GD67">
            <v>2</v>
          </cell>
          <cell r="GF67">
            <v>0</v>
          </cell>
          <cell r="GG67">
            <v>1</v>
          </cell>
          <cell r="GH67">
            <v>2</v>
          </cell>
          <cell r="GI67">
            <v>0</v>
          </cell>
          <cell r="GJ67">
            <v>0</v>
          </cell>
          <cell r="GK67">
            <v>2</v>
          </cell>
          <cell r="GL67">
            <v>3</v>
          </cell>
          <cell r="GM67">
            <v>2</v>
          </cell>
          <cell r="GN67">
            <v>0</v>
          </cell>
        </row>
        <row r="68">
          <cell r="B68" t="str">
            <v>PAMIDRONATE DISOD</v>
          </cell>
          <cell r="C68" t="str">
            <v>HO&amp;</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6</v>
          </cell>
          <cell r="BR68">
            <v>3</v>
          </cell>
          <cell r="BS68">
            <v>1</v>
          </cell>
          <cell r="BT68">
            <v>4</v>
          </cell>
          <cell r="BU68">
            <v>7</v>
          </cell>
          <cell r="BV68">
            <v>4</v>
          </cell>
          <cell r="BW68">
            <v>4</v>
          </cell>
          <cell r="BX68">
            <v>2</v>
          </cell>
          <cell r="BY68">
            <v>8</v>
          </cell>
          <cell r="BZ68">
            <v>2</v>
          </cell>
          <cell r="CA68">
            <v>8</v>
          </cell>
          <cell r="CB68">
            <v>4</v>
          </cell>
          <cell r="CC68">
            <v>4</v>
          </cell>
          <cell r="CD68">
            <v>1</v>
          </cell>
          <cell r="CE68">
            <v>1</v>
          </cell>
          <cell r="CF68">
            <v>5</v>
          </cell>
          <cell r="CG68">
            <v>2</v>
          </cell>
          <cell r="CH68">
            <v>6</v>
          </cell>
          <cell r="CI68">
            <v>9</v>
          </cell>
          <cell r="CJ68">
            <v>3</v>
          </cell>
          <cell r="CK68">
            <v>3</v>
          </cell>
          <cell r="CL68">
            <v>7</v>
          </cell>
          <cell r="CM68">
            <v>9</v>
          </cell>
          <cell r="CN68">
            <v>3</v>
          </cell>
          <cell r="CO68">
            <v>0</v>
          </cell>
          <cell r="CP68">
            <v>3</v>
          </cell>
          <cell r="CQ68">
            <v>4</v>
          </cell>
          <cell r="CR68">
            <v>1</v>
          </cell>
          <cell r="CS68">
            <v>11</v>
          </cell>
          <cell r="CT68">
            <v>3</v>
          </cell>
          <cell r="CU68">
            <v>2</v>
          </cell>
          <cell r="CV68">
            <v>5</v>
          </cell>
          <cell r="CW68">
            <v>2</v>
          </cell>
          <cell r="CX68">
            <v>7</v>
          </cell>
          <cell r="CY68">
            <v>2</v>
          </cell>
          <cell r="CZ68">
            <v>5</v>
          </cell>
          <cell r="DA68">
            <v>5</v>
          </cell>
          <cell r="DB68">
            <v>9</v>
          </cell>
          <cell r="DC68">
            <v>7</v>
          </cell>
          <cell r="DD68">
            <v>10</v>
          </cell>
          <cell r="DE68">
            <v>4</v>
          </cell>
          <cell r="DF68">
            <v>13</v>
          </cell>
          <cell r="DG68">
            <v>6</v>
          </cell>
          <cell r="DH68">
            <v>2</v>
          </cell>
          <cell r="DI68">
            <v>4</v>
          </cell>
          <cell r="DJ68">
            <v>4</v>
          </cell>
          <cell r="DK68">
            <v>3</v>
          </cell>
          <cell r="DL68">
            <v>8</v>
          </cell>
          <cell r="DM68">
            <v>20</v>
          </cell>
          <cell r="DN68">
            <v>7</v>
          </cell>
          <cell r="DO68">
            <v>3</v>
          </cell>
          <cell r="DP68">
            <v>5</v>
          </cell>
          <cell r="DQ68">
            <v>5</v>
          </cell>
          <cell r="DR68">
            <v>5</v>
          </cell>
          <cell r="DS68">
            <v>6</v>
          </cell>
          <cell r="DT68">
            <v>15</v>
          </cell>
          <cell r="DU68">
            <v>9</v>
          </cell>
          <cell r="DV68">
            <v>5</v>
          </cell>
          <cell r="DW68">
            <v>20</v>
          </cell>
          <cell r="DX68">
            <v>7</v>
          </cell>
          <cell r="DY68">
            <v>8</v>
          </cell>
          <cell r="DZ68">
            <v>6</v>
          </cell>
          <cell r="EA68">
            <v>11</v>
          </cell>
          <cell r="EB68">
            <v>10</v>
          </cell>
          <cell r="EC68">
            <v>5</v>
          </cell>
          <cell r="ED68">
            <v>2</v>
          </cell>
          <cell r="EE68">
            <v>3</v>
          </cell>
          <cell r="EF68">
            <v>5</v>
          </cell>
          <cell r="EG68">
            <v>6</v>
          </cell>
          <cell r="EH68">
            <v>8</v>
          </cell>
          <cell r="EI68">
            <v>7</v>
          </cell>
          <cell r="EJ68">
            <v>3</v>
          </cell>
          <cell r="EK68">
            <v>3</v>
          </cell>
          <cell r="EL68">
            <v>1</v>
          </cell>
          <cell r="EM68">
            <v>13</v>
          </cell>
          <cell r="EN68">
            <v>4</v>
          </cell>
          <cell r="EO68">
            <v>2</v>
          </cell>
          <cell r="EP68">
            <v>4</v>
          </cell>
          <cell r="EQ68">
            <v>3</v>
          </cell>
          <cell r="ER68">
            <v>3</v>
          </cell>
          <cell r="ES68">
            <v>7</v>
          </cell>
          <cell r="ET68">
            <v>5</v>
          </cell>
          <cell r="EU68">
            <v>8</v>
          </cell>
          <cell r="EV68">
            <v>1</v>
          </cell>
          <cell r="EW68">
            <v>7</v>
          </cell>
          <cell r="EX68">
            <v>5</v>
          </cell>
          <cell r="EY68">
            <v>1</v>
          </cell>
          <cell r="EZ68">
            <v>8</v>
          </cell>
          <cell r="FA68">
            <v>6</v>
          </cell>
          <cell r="FB68">
            <v>4</v>
          </cell>
          <cell r="FC68">
            <v>4</v>
          </cell>
          <cell r="FD68">
            <v>5</v>
          </cell>
          <cell r="FE68">
            <v>5</v>
          </cell>
          <cell r="FF68">
            <v>5</v>
          </cell>
          <cell r="FG68">
            <v>5</v>
          </cell>
          <cell r="FH68">
            <v>7</v>
          </cell>
          <cell r="FI68">
            <v>3</v>
          </cell>
          <cell r="FJ68">
            <v>5</v>
          </cell>
          <cell r="FK68">
            <v>12</v>
          </cell>
          <cell r="FL68">
            <v>3</v>
          </cell>
          <cell r="FM68">
            <v>2</v>
          </cell>
          <cell r="FN68">
            <v>3</v>
          </cell>
          <cell r="FO68">
            <v>11</v>
          </cell>
          <cell r="FP68">
            <v>4</v>
          </cell>
          <cell r="FQ68">
            <v>2</v>
          </cell>
          <cell r="FR68">
            <v>1</v>
          </cell>
          <cell r="FS68">
            <v>8</v>
          </cell>
          <cell r="FT68">
            <v>5</v>
          </cell>
          <cell r="FU68">
            <v>6</v>
          </cell>
          <cell r="FV68">
            <v>4</v>
          </cell>
          <cell r="FW68">
            <v>2</v>
          </cell>
          <cell r="FX68">
            <v>6</v>
          </cell>
          <cell r="FY68">
            <v>3</v>
          </cell>
          <cell r="FZ68">
            <v>3</v>
          </cell>
          <cell r="GA68">
            <v>0</v>
          </cell>
          <cell r="GB68">
            <v>3</v>
          </cell>
          <cell r="GC68">
            <v>3</v>
          </cell>
          <cell r="GD68">
            <v>0</v>
          </cell>
          <cell r="GE68">
            <v>2</v>
          </cell>
          <cell r="GF68">
            <v>7</v>
          </cell>
          <cell r="GG68">
            <v>6</v>
          </cell>
          <cell r="GH68">
            <v>5</v>
          </cell>
          <cell r="GI68">
            <v>8</v>
          </cell>
          <cell r="GJ68">
            <v>3</v>
          </cell>
          <cell r="GK68">
            <v>4</v>
          </cell>
          <cell r="GL68">
            <v>3</v>
          </cell>
          <cell r="GM68">
            <v>6</v>
          </cell>
          <cell r="GN68">
            <v>2</v>
          </cell>
        </row>
        <row r="69">
          <cell r="B69" t="str">
            <v>PAMIDRONATE DISOD</v>
          </cell>
          <cell r="C69" t="str">
            <v>BDF</v>
          </cell>
          <cell r="D69">
            <v>0</v>
          </cell>
          <cell r="E69">
            <v>0</v>
          </cell>
          <cell r="F69">
            <v>0</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0</v>
          </cell>
          <cell r="V69">
            <v>0</v>
          </cell>
          <cell r="W69">
            <v>0</v>
          </cell>
          <cell r="X69">
            <v>0</v>
          </cell>
          <cell r="Y69">
            <v>0</v>
          </cell>
          <cell r="Z69">
            <v>0</v>
          </cell>
          <cell r="AA69">
            <v>0</v>
          </cell>
          <cell r="AB69">
            <v>0</v>
          </cell>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23</v>
          </cell>
          <cell r="BR69">
            <v>24</v>
          </cell>
          <cell r="BS69">
            <v>12</v>
          </cell>
          <cell r="BT69">
            <v>24</v>
          </cell>
          <cell r="BU69">
            <v>19</v>
          </cell>
          <cell r="BV69">
            <v>30</v>
          </cell>
          <cell r="BW69">
            <v>17</v>
          </cell>
          <cell r="BX69">
            <v>33</v>
          </cell>
          <cell r="BY69">
            <v>12</v>
          </cell>
          <cell r="BZ69">
            <v>18</v>
          </cell>
          <cell r="CA69">
            <v>18</v>
          </cell>
          <cell r="CB69">
            <v>24</v>
          </cell>
          <cell r="CC69">
            <v>17</v>
          </cell>
          <cell r="CD69">
            <v>14</v>
          </cell>
          <cell r="CE69">
            <v>6</v>
          </cell>
          <cell r="CF69">
            <v>22</v>
          </cell>
          <cell r="CG69">
            <v>20</v>
          </cell>
          <cell r="CH69">
            <v>18</v>
          </cell>
          <cell r="CI69">
            <v>19</v>
          </cell>
          <cell r="CJ69">
            <v>16</v>
          </cell>
          <cell r="CK69">
            <v>26</v>
          </cell>
          <cell r="CL69">
            <v>25</v>
          </cell>
          <cell r="CM69">
            <v>21</v>
          </cell>
          <cell r="CN69">
            <v>17</v>
          </cell>
          <cell r="CO69">
            <v>24</v>
          </cell>
          <cell r="CP69">
            <v>24</v>
          </cell>
          <cell r="CQ69">
            <v>18</v>
          </cell>
          <cell r="CR69">
            <v>30</v>
          </cell>
          <cell r="CS69">
            <v>15</v>
          </cell>
          <cell r="CT69">
            <v>15</v>
          </cell>
          <cell r="CU69">
            <v>25</v>
          </cell>
          <cell r="CV69">
            <v>22</v>
          </cell>
          <cell r="CW69">
            <v>10</v>
          </cell>
          <cell r="CX69">
            <v>24</v>
          </cell>
          <cell r="CY69">
            <v>20</v>
          </cell>
          <cell r="CZ69">
            <v>33</v>
          </cell>
          <cell r="DA69">
            <v>17</v>
          </cell>
          <cell r="DB69">
            <v>22</v>
          </cell>
          <cell r="DC69">
            <v>7</v>
          </cell>
          <cell r="DD69">
            <v>32</v>
          </cell>
          <cell r="DE69">
            <v>13</v>
          </cell>
          <cell r="DF69">
            <v>19</v>
          </cell>
          <cell r="DG69">
            <v>12</v>
          </cell>
          <cell r="DH69">
            <v>17</v>
          </cell>
          <cell r="DI69">
            <v>16</v>
          </cell>
          <cell r="DJ69">
            <v>10</v>
          </cell>
          <cell r="DK69">
            <v>17</v>
          </cell>
          <cell r="DL69">
            <v>12</v>
          </cell>
          <cell r="DM69">
            <v>19</v>
          </cell>
          <cell r="DN69">
            <v>16</v>
          </cell>
          <cell r="DO69">
            <v>18</v>
          </cell>
          <cell r="DP69">
            <v>9</v>
          </cell>
          <cell r="DQ69">
            <v>31</v>
          </cell>
          <cell r="DR69">
            <v>29</v>
          </cell>
          <cell r="DS69">
            <v>9</v>
          </cell>
          <cell r="DT69">
            <v>23</v>
          </cell>
          <cell r="DU69">
            <v>12</v>
          </cell>
          <cell r="DV69">
            <v>8</v>
          </cell>
          <cell r="DW69">
            <v>22</v>
          </cell>
          <cell r="DX69">
            <v>17</v>
          </cell>
          <cell r="DY69">
            <v>18</v>
          </cell>
          <cell r="DZ69">
            <v>19</v>
          </cell>
          <cell r="EA69">
            <v>22</v>
          </cell>
          <cell r="EB69">
            <v>11</v>
          </cell>
          <cell r="EC69">
            <v>35</v>
          </cell>
          <cell r="ED69">
            <v>11</v>
          </cell>
          <cell r="EE69">
            <v>17</v>
          </cell>
          <cell r="EF69">
            <v>14</v>
          </cell>
          <cell r="EG69">
            <v>14</v>
          </cell>
          <cell r="EH69">
            <v>12</v>
          </cell>
          <cell r="EI69">
            <v>18</v>
          </cell>
          <cell r="EJ69">
            <v>17</v>
          </cell>
          <cell r="EK69">
            <v>10</v>
          </cell>
          <cell r="EL69">
            <v>22</v>
          </cell>
          <cell r="EM69">
            <v>16</v>
          </cell>
          <cell r="EN69">
            <v>9</v>
          </cell>
          <cell r="EO69">
            <v>12</v>
          </cell>
          <cell r="EP69">
            <v>24</v>
          </cell>
          <cell r="EQ69">
            <v>8</v>
          </cell>
          <cell r="ER69">
            <v>25</v>
          </cell>
          <cell r="ES69">
            <v>17</v>
          </cell>
          <cell r="ET69">
            <v>12</v>
          </cell>
          <cell r="EU69">
            <v>20</v>
          </cell>
          <cell r="EV69">
            <v>15</v>
          </cell>
          <cell r="EW69">
            <v>16</v>
          </cell>
          <cell r="EX69">
            <v>5</v>
          </cell>
          <cell r="EY69">
            <v>17</v>
          </cell>
          <cell r="EZ69">
            <v>19</v>
          </cell>
          <cell r="FA69">
            <v>15</v>
          </cell>
          <cell r="FB69">
            <v>6</v>
          </cell>
          <cell r="FC69">
            <v>7</v>
          </cell>
          <cell r="FD69">
            <v>15</v>
          </cell>
          <cell r="FE69">
            <v>14</v>
          </cell>
          <cell r="FF69">
            <v>11</v>
          </cell>
          <cell r="FG69">
            <v>16</v>
          </cell>
          <cell r="FH69">
            <v>8</v>
          </cell>
          <cell r="FI69">
            <v>12</v>
          </cell>
          <cell r="FJ69">
            <v>14</v>
          </cell>
          <cell r="FK69">
            <v>14</v>
          </cell>
          <cell r="FL69">
            <v>16</v>
          </cell>
          <cell r="FM69">
            <v>5</v>
          </cell>
          <cell r="FN69">
            <v>13</v>
          </cell>
          <cell r="FO69">
            <v>13</v>
          </cell>
          <cell r="FP69">
            <v>10</v>
          </cell>
          <cell r="FQ69">
            <v>13</v>
          </cell>
          <cell r="FR69">
            <v>17</v>
          </cell>
          <cell r="FS69">
            <v>20</v>
          </cell>
          <cell r="FT69">
            <v>11</v>
          </cell>
          <cell r="FU69">
            <v>19</v>
          </cell>
          <cell r="FV69">
            <v>18</v>
          </cell>
          <cell r="FW69">
            <v>11</v>
          </cell>
          <cell r="FX69">
            <v>13</v>
          </cell>
          <cell r="FY69">
            <v>19</v>
          </cell>
          <cell r="FZ69">
            <v>3</v>
          </cell>
          <cell r="GA69">
            <v>14</v>
          </cell>
          <cell r="GB69">
            <v>7</v>
          </cell>
          <cell r="GC69">
            <v>7</v>
          </cell>
          <cell r="GD69">
            <v>8</v>
          </cell>
          <cell r="GE69">
            <v>11</v>
          </cell>
          <cell r="GF69">
            <v>5</v>
          </cell>
          <cell r="GG69">
            <v>12</v>
          </cell>
          <cell r="GH69">
            <v>5</v>
          </cell>
          <cell r="GI69">
            <v>10</v>
          </cell>
          <cell r="GJ69">
            <v>11</v>
          </cell>
          <cell r="GK69">
            <v>13</v>
          </cell>
          <cell r="GL69">
            <v>8</v>
          </cell>
          <cell r="GM69">
            <v>13</v>
          </cell>
          <cell r="GN69">
            <v>2</v>
          </cell>
        </row>
        <row r="70">
          <cell r="B70" t="str">
            <v>PAMIDRONATE DISOD</v>
          </cell>
          <cell r="C70" t="str">
            <v>A2P</v>
          </cell>
          <cell r="D70">
            <v>0</v>
          </cell>
          <cell r="E70">
            <v>0</v>
          </cell>
          <cell r="F70">
            <v>0</v>
          </cell>
          <cell r="G70">
            <v>0</v>
          </cell>
          <cell r="H70">
            <v>0</v>
          </cell>
          <cell r="I70">
            <v>0</v>
          </cell>
          <cell r="J70">
            <v>0</v>
          </cell>
          <cell r="K70">
            <v>0</v>
          </cell>
          <cell r="L70">
            <v>0</v>
          </cell>
          <cell r="M70">
            <v>0</v>
          </cell>
          <cell r="N70">
            <v>0</v>
          </cell>
          <cell r="O70">
            <v>0</v>
          </cell>
          <cell r="P70">
            <v>0</v>
          </cell>
          <cell r="Q70">
            <v>0</v>
          </cell>
          <cell r="R70">
            <v>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cell r="BL70">
            <v>0</v>
          </cell>
          <cell r="BM70">
            <v>0</v>
          </cell>
          <cell r="BN70">
            <v>0</v>
          </cell>
          <cell r="BO70">
            <v>0</v>
          </cell>
          <cell r="BP70">
            <v>0</v>
          </cell>
          <cell r="BQ70">
            <v>0</v>
          </cell>
          <cell r="BR70">
            <v>3</v>
          </cell>
          <cell r="BS70">
            <v>0</v>
          </cell>
          <cell r="BT70">
            <v>1</v>
          </cell>
          <cell r="BU70">
            <v>4</v>
          </cell>
          <cell r="BV70">
            <v>0</v>
          </cell>
          <cell r="BW70">
            <v>2</v>
          </cell>
          <cell r="BX70">
            <v>2</v>
          </cell>
          <cell r="BY70">
            <v>0</v>
          </cell>
          <cell r="BZ70">
            <v>2</v>
          </cell>
          <cell r="CA70">
            <v>4</v>
          </cell>
          <cell r="CB70">
            <v>2</v>
          </cell>
          <cell r="CC70">
            <v>3</v>
          </cell>
          <cell r="CD70">
            <v>0</v>
          </cell>
          <cell r="CE70">
            <v>0</v>
          </cell>
          <cell r="CF70">
            <v>2</v>
          </cell>
          <cell r="CG70">
            <v>7</v>
          </cell>
          <cell r="CH70">
            <v>1</v>
          </cell>
          <cell r="CI70">
            <v>5</v>
          </cell>
          <cell r="CJ70">
            <v>3</v>
          </cell>
          <cell r="CK70">
            <v>6</v>
          </cell>
          <cell r="CL70">
            <v>1</v>
          </cell>
          <cell r="CM70">
            <v>2</v>
          </cell>
          <cell r="CN70">
            <v>1</v>
          </cell>
          <cell r="CO70">
            <v>5</v>
          </cell>
          <cell r="CP70">
            <v>0</v>
          </cell>
          <cell r="CQ70">
            <v>0</v>
          </cell>
          <cell r="CR70">
            <v>1</v>
          </cell>
          <cell r="CS70">
            <v>3</v>
          </cell>
          <cell r="CT70">
            <v>0</v>
          </cell>
          <cell r="CU70">
            <v>2</v>
          </cell>
          <cell r="CV70">
            <v>0</v>
          </cell>
          <cell r="CW70">
            <v>2</v>
          </cell>
          <cell r="CX70">
            <v>0</v>
          </cell>
          <cell r="CY70">
            <v>0</v>
          </cell>
          <cell r="CZ70">
            <v>0</v>
          </cell>
          <cell r="DA70">
            <v>3</v>
          </cell>
          <cell r="DB70">
            <v>0</v>
          </cell>
          <cell r="DC70">
            <v>5</v>
          </cell>
          <cell r="DD70">
            <v>3</v>
          </cell>
          <cell r="DE70">
            <v>1</v>
          </cell>
          <cell r="DF70">
            <v>1</v>
          </cell>
          <cell r="DG70">
            <v>4</v>
          </cell>
          <cell r="DH70">
            <v>0</v>
          </cell>
          <cell r="DI70">
            <v>2</v>
          </cell>
          <cell r="DJ70">
            <v>3</v>
          </cell>
          <cell r="DK70">
            <v>0</v>
          </cell>
          <cell r="DL70">
            <v>1</v>
          </cell>
          <cell r="DM70">
            <v>4</v>
          </cell>
          <cell r="DN70">
            <v>1</v>
          </cell>
          <cell r="DO70">
            <v>2</v>
          </cell>
          <cell r="DP70">
            <v>3</v>
          </cell>
          <cell r="DQ70">
            <v>0</v>
          </cell>
          <cell r="DR70">
            <v>2</v>
          </cell>
          <cell r="DS70">
            <v>1</v>
          </cell>
          <cell r="DT70">
            <v>1</v>
          </cell>
          <cell r="DU70">
            <v>1</v>
          </cell>
          <cell r="DV70">
            <v>1</v>
          </cell>
          <cell r="DW70">
            <v>3</v>
          </cell>
          <cell r="DX70">
            <v>5</v>
          </cell>
          <cell r="DY70">
            <v>6</v>
          </cell>
          <cell r="DZ70">
            <v>1</v>
          </cell>
          <cell r="EA70">
            <v>4</v>
          </cell>
          <cell r="EB70">
            <v>4</v>
          </cell>
          <cell r="EC70">
            <v>1</v>
          </cell>
          <cell r="ED70">
            <v>1</v>
          </cell>
          <cell r="EE70">
            <v>0</v>
          </cell>
          <cell r="EF70">
            <v>3</v>
          </cell>
          <cell r="EG70">
            <v>1</v>
          </cell>
          <cell r="EH70">
            <v>2</v>
          </cell>
          <cell r="EJ70">
            <v>7</v>
          </cell>
          <cell r="EK70">
            <v>0</v>
          </cell>
          <cell r="EL70">
            <v>1</v>
          </cell>
          <cell r="EM70">
            <v>4</v>
          </cell>
          <cell r="EN70">
            <v>0</v>
          </cell>
          <cell r="EO70">
            <v>3</v>
          </cell>
          <cell r="EP70">
            <v>3</v>
          </cell>
          <cell r="EQ70">
            <v>1</v>
          </cell>
          <cell r="ER70">
            <v>2</v>
          </cell>
          <cell r="ES70">
            <v>1</v>
          </cell>
          <cell r="ET70">
            <v>2</v>
          </cell>
          <cell r="EU70">
            <v>4</v>
          </cell>
          <cell r="EV70">
            <v>3</v>
          </cell>
          <cell r="EW70">
            <v>1</v>
          </cell>
          <cell r="EY70">
            <v>2</v>
          </cell>
          <cell r="EZ70">
            <v>0</v>
          </cell>
          <cell r="FA70">
            <v>0</v>
          </cell>
          <cell r="FB70">
            <v>1</v>
          </cell>
          <cell r="FC70">
            <v>1</v>
          </cell>
          <cell r="FD70">
            <v>2</v>
          </cell>
          <cell r="FF70">
            <v>3</v>
          </cell>
          <cell r="FG70">
            <v>1</v>
          </cell>
          <cell r="FJ70">
            <v>1</v>
          </cell>
          <cell r="FK70">
            <v>3</v>
          </cell>
          <cell r="FL70">
            <v>1</v>
          </cell>
          <cell r="FM70">
            <v>1</v>
          </cell>
          <cell r="FO70">
            <v>1</v>
          </cell>
          <cell r="FS70">
            <v>3</v>
          </cell>
          <cell r="FT70">
            <v>2</v>
          </cell>
          <cell r="FU70">
            <v>5</v>
          </cell>
          <cell r="FV70">
            <v>0</v>
          </cell>
          <cell r="FW70">
            <v>1</v>
          </cell>
          <cell r="FX70">
            <v>4</v>
          </cell>
          <cell r="FY70">
            <v>2</v>
          </cell>
          <cell r="FZ70">
            <v>0</v>
          </cell>
          <cell r="GA70">
            <v>0</v>
          </cell>
          <cell r="GB70">
            <v>7</v>
          </cell>
          <cell r="GC70">
            <v>1</v>
          </cell>
          <cell r="GD70">
            <v>0</v>
          </cell>
          <cell r="GF70">
            <v>5</v>
          </cell>
          <cell r="GG70">
            <v>2</v>
          </cell>
          <cell r="GH70">
            <v>5</v>
          </cell>
          <cell r="GJ70">
            <v>5</v>
          </cell>
          <cell r="GK70">
            <v>4</v>
          </cell>
          <cell r="GL70">
            <v>4</v>
          </cell>
          <cell r="GM70">
            <v>0</v>
          </cell>
          <cell r="GN70">
            <v>6</v>
          </cell>
        </row>
        <row r="71">
          <cell r="B71" t="str">
            <v>PAMIDRONATE DISOD</v>
          </cell>
          <cell r="C71" t="str">
            <v>SI.</v>
          </cell>
          <cell r="D71">
            <v>0</v>
          </cell>
          <cell r="E71">
            <v>0</v>
          </cell>
          <cell r="F71">
            <v>0</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v>
          </cell>
          <cell r="BL71">
            <v>0</v>
          </cell>
          <cell r="BM71">
            <v>0</v>
          </cell>
          <cell r="BN71">
            <v>0</v>
          </cell>
          <cell r="BO71">
            <v>0</v>
          </cell>
          <cell r="BP71">
            <v>0</v>
          </cell>
          <cell r="BQ71">
            <v>10</v>
          </cell>
          <cell r="BR71">
            <v>10</v>
          </cell>
          <cell r="BS71">
            <v>0</v>
          </cell>
          <cell r="BT71">
            <v>8</v>
          </cell>
          <cell r="BU71">
            <v>8</v>
          </cell>
          <cell r="BV71">
            <v>7</v>
          </cell>
          <cell r="BW71">
            <v>7</v>
          </cell>
          <cell r="BX71">
            <v>6</v>
          </cell>
          <cell r="BY71">
            <v>3</v>
          </cell>
          <cell r="BZ71">
            <v>13</v>
          </cell>
          <cell r="CA71">
            <v>5</v>
          </cell>
          <cell r="CB71">
            <v>11</v>
          </cell>
          <cell r="CC71">
            <v>1</v>
          </cell>
          <cell r="CD71">
            <v>4</v>
          </cell>
          <cell r="CE71">
            <v>1</v>
          </cell>
          <cell r="CF71">
            <v>7</v>
          </cell>
          <cell r="CG71">
            <v>27</v>
          </cell>
          <cell r="CH71">
            <v>7</v>
          </cell>
          <cell r="CI71">
            <v>12</v>
          </cell>
          <cell r="CJ71">
            <v>13</v>
          </cell>
          <cell r="CK71">
            <v>9</v>
          </cell>
          <cell r="CL71">
            <v>10</v>
          </cell>
          <cell r="CM71">
            <v>11</v>
          </cell>
          <cell r="CN71">
            <v>13</v>
          </cell>
          <cell r="CO71">
            <v>3</v>
          </cell>
          <cell r="CP71">
            <v>5</v>
          </cell>
          <cell r="CQ71">
            <v>4</v>
          </cell>
          <cell r="CR71">
            <v>3</v>
          </cell>
          <cell r="CS71">
            <v>4</v>
          </cell>
          <cell r="CT71">
            <v>0</v>
          </cell>
          <cell r="CU71">
            <v>0</v>
          </cell>
          <cell r="CV71">
            <v>4</v>
          </cell>
          <cell r="CW71">
            <v>8</v>
          </cell>
          <cell r="CX71">
            <v>8</v>
          </cell>
          <cell r="CY71">
            <v>2</v>
          </cell>
          <cell r="CZ71">
            <v>4</v>
          </cell>
          <cell r="DA71">
            <v>6</v>
          </cell>
          <cell r="DB71">
            <v>14</v>
          </cell>
          <cell r="DC71">
            <v>20</v>
          </cell>
          <cell r="DD71">
            <v>2</v>
          </cell>
          <cell r="DE71">
            <v>2</v>
          </cell>
          <cell r="DF71">
            <v>10</v>
          </cell>
          <cell r="DG71">
            <v>11</v>
          </cell>
          <cell r="DH71">
            <v>10</v>
          </cell>
          <cell r="DI71">
            <v>4</v>
          </cell>
          <cell r="DJ71">
            <v>19</v>
          </cell>
          <cell r="DK71">
            <v>8</v>
          </cell>
          <cell r="DL71">
            <v>13</v>
          </cell>
          <cell r="DM71">
            <v>13</v>
          </cell>
          <cell r="DN71">
            <v>3</v>
          </cell>
          <cell r="DO71">
            <v>12</v>
          </cell>
          <cell r="DP71">
            <v>9</v>
          </cell>
          <cell r="DQ71">
            <v>9</v>
          </cell>
          <cell r="DR71">
            <v>4</v>
          </cell>
          <cell r="DS71">
            <v>5</v>
          </cell>
          <cell r="DT71">
            <v>30</v>
          </cell>
          <cell r="DU71">
            <v>8</v>
          </cell>
          <cell r="DV71">
            <v>4</v>
          </cell>
          <cell r="DW71">
            <v>12</v>
          </cell>
          <cell r="DX71">
            <v>12</v>
          </cell>
          <cell r="DY71">
            <v>13</v>
          </cell>
          <cell r="DZ71">
            <v>8</v>
          </cell>
          <cell r="EA71">
            <v>6</v>
          </cell>
          <cell r="EB71">
            <v>9</v>
          </cell>
          <cell r="EC71">
            <v>4</v>
          </cell>
          <cell r="ED71">
            <v>5</v>
          </cell>
          <cell r="EE71">
            <v>5</v>
          </cell>
          <cell r="EF71">
            <v>0</v>
          </cell>
          <cell r="EG71">
            <v>2</v>
          </cell>
          <cell r="EH71">
            <v>2</v>
          </cell>
          <cell r="EI71">
            <v>2</v>
          </cell>
          <cell r="EJ71">
            <v>0</v>
          </cell>
          <cell r="EK71">
            <v>1</v>
          </cell>
          <cell r="EL71">
            <v>1</v>
          </cell>
          <cell r="EM71">
            <v>4</v>
          </cell>
          <cell r="EN71">
            <v>2</v>
          </cell>
          <cell r="EO71">
            <v>0</v>
          </cell>
          <cell r="EP71">
            <v>0</v>
          </cell>
          <cell r="EQ71">
            <v>0</v>
          </cell>
          <cell r="ER71">
            <v>2</v>
          </cell>
          <cell r="ES71">
            <v>2</v>
          </cell>
          <cell r="ET71">
            <v>5</v>
          </cell>
          <cell r="EU71">
            <v>2</v>
          </cell>
          <cell r="EV71">
            <v>2</v>
          </cell>
          <cell r="EW71">
            <v>4</v>
          </cell>
          <cell r="EX71">
            <v>5</v>
          </cell>
          <cell r="EY71">
            <v>4</v>
          </cell>
          <cell r="EZ71">
            <v>2</v>
          </cell>
          <cell r="FA71">
            <v>4</v>
          </cell>
          <cell r="FB71">
            <v>1</v>
          </cell>
          <cell r="FC71">
            <v>3</v>
          </cell>
          <cell r="FD71">
            <v>1</v>
          </cell>
          <cell r="FF71">
            <v>1</v>
          </cell>
          <cell r="FG71">
            <v>1</v>
          </cell>
          <cell r="FH71">
            <v>0</v>
          </cell>
          <cell r="FI71">
            <v>1</v>
          </cell>
          <cell r="FJ71">
            <v>1</v>
          </cell>
          <cell r="FK71">
            <v>0</v>
          </cell>
          <cell r="FL71">
            <v>0</v>
          </cell>
          <cell r="FM71">
            <v>2</v>
          </cell>
          <cell r="FN71">
            <v>4</v>
          </cell>
          <cell r="FO71">
            <v>1</v>
          </cell>
          <cell r="FP71">
            <v>6</v>
          </cell>
          <cell r="FQ71">
            <v>3</v>
          </cell>
          <cell r="FR71">
            <v>2</v>
          </cell>
          <cell r="FS71">
            <v>1</v>
          </cell>
          <cell r="FT71">
            <v>4</v>
          </cell>
          <cell r="FU71">
            <v>1</v>
          </cell>
          <cell r="FV71">
            <v>2</v>
          </cell>
          <cell r="FW71">
            <v>11</v>
          </cell>
          <cell r="FX71">
            <v>5</v>
          </cell>
          <cell r="FZ71">
            <v>1</v>
          </cell>
          <cell r="GA71">
            <v>1</v>
          </cell>
          <cell r="GB71">
            <v>2</v>
          </cell>
          <cell r="GC71">
            <v>1</v>
          </cell>
          <cell r="GD71">
            <v>1</v>
          </cell>
          <cell r="GE71">
            <v>0</v>
          </cell>
          <cell r="GF71">
            <v>3</v>
          </cell>
          <cell r="GG71">
            <v>3</v>
          </cell>
          <cell r="GH71">
            <v>2</v>
          </cell>
          <cell r="GI71">
            <v>3</v>
          </cell>
          <cell r="GJ71">
            <v>10</v>
          </cell>
          <cell r="GK71">
            <v>2</v>
          </cell>
          <cell r="GM71">
            <v>0</v>
          </cell>
          <cell r="GN71">
            <v>1</v>
          </cell>
        </row>
        <row r="72">
          <cell r="B72" t="str">
            <v>PAMIDRONATE DISOD</v>
          </cell>
          <cell r="C72" t="str">
            <v>OT7</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2</v>
          </cell>
          <cell r="CG72">
            <v>0</v>
          </cell>
          <cell r="CH72">
            <v>0</v>
          </cell>
          <cell r="CI72">
            <v>2</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2</v>
          </cell>
          <cell r="DF72">
            <v>0</v>
          </cell>
          <cell r="DG72">
            <v>0</v>
          </cell>
          <cell r="DH72">
            <v>0</v>
          </cell>
          <cell r="DI72">
            <v>0</v>
          </cell>
          <cell r="DJ72">
            <v>0</v>
          </cell>
          <cell r="DK72">
            <v>0</v>
          </cell>
          <cell r="DL72">
            <v>0</v>
          </cell>
          <cell r="DM72">
            <v>0</v>
          </cell>
          <cell r="DN72">
            <v>0</v>
          </cell>
          <cell r="DO72">
            <v>0</v>
          </cell>
          <cell r="DP72">
            <v>0</v>
          </cell>
          <cell r="DQ72">
            <v>0</v>
          </cell>
          <cell r="DR72">
            <v>0</v>
          </cell>
          <cell r="DS72">
            <v>0</v>
          </cell>
          <cell r="DT72">
            <v>0</v>
          </cell>
          <cell r="DU72">
            <v>0</v>
          </cell>
          <cell r="DV72">
            <v>0</v>
          </cell>
          <cell r="DW72">
            <v>0</v>
          </cell>
          <cell r="DX72">
            <v>0</v>
          </cell>
          <cell r="DY72">
            <v>0</v>
          </cell>
          <cell r="DZ72">
            <v>0</v>
          </cell>
          <cell r="EJ72">
            <v>2</v>
          </cell>
          <cell r="EN72">
            <v>0</v>
          </cell>
          <cell r="FD72">
            <v>2</v>
          </cell>
          <cell r="FL72">
            <v>0</v>
          </cell>
        </row>
        <row r="73">
          <cell r="B73" t="str">
            <v>PHOSLO</v>
          </cell>
          <cell r="C73" t="str">
            <v>FRS</v>
          </cell>
          <cell r="D73">
            <v>7275</v>
          </cell>
          <cell r="E73">
            <v>6691</v>
          </cell>
          <cell r="F73">
            <v>7280</v>
          </cell>
          <cell r="G73">
            <v>7381</v>
          </cell>
          <cell r="H73">
            <v>7207</v>
          </cell>
          <cell r="I73">
            <v>7456</v>
          </cell>
          <cell r="J73">
            <v>7138</v>
          </cell>
          <cell r="K73">
            <v>7340</v>
          </cell>
          <cell r="L73">
            <v>7049</v>
          </cell>
          <cell r="M73">
            <v>7001</v>
          </cell>
          <cell r="N73">
            <v>6528</v>
          </cell>
          <cell r="O73">
            <v>7166</v>
          </cell>
          <cell r="P73">
            <v>7043</v>
          </cell>
          <cell r="Q73">
            <v>6907</v>
          </cell>
          <cell r="R73">
            <v>7217</v>
          </cell>
          <cell r="S73">
            <v>6934</v>
          </cell>
          <cell r="T73">
            <v>6991</v>
          </cell>
          <cell r="U73">
            <v>6772</v>
          </cell>
          <cell r="V73">
            <v>6846</v>
          </cell>
          <cell r="W73">
            <v>6951</v>
          </cell>
          <cell r="X73">
            <v>7002</v>
          </cell>
          <cell r="Y73">
            <v>5956</v>
          </cell>
          <cell r="Z73">
            <v>7047</v>
          </cell>
          <cell r="AA73">
            <v>7365</v>
          </cell>
          <cell r="AB73">
            <v>7237</v>
          </cell>
          <cell r="AC73">
            <v>7000</v>
          </cell>
          <cell r="AD73">
            <v>6032</v>
          </cell>
          <cell r="AE73">
            <v>6698</v>
          </cell>
          <cell r="AF73">
            <v>7506</v>
          </cell>
          <cell r="AG73">
            <v>7458</v>
          </cell>
          <cell r="AH73">
            <v>7313</v>
          </cell>
          <cell r="AI73">
            <v>7221</v>
          </cell>
          <cell r="AJ73">
            <v>7016</v>
          </cell>
          <cell r="AK73">
            <v>7322</v>
          </cell>
          <cell r="AL73">
            <v>7374</v>
          </cell>
          <cell r="AM73">
            <v>7465</v>
          </cell>
          <cell r="AN73">
            <v>7588</v>
          </cell>
          <cell r="AO73">
            <v>8271</v>
          </cell>
          <cell r="AP73">
            <v>8324</v>
          </cell>
          <cell r="AQ73">
            <v>7815</v>
          </cell>
          <cell r="AR73">
            <v>8540</v>
          </cell>
          <cell r="AS73">
            <v>7800</v>
          </cell>
          <cell r="AT73">
            <v>8019</v>
          </cell>
          <cell r="AU73">
            <v>8020</v>
          </cell>
          <cell r="AV73">
            <v>8206</v>
          </cell>
          <cell r="AW73">
            <v>7737</v>
          </cell>
          <cell r="AX73">
            <v>7626</v>
          </cell>
          <cell r="AY73">
            <v>7541</v>
          </cell>
          <cell r="AZ73">
            <v>7205</v>
          </cell>
          <cell r="BA73">
            <v>8101</v>
          </cell>
          <cell r="BB73">
            <v>7542</v>
          </cell>
          <cell r="BC73">
            <v>7356</v>
          </cell>
          <cell r="BD73">
            <v>7302</v>
          </cell>
          <cell r="BE73">
            <v>7021</v>
          </cell>
          <cell r="BF73">
            <v>7016</v>
          </cell>
          <cell r="BG73">
            <v>7208</v>
          </cell>
          <cell r="BH73">
            <v>7001</v>
          </cell>
          <cell r="BI73">
            <v>7122</v>
          </cell>
          <cell r="BJ73">
            <v>6855</v>
          </cell>
          <cell r="BK73">
            <v>7008</v>
          </cell>
          <cell r="BL73">
            <v>6773</v>
          </cell>
          <cell r="BM73">
            <v>6799</v>
          </cell>
          <cell r="BN73">
            <v>6443</v>
          </cell>
          <cell r="BO73">
            <v>6972</v>
          </cell>
          <cell r="BP73">
            <v>6888</v>
          </cell>
          <cell r="BQ73">
            <v>6723</v>
          </cell>
          <cell r="BR73">
            <v>6768</v>
          </cell>
          <cell r="BS73">
            <v>6902</v>
          </cell>
          <cell r="BT73">
            <v>6534</v>
          </cell>
          <cell r="BU73">
            <v>6608</v>
          </cell>
          <cell r="BV73">
            <v>6572</v>
          </cell>
          <cell r="BW73">
            <v>6677</v>
          </cell>
          <cell r="BX73">
            <v>6746</v>
          </cell>
          <cell r="BY73">
            <v>5855</v>
          </cell>
          <cell r="BZ73">
            <v>6674</v>
          </cell>
          <cell r="CA73">
            <v>7142</v>
          </cell>
          <cell r="CB73">
            <v>6824</v>
          </cell>
          <cell r="CC73">
            <v>7106</v>
          </cell>
          <cell r="CD73">
            <v>5496</v>
          </cell>
          <cell r="CE73">
            <v>6200</v>
          </cell>
          <cell r="CF73">
            <v>7206</v>
          </cell>
          <cell r="CG73">
            <v>7420</v>
          </cell>
          <cell r="CH73">
            <v>6932</v>
          </cell>
          <cell r="CI73">
            <v>7072</v>
          </cell>
          <cell r="CJ73">
            <v>6998</v>
          </cell>
          <cell r="CK73">
            <v>7120</v>
          </cell>
          <cell r="CL73">
            <v>7170</v>
          </cell>
          <cell r="CM73">
            <v>7172</v>
          </cell>
          <cell r="CN73">
            <v>7488</v>
          </cell>
          <cell r="CO73">
            <v>7281</v>
          </cell>
          <cell r="CP73">
            <v>7334</v>
          </cell>
          <cell r="CQ73">
            <v>7018</v>
          </cell>
          <cell r="CR73">
            <v>7100</v>
          </cell>
          <cell r="CS73">
            <v>7000</v>
          </cell>
          <cell r="CT73">
            <v>7481</v>
          </cell>
          <cell r="CU73">
            <v>7325</v>
          </cell>
          <cell r="CV73">
            <v>7361</v>
          </cell>
          <cell r="CW73">
            <v>7180</v>
          </cell>
          <cell r="CX73">
            <v>7149</v>
          </cell>
          <cell r="CY73">
            <v>7300</v>
          </cell>
          <cell r="CZ73">
            <v>6306</v>
          </cell>
          <cell r="DA73">
            <v>7695</v>
          </cell>
          <cell r="DB73">
            <v>7089</v>
          </cell>
          <cell r="DC73">
            <v>7133</v>
          </cell>
          <cell r="DD73">
            <v>7003</v>
          </cell>
          <cell r="DE73">
            <v>6555</v>
          </cell>
          <cell r="DF73">
            <v>7289</v>
          </cell>
          <cell r="DG73">
            <v>7203</v>
          </cell>
          <cell r="DH73">
            <v>6916</v>
          </cell>
          <cell r="DI73">
            <v>6828</v>
          </cell>
          <cell r="DJ73">
            <v>6766</v>
          </cell>
          <cell r="DK73">
            <v>6783</v>
          </cell>
          <cell r="DL73">
            <v>6964</v>
          </cell>
          <cell r="DM73">
            <v>6808</v>
          </cell>
          <cell r="DN73">
            <v>6457</v>
          </cell>
          <cell r="DO73">
            <v>7064</v>
          </cell>
          <cell r="DP73">
            <v>6808</v>
          </cell>
          <cell r="DQ73">
            <v>6645</v>
          </cell>
          <cell r="DR73">
            <v>6721</v>
          </cell>
          <cell r="DS73">
            <v>6546</v>
          </cell>
          <cell r="DT73">
            <v>6577</v>
          </cell>
          <cell r="DU73">
            <v>5159</v>
          </cell>
          <cell r="DV73">
            <v>3369</v>
          </cell>
          <cell r="DW73">
            <v>2724</v>
          </cell>
          <cell r="DX73">
            <v>2288</v>
          </cell>
          <cell r="DY73">
            <v>2042</v>
          </cell>
          <cell r="DZ73">
            <v>1503</v>
          </cell>
          <cell r="EA73">
            <v>1663</v>
          </cell>
          <cell r="EB73">
            <v>1526</v>
          </cell>
          <cell r="EC73">
            <v>1354</v>
          </cell>
          <cell r="ED73">
            <v>1016</v>
          </cell>
          <cell r="EE73">
            <v>1074</v>
          </cell>
          <cell r="EF73">
            <v>1254</v>
          </cell>
          <cell r="EG73">
            <v>1254</v>
          </cell>
          <cell r="EH73">
            <v>1167</v>
          </cell>
          <cell r="EI73">
            <v>1138</v>
          </cell>
          <cell r="EJ73">
            <v>1170</v>
          </cell>
          <cell r="EK73">
            <v>1347</v>
          </cell>
          <cell r="EL73">
            <v>1439</v>
          </cell>
          <cell r="EM73">
            <v>1386</v>
          </cell>
          <cell r="EN73">
            <v>1410</v>
          </cell>
          <cell r="EO73">
            <v>1249</v>
          </cell>
          <cell r="EP73">
            <v>1235</v>
          </cell>
          <cell r="EQ73">
            <v>1247</v>
          </cell>
          <cell r="ER73">
            <v>1226</v>
          </cell>
          <cell r="ES73">
            <v>1281</v>
          </cell>
          <cell r="ET73">
            <v>1319</v>
          </cell>
          <cell r="EU73">
            <v>1144</v>
          </cell>
          <cell r="EV73">
            <v>1097</v>
          </cell>
          <cell r="EW73">
            <v>1195</v>
          </cell>
          <cell r="EX73">
            <v>1091</v>
          </cell>
          <cell r="EY73">
            <v>1086</v>
          </cell>
          <cell r="EZ73">
            <v>978</v>
          </cell>
          <cell r="FA73">
            <v>973</v>
          </cell>
          <cell r="FB73">
            <v>1045</v>
          </cell>
          <cell r="FC73">
            <v>983</v>
          </cell>
          <cell r="FD73">
            <v>988</v>
          </cell>
          <cell r="FE73">
            <v>964</v>
          </cell>
          <cell r="FF73">
            <v>826</v>
          </cell>
          <cell r="FG73">
            <v>818</v>
          </cell>
          <cell r="FH73">
            <v>850</v>
          </cell>
          <cell r="FI73">
            <v>920</v>
          </cell>
          <cell r="FJ73">
            <v>1016</v>
          </cell>
          <cell r="FK73">
            <v>901</v>
          </cell>
          <cell r="FL73">
            <v>836</v>
          </cell>
          <cell r="FM73">
            <v>831</v>
          </cell>
          <cell r="FN73">
            <v>843</v>
          </cell>
          <cell r="FO73">
            <v>646</v>
          </cell>
          <cell r="FP73">
            <v>762</v>
          </cell>
          <cell r="FQ73">
            <v>791</v>
          </cell>
          <cell r="FR73">
            <v>841</v>
          </cell>
          <cell r="FS73">
            <v>761</v>
          </cell>
          <cell r="FT73">
            <v>745</v>
          </cell>
          <cell r="FU73">
            <v>637</v>
          </cell>
          <cell r="FV73">
            <v>702</v>
          </cell>
          <cell r="FW73">
            <v>700</v>
          </cell>
          <cell r="FX73">
            <v>710</v>
          </cell>
          <cell r="FY73">
            <v>636</v>
          </cell>
          <cell r="FZ73">
            <v>546</v>
          </cell>
          <cell r="GA73">
            <v>682</v>
          </cell>
          <cell r="GB73">
            <v>657</v>
          </cell>
          <cell r="GC73">
            <v>671</v>
          </cell>
          <cell r="GD73">
            <v>552</v>
          </cell>
          <cell r="GE73">
            <v>528</v>
          </cell>
          <cell r="GF73">
            <v>698</v>
          </cell>
          <cell r="GG73">
            <v>619</v>
          </cell>
          <cell r="GH73">
            <v>645</v>
          </cell>
          <cell r="GI73">
            <v>720</v>
          </cell>
          <cell r="GJ73">
            <v>831</v>
          </cell>
          <cell r="GK73">
            <v>694</v>
          </cell>
          <cell r="GL73">
            <v>602</v>
          </cell>
          <cell r="GM73">
            <v>565</v>
          </cell>
          <cell r="GN73">
            <v>708</v>
          </cell>
        </row>
        <row r="74">
          <cell r="B74" t="str">
            <v>PREZISTA</v>
          </cell>
          <cell r="C74" t="str">
            <v>OBD</v>
          </cell>
          <cell r="D74">
            <v>12</v>
          </cell>
          <cell r="E74">
            <v>82</v>
          </cell>
          <cell r="F74">
            <v>186</v>
          </cell>
          <cell r="G74">
            <v>238</v>
          </cell>
          <cell r="H74">
            <v>219</v>
          </cell>
          <cell r="I74">
            <v>267</v>
          </cell>
          <cell r="J74">
            <v>248</v>
          </cell>
          <cell r="K74">
            <v>291</v>
          </cell>
          <cell r="L74">
            <v>264</v>
          </cell>
          <cell r="M74">
            <v>296</v>
          </cell>
          <cell r="N74">
            <v>224</v>
          </cell>
          <cell r="O74">
            <v>261</v>
          </cell>
          <cell r="P74">
            <v>278</v>
          </cell>
          <cell r="Q74">
            <v>252</v>
          </cell>
          <cell r="R74">
            <v>334</v>
          </cell>
          <cell r="S74">
            <v>255</v>
          </cell>
          <cell r="T74">
            <v>291</v>
          </cell>
          <cell r="U74">
            <v>287</v>
          </cell>
          <cell r="V74">
            <v>359</v>
          </cell>
          <cell r="W74">
            <v>304</v>
          </cell>
          <cell r="X74">
            <v>319</v>
          </cell>
          <cell r="Y74">
            <v>275</v>
          </cell>
          <cell r="Z74">
            <v>344</v>
          </cell>
          <cell r="AA74">
            <v>359</v>
          </cell>
          <cell r="AB74">
            <v>332</v>
          </cell>
          <cell r="AC74">
            <v>335</v>
          </cell>
          <cell r="AD74">
            <v>255</v>
          </cell>
          <cell r="AE74">
            <v>292</v>
          </cell>
          <cell r="AF74">
            <v>385</v>
          </cell>
          <cell r="AG74">
            <v>340</v>
          </cell>
          <cell r="AH74">
            <v>415</v>
          </cell>
          <cell r="AI74">
            <v>409</v>
          </cell>
          <cell r="AJ74">
            <v>387</v>
          </cell>
          <cell r="AK74">
            <v>398</v>
          </cell>
          <cell r="AL74">
            <v>415</v>
          </cell>
          <cell r="AM74">
            <v>404</v>
          </cell>
          <cell r="AN74">
            <v>432</v>
          </cell>
          <cell r="AO74">
            <v>467</v>
          </cell>
          <cell r="AP74">
            <v>403</v>
          </cell>
          <cell r="AQ74">
            <v>474</v>
          </cell>
          <cell r="AR74">
            <v>470</v>
          </cell>
          <cell r="AS74">
            <v>511</v>
          </cell>
          <cell r="AT74">
            <v>530</v>
          </cell>
          <cell r="AU74">
            <v>479</v>
          </cell>
          <cell r="AV74">
            <v>492</v>
          </cell>
          <cell r="AW74">
            <v>480</v>
          </cell>
          <cell r="AX74">
            <v>485</v>
          </cell>
          <cell r="AY74">
            <v>464</v>
          </cell>
          <cell r="AZ74">
            <v>442</v>
          </cell>
          <cell r="BA74">
            <v>554</v>
          </cell>
          <cell r="BB74">
            <v>499</v>
          </cell>
          <cell r="BC74">
            <v>497</v>
          </cell>
          <cell r="BD74">
            <v>552</v>
          </cell>
          <cell r="BE74">
            <v>484</v>
          </cell>
          <cell r="BF74">
            <v>547</v>
          </cell>
          <cell r="BG74">
            <v>519</v>
          </cell>
          <cell r="BH74">
            <v>528</v>
          </cell>
          <cell r="BI74">
            <v>591</v>
          </cell>
          <cell r="BJ74">
            <v>549</v>
          </cell>
          <cell r="BK74">
            <v>573</v>
          </cell>
          <cell r="BL74">
            <v>627</v>
          </cell>
          <cell r="BM74">
            <v>606</v>
          </cell>
          <cell r="BN74">
            <v>592</v>
          </cell>
          <cell r="BO74">
            <v>629</v>
          </cell>
          <cell r="BP74">
            <v>630</v>
          </cell>
          <cell r="BQ74">
            <v>603</v>
          </cell>
          <cell r="BR74">
            <v>651</v>
          </cell>
          <cell r="BS74">
            <v>620</v>
          </cell>
          <cell r="BT74">
            <v>619</v>
          </cell>
          <cell r="BU74">
            <v>701</v>
          </cell>
          <cell r="BV74">
            <v>693</v>
          </cell>
          <cell r="BW74">
            <v>792</v>
          </cell>
          <cell r="BX74">
            <v>852</v>
          </cell>
          <cell r="BY74">
            <v>666</v>
          </cell>
          <cell r="BZ74">
            <v>900</v>
          </cell>
          <cell r="CA74">
            <v>832</v>
          </cell>
          <cell r="CB74">
            <v>857</v>
          </cell>
          <cell r="CC74">
            <v>835</v>
          </cell>
          <cell r="CD74">
            <v>633</v>
          </cell>
          <cell r="CE74">
            <v>734</v>
          </cell>
          <cell r="CF74">
            <v>908</v>
          </cell>
          <cell r="CG74">
            <v>894</v>
          </cell>
          <cell r="CH74">
            <v>835</v>
          </cell>
          <cell r="CI74">
            <v>951</v>
          </cell>
          <cell r="CJ74">
            <v>883</v>
          </cell>
          <cell r="CK74">
            <v>914</v>
          </cell>
          <cell r="CL74">
            <v>867</v>
          </cell>
          <cell r="CM74">
            <v>947</v>
          </cell>
          <cell r="CN74">
            <v>1086</v>
          </cell>
          <cell r="CO74">
            <v>1069</v>
          </cell>
          <cell r="CP74">
            <v>925</v>
          </cell>
          <cell r="CQ74">
            <v>920</v>
          </cell>
          <cell r="CR74">
            <v>972</v>
          </cell>
          <cell r="CS74">
            <v>980</v>
          </cell>
          <cell r="CT74">
            <v>1026</v>
          </cell>
          <cell r="CU74">
            <v>971</v>
          </cell>
          <cell r="CV74">
            <v>908</v>
          </cell>
          <cell r="CW74">
            <v>982</v>
          </cell>
          <cell r="CX74">
            <v>954</v>
          </cell>
          <cell r="CY74">
            <v>943</v>
          </cell>
          <cell r="CZ74">
            <v>926</v>
          </cell>
          <cell r="DA74">
            <v>1053</v>
          </cell>
          <cell r="DB74">
            <v>1104</v>
          </cell>
          <cell r="DC74">
            <v>1031</v>
          </cell>
          <cell r="DD74">
            <v>1092</v>
          </cell>
          <cell r="DE74">
            <v>1021</v>
          </cell>
          <cell r="DF74">
            <v>1097</v>
          </cell>
          <cell r="DG74">
            <v>1099</v>
          </cell>
          <cell r="DH74">
            <v>1054</v>
          </cell>
          <cell r="DI74">
            <v>1197</v>
          </cell>
          <cell r="DJ74">
            <v>1184</v>
          </cell>
          <cell r="DK74">
            <v>1238</v>
          </cell>
          <cell r="DL74">
            <v>1077</v>
          </cell>
          <cell r="DM74">
            <v>1148</v>
          </cell>
          <cell r="DN74">
            <v>1138</v>
          </cell>
          <cell r="DO74">
            <v>1244</v>
          </cell>
          <cell r="DP74">
            <v>1256</v>
          </cell>
          <cell r="DQ74">
            <v>1304</v>
          </cell>
          <cell r="DR74">
            <v>1295</v>
          </cell>
          <cell r="DS74">
            <v>1247</v>
          </cell>
          <cell r="DT74">
            <v>1221</v>
          </cell>
          <cell r="DU74">
            <v>1302</v>
          </cell>
          <cell r="DV74">
            <v>1303</v>
          </cell>
          <cell r="DW74">
            <v>1368</v>
          </cell>
          <cell r="DX74">
            <v>1552</v>
          </cell>
          <cell r="DY74">
            <v>1738</v>
          </cell>
          <cell r="DZ74">
            <v>1675</v>
          </cell>
          <cell r="EA74">
            <v>2277</v>
          </cell>
          <cell r="EB74">
            <v>2316</v>
          </cell>
          <cell r="EC74">
            <v>2220</v>
          </cell>
          <cell r="ED74">
            <v>1664</v>
          </cell>
          <cell r="EE74">
            <v>1795</v>
          </cell>
          <cell r="EF74">
            <v>2139</v>
          </cell>
          <cell r="EG74">
            <v>2157</v>
          </cell>
          <cell r="EH74">
            <v>1827</v>
          </cell>
          <cell r="EI74">
            <v>1782</v>
          </cell>
          <cell r="EJ74">
            <v>1838</v>
          </cell>
          <cell r="EK74">
            <v>1712</v>
          </cell>
          <cell r="EL74">
            <v>1725</v>
          </cell>
          <cell r="EM74">
            <v>1724</v>
          </cell>
          <cell r="EN74">
            <v>1749</v>
          </cell>
          <cell r="EO74">
            <v>1707</v>
          </cell>
          <cell r="EP74">
            <v>1736</v>
          </cell>
          <cell r="EQ74">
            <v>1726</v>
          </cell>
          <cell r="ER74">
            <v>1680</v>
          </cell>
          <cell r="ES74">
            <v>1736</v>
          </cell>
          <cell r="ET74">
            <v>1718</v>
          </cell>
          <cell r="EU74">
            <v>1706</v>
          </cell>
          <cell r="EV74">
            <v>1768</v>
          </cell>
          <cell r="EW74">
            <v>1738</v>
          </cell>
          <cell r="EX74">
            <v>1736</v>
          </cell>
          <cell r="EY74">
            <v>1683</v>
          </cell>
          <cell r="EZ74">
            <v>1695</v>
          </cell>
          <cell r="FA74">
            <v>2043</v>
          </cell>
          <cell r="FB74">
            <v>1841</v>
          </cell>
          <cell r="FC74">
            <v>1732</v>
          </cell>
          <cell r="FD74">
            <v>1841</v>
          </cell>
          <cell r="FE74">
            <v>1745</v>
          </cell>
          <cell r="FF74">
            <v>1533</v>
          </cell>
          <cell r="FG74">
            <v>1779</v>
          </cell>
          <cell r="FH74">
            <v>1714</v>
          </cell>
          <cell r="FI74">
            <v>1881</v>
          </cell>
          <cell r="FJ74">
            <v>1895</v>
          </cell>
          <cell r="FK74">
            <v>1796</v>
          </cell>
          <cell r="FL74">
            <v>1787</v>
          </cell>
          <cell r="FM74">
            <v>1885</v>
          </cell>
          <cell r="FN74">
            <v>2028</v>
          </cell>
          <cell r="FO74">
            <v>1642</v>
          </cell>
          <cell r="FP74">
            <v>1813</v>
          </cell>
          <cell r="FQ74">
            <v>2041</v>
          </cell>
          <cell r="FR74">
            <v>2158</v>
          </cell>
          <cell r="FS74">
            <v>2010</v>
          </cell>
          <cell r="FT74">
            <v>2062</v>
          </cell>
          <cell r="FU74">
            <v>1972</v>
          </cell>
          <cell r="FV74">
            <v>2062</v>
          </cell>
          <cell r="FW74">
            <v>2114</v>
          </cell>
          <cell r="FX74">
            <v>2066</v>
          </cell>
          <cell r="FY74">
            <v>2271</v>
          </cell>
          <cell r="FZ74">
            <v>1951</v>
          </cell>
          <cell r="GA74">
            <v>2342</v>
          </cell>
          <cell r="GB74">
            <v>2374</v>
          </cell>
          <cell r="GC74">
            <v>2345</v>
          </cell>
          <cell r="GD74">
            <v>1864</v>
          </cell>
          <cell r="GE74">
            <v>2068</v>
          </cell>
          <cell r="GF74">
            <v>2623</v>
          </cell>
          <cell r="GG74">
            <v>2483</v>
          </cell>
          <cell r="GH74">
            <v>2160</v>
          </cell>
          <cell r="GI74">
            <v>2386</v>
          </cell>
          <cell r="GJ74">
            <v>2481</v>
          </cell>
          <cell r="GK74">
            <v>2415</v>
          </cell>
          <cell r="GL74">
            <v>2404</v>
          </cell>
          <cell r="GM74">
            <v>2359</v>
          </cell>
          <cell r="GN74">
            <v>2714</v>
          </cell>
        </row>
        <row r="75">
          <cell r="B75" t="str">
            <v>PROCRIT</v>
          </cell>
          <cell r="C75" t="str">
            <v>OBD</v>
          </cell>
          <cell r="D75">
            <v>10766</v>
          </cell>
          <cell r="E75">
            <v>8971</v>
          </cell>
          <cell r="F75">
            <v>10636</v>
          </cell>
          <cell r="G75">
            <v>10446</v>
          </cell>
          <cell r="H75">
            <v>10305</v>
          </cell>
          <cell r="I75">
            <v>10631</v>
          </cell>
          <cell r="J75">
            <v>10732</v>
          </cell>
          <cell r="K75">
            <v>10960</v>
          </cell>
          <cell r="L75">
            <v>10769</v>
          </cell>
          <cell r="M75">
            <v>10864</v>
          </cell>
          <cell r="N75">
            <v>9452</v>
          </cell>
          <cell r="O75">
            <v>10836</v>
          </cell>
          <cell r="P75">
            <v>11019</v>
          </cell>
          <cell r="Q75">
            <v>11084</v>
          </cell>
          <cell r="R75">
            <v>10799</v>
          </cell>
          <cell r="S75">
            <v>10600</v>
          </cell>
          <cell r="T75">
            <v>10469</v>
          </cell>
          <cell r="U75">
            <v>11220</v>
          </cell>
          <cell r="V75">
            <v>10639</v>
          </cell>
          <cell r="W75">
            <v>10944</v>
          </cell>
          <cell r="X75">
            <v>10855</v>
          </cell>
          <cell r="Y75">
            <v>8479</v>
          </cell>
          <cell r="Z75">
            <v>10714</v>
          </cell>
          <cell r="AA75">
            <v>10878</v>
          </cell>
          <cell r="AB75">
            <v>10855</v>
          </cell>
          <cell r="AC75">
            <v>10840</v>
          </cell>
          <cell r="AD75">
            <v>8974</v>
          </cell>
          <cell r="AE75">
            <v>9021</v>
          </cell>
          <cell r="AF75">
            <v>10564</v>
          </cell>
          <cell r="AG75">
            <v>10428</v>
          </cell>
          <cell r="AH75">
            <v>10666</v>
          </cell>
          <cell r="AI75">
            <v>10661</v>
          </cell>
          <cell r="AJ75">
            <v>10686</v>
          </cell>
          <cell r="AK75">
            <v>10362</v>
          </cell>
          <cell r="AL75">
            <v>10775</v>
          </cell>
          <cell r="AM75">
            <v>10831</v>
          </cell>
          <cell r="AN75">
            <v>10689</v>
          </cell>
          <cell r="AO75">
            <v>10037</v>
          </cell>
          <cell r="AP75">
            <v>9908</v>
          </cell>
          <cell r="AQ75">
            <v>9677</v>
          </cell>
          <cell r="AR75">
            <v>9413</v>
          </cell>
          <cell r="AS75">
            <v>9153</v>
          </cell>
          <cell r="AT75">
            <v>9045</v>
          </cell>
          <cell r="AU75">
            <v>9504</v>
          </cell>
          <cell r="AV75">
            <v>9364</v>
          </cell>
          <cell r="AW75">
            <v>9319</v>
          </cell>
          <cell r="AX75">
            <v>9476</v>
          </cell>
          <cell r="AY75">
            <v>9453</v>
          </cell>
          <cell r="AZ75">
            <v>8015</v>
          </cell>
          <cell r="BA75">
            <v>9750</v>
          </cell>
          <cell r="BB75">
            <v>9316</v>
          </cell>
          <cell r="BC75">
            <v>8820</v>
          </cell>
          <cell r="BD75">
            <v>9156</v>
          </cell>
          <cell r="BE75">
            <v>7516</v>
          </cell>
          <cell r="BF75">
            <v>8849</v>
          </cell>
          <cell r="BG75">
            <v>9062</v>
          </cell>
          <cell r="BH75">
            <v>8973</v>
          </cell>
          <cell r="BI75">
            <v>9004</v>
          </cell>
          <cell r="BJ75">
            <v>8860</v>
          </cell>
          <cell r="BK75">
            <v>8697</v>
          </cell>
          <cell r="BL75">
            <v>8465</v>
          </cell>
          <cell r="BM75">
            <v>8516</v>
          </cell>
          <cell r="BN75">
            <v>7305</v>
          </cell>
          <cell r="BO75">
            <v>8386</v>
          </cell>
          <cell r="BP75">
            <v>8615</v>
          </cell>
          <cell r="BQ75">
            <v>8651</v>
          </cell>
          <cell r="BR75">
            <v>8587</v>
          </cell>
          <cell r="BS75">
            <v>8366</v>
          </cell>
          <cell r="BT75">
            <v>7826</v>
          </cell>
          <cell r="BU75">
            <v>8357</v>
          </cell>
          <cell r="BV75">
            <v>8082</v>
          </cell>
          <cell r="BW75">
            <v>8263</v>
          </cell>
          <cell r="BX75">
            <v>8366</v>
          </cell>
          <cell r="BY75">
            <v>6843</v>
          </cell>
          <cell r="BZ75">
            <v>8080</v>
          </cell>
          <cell r="CA75">
            <v>8032</v>
          </cell>
          <cell r="CB75">
            <v>7934</v>
          </cell>
          <cell r="CC75">
            <v>7888</v>
          </cell>
          <cell r="CD75">
            <v>5948</v>
          </cell>
          <cell r="CE75">
            <v>6378</v>
          </cell>
          <cell r="CF75">
            <v>8119</v>
          </cell>
          <cell r="CG75">
            <v>8007</v>
          </cell>
          <cell r="CH75">
            <v>7438</v>
          </cell>
          <cell r="CI75">
            <v>7663</v>
          </cell>
          <cell r="CJ75">
            <v>7727</v>
          </cell>
          <cell r="CK75">
            <v>7514</v>
          </cell>
          <cell r="CL75">
            <v>7812</v>
          </cell>
          <cell r="CM75">
            <v>7918</v>
          </cell>
          <cell r="CN75">
            <v>8327</v>
          </cell>
          <cell r="CO75">
            <v>8237</v>
          </cell>
          <cell r="CP75">
            <v>7914</v>
          </cell>
          <cell r="CQ75">
            <v>7904</v>
          </cell>
          <cell r="CR75">
            <v>7406</v>
          </cell>
          <cell r="CS75">
            <v>7796</v>
          </cell>
          <cell r="CT75">
            <v>7768</v>
          </cell>
          <cell r="CU75">
            <v>7618</v>
          </cell>
          <cell r="CV75">
            <v>7718</v>
          </cell>
          <cell r="CW75">
            <v>7809</v>
          </cell>
          <cell r="CX75">
            <v>7573</v>
          </cell>
          <cell r="CY75">
            <v>7730</v>
          </cell>
          <cell r="CZ75">
            <v>6422</v>
          </cell>
          <cell r="DA75">
            <v>7324</v>
          </cell>
          <cell r="DB75">
            <v>7346</v>
          </cell>
          <cell r="DC75">
            <v>7512</v>
          </cell>
          <cell r="DD75">
            <v>7660</v>
          </cell>
          <cell r="DE75">
            <v>6512</v>
          </cell>
          <cell r="DF75">
            <v>7256</v>
          </cell>
          <cell r="DG75">
            <v>7199</v>
          </cell>
          <cell r="DH75">
            <v>7455</v>
          </cell>
          <cell r="DI75">
            <v>7132</v>
          </cell>
          <cell r="DJ75">
            <v>7442</v>
          </cell>
          <cell r="DK75">
            <v>7664</v>
          </cell>
          <cell r="DL75">
            <v>7536</v>
          </cell>
          <cell r="DM75">
            <v>7420</v>
          </cell>
          <cell r="DN75">
            <v>6409</v>
          </cell>
          <cell r="DO75">
            <v>7234</v>
          </cell>
          <cell r="DP75">
            <v>7425</v>
          </cell>
          <cell r="DQ75">
            <v>7096</v>
          </cell>
          <cell r="DR75">
            <v>7264</v>
          </cell>
          <cell r="DS75">
            <v>7029</v>
          </cell>
          <cell r="DT75">
            <v>6870</v>
          </cell>
          <cell r="DU75">
            <v>7377</v>
          </cell>
          <cell r="DV75">
            <v>6813</v>
          </cell>
          <cell r="DW75">
            <v>6873</v>
          </cell>
          <cell r="DX75">
            <v>6829</v>
          </cell>
          <cell r="DY75">
            <v>7087</v>
          </cell>
          <cell r="DZ75">
            <v>5862</v>
          </cell>
          <cell r="EA75">
            <v>7136</v>
          </cell>
          <cell r="EB75">
            <v>6964</v>
          </cell>
          <cell r="EC75">
            <v>7077</v>
          </cell>
          <cell r="ED75">
            <v>4950</v>
          </cell>
          <cell r="EE75">
            <v>5331</v>
          </cell>
          <cell r="EF75">
            <v>6497</v>
          </cell>
          <cell r="EG75">
            <v>6884</v>
          </cell>
          <cell r="EH75">
            <v>6989</v>
          </cell>
          <cell r="EI75">
            <v>6882</v>
          </cell>
          <cell r="EJ75">
            <v>7018</v>
          </cell>
          <cell r="EK75">
            <v>6881</v>
          </cell>
          <cell r="EL75">
            <v>6780</v>
          </cell>
          <cell r="EM75">
            <v>6830</v>
          </cell>
          <cell r="EN75">
            <v>6773</v>
          </cell>
          <cell r="EO75">
            <v>6967</v>
          </cell>
          <cell r="EP75">
            <v>7245</v>
          </cell>
          <cell r="EQ75">
            <v>7160</v>
          </cell>
          <cell r="ER75">
            <v>6946</v>
          </cell>
          <cell r="ES75">
            <v>6739</v>
          </cell>
          <cell r="ET75">
            <v>6875</v>
          </cell>
          <cell r="EU75">
            <v>6753</v>
          </cell>
          <cell r="EV75">
            <v>6756</v>
          </cell>
          <cell r="EW75">
            <v>6871</v>
          </cell>
          <cell r="EX75">
            <v>6881</v>
          </cell>
          <cell r="EY75">
            <v>7109</v>
          </cell>
          <cell r="EZ75">
            <v>6181</v>
          </cell>
          <cell r="FA75">
            <v>7060</v>
          </cell>
          <cell r="FB75">
            <v>6941</v>
          </cell>
          <cell r="FC75">
            <v>6612</v>
          </cell>
          <cell r="FD75">
            <v>6546</v>
          </cell>
          <cell r="FE75">
            <v>6228</v>
          </cell>
          <cell r="FF75">
            <v>6118</v>
          </cell>
          <cell r="FG75">
            <v>5844</v>
          </cell>
          <cell r="FH75">
            <v>6278</v>
          </cell>
          <cell r="FI75">
            <v>6507</v>
          </cell>
          <cell r="FJ75">
            <v>6307</v>
          </cell>
          <cell r="FK75">
            <v>6342</v>
          </cell>
          <cell r="FL75">
            <v>6083</v>
          </cell>
          <cell r="FM75">
            <v>6279</v>
          </cell>
          <cell r="FN75">
            <v>6067</v>
          </cell>
          <cell r="FO75">
            <v>5771</v>
          </cell>
          <cell r="FP75">
            <v>6324</v>
          </cell>
          <cell r="FQ75">
            <v>6169</v>
          </cell>
          <cell r="FR75">
            <v>6178</v>
          </cell>
          <cell r="FS75">
            <v>6101</v>
          </cell>
          <cell r="FT75">
            <v>6148</v>
          </cell>
          <cell r="FU75">
            <v>6092</v>
          </cell>
          <cell r="FV75">
            <v>6200</v>
          </cell>
          <cell r="FW75">
            <v>6107</v>
          </cell>
          <cell r="FX75">
            <v>5944</v>
          </cell>
          <cell r="FY75">
            <v>6361</v>
          </cell>
          <cell r="FZ75">
            <v>4934</v>
          </cell>
          <cell r="GA75">
            <v>6195</v>
          </cell>
          <cell r="GB75">
            <v>5802</v>
          </cell>
          <cell r="GC75">
            <v>6242</v>
          </cell>
          <cell r="GD75">
            <v>4817</v>
          </cell>
          <cell r="GE75">
            <v>4921</v>
          </cell>
          <cell r="GF75">
            <v>5589</v>
          </cell>
          <cell r="GG75">
            <v>5919</v>
          </cell>
          <cell r="GH75">
            <v>5764</v>
          </cell>
          <cell r="GI75">
            <v>5874</v>
          </cell>
          <cell r="GJ75">
            <v>5712</v>
          </cell>
          <cell r="GK75">
            <v>5419</v>
          </cell>
          <cell r="GL75">
            <v>5623</v>
          </cell>
          <cell r="GM75">
            <v>5652</v>
          </cell>
          <cell r="GN75">
            <v>5761</v>
          </cell>
        </row>
        <row r="76">
          <cell r="B76" t="str">
            <v>PULMOZYME</v>
          </cell>
          <cell r="C76" t="str">
            <v>GTC</v>
          </cell>
          <cell r="D76">
            <v>706</v>
          </cell>
          <cell r="E76">
            <v>581</v>
          </cell>
          <cell r="F76">
            <v>803</v>
          </cell>
          <cell r="G76">
            <v>697</v>
          </cell>
          <cell r="H76">
            <v>628</v>
          </cell>
          <cell r="I76">
            <v>663</v>
          </cell>
          <cell r="J76">
            <v>711</v>
          </cell>
          <cell r="K76">
            <v>718</v>
          </cell>
          <cell r="L76">
            <v>778</v>
          </cell>
          <cell r="M76">
            <v>738</v>
          </cell>
          <cell r="N76">
            <v>567</v>
          </cell>
          <cell r="O76">
            <v>631</v>
          </cell>
          <cell r="P76">
            <v>688</v>
          </cell>
          <cell r="Q76">
            <v>783</v>
          </cell>
          <cell r="R76">
            <v>759</v>
          </cell>
          <cell r="S76">
            <v>751</v>
          </cell>
          <cell r="T76">
            <v>730</v>
          </cell>
          <cell r="U76">
            <v>801</v>
          </cell>
          <cell r="V76">
            <v>711</v>
          </cell>
          <cell r="W76">
            <v>647</v>
          </cell>
          <cell r="X76">
            <v>805</v>
          </cell>
          <cell r="Y76">
            <v>549</v>
          </cell>
          <cell r="Z76">
            <v>858</v>
          </cell>
          <cell r="AA76">
            <v>740</v>
          </cell>
          <cell r="AB76">
            <v>779</v>
          </cell>
          <cell r="AC76">
            <v>814</v>
          </cell>
          <cell r="AD76">
            <v>666</v>
          </cell>
          <cell r="AE76">
            <v>633</v>
          </cell>
          <cell r="AF76">
            <v>782</v>
          </cell>
          <cell r="AG76">
            <v>861</v>
          </cell>
          <cell r="AH76">
            <v>782</v>
          </cell>
          <cell r="AI76">
            <v>786</v>
          </cell>
          <cell r="AJ76">
            <v>793</v>
          </cell>
          <cell r="AK76">
            <v>748</v>
          </cell>
          <cell r="AL76">
            <v>743</v>
          </cell>
          <cell r="AM76">
            <v>739</v>
          </cell>
          <cell r="AN76">
            <v>794</v>
          </cell>
          <cell r="AO76">
            <v>799</v>
          </cell>
          <cell r="AP76">
            <v>787</v>
          </cell>
          <cell r="AQ76">
            <v>715</v>
          </cell>
          <cell r="AR76">
            <v>619</v>
          </cell>
          <cell r="AS76">
            <v>790</v>
          </cell>
          <cell r="AT76">
            <v>747</v>
          </cell>
          <cell r="AU76">
            <v>700</v>
          </cell>
          <cell r="AV76">
            <v>733</v>
          </cell>
          <cell r="AW76">
            <v>707</v>
          </cell>
          <cell r="AX76">
            <v>679</v>
          </cell>
          <cell r="AY76">
            <v>859</v>
          </cell>
          <cell r="AZ76">
            <v>629</v>
          </cell>
          <cell r="BA76">
            <v>767</v>
          </cell>
          <cell r="BB76">
            <v>703</v>
          </cell>
          <cell r="BC76">
            <v>716</v>
          </cell>
          <cell r="BD76">
            <v>724</v>
          </cell>
          <cell r="BE76">
            <v>638</v>
          </cell>
          <cell r="BF76">
            <v>738</v>
          </cell>
          <cell r="BG76">
            <v>727</v>
          </cell>
          <cell r="BH76">
            <v>763</v>
          </cell>
          <cell r="BI76">
            <v>735</v>
          </cell>
          <cell r="BJ76">
            <v>748</v>
          </cell>
          <cell r="BK76">
            <v>771</v>
          </cell>
          <cell r="BL76">
            <v>805</v>
          </cell>
          <cell r="BM76">
            <v>845</v>
          </cell>
          <cell r="BN76">
            <v>619</v>
          </cell>
          <cell r="BO76">
            <v>730</v>
          </cell>
          <cell r="BP76">
            <v>746</v>
          </cell>
          <cell r="BQ76">
            <v>715</v>
          </cell>
          <cell r="BR76">
            <v>641</v>
          </cell>
          <cell r="BS76">
            <v>672</v>
          </cell>
          <cell r="BT76">
            <v>714</v>
          </cell>
          <cell r="BU76">
            <v>716</v>
          </cell>
          <cell r="BV76">
            <v>770</v>
          </cell>
          <cell r="BW76">
            <v>790</v>
          </cell>
          <cell r="BX76">
            <v>633</v>
          </cell>
          <cell r="BY76">
            <v>559</v>
          </cell>
          <cell r="BZ76">
            <v>766</v>
          </cell>
          <cell r="CA76">
            <v>709</v>
          </cell>
          <cell r="CB76">
            <v>730</v>
          </cell>
          <cell r="CC76">
            <v>815</v>
          </cell>
          <cell r="CD76">
            <v>563</v>
          </cell>
          <cell r="CE76">
            <v>594</v>
          </cell>
          <cell r="CF76">
            <v>750</v>
          </cell>
          <cell r="CG76">
            <v>754</v>
          </cell>
          <cell r="CH76">
            <v>793</v>
          </cell>
          <cell r="CI76">
            <v>819</v>
          </cell>
          <cell r="CJ76">
            <v>815</v>
          </cell>
          <cell r="CK76">
            <v>794</v>
          </cell>
          <cell r="CL76">
            <v>831</v>
          </cell>
          <cell r="CM76">
            <v>841</v>
          </cell>
          <cell r="CN76">
            <v>806</v>
          </cell>
          <cell r="CO76">
            <v>755</v>
          </cell>
          <cell r="CP76">
            <v>783</v>
          </cell>
          <cell r="CQ76">
            <v>844</v>
          </cell>
          <cell r="CR76">
            <v>816</v>
          </cell>
          <cell r="CS76">
            <v>733</v>
          </cell>
          <cell r="CT76">
            <v>740</v>
          </cell>
          <cell r="CU76">
            <v>735</v>
          </cell>
          <cell r="CV76">
            <v>755</v>
          </cell>
          <cell r="CW76">
            <v>704</v>
          </cell>
          <cell r="CX76">
            <v>752</v>
          </cell>
          <cell r="CY76">
            <v>754</v>
          </cell>
          <cell r="CZ76">
            <v>710</v>
          </cell>
          <cell r="DA76">
            <v>757</v>
          </cell>
          <cell r="DB76">
            <v>748</v>
          </cell>
          <cell r="DC76">
            <v>765</v>
          </cell>
          <cell r="DD76">
            <v>734</v>
          </cell>
          <cell r="DE76">
            <v>674</v>
          </cell>
          <cell r="DF76">
            <v>760</v>
          </cell>
          <cell r="DG76">
            <v>707</v>
          </cell>
          <cell r="DH76">
            <v>715</v>
          </cell>
          <cell r="DI76">
            <v>787</v>
          </cell>
          <cell r="DJ76">
            <v>665</v>
          </cell>
          <cell r="DK76">
            <v>769</v>
          </cell>
          <cell r="DL76">
            <v>741</v>
          </cell>
          <cell r="DM76">
            <v>800</v>
          </cell>
          <cell r="DN76">
            <v>674</v>
          </cell>
          <cell r="DO76">
            <v>848</v>
          </cell>
          <cell r="DP76">
            <v>761</v>
          </cell>
          <cell r="DQ76">
            <v>786</v>
          </cell>
          <cell r="DR76">
            <v>762</v>
          </cell>
          <cell r="DS76">
            <v>765</v>
          </cell>
          <cell r="DT76">
            <v>842</v>
          </cell>
          <cell r="DU76">
            <v>673</v>
          </cell>
          <cell r="DV76">
            <v>736</v>
          </cell>
          <cell r="DW76">
            <v>837</v>
          </cell>
          <cell r="DX76">
            <v>786</v>
          </cell>
          <cell r="DY76">
            <v>714</v>
          </cell>
          <cell r="DZ76">
            <v>592</v>
          </cell>
          <cell r="EA76">
            <v>811</v>
          </cell>
          <cell r="EB76">
            <v>790</v>
          </cell>
          <cell r="EC76">
            <v>782</v>
          </cell>
          <cell r="ED76">
            <v>540</v>
          </cell>
          <cell r="EE76">
            <v>626</v>
          </cell>
          <cell r="EF76">
            <v>739</v>
          </cell>
          <cell r="EG76">
            <v>713</v>
          </cell>
          <cell r="EH76">
            <v>697</v>
          </cell>
          <cell r="EI76">
            <v>833</v>
          </cell>
          <cell r="EJ76">
            <v>809</v>
          </cell>
          <cell r="EK76">
            <v>763</v>
          </cell>
          <cell r="EL76">
            <v>824</v>
          </cell>
          <cell r="EM76">
            <v>752</v>
          </cell>
          <cell r="EN76">
            <v>805</v>
          </cell>
          <cell r="EO76">
            <v>797</v>
          </cell>
          <cell r="EP76">
            <v>818</v>
          </cell>
          <cell r="EQ76">
            <v>828</v>
          </cell>
          <cell r="ER76">
            <v>772</v>
          </cell>
          <cell r="ES76">
            <v>717</v>
          </cell>
          <cell r="ET76">
            <v>731</v>
          </cell>
          <cell r="EU76">
            <v>743</v>
          </cell>
          <cell r="EV76">
            <v>766</v>
          </cell>
          <cell r="EW76">
            <v>673</v>
          </cell>
          <cell r="EX76">
            <v>718</v>
          </cell>
          <cell r="EY76">
            <v>692</v>
          </cell>
          <cell r="EZ76">
            <v>600</v>
          </cell>
          <cell r="FA76">
            <v>723</v>
          </cell>
          <cell r="FB76">
            <v>672</v>
          </cell>
          <cell r="FC76">
            <v>669</v>
          </cell>
          <cell r="FD76">
            <v>725</v>
          </cell>
          <cell r="FE76">
            <v>628</v>
          </cell>
          <cell r="FF76">
            <v>619</v>
          </cell>
          <cell r="FG76">
            <v>587</v>
          </cell>
          <cell r="FH76">
            <v>590</v>
          </cell>
          <cell r="FI76">
            <v>699</v>
          </cell>
          <cell r="FJ76">
            <v>691</v>
          </cell>
          <cell r="FK76">
            <v>660</v>
          </cell>
          <cell r="FL76">
            <v>728</v>
          </cell>
          <cell r="FM76">
            <v>694</v>
          </cell>
          <cell r="FN76">
            <v>747</v>
          </cell>
          <cell r="FO76">
            <v>656</v>
          </cell>
          <cell r="FP76">
            <v>715</v>
          </cell>
          <cell r="FQ76">
            <v>654</v>
          </cell>
          <cell r="FR76">
            <v>750</v>
          </cell>
          <cell r="FS76">
            <v>741</v>
          </cell>
          <cell r="FT76">
            <v>725</v>
          </cell>
          <cell r="FU76">
            <v>695</v>
          </cell>
          <cell r="FV76">
            <v>824</v>
          </cell>
          <cell r="FW76">
            <v>788</v>
          </cell>
          <cell r="FX76">
            <v>691</v>
          </cell>
          <cell r="FY76">
            <v>727</v>
          </cell>
          <cell r="FZ76">
            <v>524</v>
          </cell>
          <cell r="GA76">
            <v>783</v>
          </cell>
          <cell r="GB76">
            <v>718</v>
          </cell>
          <cell r="GC76">
            <v>729</v>
          </cell>
          <cell r="GD76">
            <v>713</v>
          </cell>
          <cell r="GE76">
            <v>604</v>
          </cell>
          <cell r="GF76">
            <v>774</v>
          </cell>
          <cell r="GG76">
            <v>862</v>
          </cell>
          <cell r="GH76">
            <v>766</v>
          </cell>
          <cell r="GI76">
            <v>909</v>
          </cell>
          <cell r="GJ76">
            <v>763</v>
          </cell>
          <cell r="GK76">
            <v>763</v>
          </cell>
          <cell r="GL76">
            <v>716</v>
          </cell>
          <cell r="GM76">
            <v>809</v>
          </cell>
          <cell r="GN76">
            <v>794</v>
          </cell>
        </row>
        <row r="77">
          <cell r="B77" t="str">
            <v>RAPTIVA</v>
          </cell>
          <cell r="C77" t="str">
            <v>GTC</v>
          </cell>
          <cell r="D77">
            <v>207</v>
          </cell>
          <cell r="E77">
            <v>125</v>
          </cell>
          <cell r="F77">
            <v>246</v>
          </cell>
          <cell r="G77">
            <v>165</v>
          </cell>
          <cell r="H77">
            <v>226</v>
          </cell>
          <cell r="I77">
            <v>175</v>
          </cell>
          <cell r="J77">
            <v>234</v>
          </cell>
          <cell r="K77">
            <v>253</v>
          </cell>
          <cell r="L77">
            <v>193</v>
          </cell>
          <cell r="M77">
            <v>196</v>
          </cell>
          <cell r="N77">
            <v>193</v>
          </cell>
          <cell r="O77">
            <v>200</v>
          </cell>
          <cell r="P77">
            <v>209</v>
          </cell>
          <cell r="Q77">
            <v>211</v>
          </cell>
          <cell r="R77">
            <v>178</v>
          </cell>
          <cell r="S77">
            <v>203</v>
          </cell>
          <cell r="T77">
            <v>211</v>
          </cell>
          <cell r="U77">
            <v>206</v>
          </cell>
          <cell r="V77">
            <v>216</v>
          </cell>
          <cell r="W77">
            <v>186</v>
          </cell>
          <cell r="X77">
            <v>209</v>
          </cell>
          <cell r="Y77">
            <v>159</v>
          </cell>
          <cell r="Z77">
            <v>250</v>
          </cell>
          <cell r="AA77">
            <v>531</v>
          </cell>
          <cell r="AB77">
            <v>528</v>
          </cell>
          <cell r="AC77">
            <v>551</v>
          </cell>
          <cell r="AD77">
            <v>495</v>
          </cell>
          <cell r="AE77">
            <v>400</v>
          </cell>
          <cell r="AF77">
            <v>380</v>
          </cell>
          <cell r="AG77">
            <v>451</v>
          </cell>
          <cell r="AH77">
            <v>536</v>
          </cell>
          <cell r="AI77">
            <v>504</v>
          </cell>
          <cell r="AJ77">
            <v>453</v>
          </cell>
          <cell r="AK77">
            <v>450</v>
          </cell>
          <cell r="AL77">
            <v>449</v>
          </cell>
          <cell r="AM77">
            <v>550</v>
          </cell>
          <cell r="AN77">
            <v>506</v>
          </cell>
          <cell r="AO77">
            <v>466</v>
          </cell>
          <cell r="AP77">
            <v>484</v>
          </cell>
          <cell r="AQ77">
            <v>508</v>
          </cell>
          <cell r="AR77">
            <v>476</v>
          </cell>
          <cell r="AS77">
            <v>456</v>
          </cell>
          <cell r="AT77">
            <v>468</v>
          </cell>
          <cell r="AU77">
            <v>477</v>
          </cell>
          <cell r="AV77">
            <v>430</v>
          </cell>
          <cell r="AW77">
            <v>443</v>
          </cell>
          <cell r="AX77">
            <v>496</v>
          </cell>
          <cell r="AY77">
            <v>340</v>
          </cell>
          <cell r="AZ77">
            <v>287</v>
          </cell>
          <cell r="BA77">
            <v>553</v>
          </cell>
          <cell r="BB77">
            <v>590</v>
          </cell>
          <cell r="BC77">
            <v>597</v>
          </cell>
          <cell r="BD77">
            <v>650</v>
          </cell>
          <cell r="BE77">
            <v>370</v>
          </cell>
          <cell r="BF77">
            <v>520</v>
          </cell>
          <cell r="BG77">
            <v>565</v>
          </cell>
          <cell r="BH77">
            <v>556</v>
          </cell>
          <cell r="BI77">
            <v>444</v>
          </cell>
          <cell r="BJ77">
            <v>473</v>
          </cell>
          <cell r="BK77">
            <v>484</v>
          </cell>
          <cell r="BL77">
            <v>558</v>
          </cell>
          <cell r="BM77">
            <v>568</v>
          </cell>
          <cell r="BN77">
            <v>526</v>
          </cell>
          <cell r="BO77">
            <v>582</v>
          </cell>
          <cell r="BP77">
            <v>573</v>
          </cell>
          <cell r="BQ77">
            <v>566</v>
          </cell>
          <cell r="BR77">
            <v>467</v>
          </cell>
          <cell r="BS77">
            <v>476</v>
          </cell>
          <cell r="BT77">
            <v>528</v>
          </cell>
          <cell r="BU77">
            <v>423</v>
          </cell>
          <cell r="BV77">
            <v>474</v>
          </cell>
          <cell r="BW77">
            <v>523</v>
          </cell>
          <cell r="BX77">
            <v>497</v>
          </cell>
          <cell r="BY77">
            <v>354</v>
          </cell>
          <cell r="BZ77">
            <v>547</v>
          </cell>
          <cell r="CA77">
            <v>560</v>
          </cell>
          <cell r="CB77">
            <v>498</v>
          </cell>
          <cell r="CC77">
            <v>576</v>
          </cell>
          <cell r="CD77">
            <v>379</v>
          </cell>
          <cell r="CE77">
            <v>367</v>
          </cell>
          <cell r="CF77">
            <v>505</v>
          </cell>
          <cell r="CG77">
            <v>532</v>
          </cell>
          <cell r="CH77">
            <v>479</v>
          </cell>
          <cell r="CI77">
            <v>551</v>
          </cell>
          <cell r="CJ77">
            <v>493</v>
          </cell>
          <cell r="CK77">
            <v>503</v>
          </cell>
          <cell r="CL77">
            <v>354</v>
          </cell>
          <cell r="CM77">
            <v>406</v>
          </cell>
          <cell r="CN77">
            <v>376</v>
          </cell>
          <cell r="CO77">
            <v>385</v>
          </cell>
          <cell r="CP77">
            <v>375</v>
          </cell>
          <cell r="CQ77">
            <v>216</v>
          </cell>
          <cell r="CR77">
            <v>213</v>
          </cell>
          <cell r="CS77">
            <v>271</v>
          </cell>
          <cell r="CT77">
            <v>356</v>
          </cell>
          <cell r="CU77">
            <v>379</v>
          </cell>
          <cell r="CV77">
            <v>360</v>
          </cell>
          <cell r="CW77">
            <v>381</v>
          </cell>
          <cell r="CX77">
            <v>339</v>
          </cell>
          <cell r="CY77">
            <v>386</v>
          </cell>
          <cell r="CZ77">
            <v>294</v>
          </cell>
          <cell r="DA77">
            <v>378</v>
          </cell>
          <cell r="DB77">
            <v>408</v>
          </cell>
          <cell r="DC77">
            <v>338</v>
          </cell>
          <cell r="DD77">
            <v>314</v>
          </cell>
          <cell r="DE77">
            <v>301</v>
          </cell>
          <cell r="DF77">
            <v>422</v>
          </cell>
          <cell r="DG77">
            <v>379</v>
          </cell>
          <cell r="DH77">
            <v>381</v>
          </cell>
          <cell r="DI77">
            <v>406</v>
          </cell>
          <cell r="DJ77">
            <v>401</v>
          </cell>
          <cell r="DK77">
            <v>342</v>
          </cell>
          <cell r="DL77">
            <v>363</v>
          </cell>
          <cell r="DM77">
            <v>323</v>
          </cell>
          <cell r="DN77">
            <v>262</v>
          </cell>
          <cell r="DO77">
            <v>354</v>
          </cell>
          <cell r="DP77">
            <v>289</v>
          </cell>
          <cell r="DQ77">
            <v>302</v>
          </cell>
          <cell r="DR77">
            <v>295</v>
          </cell>
          <cell r="DS77">
            <v>334</v>
          </cell>
          <cell r="DT77">
            <v>314</v>
          </cell>
          <cell r="DU77">
            <v>282</v>
          </cell>
          <cell r="DV77">
            <v>318</v>
          </cell>
          <cell r="DW77">
            <v>297</v>
          </cell>
          <cell r="DX77">
            <v>324</v>
          </cell>
          <cell r="DY77">
            <v>303</v>
          </cell>
          <cell r="DZ77">
            <v>217</v>
          </cell>
          <cell r="EA77">
            <v>294</v>
          </cell>
          <cell r="EB77">
            <v>306</v>
          </cell>
          <cell r="EC77">
            <v>282</v>
          </cell>
          <cell r="ED77">
            <v>162</v>
          </cell>
          <cell r="EE77">
            <v>204</v>
          </cell>
          <cell r="EF77">
            <v>228</v>
          </cell>
          <cell r="EG77">
            <v>213</v>
          </cell>
          <cell r="EH77">
            <v>210</v>
          </cell>
          <cell r="EI77">
            <v>200</v>
          </cell>
          <cell r="EJ77">
            <v>247</v>
          </cell>
          <cell r="EK77">
            <v>236</v>
          </cell>
          <cell r="EL77">
            <v>198</v>
          </cell>
          <cell r="EM77">
            <v>172</v>
          </cell>
          <cell r="EN77">
            <v>159</v>
          </cell>
          <cell r="EO77">
            <v>143</v>
          </cell>
          <cell r="EP77">
            <v>102</v>
          </cell>
          <cell r="EQ77">
            <v>108</v>
          </cell>
          <cell r="ER77">
            <v>126</v>
          </cell>
          <cell r="ES77">
            <v>91</v>
          </cell>
          <cell r="ET77">
            <v>92</v>
          </cell>
          <cell r="EU77">
            <v>84</v>
          </cell>
          <cell r="EV77">
            <v>56</v>
          </cell>
          <cell r="EW77">
            <v>46</v>
          </cell>
          <cell r="EX77">
            <v>31</v>
          </cell>
          <cell r="EY77">
            <v>21</v>
          </cell>
          <cell r="EZ77">
            <v>17</v>
          </cell>
          <cell r="FA77">
            <v>9</v>
          </cell>
          <cell r="FB77">
            <v>4</v>
          </cell>
        </row>
        <row r="78">
          <cell r="B78" t="str">
            <v>REBIF</v>
          </cell>
          <cell r="C78" t="str">
            <v>M-S</v>
          </cell>
          <cell r="D78">
            <v>1867</v>
          </cell>
          <cell r="E78">
            <v>1353</v>
          </cell>
          <cell r="F78">
            <v>1728</v>
          </cell>
          <cell r="G78">
            <v>1809</v>
          </cell>
          <cell r="H78">
            <v>1906</v>
          </cell>
          <cell r="I78">
            <v>1625</v>
          </cell>
          <cell r="J78">
            <v>1602</v>
          </cell>
          <cell r="K78">
            <v>1582</v>
          </cell>
          <cell r="L78">
            <v>1707</v>
          </cell>
          <cell r="M78">
            <v>2006</v>
          </cell>
          <cell r="N78">
            <v>1587</v>
          </cell>
          <cell r="O78">
            <v>1916</v>
          </cell>
          <cell r="P78">
            <v>1938</v>
          </cell>
          <cell r="Q78">
            <v>1901</v>
          </cell>
          <cell r="R78">
            <v>1834</v>
          </cell>
          <cell r="S78">
            <v>1793</v>
          </cell>
          <cell r="T78">
            <v>1827</v>
          </cell>
          <cell r="U78">
            <v>1784</v>
          </cell>
          <cell r="V78">
            <v>1964</v>
          </cell>
          <cell r="W78">
            <v>1850</v>
          </cell>
          <cell r="X78">
            <v>2045</v>
          </cell>
          <cell r="Y78">
            <v>1303</v>
          </cell>
          <cell r="Z78">
            <v>2009</v>
          </cell>
          <cell r="AA78">
            <v>2072</v>
          </cell>
          <cell r="AB78">
            <v>2104</v>
          </cell>
          <cell r="AC78">
            <v>2149</v>
          </cell>
          <cell r="AD78">
            <v>1735</v>
          </cell>
          <cell r="AE78">
            <v>1890</v>
          </cell>
          <cell r="AF78">
            <v>2280</v>
          </cell>
          <cell r="AG78">
            <v>2371</v>
          </cell>
          <cell r="AH78">
            <v>2315</v>
          </cell>
          <cell r="AI78">
            <v>2448</v>
          </cell>
          <cell r="AJ78">
            <v>2408</v>
          </cell>
          <cell r="AK78">
            <v>2150</v>
          </cell>
          <cell r="AL78">
            <v>2128</v>
          </cell>
          <cell r="AM78">
            <v>2410</v>
          </cell>
          <cell r="AN78">
            <v>2249</v>
          </cell>
          <cell r="AO78">
            <v>2037</v>
          </cell>
          <cell r="AP78">
            <v>1990</v>
          </cell>
          <cell r="AQ78">
            <v>1990</v>
          </cell>
          <cell r="AR78">
            <v>1961</v>
          </cell>
          <cell r="AS78">
            <v>1976</v>
          </cell>
          <cell r="AT78">
            <v>1949</v>
          </cell>
          <cell r="AU78">
            <v>2089</v>
          </cell>
          <cell r="AV78">
            <v>1820</v>
          </cell>
          <cell r="AW78">
            <v>1858</v>
          </cell>
          <cell r="AX78">
            <v>1927</v>
          </cell>
          <cell r="AY78">
            <v>2245</v>
          </cell>
          <cell r="AZ78">
            <v>1923</v>
          </cell>
          <cell r="BA78">
            <v>2166</v>
          </cell>
          <cell r="BB78">
            <v>2058</v>
          </cell>
          <cell r="BC78">
            <v>2005</v>
          </cell>
          <cell r="BD78">
            <v>2178</v>
          </cell>
          <cell r="BE78">
            <v>1601</v>
          </cell>
          <cell r="BF78">
            <v>2346</v>
          </cell>
          <cell r="BG78">
            <v>2260</v>
          </cell>
          <cell r="BH78">
            <v>2297</v>
          </cell>
          <cell r="BI78">
            <v>2442</v>
          </cell>
          <cell r="BJ78">
            <v>2285</v>
          </cell>
          <cell r="BK78">
            <v>2252</v>
          </cell>
          <cell r="BL78">
            <v>2171</v>
          </cell>
          <cell r="BM78">
            <v>2384</v>
          </cell>
          <cell r="BN78">
            <v>1856</v>
          </cell>
          <cell r="BO78">
            <v>2115</v>
          </cell>
          <cell r="BP78">
            <v>2312</v>
          </cell>
          <cell r="BQ78">
            <v>2291</v>
          </cell>
          <cell r="BR78">
            <v>2266</v>
          </cell>
          <cell r="BS78">
            <v>2158</v>
          </cell>
          <cell r="BT78">
            <v>2152</v>
          </cell>
          <cell r="BU78">
            <v>2047</v>
          </cell>
          <cell r="BV78">
            <v>2004</v>
          </cell>
          <cell r="BW78">
            <v>2070</v>
          </cell>
          <cell r="BX78">
            <v>1995</v>
          </cell>
          <cell r="BY78">
            <v>1344</v>
          </cell>
          <cell r="BZ78">
            <v>2104</v>
          </cell>
          <cell r="CA78">
            <v>1763</v>
          </cell>
          <cell r="CB78">
            <v>1821</v>
          </cell>
          <cell r="CC78">
            <v>1986</v>
          </cell>
          <cell r="CD78">
            <v>1557</v>
          </cell>
          <cell r="CE78">
            <v>1498</v>
          </cell>
          <cell r="CF78">
            <v>1980</v>
          </cell>
          <cell r="CG78">
            <v>2029</v>
          </cell>
          <cell r="CH78">
            <v>2112</v>
          </cell>
          <cell r="CI78">
            <v>2007</v>
          </cell>
          <cell r="CJ78">
            <v>1862</v>
          </cell>
          <cell r="CK78">
            <v>1988</v>
          </cell>
          <cell r="CL78">
            <v>2092</v>
          </cell>
          <cell r="CM78">
            <v>2176</v>
          </cell>
          <cell r="CN78">
            <v>2171</v>
          </cell>
          <cell r="CO78">
            <v>2048</v>
          </cell>
          <cell r="CP78">
            <v>2111</v>
          </cell>
          <cell r="CQ78">
            <v>2088</v>
          </cell>
          <cell r="CR78">
            <v>2074</v>
          </cell>
          <cell r="CS78">
            <v>1947</v>
          </cell>
          <cell r="CT78">
            <v>1952</v>
          </cell>
          <cell r="CU78">
            <v>1967</v>
          </cell>
          <cell r="CV78">
            <v>1959</v>
          </cell>
          <cell r="CW78">
            <v>1979</v>
          </cell>
          <cell r="CX78">
            <v>1965</v>
          </cell>
          <cell r="CY78">
            <v>2031</v>
          </cell>
          <cell r="CZ78">
            <v>1719</v>
          </cell>
          <cell r="DA78">
            <v>2000</v>
          </cell>
          <cell r="DB78">
            <v>1906</v>
          </cell>
          <cell r="DC78">
            <v>2039</v>
          </cell>
          <cell r="DD78">
            <v>2004</v>
          </cell>
          <cell r="DE78">
            <v>1716</v>
          </cell>
          <cell r="DF78">
            <v>2270</v>
          </cell>
          <cell r="DG78">
            <v>2175</v>
          </cell>
          <cell r="DH78">
            <v>2181</v>
          </cell>
          <cell r="DI78">
            <v>2096</v>
          </cell>
          <cell r="DJ78">
            <v>2093</v>
          </cell>
          <cell r="DK78">
            <v>2198</v>
          </cell>
          <cell r="DL78">
            <v>1949</v>
          </cell>
          <cell r="DM78">
            <v>2138</v>
          </cell>
          <cell r="DN78">
            <v>1588</v>
          </cell>
          <cell r="DO78">
            <v>1821</v>
          </cell>
          <cell r="DP78">
            <v>2011</v>
          </cell>
          <cell r="DQ78">
            <v>1929</v>
          </cell>
          <cell r="DR78">
            <v>1753</v>
          </cell>
          <cell r="DS78">
            <v>1816</v>
          </cell>
          <cell r="DT78">
            <v>1897</v>
          </cell>
          <cell r="DU78">
            <v>1869</v>
          </cell>
          <cell r="DV78">
            <v>1898</v>
          </cell>
          <cell r="DW78">
            <v>1834</v>
          </cell>
          <cell r="DX78">
            <v>1832</v>
          </cell>
          <cell r="DY78">
            <v>1784</v>
          </cell>
          <cell r="DZ78">
            <v>1294</v>
          </cell>
          <cell r="EA78">
            <v>2007</v>
          </cell>
          <cell r="EB78">
            <v>1861</v>
          </cell>
          <cell r="EC78">
            <v>1931</v>
          </cell>
          <cell r="ED78">
            <v>1257</v>
          </cell>
          <cell r="EE78">
            <v>1509</v>
          </cell>
          <cell r="EF78">
            <v>1751</v>
          </cell>
          <cell r="EG78">
            <v>1769</v>
          </cell>
          <cell r="EH78">
            <v>1782</v>
          </cell>
          <cell r="EI78">
            <v>1761</v>
          </cell>
          <cell r="EJ78">
            <v>1806</v>
          </cell>
          <cell r="EK78">
            <v>1726</v>
          </cell>
          <cell r="EL78">
            <v>1749</v>
          </cell>
          <cell r="EM78">
            <v>1747</v>
          </cell>
          <cell r="EN78">
            <v>1606</v>
          </cell>
          <cell r="EO78">
            <v>1690</v>
          </cell>
          <cell r="EP78">
            <v>1665</v>
          </cell>
          <cell r="EQ78">
            <v>1744</v>
          </cell>
          <cell r="ER78">
            <v>1840</v>
          </cell>
          <cell r="ES78">
            <v>1713</v>
          </cell>
          <cell r="ET78">
            <v>1589</v>
          </cell>
          <cell r="EU78">
            <v>1720</v>
          </cell>
          <cell r="EV78">
            <v>1657</v>
          </cell>
          <cell r="EW78">
            <v>1697</v>
          </cell>
          <cell r="EX78">
            <v>1675</v>
          </cell>
          <cell r="EY78">
            <v>1713</v>
          </cell>
          <cell r="EZ78">
            <v>1459</v>
          </cell>
          <cell r="FA78">
            <v>1723</v>
          </cell>
          <cell r="FB78">
            <v>1603</v>
          </cell>
          <cell r="FC78">
            <v>1549</v>
          </cell>
          <cell r="FD78">
            <v>1643</v>
          </cell>
          <cell r="FE78">
            <v>1462</v>
          </cell>
          <cell r="FF78">
            <v>1475</v>
          </cell>
          <cell r="FG78">
            <v>1563</v>
          </cell>
          <cell r="FH78">
            <v>1479</v>
          </cell>
          <cell r="FI78">
            <v>1586</v>
          </cell>
          <cell r="FJ78">
            <v>1627</v>
          </cell>
          <cell r="FK78">
            <v>1428</v>
          </cell>
          <cell r="FL78">
            <v>1578</v>
          </cell>
          <cell r="FM78">
            <v>1486</v>
          </cell>
          <cell r="FN78">
            <v>1603</v>
          </cell>
          <cell r="FO78">
            <v>1391</v>
          </cell>
          <cell r="FP78">
            <v>1666</v>
          </cell>
          <cell r="FQ78">
            <v>1580</v>
          </cell>
          <cell r="FR78">
            <v>1647</v>
          </cell>
          <cell r="FS78">
            <v>1489</v>
          </cell>
          <cell r="FT78">
            <v>1505</v>
          </cell>
          <cell r="FU78">
            <v>1564</v>
          </cell>
          <cell r="FV78">
            <v>1633</v>
          </cell>
          <cell r="FW78">
            <v>1487</v>
          </cell>
          <cell r="FX78">
            <v>1464</v>
          </cell>
          <cell r="FY78">
            <v>1656</v>
          </cell>
          <cell r="FZ78">
            <v>1136</v>
          </cell>
          <cell r="GA78">
            <v>1838</v>
          </cell>
          <cell r="GB78">
            <v>1757</v>
          </cell>
          <cell r="GC78">
            <v>1632</v>
          </cell>
          <cell r="GD78">
            <v>1194</v>
          </cell>
          <cell r="GE78">
            <v>1380</v>
          </cell>
          <cell r="GF78">
            <v>1557</v>
          </cell>
          <cell r="GG78">
            <v>1642</v>
          </cell>
          <cell r="GH78">
            <v>1662</v>
          </cell>
          <cell r="GI78">
            <v>1672</v>
          </cell>
          <cell r="GJ78">
            <v>1824</v>
          </cell>
          <cell r="GK78">
            <v>1481</v>
          </cell>
          <cell r="GL78">
            <v>1702</v>
          </cell>
          <cell r="GM78">
            <v>1869</v>
          </cell>
          <cell r="GN78">
            <v>1871</v>
          </cell>
        </row>
        <row r="79">
          <cell r="B79" t="str">
            <v>REMICADE</v>
          </cell>
          <cell r="C79" t="str">
            <v>CTO</v>
          </cell>
          <cell r="D79">
            <v>395</v>
          </cell>
          <cell r="E79">
            <v>331</v>
          </cell>
          <cell r="F79">
            <v>456</v>
          </cell>
          <cell r="G79">
            <v>389</v>
          </cell>
          <cell r="H79">
            <v>403</v>
          </cell>
          <cell r="I79">
            <v>431</v>
          </cell>
          <cell r="J79">
            <v>486</v>
          </cell>
          <cell r="K79">
            <v>597</v>
          </cell>
          <cell r="L79">
            <v>459</v>
          </cell>
          <cell r="M79">
            <v>519</v>
          </cell>
          <cell r="N79">
            <v>486</v>
          </cell>
          <cell r="O79">
            <v>514</v>
          </cell>
          <cell r="P79">
            <v>452</v>
          </cell>
          <cell r="Q79">
            <v>451</v>
          </cell>
          <cell r="R79">
            <v>404</v>
          </cell>
          <cell r="S79">
            <v>513</v>
          </cell>
          <cell r="T79">
            <v>419</v>
          </cell>
          <cell r="U79">
            <v>494</v>
          </cell>
          <cell r="V79">
            <v>482</v>
          </cell>
          <cell r="W79">
            <v>466</v>
          </cell>
          <cell r="X79">
            <v>423</v>
          </cell>
          <cell r="Y79">
            <v>283</v>
          </cell>
          <cell r="Z79">
            <v>501</v>
          </cell>
          <cell r="AA79">
            <v>527</v>
          </cell>
          <cell r="AB79">
            <v>453</v>
          </cell>
          <cell r="AC79">
            <v>449</v>
          </cell>
          <cell r="AD79">
            <v>298</v>
          </cell>
          <cell r="AE79">
            <v>365</v>
          </cell>
          <cell r="AF79">
            <v>569</v>
          </cell>
          <cell r="AG79">
            <v>553</v>
          </cell>
          <cell r="AH79">
            <v>498</v>
          </cell>
          <cell r="AI79">
            <v>516</v>
          </cell>
          <cell r="AJ79">
            <v>512</v>
          </cell>
          <cell r="AK79">
            <v>499</v>
          </cell>
          <cell r="AL79">
            <v>462</v>
          </cell>
          <cell r="AM79">
            <v>520</v>
          </cell>
          <cell r="AN79">
            <v>514</v>
          </cell>
          <cell r="AO79">
            <v>435</v>
          </cell>
          <cell r="AP79">
            <v>501</v>
          </cell>
          <cell r="AQ79">
            <v>469</v>
          </cell>
          <cell r="AR79">
            <v>423</v>
          </cell>
          <cell r="AS79">
            <v>474</v>
          </cell>
          <cell r="AT79">
            <v>469</v>
          </cell>
          <cell r="AU79">
            <v>526</v>
          </cell>
          <cell r="AV79">
            <v>451</v>
          </cell>
          <cell r="AW79">
            <v>481</v>
          </cell>
          <cell r="AX79">
            <v>425</v>
          </cell>
          <cell r="AY79">
            <v>509</v>
          </cell>
          <cell r="AZ79">
            <v>411</v>
          </cell>
          <cell r="BA79">
            <v>532</v>
          </cell>
          <cell r="BB79">
            <v>492</v>
          </cell>
          <cell r="BC79">
            <v>527</v>
          </cell>
          <cell r="BD79">
            <v>521</v>
          </cell>
          <cell r="BE79">
            <v>361</v>
          </cell>
          <cell r="BF79">
            <v>505</v>
          </cell>
          <cell r="BG79">
            <v>521</v>
          </cell>
          <cell r="BH79">
            <v>466</v>
          </cell>
          <cell r="BI79">
            <v>495</v>
          </cell>
          <cell r="BJ79">
            <v>471</v>
          </cell>
          <cell r="BK79">
            <v>582</v>
          </cell>
          <cell r="BL79">
            <v>519</v>
          </cell>
          <cell r="BM79">
            <v>572</v>
          </cell>
          <cell r="BN79">
            <v>425</v>
          </cell>
          <cell r="BO79">
            <v>557</v>
          </cell>
          <cell r="BP79">
            <v>528</v>
          </cell>
          <cell r="BQ79">
            <v>590</v>
          </cell>
          <cell r="BR79">
            <v>543</v>
          </cell>
          <cell r="BS79">
            <v>530</v>
          </cell>
          <cell r="BT79">
            <v>547</v>
          </cell>
          <cell r="BU79">
            <v>601</v>
          </cell>
          <cell r="BV79">
            <v>517</v>
          </cell>
          <cell r="BW79">
            <v>512</v>
          </cell>
          <cell r="BX79">
            <v>477</v>
          </cell>
          <cell r="BY79">
            <v>359</v>
          </cell>
          <cell r="BZ79">
            <v>568</v>
          </cell>
          <cell r="CA79">
            <v>523</v>
          </cell>
          <cell r="CB79">
            <v>600</v>
          </cell>
          <cell r="CC79">
            <v>563</v>
          </cell>
          <cell r="CD79">
            <v>324</v>
          </cell>
          <cell r="CE79">
            <v>372</v>
          </cell>
          <cell r="CF79">
            <v>597</v>
          </cell>
          <cell r="CG79">
            <v>598</v>
          </cell>
          <cell r="CH79">
            <v>619</v>
          </cell>
          <cell r="CI79">
            <v>612</v>
          </cell>
          <cell r="CJ79">
            <v>552</v>
          </cell>
          <cell r="CK79">
            <v>553</v>
          </cell>
          <cell r="CL79">
            <v>606</v>
          </cell>
          <cell r="CM79">
            <v>585</v>
          </cell>
          <cell r="CN79">
            <v>613</v>
          </cell>
          <cell r="CO79">
            <v>596</v>
          </cell>
          <cell r="CP79">
            <v>611</v>
          </cell>
          <cell r="CQ79">
            <v>693</v>
          </cell>
          <cell r="CR79">
            <v>603</v>
          </cell>
          <cell r="CS79">
            <v>528</v>
          </cell>
          <cell r="CT79">
            <v>505</v>
          </cell>
          <cell r="CU79">
            <v>466</v>
          </cell>
          <cell r="CV79">
            <v>481</v>
          </cell>
          <cell r="CW79">
            <v>526</v>
          </cell>
          <cell r="CX79">
            <v>538</v>
          </cell>
          <cell r="CY79">
            <v>537</v>
          </cell>
          <cell r="CZ79">
            <v>544</v>
          </cell>
          <cell r="DA79">
            <v>579</v>
          </cell>
          <cell r="DB79">
            <v>536</v>
          </cell>
          <cell r="DC79">
            <v>561</v>
          </cell>
          <cell r="DD79">
            <v>556</v>
          </cell>
          <cell r="DE79">
            <v>464</v>
          </cell>
          <cell r="DF79">
            <v>651</v>
          </cell>
          <cell r="DG79">
            <v>632</v>
          </cell>
          <cell r="DH79">
            <v>679</v>
          </cell>
          <cell r="DI79">
            <v>652</v>
          </cell>
          <cell r="DJ79">
            <v>597</v>
          </cell>
          <cell r="DK79">
            <v>600</v>
          </cell>
          <cell r="DL79">
            <v>598</v>
          </cell>
          <cell r="DM79">
            <v>628</v>
          </cell>
          <cell r="DN79">
            <v>506</v>
          </cell>
          <cell r="DO79">
            <v>626</v>
          </cell>
          <cell r="DP79">
            <v>547</v>
          </cell>
          <cell r="DQ79">
            <v>547</v>
          </cell>
          <cell r="DR79">
            <v>522</v>
          </cell>
          <cell r="DS79">
            <v>521</v>
          </cell>
          <cell r="DT79">
            <v>552</v>
          </cell>
          <cell r="DU79">
            <v>579</v>
          </cell>
          <cell r="DV79">
            <v>618</v>
          </cell>
          <cell r="DW79">
            <v>581</v>
          </cell>
          <cell r="DX79">
            <v>557</v>
          </cell>
          <cell r="DY79">
            <v>605</v>
          </cell>
          <cell r="DZ79">
            <v>385</v>
          </cell>
          <cell r="EA79">
            <v>649</v>
          </cell>
          <cell r="EB79">
            <v>598</v>
          </cell>
          <cell r="EC79">
            <v>646</v>
          </cell>
          <cell r="ED79">
            <v>283</v>
          </cell>
          <cell r="EE79">
            <v>351</v>
          </cell>
          <cell r="EF79">
            <v>409</v>
          </cell>
          <cell r="EG79">
            <v>484</v>
          </cell>
          <cell r="EH79">
            <v>434</v>
          </cell>
          <cell r="EI79">
            <v>469</v>
          </cell>
          <cell r="EJ79">
            <v>398</v>
          </cell>
          <cell r="EK79">
            <v>450</v>
          </cell>
          <cell r="EL79">
            <v>440</v>
          </cell>
          <cell r="EM79">
            <v>460</v>
          </cell>
          <cell r="EN79">
            <v>424</v>
          </cell>
          <cell r="EO79">
            <v>440</v>
          </cell>
          <cell r="EP79">
            <v>442</v>
          </cell>
          <cell r="EQ79">
            <v>506</v>
          </cell>
          <cell r="ER79">
            <v>420</v>
          </cell>
          <cell r="ES79">
            <v>421</v>
          </cell>
          <cell r="ET79">
            <v>436</v>
          </cell>
          <cell r="EU79">
            <v>446</v>
          </cell>
          <cell r="EV79">
            <v>508</v>
          </cell>
          <cell r="EW79">
            <v>453</v>
          </cell>
          <cell r="EX79">
            <v>456</v>
          </cell>
          <cell r="EY79">
            <v>466</v>
          </cell>
          <cell r="EZ79">
            <v>362</v>
          </cell>
          <cell r="FA79">
            <v>465</v>
          </cell>
          <cell r="FB79">
            <v>470</v>
          </cell>
          <cell r="FC79">
            <v>458</v>
          </cell>
          <cell r="FD79">
            <v>497</v>
          </cell>
          <cell r="FE79">
            <v>383</v>
          </cell>
          <cell r="FF79">
            <v>399</v>
          </cell>
          <cell r="FG79">
            <v>431</v>
          </cell>
          <cell r="FH79">
            <v>432</v>
          </cell>
          <cell r="FI79">
            <v>448</v>
          </cell>
          <cell r="FJ79">
            <v>460</v>
          </cell>
          <cell r="FK79">
            <v>412</v>
          </cell>
          <cell r="FL79">
            <v>396</v>
          </cell>
          <cell r="FM79">
            <v>513</v>
          </cell>
          <cell r="FN79">
            <v>403</v>
          </cell>
          <cell r="FO79">
            <v>342</v>
          </cell>
          <cell r="FP79">
            <v>400</v>
          </cell>
          <cell r="FQ79">
            <v>403</v>
          </cell>
          <cell r="FR79">
            <v>370</v>
          </cell>
          <cell r="FS79">
            <v>383</v>
          </cell>
          <cell r="FT79">
            <v>396</v>
          </cell>
          <cell r="FU79">
            <v>355</v>
          </cell>
          <cell r="FV79">
            <v>435</v>
          </cell>
          <cell r="FW79">
            <v>354</v>
          </cell>
          <cell r="FX79">
            <v>398</v>
          </cell>
          <cell r="FY79">
            <v>395</v>
          </cell>
          <cell r="FZ79">
            <v>251</v>
          </cell>
          <cell r="GA79">
            <v>403</v>
          </cell>
          <cell r="GB79">
            <v>440</v>
          </cell>
          <cell r="GC79">
            <v>381</v>
          </cell>
          <cell r="GD79">
            <v>254</v>
          </cell>
          <cell r="GE79">
            <v>284</v>
          </cell>
          <cell r="GF79">
            <v>508</v>
          </cell>
          <cell r="GG79">
            <v>546</v>
          </cell>
          <cell r="GH79">
            <v>556</v>
          </cell>
          <cell r="GI79">
            <v>660</v>
          </cell>
          <cell r="GJ79">
            <v>548</v>
          </cell>
          <cell r="GK79">
            <v>585</v>
          </cell>
          <cell r="GL79">
            <v>606</v>
          </cell>
          <cell r="GM79">
            <v>621</v>
          </cell>
          <cell r="GN79">
            <v>647</v>
          </cell>
        </row>
        <row r="80">
          <cell r="B80" t="str">
            <v>RENAGEL</v>
          </cell>
          <cell r="C80" t="str">
            <v>GZY</v>
          </cell>
          <cell r="D80">
            <v>7526</v>
          </cell>
          <cell r="E80">
            <v>6692</v>
          </cell>
          <cell r="F80">
            <v>7604</v>
          </cell>
          <cell r="G80">
            <v>7513</v>
          </cell>
          <cell r="H80">
            <v>7492</v>
          </cell>
          <cell r="I80">
            <v>7354</v>
          </cell>
          <cell r="J80">
            <v>7083</v>
          </cell>
          <cell r="K80">
            <v>7520</v>
          </cell>
          <cell r="L80">
            <v>7577</v>
          </cell>
          <cell r="M80">
            <v>7364</v>
          </cell>
          <cell r="N80">
            <v>6928</v>
          </cell>
          <cell r="O80">
            <v>7667</v>
          </cell>
          <cell r="P80">
            <v>7543</v>
          </cell>
          <cell r="Q80">
            <v>7546</v>
          </cell>
          <cell r="R80">
            <v>7678</v>
          </cell>
          <cell r="S80">
            <v>7547</v>
          </cell>
          <cell r="T80">
            <v>7649</v>
          </cell>
          <cell r="U80">
            <v>7495</v>
          </cell>
          <cell r="V80">
            <v>7330</v>
          </cell>
          <cell r="W80">
            <v>7597</v>
          </cell>
          <cell r="X80">
            <v>7615</v>
          </cell>
          <cell r="Y80">
            <v>6566</v>
          </cell>
          <cell r="Z80">
            <v>7339</v>
          </cell>
          <cell r="AA80">
            <v>7718</v>
          </cell>
          <cell r="AB80">
            <v>7856</v>
          </cell>
          <cell r="AC80">
            <v>7946</v>
          </cell>
          <cell r="AD80">
            <v>6531</v>
          </cell>
          <cell r="AE80">
            <v>7234</v>
          </cell>
          <cell r="AF80">
            <v>8189</v>
          </cell>
          <cell r="AG80">
            <v>7886</v>
          </cell>
          <cell r="AH80">
            <v>8053</v>
          </cell>
          <cell r="AI80">
            <v>8127</v>
          </cell>
          <cell r="AJ80">
            <v>7918</v>
          </cell>
          <cell r="AK80">
            <v>7926</v>
          </cell>
          <cell r="AL80">
            <v>8215</v>
          </cell>
          <cell r="AM80">
            <v>8487</v>
          </cell>
          <cell r="AN80">
            <v>7985</v>
          </cell>
          <cell r="AO80">
            <v>8259</v>
          </cell>
          <cell r="AP80">
            <v>8285</v>
          </cell>
          <cell r="AQ80">
            <v>7828</v>
          </cell>
          <cell r="AR80">
            <v>8241</v>
          </cell>
          <cell r="AS80">
            <v>8049</v>
          </cell>
          <cell r="AT80">
            <v>8083</v>
          </cell>
          <cell r="AU80">
            <v>7816</v>
          </cell>
          <cell r="AV80">
            <v>8025</v>
          </cell>
          <cell r="AW80">
            <v>7910</v>
          </cell>
          <cell r="AX80">
            <v>8102</v>
          </cell>
          <cell r="AY80">
            <v>8260</v>
          </cell>
          <cell r="AZ80">
            <v>7360</v>
          </cell>
          <cell r="BA80">
            <v>8066</v>
          </cell>
          <cell r="BB80">
            <v>8193</v>
          </cell>
          <cell r="BC80">
            <v>8009</v>
          </cell>
          <cell r="BD80">
            <v>7878</v>
          </cell>
          <cell r="BE80">
            <v>7281</v>
          </cell>
          <cell r="BF80">
            <v>8010</v>
          </cell>
          <cell r="BG80">
            <v>8155</v>
          </cell>
          <cell r="BH80">
            <v>7880</v>
          </cell>
          <cell r="BI80">
            <v>8192</v>
          </cell>
          <cell r="BJ80">
            <v>7602</v>
          </cell>
          <cell r="BK80">
            <v>7768</v>
          </cell>
          <cell r="BL80">
            <v>7845</v>
          </cell>
          <cell r="BM80">
            <v>7739</v>
          </cell>
          <cell r="BN80">
            <v>7345</v>
          </cell>
          <cell r="BO80">
            <v>8114</v>
          </cell>
          <cell r="BP80">
            <v>8039</v>
          </cell>
          <cell r="BQ80">
            <v>7730</v>
          </cell>
          <cell r="BR80">
            <v>7980</v>
          </cell>
          <cell r="BS80">
            <v>7968</v>
          </cell>
          <cell r="BT80">
            <v>7714</v>
          </cell>
          <cell r="BU80">
            <v>7745</v>
          </cell>
          <cell r="BV80">
            <v>7545</v>
          </cell>
          <cell r="BW80">
            <v>7555</v>
          </cell>
          <cell r="BX80">
            <v>7971</v>
          </cell>
          <cell r="BY80">
            <v>6910</v>
          </cell>
          <cell r="BZ80">
            <v>7782</v>
          </cell>
          <cell r="CA80">
            <v>8070</v>
          </cell>
          <cell r="CB80">
            <v>7814</v>
          </cell>
          <cell r="CC80">
            <v>7815</v>
          </cell>
          <cell r="CD80">
            <v>6174</v>
          </cell>
          <cell r="CE80">
            <v>6919</v>
          </cell>
          <cell r="CF80">
            <v>8279</v>
          </cell>
          <cell r="CG80">
            <v>8491</v>
          </cell>
          <cell r="CH80">
            <v>8202</v>
          </cell>
          <cell r="CI80">
            <v>8244</v>
          </cell>
          <cell r="CJ80">
            <v>8143</v>
          </cell>
          <cell r="CK80">
            <v>8013</v>
          </cell>
          <cell r="CL80">
            <v>8168</v>
          </cell>
          <cell r="CM80">
            <v>8044</v>
          </cell>
          <cell r="CN80">
            <v>8114</v>
          </cell>
          <cell r="CO80">
            <v>8419</v>
          </cell>
          <cell r="CP80">
            <v>7911</v>
          </cell>
          <cell r="CQ80">
            <v>7664</v>
          </cell>
          <cell r="CR80">
            <v>7982</v>
          </cell>
          <cell r="CS80">
            <v>7636</v>
          </cell>
          <cell r="CT80">
            <v>7913</v>
          </cell>
          <cell r="CU80">
            <v>7786</v>
          </cell>
          <cell r="CV80">
            <v>7877</v>
          </cell>
          <cell r="CW80">
            <v>7774</v>
          </cell>
          <cell r="CX80">
            <v>7650</v>
          </cell>
          <cell r="CY80">
            <v>8000</v>
          </cell>
          <cell r="CZ80">
            <v>7416</v>
          </cell>
          <cell r="DA80">
            <v>8213</v>
          </cell>
          <cell r="DB80">
            <v>8194</v>
          </cell>
          <cell r="DC80">
            <v>7860</v>
          </cell>
          <cell r="DD80">
            <v>7659</v>
          </cell>
          <cell r="DE80">
            <v>7242</v>
          </cell>
          <cell r="DF80">
            <v>7965</v>
          </cell>
          <cell r="DG80">
            <v>7698</v>
          </cell>
          <cell r="DH80">
            <v>7679</v>
          </cell>
          <cell r="DI80">
            <v>7636</v>
          </cell>
          <cell r="DJ80">
            <v>7507</v>
          </cell>
          <cell r="DK80">
            <v>7526</v>
          </cell>
          <cell r="DL80">
            <v>7552</v>
          </cell>
          <cell r="DM80">
            <v>7783</v>
          </cell>
          <cell r="DN80">
            <v>7063</v>
          </cell>
          <cell r="DO80">
            <v>7837</v>
          </cell>
          <cell r="DP80">
            <v>7265</v>
          </cell>
          <cell r="DQ80">
            <v>7279</v>
          </cell>
          <cell r="DR80">
            <v>7306</v>
          </cell>
          <cell r="DS80">
            <v>7208</v>
          </cell>
          <cell r="DT80">
            <v>6993</v>
          </cell>
          <cell r="DU80">
            <v>7019</v>
          </cell>
          <cell r="DV80">
            <v>6865</v>
          </cell>
          <cell r="DW80">
            <v>7029</v>
          </cell>
          <cell r="DX80">
            <v>7177</v>
          </cell>
          <cell r="DY80">
            <v>7061</v>
          </cell>
          <cell r="DZ80">
            <v>6021</v>
          </cell>
          <cell r="EA80">
            <v>7298</v>
          </cell>
          <cell r="EB80">
            <v>7121</v>
          </cell>
          <cell r="EC80">
            <v>6901</v>
          </cell>
          <cell r="ED80">
            <v>5449</v>
          </cell>
          <cell r="EE80">
            <v>6091</v>
          </cell>
          <cell r="EF80">
            <v>7007</v>
          </cell>
          <cell r="EG80">
            <v>7106</v>
          </cell>
          <cell r="EH80">
            <v>6815</v>
          </cell>
          <cell r="EI80">
            <v>6834</v>
          </cell>
          <cell r="EJ80">
            <v>7226</v>
          </cell>
          <cell r="EK80">
            <v>6720</v>
          </cell>
          <cell r="EL80">
            <v>6398</v>
          </cell>
          <cell r="EM80">
            <v>6464</v>
          </cell>
          <cell r="EN80">
            <v>6582</v>
          </cell>
          <cell r="EO80">
            <v>6638</v>
          </cell>
          <cell r="EP80">
            <v>6352</v>
          </cell>
          <cell r="EQ80">
            <v>6285</v>
          </cell>
          <cell r="ER80">
            <v>6322</v>
          </cell>
          <cell r="ES80">
            <v>6224</v>
          </cell>
          <cell r="ET80">
            <v>6116</v>
          </cell>
          <cell r="EU80">
            <v>5889</v>
          </cell>
          <cell r="EV80">
            <v>6061</v>
          </cell>
          <cell r="EW80">
            <v>5907</v>
          </cell>
          <cell r="EX80">
            <v>6020</v>
          </cell>
          <cell r="EY80">
            <v>6019</v>
          </cell>
          <cell r="EZ80">
            <v>5537</v>
          </cell>
          <cell r="FA80">
            <v>6178</v>
          </cell>
          <cell r="FB80">
            <v>5694</v>
          </cell>
          <cell r="FC80">
            <v>5672</v>
          </cell>
          <cell r="FD80">
            <v>5391</v>
          </cell>
          <cell r="FE80">
            <v>5412</v>
          </cell>
          <cell r="FF80">
            <v>4569</v>
          </cell>
          <cell r="FG80">
            <v>4728</v>
          </cell>
          <cell r="FH80">
            <v>4669</v>
          </cell>
          <cell r="FI80">
            <v>5242</v>
          </cell>
          <cell r="FJ80">
            <v>5398</v>
          </cell>
          <cell r="FK80">
            <v>5153</v>
          </cell>
          <cell r="FL80">
            <v>5078</v>
          </cell>
          <cell r="FM80">
            <v>5007</v>
          </cell>
          <cell r="FN80">
            <v>5228</v>
          </cell>
          <cell r="FO80">
            <v>4565</v>
          </cell>
          <cell r="FP80">
            <v>4897</v>
          </cell>
          <cell r="FQ80">
            <v>4783</v>
          </cell>
          <cell r="FR80">
            <v>4944</v>
          </cell>
          <cell r="FS80">
            <v>4822</v>
          </cell>
          <cell r="FT80">
            <v>4635</v>
          </cell>
          <cell r="FU80">
            <v>4723</v>
          </cell>
          <cell r="FV80">
            <v>4485</v>
          </cell>
          <cell r="FW80">
            <v>4740</v>
          </cell>
          <cell r="FX80">
            <v>4552</v>
          </cell>
          <cell r="FY80">
            <v>4640</v>
          </cell>
          <cell r="FZ80">
            <v>3875</v>
          </cell>
          <cell r="GA80">
            <v>4788</v>
          </cell>
          <cell r="GB80">
            <v>4617</v>
          </cell>
          <cell r="GC80">
            <v>4640</v>
          </cell>
          <cell r="GD80">
            <v>3695</v>
          </cell>
          <cell r="GE80">
            <v>4098</v>
          </cell>
          <cell r="GF80">
            <v>4445</v>
          </cell>
          <cell r="GG80">
            <v>4337</v>
          </cell>
          <cell r="GH80">
            <v>4162</v>
          </cell>
          <cell r="GI80">
            <v>4259</v>
          </cell>
          <cell r="GJ80">
            <v>4148</v>
          </cell>
          <cell r="GK80">
            <v>3979</v>
          </cell>
          <cell r="GL80">
            <v>3860</v>
          </cell>
          <cell r="GM80">
            <v>3932</v>
          </cell>
          <cell r="GN80">
            <v>4077</v>
          </cell>
        </row>
        <row r="81">
          <cell r="B81" t="str">
            <v>RENVELA</v>
          </cell>
          <cell r="C81" t="str">
            <v>GZY</v>
          </cell>
          <cell r="D81">
            <v>0</v>
          </cell>
          <cell r="E81">
            <v>0</v>
          </cell>
          <cell r="F81">
            <v>0</v>
          </cell>
          <cell r="G81">
            <v>0</v>
          </cell>
          <cell r="H81">
            <v>0</v>
          </cell>
          <cell r="I81">
            <v>0</v>
          </cell>
          <cell r="J81">
            <v>0</v>
          </cell>
          <cell r="K81">
            <v>0</v>
          </cell>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1</v>
          </cell>
          <cell r="CN81">
            <v>9</v>
          </cell>
          <cell r="CO81">
            <v>45</v>
          </cell>
          <cell r="CP81">
            <v>81</v>
          </cell>
          <cell r="CQ81">
            <v>84</v>
          </cell>
          <cell r="CR81">
            <v>120</v>
          </cell>
          <cell r="CS81">
            <v>143</v>
          </cell>
          <cell r="CT81">
            <v>177</v>
          </cell>
          <cell r="CU81">
            <v>277</v>
          </cell>
          <cell r="CV81">
            <v>271</v>
          </cell>
          <cell r="CW81">
            <v>290</v>
          </cell>
          <cell r="CX81">
            <v>317</v>
          </cell>
          <cell r="CY81">
            <v>388</v>
          </cell>
          <cell r="CZ81">
            <v>339</v>
          </cell>
          <cell r="DA81">
            <v>382</v>
          </cell>
          <cell r="DB81">
            <v>475</v>
          </cell>
          <cell r="DC81">
            <v>567</v>
          </cell>
          <cell r="DD81">
            <v>552</v>
          </cell>
          <cell r="DE81">
            <v>442</v>
          </cell>
          <cell r="DF81">
            <v>561</v>
          </cell>
          <cell r="DG81">
            <v>684</v>
          </cell>
          <cell r="DH81">
            <v>752</v>
          </cell>
          <cell r="DI81">
            <v>740</v>
          </cell>
          <cell r="DJ81">
            <v>811</v>
          </cell>
          <cell r="DK81">
            <v>1005</v>
          </cell>
          <cell r="DL81">
            <v>1077</v>
          </cell>
          <cell r="DM81">
            <v>1111</v>
          </cell>
          <cell r="DN81">
            <v>943</v>
          </cell>
          <cell r="DO81">
            <v>1184</v>
          </cell>
          <cell r="DP81">
            <v>1316</v>
          </cell>
          <cell r="DQ81">
            <v>1392</v>
          </cell>
          <cell r="DR81">
            <v>1230</v>
          </cell>
          <cell r="DS81">
            <v>1221</v>
          </cell>
          <cell r="DT81">
            <v>1307</v>
          </cell>
          <cell r="DU81">
            <v>1404</v>
          </cell>
          <cell r="DV81">
            <v>1433</v>
          </cell>
          <cell r="DW81">
            <v>1376</v>
          </cell>
          <cell r="DX81">
            <v>1633</v>
          </cell>
          <cell r="DY81">
            <v>1707</v>
          </cell>
          <cell r="DZ81">
            <v>1255</v>
          </cell>
          <cell r="EA81">
            <v>1380</v>
          </cell>
          <cell r="EB81">
            <v>1567</v>
          </cell>
          <cell r="EC81">
            <v>1617</v>
          </cell>
          <cell r="ED81">
            <v>1040</v>
          </cell>
          <cell r="EE81">
            <v>1189</v>
          </cell>
          <cell r="EF81">
            <v>1439</v>
          </cell>
          <cell r="EG81">
            <v>1868</v>
          </cell>
          <cell r="EH81">
            <v>1931</v>
          </cell>
          <cell r="EI81">
            <v>2010</v>
          </cell>
          <cell r="EJ81">
            <v>2193</v>
          </cell>
          <cell r="EK81">
            <v>2502</v>
          </cell>
          <cell r="EL81">
            <v>2437</v>
          </cell>
          <cell r="EM81">
            <v>2456</v>
          </cell>
          <cell r="EN81">
            <v>2395</v>
          </cell>
          <cell r="EO81">
            <v>2476</v>
          </cell>
          <cell r="EP81">
            <v>2571</v>
          </cell>
          <cell r="EQ81">
            <v>2381</v>
          </cell>
          <cell r="ER81">
            <v>2201</v>
          </cell>
          <cell r="ES81">
            <v>2376</v>
          </cell>
          <cell r="ET81">
            <v>2634</v>
          </cell>
          <cell r="EU81">
            <v>2748</v>
          </cell>
          <cell r="EV81">
            <v>2647</v>
          </cell>
          <cell r="EW81">
            <v>2699</v>
          </cell>
          <cell r="EX81">
            <v>3058</v>
          </cell>
          <cell r="EY81">
            <v>3323</v>
          </cell>
          <cell r="EZ81">
            <v>2852</v>
          </cell>
          <cell r="FA81">
            <v>3296</v>
          </cell>
          <cell r="FB81">
            <v>3562</v>
          </cell>
          <cell r="FC81">
            <v>3650</v>
          </cell>
          <cell r="FD81">
            <v>3374</v>
          </cell>
          <cell r="FE81">
            <v>3370</v>
          </cell>
          <cell r="FF81">
            <v>3208</v>
          </cell>
          <cell r="FG81">
            <v>3456</v>
          </cell>
          <cell r="FH81">
            <v>3509</v>
          </cell>
          <cell r="FI81">
            <v>3438</v>
          </cell>
          <cell r="FJ81">
            <v>3491</v>
          </cell>
          <cell r="FK81">
            <v>3683</v>
          </cell>
          <cell r="FL81">
            <v>3845</v>
          </cell>
          <cell r="FM81">
            <v>3721</v>
          </cell>
          <cell r="FN81">
            <v>3932</v>
          </cell>
          <cell r="FO81">
            <v>3424</v>
          </cell>
          <cell r="FP81">
            <v>3979</v>
          </cell>
          <cell r="FQ81">
            <v>4037</v>
          </cell>
          <cell r="FR81">
            <v>3796</v>
          </cell>
          <cell r="FS81">
            <v>3612</v>
          </cell>
          <cell r="FT81">
            <v>3708</v>
          </cell>
          <cell r="FU81">
            <v>3719</v>
          </cell>
          <cell r="FV81">
            <v>3638</v>
          </cell>
          <cell r="FW81">
            <v>3754</v>
          </cell>
          <cell r="FX81">
            <v>3951</v>
          </cell>
          <cell r="FY81">
            <v>4196</v>
          </cell>
          <cell r="FZ81">
            <v>3506</v>
          </cell>
          <cell r="GA81">
            <v>3984</v>
          </cell>
          <cell r="GB81">
            <v>4063</v>
          </cell>
          <cell r="GC81">
            <v>4508</v>
          </cell>
          <cell r="GD81">
            <v>3719</v>
          </cell>
          <cell r="GE81">
            <v>3702</v>
          </cell>
          <cell r="GF81">
            <v>4555</v>
          </cell>
          <cell r="GG81">
            <v>5198</v>
          </cell>
          <cell r="GH81">
            <v>5407</v>
          </cell>
          <cell r="GI81">
            <v>5531</v>
          </cell>
          <cell r="GJ81">
            <v>5882</v>
          </cell>
          <cell r="GK81">
            <v>5771</v>
          </cell>
          <cell r="GL81">
            <v>5887</v>
          </cell>
          <cell r="GM81">
            <v>5875</v>
          </cell>
          <cell r="GN81">
            <v>6098</v>
          </cell>
        </row>
        <row r="82">
          <cell r="B82" t="str">
            <v>RESCRIPTOR</v>
          </cell>
          <cell r="C82" t="str">
            <v>PFZ</v>
          </cell>
          <cell r="D82">
            <v>53</v>
          </cell>
          <cell r="E82">
            <v>54</v>
          </cell>
          <cell r="F82">
            <v>52</v>
          </cell>
          <cell r="G82">
            <v>52</v>
          </cell>
          <cell r="H82">
            <v>46</v>
          </cell>
          <cell r="I82">
            <v>61</v>
          </cell>
          <cell r="J82">
            <v>58</v>
          </cell>
          <cell r="K82">
            <v>44</v>
          </cell>
          <cell r="L82">
            <v>53</v>
          </cell>
          <cell r="M82">
            <v>60</v>
          </cell>
          <cell r="N82">
            <v>41</v>
          </cell>
          <cell r="O82">
            <v>53</v>
          </cell>
          <cell r="P82">
            <v>63</v>
          </cell>
          <cell r="Q82">
            <v>56</v>
          </cell>
          <cell r="R82">
            <v>63</v>
          </cell>
          <cell r="S82">
            <v>54</v>
          </cell>
          <cell r="T82">
            <v>44</v>
          </cell>
          <cell r="U82">
            <v>57</v>
          </cell>
          <cell r="V82">
            <v>68</v>
          </cell>
          <cell r="W82">
            <v>42</v>
          </cell>
          <cell r="X82">
            <v>58</v>
          </cell>
          <cell r="Y82">
            <v>27</v>
          </cell>
          <cell r="Z82">
            <v>48</v>
          </cell>
          <cell r="AA82">
            <v>47</v>
          </cell>
          <cell r="AB82">
            <v>39</v>
          </cell>
          <cell r="AC82">
            <v>47</v>
          </cell>
          <cell r="AD82">
            <v>43</v>
          </cell>
          <cell r="AE82">
            <v>29</v>
          </cell>
          <cell r="AF82">
            <v>50</v>
          </cell>
          <cell r="AG82">
            <v>46</v>
          </cell>
          <cell r="AH82">
            <v>55</v>
          </cell>
          <cell r="AI82">
            <v>36</v>
          </cell>
          <cell r="AJ82">
            <v>44</v>
          </cell>
          <cell r="AK82">
            <v>43</v>
          </cell>
          <cell r="AL82">
            <v>35</v>
          </cell>
          <cell r="AM82">
            <v>54</v>
          </cell>
          <cell r="AN82">
            <v>55</v>
          </cell>
          <cell r="AO82">
            <v>48</v>
          </cell>
          <cell r="AP82">
            <v>49</v>
          </cell>
          <cell r="AQ82">
            <v>45</v>
          </cell>
          <cell r="AR82">
            <v>56</v>
          </cell>
          <cell r="AS82">
            <v>48</v>
          </cell>
          <cell r="AT82">
            <v>35</v>
          </cell>
          <cell r="AU82">
            <v>34</v>
          </cell>
          <cell r="AV82">
            <v>50</v>
          </cell>
          <cell r="AW82">
            <v>38</v>
          </cell>
          <cell r="AX82">
            <v>48</v>
          </cell>
          <cell r="AY82">
            <v>41</v>
          </cell>
          <cell r="AZ82">
            <v>25</v>
          </cell>
          <cell r="BA82">
            <v>56</v>
          </cell>
          <cell r="BB82">
            <v>49</v>
          </cell>
          <cell r="BC82">
            <v>48</v>
          </cell>
          <cell r="BD82">
            <v>45</v>
          </cell>
          <cell r="BE82">
            <v>40</v>
          </cell>
          <cell r="BF82">
            <v>49</v>
          </cell>
          <cell r="BG82">
            <v>52</v>
          </cell>
          <cell r="BH82">
            <v>46</v>
          </cell>
          <cell r="BI82">
            <v>62</v>
          </cell>
          <cell r="BJ82">
            <v>46</v>
          </cell>
          <cell r="BK82">
            <v>31</v>
          </cell>
          <cell r="BL82">
            <v>31</v>
          </cell>
          <cell r="BM82">
            <v>49</v>
          </cell>
          <cell r="BN82">
            <v>44</v>
          </cell>
          <cell r="BO82">
            <v>44</v>
          </cell>
          <cell r="BP82">
            <v>47</v>
          </cell>
          <cell r="BQ82">
            <v>44</v>
          </cell>
          <cell r="BR82">
            <v>37</v>
          </cell>
          <cell r="BS82">
            <v>41</v>
          </cell>
          <cell r="BT82">
            <v>30</v>
          </cell>
          <cell r="BU82">
            <v>35</v>
          </cell>
          <cell r="BV82">
            <v>37</v>
          </cell>
          <cell r="BW82">
            <v>34</v>
          </cell>
          <cell r="BX82">
            <v>36</v>
          </cell>
          <cell r="BY82">
            <v>24</v>
          </cell>
          <cell r="BZ82">
            <v>35</v>
          </cell>
          <cell r="CA82">
            <v>34</v>
          </cell>
          <cell r="CB82">
            <v>50</v>
          </cell>
          <cell r="CC82">
            <v>33</v>
          </cell>
          <cell r="CD82">
            <v>34</v>
          </cell>
          <cell r="CE82">
            <v>43</v>
          </cell>
          <cell r="CF82">
            <v>49</v>
          </cell>
          <cell r="CG82">
            <v>43</v>
          </cell>
          <cell r="CH82">
            <v>46</v>
          </cell>
          <cell r="CI82">
            <v>40</v>
          </cell>
          <cell r="CJ82">
            <v>51</v>
          </cell>
          <cell r="CK82">
            <v>37</v>
          </cell>
          <cell r="CL82">
            <v>29</v>
          </cell>
          <cell r="CM82">
            <v>44</v>
          </cell>
          <cell r="CN82">
            <v>36</v>
          </cell>
          <cell r="CO82">
            <v>45</v>
          </cell>
          <cell r="CP82">
            <v>20</v>
          </cell>
          <cell r="CQ82">
            <v>29</v>
          </cell>
          <cell r="CR82">
            <v>36</v>
          </cell>
          <cell r="CS82">
            <v>26</v>
          </cell>
          <cell r="CT82">
            <v>30</v>
          </cell>
          <cell r="CU82">
            <v>24</v>
          </cell>
          <cell r="CV82">
            <v>36</v>
          </cell>
          <cell r="CW82">
            <v>34</v>
          </cell>
          <cell r="CX82">
            <v>36</v>
          </cell>
          <cell r="CY82">
            <v>37</v>
          </cell>
          <cell r="CZ82">
            <v>30</v>
          </cell>
          <cell r="DA82">
            <v>32</v>
          </cell>
          <cell r="DB82">
            <v>31</v>
          </cell>
          <cell r="DC82">
            <v>21</v>
          </cell>
          <cell r="DD82">
            <v>21</v>
          </cell>
          <cell r="DE82">
            <v>32</v>
          </cell>
          <cell r="DF82">
            <v>41</v>
          </cell>
          <cell r="DG82">
            <v>33</v>
          </cell>
          <cell r="DH82">
            <v>27</v>
          </cell>
          <cell r="DI82">
            <v>25</v>
          </cell>
          <cell r="DJ82">
            <v>35</v>
          </cell>
          <cell r="DK82">
            <v>27</v>
          </cell>
          <cell r="DL82">
            <v>23</v>
          </cell>
          <cell r="DM82">
            <v>35</v>
          </cell>
          <cell r="DN82">
            <v>33</v>
          </cell>
          <cell r="DO82">
            <v>21</v>
          </cell>
          <cell r="DP82">
            <v>28</v>
          </cell>
          <cell r="DQ82">
            <v>39</v>
          </cell>
          <cell r="DR82">
            <v>44</v>
          </cell>
          <cell r="DS82">
            <v>25</v>
          </cell>
          <cell r="DT82">
            <v>31</v>
          </cell>
          <cell r="DU82">
            <v>37</v>
          </cell>
          <cell r="DV82">
            <v>39</v>
          </cell>
          <cell r="DW82">
            <v>35</v>
          </cell>
          <cell r="DX82">
            <v>36</v>
          </cell>
          <cell r="DY82">
            <v>28</v>
          </cell>
          <cell r="DZ82">
            <v>24</v>
          </cell>
          <cell r="EA82">
            <v>28</v>
          </cell>
          <cell r="EB82">
            <v>25</v>
          </cell>
          <cell r="EC82">
            <v>47</v>
          </cell>
          <cell r="ED82">
            <v>17</v>
          </cell>
          <cell r="EE82">
            <v>31</v>
          </cell>
          <cell r="EF82">
            <v>46</v>
          </cell>
          <cell r="EG82">
            <v>29</v>
          </cell>
          <cell r="EH82">
            <v>23</v>
          </cell>
          <cell r="EI82">
            <v>33</v>
          </cell>
          <cell r="EJ82">
            <v>35</v>
          </cell>
          <cell r="EK82">
            <v>16</v>
          </cell>
          <cell r="EL82">
            <v>29</v>
          </cell>
          <cell r="EM82">
            <v>29</v>
          </cell>
          <cell r="EN82">
            <v>16</v>
          </cell>
          <cell r="EO82">
            <v>25</v>
          </cell>
          <cell r="EP82">
            <v>31</v>
          </cell>
          <cell r="EQ82">
            <v>27</v>
          </cell>
          <cell r="ER82">
            <v>21</v>
          </cell>
          <cell r="ES82">
            <v>19</v>
          </cell>
          <cell r="ET82">
            <v>33</v>
          </cell>
          <cell r="EU82">
            <v>19</v>
          </cell>
          <cell r="EV82">
            <v>26</v>
          </cell>
          <cell r="EW82">
            <v>26</v>
          </cell>
          <cell r="EX82">
            <v>29</v>
          </cell>
          <cell r="EY82">
            <v>31</v>
          </cell>
          <cell r="EZ82">
            <v>18</v>
          </cell>
          <cell r="FA82">
            <v>32</v>
          </cell>
          <cell r="FB82">
            <v>22</v>
          </cell>
          <cell r="FC82">
            <v>17</v>
          </cell>
          <cell r="FD82">
            <v>19</v>
          </cell>
          <cell r="FE82">
            <v>22</v>
          </cell>
          <cell r="FF82">
            <v>13</v>
          </cell>
          <cell r="FG82">
            <v>14</v>
          </cell>
          <cell r="FH82">
            <v>12</v>
          </cell>
          <cell r="FI82">
            <v>26</v>
          </cell>
          <cell r="FJ82">
            <v>22</v>
          </cell>
          <cell r="FK82">
            <v>30</v>
          </cell>
          <cell r="FL82">
            <v>13</v>
          </cell>
          <cell r="FM82">
            <v>20</v>
          </cell>
          <cell r="FN82">
            <v>18</v>
          </cell>
          <cell r="FO82">
            <v>17</v>
          </cell>
          <cell r="FP82">
            <v>20</v>
          </cell>
          <cell r="FQ82">
            <v>23</v>
          </cell>
          <cell r="FR82">
            <v>22</v>
          </cell>
          <cell r="FS82">
            <v>17</v>
          </cell>
          <cell r="FT82">
            <v>19</v>
          </cell>
          <cell r="FU82">
            <v>27</v>
          </cell>
          <cell r="FV82">
            <v>19</v>
          </cell>
          <cell r="FW82">
            <v>19</v>
          </cell>
          <cell r="FX82">
            <v>20</v>
          </cell>
          <cell r="FY82">
            <v>23</v>
          </cell>
          <cell r="FZ82">
            <v>24</v>
          </cell>
          <cell r="GA82">
            <v>25</v>
          </cell>
          <cell r="GB82">
            <v>26</v>
          </cell>
          <cell r="GC82">
            <v>17</v>
          </cell>
          <cell r="GD82">
            <v>26</v>
          </cell>
          <cell r="GE82">
            <v>23</v>
          </cell>
          <cell r="GF82">
            <v>20</v>
          </cell>
          <cell r="GG82">
            <v>19</v>
          </cell>
          <cell r="GH82">
            <v>24</v>
          </cell>
          <cell r="GI82">
            <v>28</v>
          </cell>
          <cell r="GJ82">
            <v>21</v>
          </cell>
          <cell r="GK82">
            <v>20</v>
          </cell>
          <cell r="GL82">
            <v>16</v>
          </cell>
          <cell r="GM82">
            <v>21</v>
          </cell>
          <cell r="GN82">
            <v>44</v>
          </cell>
        </row>
        <row r="83">
          <cell r="B83" t="str">
            <v>RETROVIR IV INF</v>
          </cell>
          <cell r="C83" t="str">
            <v>GSK</v>
          </cell>
          <cell r="D83">
            <v>3</v>
          </cell>
          <cell r="E83">
            <v>0</v>
          </cell>
          <cell r="F83">
            <v>0</v>
          </cell>
          <cell r="G83">
            <v>0</v>
          </cell>
          <cell r="H83">
            <v>0</v>
          </cell>
          <cell r="I83">
            <v>0</v>
          </cell>
          <cell r="J83">
            <v>0</v>
          </cell>
          <cell r="K83">
            <v>0</v>
          </cell>
          <cell r="L83">
            <v>0</v>
          </cell>
          <cell r="M83">
            <v>0</v>
          </cell>
          <cell r="N83">
            <v>0</v>
          </cell>
          <cell r="O83">
            <v>0</v>
          </cell>
          <cell r="P83">
            <v>0</v>
          </cell>
          <cell r="Q83">
            <v>1</v>
          </cell>
          <cell r="R83">
            <v>0</v>
          </cell>
          <cell r="S83">
            <v>0</v>
          </cell>
          <cell r="T83">
            <v>2</v>
          </cell>
          <cell r="U83">
            <v>0</v>
          </cell>
          <cell r="V83">
            <v>0</v>
          </cell>
          <cell r="W83">
            <v>0</v>
          </cell>
          <cell r="X83">
            <v>0</v>
          </cell>
          <cell r="Y83">
            <v>0</v>
          </cell>
          <cell r="Z83">
            <v>1</v>
          </cell>
          <cell r="AA83">
            <v>0</v>
          </cell>
          <cell r="AB83">
            <v>0</v>
          </cell>
          <cell r="AC83">
            <v>1</v>
          </cell>
          <cell r="AD83">
            <v>0</v>
          </cell>
          <cell r="AE83">
            <v>0</v>
          </cell>
          <cell r="AF83">
            <v>1</v>
          </cell>
          <cell r="AG83">
            <v>1</v>
          </cell>
          <cell r="AH83">
            <v>0</v>
          </cell>
          <cell r="AI83">
            <v>0</v>
          </cell>
          <cell r="AJ83">
            <v>1</v>
          </cell>
          <cell r="AK83">
            <v>0</v>
          </cell>
          <cell r="AL83">
            <v>0</v>
          </cell>
          <cell r="AM83">
            <v>0</v>
          </cell>
          <cell r="AN83">
            <v>0</v>
          </cell>
          <cell r="AO83">
            <v>1</v>
          </cell>
          <cell r="AP83">
            <v>1</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2</v>
          </cell>
          <cell r="BM83">
            <v>0</v>
          </cell>
          <cell r="BN83">
            <v>0</v>
          </cell>
          <cell r="BO83">
            <v>0</v>
          </cell>
          <cell r="BP83">
            <v>0</v>
          </cell>
          <cell r="BQ83">
            <v>0</v>
          </cell>
          <cell r="BR83">
            <v>0</v>
          </cell>
          <cell r="BS83">
            <v>0</v>
          </cell>
          <cell r="BT83">
            <v>0</v>
          </cell>
          <cell r="BU83">
            <v>0</v>
          </cell>
          <cell r="BV83">
            <v>0</v>
          </cell>
          <cell r="BW83">
            <v>0</v>
          </cell>
          <cell r="BX83">
            <v>1</v>
          </cell>
          <cell r="BY83">
            <v>0</v>
          </cell>
          <cell r="BZ83">
            <v>0</v>
          </cell>
          <cell r="CA83">
            <v>0</v>
          </cell>
          <cell r="CB83">
            <v>0</v>
          </cell>
          <cell r="CC83">
            <v>0</v>
          </cell>
          <cell r="CD83">
            <v>0</v>
          </cell>
          <cell r="CE83">
            <v>0</v>
          </cell>
          <cell r="CF83">
            <v>0</v>
          </cell>
          <cell r="CG83">
            <v>0</v>
          </cell>
          <cell r="CH83">
            <v>0</v>
          </cell>
          <cell r="CI83">
            <v>1</v>
          </cell>
          <cell r="CJ83">
            <v>0</v>
          </cell>
          <cell r="CK83">
            <v>0</v>
          </cell>
          <cell r="CL83">
            <v>0</v>
          </cell>
          <cell r="CM83">
            <v>0</v>
          </cell>
          <cell r="CN83">
            <v>0</v>
          </cell>
          <cell r="CO83">
            <v>2</v>
          </cell>
          <cell r="CP83">
            <v>0</v>
          </cell>
          <cell r="CQ83">
            <v>0</v>
          </cell>
          <cell r="CR83">
            <v>1</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1</v>
          </cell>
          <cell r="DT83">
            <v>0</v>
          </cell>
          <cell r="DU83">
            <v>0</v>
          </cell>
          <cell r="DV83">
            <v>0</v>
          </cell>
          <cell r="DW83">
            <v>0</v>
          </cell>
          <cell r="DX83">
            <v>0</v>
          </cell>
          <cell r="DY83">
            <v>0</v>
          </cell>
          <cell r="DZ83">
            <v>0</v>
          </cell>
          <cell r="FB83">
            <v>1</v>
          </cell>
          <cell r="FI83">
            <v>1</v>
          </cell>
          <cell r="FJ83">
            <v>2</v>
          </cell>
          <cell r="GN83">
            <v>1</v>
          </cell>
        </row>
        <row r="84">
          <cell r="B84" t="str">
            <v>REVLIMID</v>
          </cell>
          <cell r="C84" t="str">
            <v>CC5</v>
          </cell>
          <cell r="D84">
            <v>70</v>
          </cell>
          <cell r="E84">
            <v>49</v>
          </cell>
          <cell r="F84">
            <v>83</v>
          </cell>
          <cell r="G84">
            <v>114</v>
          </cell>
          <cell r="H84">
            <v>175</v>
          </cell>
          <cell r="I84">
            <v>237</v>
          </cell>
          <cell r="J84">
            <v>295</v>
          </cell>
          <cell r="K84">
            <v>295</v>
          </cell>
          <cell r="L84">
            <v>314</v>
          </cell>
          <cell r="M84">
            <v>402</v>
          </cell>
          <cell r="N84">
            <v>291</v>
          </cell>
          <cell r="O84">
            <v>382</v>
          </cell>
          <cell r="P84">
            <v>376</v>
          </cell>
          <cell r="Q84">
            <v>360</v>
          </cell>
          <cell r="R84">
            <v>370</v>
          </cell>
          <cell r="S84">
            <v>409</v>
          </cell>
          <cell r="T84">
            <v>413</v>
          </cell>
          <cell r="U84">
            <v>422</v>
          </cell>
          <cell r="V84">
            <v>409</v>
          </cell>
          <cell r="W84">
            <v>504</v>
          </cell>
          <cell r="X84">
            <v>635</v>
          </cell>
          <cell r="Y84">
            <v>375</v>
          </cell>
          <cell r="Z84">
            <v>526</v>
          </cell>
          <cell r="AA84">
            <v>563</v>
          </cell>
          <cell r="AB84">
            <v>506</v>
          </cell>
          <cell r="AC84">
            <v>531</v>
          </cell>
          <cell r="AD84">
            <v>520</v>
          </cell>
          <cell r="AE84">
            <v>453</v>
          </cell>
          <cell r="AF84">
            <v>585</v>
          </cell>
          <cell r="AG84">
            <v>575</v>
          </cell>
          <cell r="AH84">
            <v>529</v>
          </cell>
          <cell r="AI84">
            <v>676</v>
          </cell>
          <cell r="AJ84">
            <v>701</v>
          </cell>
          <cell r="AK84">
            <v>603</v>
          </cell>
          <cell r="AL84">
            <v>637</v>
          </cell>
          <cell r="AM84">
            <v>691</v>
          </cell>
          <cell r="AN84">
            <v>754</v>
          </cell>
          <cell r="AO84">
            <v>658</v>
          </cell>
          <cell r="AP84">
            <v>619</v>
          </cell>
          <cell r="AQ84">
            <v>654</v>
          </cell>
          <cell r="AR84">
            <v>649</v>
          </cell>
          <cell r="AS84">
            <v>695</v>
          </cell>
          <cell r="AT84">
            <v>723</v>
          </cell>
          <cell r="AU84">
            <v>689</v>
          </cell>
          <cell r="AV84">
            <v>750</v>
          </cell>
          <cell r="AW84">
            <v>745</v>
          </cell>
          <cell r="AX84">
            <v>771</v>
          </cell>
          <cell r="AY84">
            <v>728</v>
          </cell>
          <cell r="AZ84">
            <v>649</v>
          </cell>
          <cell r="BA84">
            <v>1033</v>
          </cell>
          <cell r="BB84">
            <v>1116</v>
          </cell>
          <cell r="BC84">
            <v>975</v>
          </cell>
          <cell r="BD84">
            <v>952</v>
          </cell>
          <cell r="BE84">
            <v>775</v>
          </cell>
          <cell r="BF84">
            <v>1020</v>
          </cell>
          <cell r="BG84">
            <v>933</v>
          </cell>
          <cell r="BH84">
            <v>972</v>
          </cell>
          <cell r="BI84">
            <v>986</v>
          </cell>
          <cell r="BJ84">
            <v>1000</v>
          </cell>
          <cell r="BK84">
            <v>947</v>
          </cell>
          <cell r="BL84">
            <v>984</v>
          </cell>
          <cell r="BM84">
            <v>1070</v>
          </cell>
          <cell r="BN84">
            <v>887</v>
          </cell>
          <cell r="BO84">
            <v>1053</v>
          </cell>
          <cell r="BP84">
            <v>1022</v>
          </cell>
          <cell r="BQ84">
            <v>1019</v>
          </cell>
          <cell r="BR84">
            <v>1065</v>
          </cell>
          <cell r="BS84">
            <v>1007</v>
          </cell>
          <cell r="BT84">
            <v>979</v>
          </cell>
          <cell r="BU84">
            <v>1166</v>
          </cell>
          <cell r="BV84">
            <v>1089</v>
          </cell>
          <cell r="BW84">
            <v>1093</v>
          </cell>
          <cell r="BX84">
            <v>1089</v>
          </cell>
          <cell r="BY84">
            <v>887</v>
          </cell>
          <cell r="BZ84">
            <v>1299</v>
          </cell>
          <cell r="CA84">
            <v>1196</v>
          </cell>
          <cell r="CB84">
            <v>1075</v>
          </cell>
          <cell r="CC84">
            <v>1207</v>
          </cell>
          <cell r="CD84">
            <v>922</v>
          </cell>
          <cell r="CE84">
            <v>895</v>
          </cell>
          <cell r="CF84">
            <v>1133</v>
          </cell>
          <cell r="CG84">
            <v>1038</v>
          </cell>
          <cell r="CH84">
            <v>1063</v>
          </cell>
          <cell r="CI84">
            <v>1127</v>
          </cell>
          <cell r="CJ84">
            <v>1163</v>
          </cell>
          <cell r="CK84">
            <v>1128</v>
          </cell>
          <cell r="CL84">
            <v>1080</v>
          </cell>
          <cell r="CM84">
            <v>1153</v>
          </cell>
          <cell r="CN84">
            <v>1086</v>
          </cell>
          <cell r="CO84">
            <v>1068</v>
          </cell>
          <cell r="CP84">
            <v>997</v>
          </cell>
          <cell r="CQ84">
            <v>1164</v>
          </cell>
          <cell r="CR84">
            <v>1056</v>
          </cell>
          <cell r="CS84">
            <v>1068</v>
          </cell>
          <cell r="CT84">
            <v>1063</v>
          </cell>
          <cell r="CU84">
            <v>1137</v>
          </cell>
          <cell r="CV84">
            <v>1080</v>
          </cell>
          <cell r="CW84">
            <v>1083</v>
          </cell>
          <cell r="CX84">
            <v>972</v>
          </cell>
          <cell r="CY84">
            <v>1212</v>
          </cell>
          <cell r="CZ84">
            <v>994</v>
          </cell>
          <cell r="DA84">
            <v>1142</v>
          </cell>
          <cell r="DB84">
            <v>1069</v>
          </cell>
          <cell r="DC84">
            <v>1104</v>
          </cell>
          <cell r="DD84">
            <v>1136</v>
          </cell>
          <cell r="DE84">
            <v>948</v>
          </cell>
          <cell r="DF84">
            <v>994</v>
          </cell>
          <cell r="DG84">
            <v>1158</v>
          </cell>
          <cell r="DH84">
            <v>1178</v>
          </cell>
          <cell r="DI84">
            <v>1118</v>
          </cell>
          <cell r="DJ84">
            <v>1099</v>
          </cell>
          <cell r="DK84">
            <v>1154</v>
          </cell>
          <cell r="DL84">
            <v>1153</v>
          </cell>
          <cell r="DM84">
            <v>1157</v>
          </cell>
          <cell r="DN84">
            <v>964</v>
          </cell>
          <cell r="DO84">
            <v>1123</v>
          </cell>
          <cell r="DP84">
            <v>1128</v>
          </cell>
          <cell r="DQ84">
            <v>1100</v>
          </cell>
          <cell r="DR84">
            <v>1094</v>
          </cell>
          <cell r="DS84">
            <v>1165</v>
          </cell>
          <cell r="DT84">
            <v>1139</v>
          </cell>
          <cell r="DU84">
            <v>1128</v>
          </cell>
          <cell r="DV84">
            <v>944</v>
          </cell>
          <cell r="DW84">
            <v>1039</v>
          </cell>
          <cell r="DX84">
            <v>968</v>
          </cell>
          <cell r="DY84">
            <v>1034</v>
          </cell>
          <cell r="DZ84">
            <v>811</v>
          </cell>
          <cell r="EA84">
            <v>1046</v>
          </cell>
          <cell r="EB84">
            <v>1048</v>
          </cell>
          <cell r="EC84">
            <v>1068</v>
          </cell>
          <cell r="ED84">
            <v>760</v>
          </cell>
          <cell r="EE84">
            <v>857</v>
          </cell>
          <cell r="EF84">
            <v>1103</v>
          </cell>
          <cell r="EG84">
            <v>1009</v>
          </cell>
          <cell r="EH84">
            <v>960</v>
          </cell>
          <cell r="EI84">
            <v>949</v>
          </cell>
          <cell r="EJ84">
            <v>1093</v>
          </cell>
          <cell r="EK84">
            <v>987</v>
          </cell>
          <cell r="EL84">
            <v>888</v>
          </cell>
          <cell r="EM84">
            <v>971</v>
          </cell>
          <cell r="EN84">
            <v>1039</v>
          </cell>
          <cell r="EO84">
            <v>1024</v>
          </cell>
          <cell r="EP84">
            <v>914</v>
          </cell>
          <cell r="EQ84">
            <v>896</v>
          </cell>
          <cell r="ER84">
            <v>1042</v>
          </cell>
          <cell r="ES84">
            <v>606</v>
          </cell>
          <cell r="ET84">
            <v>699</v>
          </cell>
          <cell r="EU84">
            <v>708</v>
          </cell>
          <cell r="EV84">
            <v>1138</v>
          </cell>
          <cell r="EW84">
            <v>1097</v>
          </cell>
          <cell r="EX84">
            <v>1073</v>
          </cell>
          <cell r="EY84">
            <v>1118</v>
          </cell>
          <cell r="EZ84">
            <v>1043</v>
          </cell>
          <cell r="FA84">
            <v>1098</v>
          </cell>
          <cell r="FB84">
            <v>1232</v>
          </cell>
          <cell r="FC84">
            <v>1063</v>
          </cell>
          <cell r="FD84">
            <v>1191</v>
          </cell>
          <cell r="FE84">
            <v>1064</v>
          </cell>
          <cell r="FF84">
            <v>1240</v>
          </cell>
          <cell r="FG84">
            <v>1085</v>
          </cell>
          <cell r="FH84">
            <v>1063</v>
          </cell>
          <cell r="FI84">
            <v>874</v>
          </cell>
          <cell r="FJ84">
            <v>767</v>
          </cell>
          <cell r="FK84">
            <v>690</v>
          </cell>
          <cell r="FL84">
            <v>683</v>
          </cell>
          <cell r="FM84">
            <v>675</v>
          </cell>
          <cell r="FN84">
            <v>705</v>
          </cell>
          <cell r="FO84">
            <v>602</v>
          </cell>
          <cell r="FP84">
            <v>712</v>
          </cell>
          <cell r="FQ84">
            <v>742</v>
          </cell>
          <cell r="FR84">
            <v>758</v>
          </cell>
          <cell r="FS84">
            <v>844</v>
          </cell>
          <cell r="FT84">
            <v>770</v>
          </cell>
          <cell r="FU84">
            <v>803</v>
          </cell>
          <cell r="FV84">
            <v>722</v>
          </cell>
          <cell r="FW84">
            <v>817</v>
          </cell>
          <cell r="FX84">
            <v>776</v>
          </cell>
          <cell r="FY84">
            <v>862</v>
          </cell>
          <cell r="FZ84">
            <v>639</v>
          </cell>
          <cell r="GA84">
            <v>813</v>
          </cell>
          <cell r="GB84">
            <v>861</v>
          </cell>
          <cell r="GC84">
            <v>807</v>
          </cell>
          <cell r="GD84">
            <v>589</v>
          </cell>
          <cell r="GE84">
            <v>688</v>
          </cell>
          <cell r="GF84">
            <v>877</v>
          </cell>
          <cell r="GG84">
            <v>916</v>
          </cell>
          <cell r="GH84">
            <v>768</v>
          </cell>
          <cell r="GI84">
            <v>934</v>
          </cell>
          <cell r="GJ84">
            <v>943</v>
          </cell>
          <cell r="GK84">
            <v>822</v>
          </cell>
          <cell r="GL84">
            <v>812</v>
          </cell>
          <cell r="GM84">
            <v>900</v>
          </cell>
          <cell r="GN84">
            <v>911</v>
          </cell>
        </row>
        <row r="85">
          <cell r="B85" t="str">
            <v>REYATAZ</v>
          </cell>
          <cell r="C85" t="str">
            <v>BHV</v>
          </cell>
          <cell r="D85">
            <v>3544</v>
          </cell>
          <cell r="E85">
            <v>3189</v>
          </cell>
          <cell r="F85">
            <v>3904</v>
          </cell>
          <cell r="G85">
            <v>3596</v>
          </cell>
          <cell r="H85">
            <v>3584</v>
          </cell>
          <cell r="I85">
            <v>3650</v>
          </cell>
          <cell r="J85">
            <v>3629</v>
          </cell>
          <cell r="K85">
            <v>3808</v>
          </cell>
          <cell r="L85">
            <v>3753</v>
          </cell>
          <cell r="M85">
            <v>3654</v>
          </cell>
          <cell r="N85">
            <v>3319</v>
          </cell>
          <cell r="O85">
            <v>3713</v>
          </cell>
          <cell r="P85">
            <v>3796</v>
          </cell>
          <cell r="Q85">
            <v>3787</v>
          </cell>
          <cell r="R85">
            <v>3821</v>
          </cell>
          <cell r="S85">
            <v>3753</v>
          </cell>
          <cell r="T85">
            <v>3755</v>
          </cell>
          <cell r="U85">
            <v>3704</v>
          </cell>
          <cell r="V85">
            <v>3665</v>
          </cell>
          <cell r="W85">
            <v>3775</v>
          </cell>
          <cell r="X85">
            <v>3738</v>
          </cell>
          <cell r="Y85">
            <v>3231</v>
          </cell>
          <cell r="Z85">
            <v>4189</v>
          </cell>
          <cell r="AA85">
            <v>4082</v>
          </cell>
          <cell r="AB85">
            <v>3971</v>
          </cell>
          <cell r="AC85">
            <v>4161</v>
          </cell>
          <cell r="AD85">
            <v>3299</v>
          </cell>
          <cell r="AE85">
            <v>3536</v>
          </cell>
          <cell r="AF85">
            <v>4180</v>
          </cell>
          <cell r="AG85">
            <v>3973</v>
          </cell>
          <cell r="AH85">
            <v>4207</v>
          </cell>
          <cell r="AI85">
            <v>4192</v>
          </cell>
          <cell r="AJ85">
            <v>3898</v>
          </cell>
          <cell r="AK85">
            <v>3879</v>
          </cell>
          <cell r="AL85">
            <v>3922</v>
          </cell>
          <cell r="AM85">
            <v>4060</v>
          </cell>
          <cell r="AN85">
            <v>4166</v>
          </cell>
          <cell r="AO85">
            <v>3958</v>
          </cell>
          <cell r="AP85">
            <v>3953</v>
          </cell>
          <cell r="AQ85">
            <v>4002</v>
          </cell>
          <cell r="AR85">
            <v>4049</v>
          </cell>
          <cell r="AS85">
            <v>4075</v>
          </cell>
          <cell r="AT85">
            <v>4077</v>
          </cell>
          <cell r="AU85">
            <v>3971</v>
          </cell>
          <cell r="AV85">
            <v>4170</v>
          </cell>
          <cell r="AW85">
            <v>4178</v>
          </cell>
          <cell r="AX85">
            <v>4016</v>
          </cell>
          <cell r="AY85">
            <v>3895</v>
          </cell>
          <cell r="AZ85">
            <v>3872</v>
          </cell>
          <cell r="BA85">
            <v>4147</v>
          </cell>
          <cell r="BB85">
            <v>3937</v>
          </cell>
          <cell r="BC85">
            <v>3983</v>
          </cell>
          <cell r="BD85">
            <v>4031</v>
          </cell>
          <cell r="BE85">
            <v>3598</v>
          </cell>
          <cell r="BF85">
            <v>3996</v>
          </cell>
          <cell r="BG85">
            <v>3919</v>
          </cell>
          <cell r="BH85">
            <v>4072</v>
          </cell>
          <cell r="BI85">
            <v>4261</v>
          </cell>
          <cell r="BJ85">
            <v>4100</v>
          </cell>
          <cell r="BK85">
            <v>4150</v>
          </cell>
          <cell r="BL85">
            <v>4035</v>
          </cell>
          <cell r="BM85">
            <v>4011</v>
          </cell>
          <cell r="BN85">
            <v>3594</v>
          </cell>
          <cell r="BO85">
            <v>4287</v>
          </cell>
          <cell r="BP85">
            <v>4261</v>
          </cell>
          <cell r="BQ85">
            <v>4214</v>
          </cell>
          <cell r="BR85">
            <v>4400</v>
          </cell>
          <cell r="BS85">
            <v>4252</v>
          </cell>
          <cell r="BT85">
            <v>4201</v>
          </cell>
          <cell r="BU85">
            <v>4160</v>
          </cell>
          <cell r="BV85">
            <v>4285</v>
          </cell>
          <cell r="BW85">
            <v>4315</v>
          </cell>
          <cell r="BX85">
            <v>4179</v>
          </cell>
          <cell r="BY85">
            <v>3600</v>
          </cell>
          <cell r="BZ85">
            <v>4393</v>
          </cell>
          <cell r="CA85">
            <v>4421</v>
          </cell>
          <cell r="CB85">
            <v>4284</v>
          </cell>
          <cell r="CC85">
            <v>4475</v>
          </cell>
          <cell r="CD85">
            <v>3493</v>
          </cell>
          <cell r="CE85">
            <v>3627</v>
          </cell>
          <cell r="CF85">
            <v>4640</v>
          </cell>
          <cell r="CG85">
            <v>4493</v>
          </cell>
          <cell r="CH85">
            <v>4226</v>
          </cell>
          <cell r="CI85">
            <v>4626</v>
          </cell>
          <cell r="CJ85">
            <v>4610</v>
          </cell>
          <cell r="CK85">
            <v>4467</v>
          </cell>
          <cell r="CL85">
            <v>4303</v>
          </cell>
          <cell r="CM85">
            <v>4563</v>
          </cell>
          <cell r="CN85">
            <v>4723</v>
          </cell>
          <cell r="CO85">
            <v>4571</v>
          </cell>
          <cell r="CP85">
            <v>4382</v>
          </cell>
          <cell r="CQ85">
            <v>4322</v>
          </cell>
          <cell r="CR85">
            <v>4630</v>
          </cell>
          <cell r="CS85">
            <v>4446</v>
          </cell>
          <cell r="CT85">
            <v>4431</v>
          </cell>
          <cell r="CU85">
            <v>4413</v>
          </cell>
          <cell r="CV85">
            <v>4572</v>
          </cell>
          <cell r="CW85">
            <v>4689</v>
          </cell>
          <cell r="CX85">
            <v>4485</v>
          </cell>
          <cell r="CY85">
            <v>4446</v>
          </cell>
          <cell r="CZ85">
            <v>4021</v>
          </cell>
          <cell r="DA85">
            <v>4737</v>
          </cell>
          <cell r="DB85">
            <v>4506</v>
          </cell>
          <cell r="DC85">
            <v>4305</v>
          </cell>
          <cell r="DD85">
            <v>4409</v>
          </cell>
          <cell r="DE85">
            <v>4052</v>
          </cell>
          <cell r="DF85">
            <v>4544</v>
          </cell>
          <cell r="DG85">
            <v>4770</v>
          </cell>
          <cell r="DH85">
            <v>4376</v>
          </cell>
          <cell r="DI85">
            <v>4520</v>
          </cell>
          <cell r="DJ85">
            <v>4651</v>
          </cell>
          <cell r="DK85">
            <v>4628</v>
          </cell>
          <cell r="DL85">
            <v>4781</v>
          </cell>
          <cell r="DM85">
            <v>4607</v>
          </cell>
          <cell r="DN85">
            <v>4632</v>
          </cell>
          <cell r="DO85">
            <v>5018</v>
          </cell>
          <cell r="DP85">
            <v>4949</v>
          </cell>
          <cell r="DQ85">
            <v>4786</v>
          </cell>
          <cell r="DR85">
            <v>4916</v>
          </cell>
          <cell r="DS85">
            <v>4908</v>
          </cell>
          <cell r="DT85">
            <v>4802</v>
          </cell>
          <cell r="DU85">
            <v>4705</v>
          </cell>
          <cell r="DV85">
            <v>4642</v>
          </cell>
          <cell r="DW85">
            <v>4959</v>
          </cell>
          <cell r="DX85">
            <v>4479</v>
          </cell>
          <cell r="DY85">
            <v>4809</v>
          </cell>
          <cell r="DZ85">
            <v>4012</v>
          </cell>
          <cell r="EA85">
            <v>5243</v>
          </cell>
          <cell r="EB85">
            <v>4906</v>
          </cell>
          <cell r="EC85">
            <v>4883</v>
          </cell>
          <cell r="ED85">
            <v>3719</v>
          </cell>
          <cell r="EE85">
            <v>4160</v>
          </cell>
          <cell r="EF85">
            <v>5016</v>
          </cell>
          <cell r="EG85">
            <v>4913</v>
          </cell>
          <cell r="EH85">
            <v>4586</v>
          </cell>
          <cell r="EI85">
            <v>4778</v>
          </cell>
          <cell r="EJ85">
            <v>5001</v>
          </cell>
          <cell r="EK85">
            <v>4920</v>
          </cell>
          <cell r="EL85">
            <v>4767</v>
          </cell>
          <cell r="EM85">
            <v>4938</v>
          </cell>
          <cell r="EN85">
            <v>5151</v>
          </cell>
          <cell r="EO85">
            <v>4744</v>
          </cell>
          <cell r="EP85">
            <v>4781</v>
          </cell>
          <cell r="EQ85">
            <v>4835</v>
          </cell>
          <cell r="ER85">
            <v>4964</v>
          </cell>
          <cell r="ES85">
            <v>4971</v>
          </cell>
          <cell r="ET85">
            <v>4845</v>
          </cell>
          <cell r="EU85">
            <v>4747</v>
          </cell>
          <cell r="EV85">
            <v>4955</v>
          </cell>
          <cell r="EW85">
            <v>5416</v>
          </cell>
          <cell r="EX85">
            <v>4920</v>
          </cell>
          <cell r="EY85">
            <v>4941</v>
          </cell>
          <cell r="EZ85">
            <v>4471</v>
          </cell>
          <cell r="FA85">
            <v>5071</v>
          </cell>
          <cell r="FB85">
            <v>5080</v>
          </cell>
          <cell r="FC85">
            <v>4632</v>
          </cell>
          <cell r="FD85">
            <v>4763</v>
          </cell>
          <cell r="FE85">
            <v>4757</v>
          </cell>
          <cell r="FF85">
            <v>4283</v>
          </cell>
          <cell r="FG85">
            <v>4406</v>
          </cell>
          <cell r="FH85">
            <v>4223</v>
          </cell>
          <cell r="FI85">
            <v>4836</v>
          </cell>
          <cell r="FJ85">
            <v>5091</v>
          </cell>
          <cell r="FK85">
            <v>4904</v>
          </cell>
          <cell r="FL85">
            <v>4809</v>
          </cell>
          <cell r="FM85">
            <v>4780</v>
          </cell>
          <cell r="FN85">
            <v>5059</v>
          </cell>
          <cell r="FO85">
            <v>4663</v>
          </cell>
          <cell r="FP85">
            <v>5142</v>
          </cell>
          <cell r="FQ85">
            <v>4951</v>
          </cell>
          <cell r="FR85">
            <v>5109</v>
          </cell>
          <cell r="FS85">
            <v>5027</v>
          </cell>
          <cell r="FT85">
            <v>5024</v>
          </cell>
          <cell r="FU85">
            <v>5082</v>
          </cell>
          <cell r="FV85">
            <v>4980</v>
          </cell>
          <cell r="FW85">
            <v>5131</v>
          </cell>
          <cell r="FX85">
            <v>5068</v>
          </cell>
          <cell r="FY85">
            <v>5165</v>
          </cell>
          <cell r="FZ85">
            <v>4269</v>
          </cell>
          <cell r="GA85">
            <v>5408</v>
          </cell>
          <cell r="GB85">
            <v>5335</v>
          </cell>
          <cell r="GC85">
            <v>5147</v>
          </cell>
          <cell r="GD85">
            <v>4257</v>
          </cell>
          <cell r="GE85">
            <v>4537</v>
          </cell>
          <cell r="GF85">
            <v>5463</v>
          </cell>
          <cell r="GG85">
            <v>5428</v>
          </cell>
          <cell r="GH85">
            <v>5211</v>
          </cell>
          <cell r="GI85">
            <v>5224</v>
          </cell>
          <cell r="GJ85">
            <v>5393</v>
          </cell>
          <cell r="GK85">
            <v>5129</v>
          </cell>
          <cell r="GL85">
            <v>5045</v>
          </cell>
          <cell r="GM85">
            <v>5230</v>
          </cell>
          <cell r="GN85">
            <v>5587</v>
          </cell>
        </row>
        <row r="86">
          <cell r="B86" t="str">
            <v>RITUXAN</v>
          </cell>
          <cell r="C86" t="str">
            <v>GTC</v>
          </cell>
          <cell r="D86">
            <v>26</v>
          </cell>
          <cell r="E86">
            <v>41</v>
          </cell>
          <cell r="F86">
            <v>44</v>
          </cell>
          <cell r="G86">
            <v>22</v>
          </cell>
          <cell r="H86">
            <v>49</v>
          </cell>
          <cell r="I86">
            <v>51</v>
          </cell>
          <cell r="J86">
            <v>102</v>
          </cell>
          <cell r="K86">
            <v>68</v>
          </cell>
          <cell r="L86">
            <v>64</v>
          </cell>
          <cell r="M86">
            <v>46</v>
          </cell>
          <cell r="N86">
            <v>47</v>
          </cell>
          <cell r="O86">
            <v>80</v>
          </cell>
          <cell r="P86">
            <v>52</v>
          </cell>
          <cell r="Q86">
            <v>59</v>
          </cell>
          <cell r="R86">
            <v>63</v>
          </cell>
          <cell r="S86">
            <v>103</v>
          </cell>
          <cell r="T86">
            <v>60</v>
          </cell>
          <cell r="U86">
            <v>69</v>
          </cell>
          <cell r="V86">
            <v>95</v>
          </cell>
          <cell r="W86">
            <v>85</v>
          </cell>
          <cell r="X86">
            <v>81</v>
          </cell>
          <cell r="Y86">
            <v>46</v>
          </cell>
          <cell r="Z86">
            <v>96</v>
          </cell>
          <cell r="AA86">
            <v>72</v>
          </cell>
          <cell r="AB86">
            <v>97</v>
          </cell>
          <cell r="AC86">
            <v>57</v>
          </cell>
          <cell r="AD86">
            <v>59</v>
          </cell>
          <cell r="AE86">
            <v>48</v>
          </cell>
          <cell r="AF86">
            <v>72</v>
          </cell>
          <cell r="AG86">
            <v>69</v>
          </cell>
          <cell r="AH86">
            <v>76</v>
          </cell>
          <cell r="AI86">
            <v>92</v>
          </cell>
          <cell r="AJ86">
            <v>82</v>
          </cell>
          <cell r="AK86">
            <v>67</v>
          </cell>
          <cell r="AL86">
            <v>60</v>
          </cell>
          <cell r="AM86">
            <v>74</v>
          </cell>
          <cell r="AN86">
            <v>71</v>
          </cell>
          <cell r="AO86">
            <v>66</v>
          </cell>
          <cell r="AP86">
            <v>68</v>
          </cell>
          <cell r="AQ86">
            <v>70</v>
          </cell>
          <cell r="AR86">
            <v>67</v>
          </cell>
          <cell r="AS86">
            <v>85</v>
          </cell>
          <cell r="AT86">
            <v>66</v>
          </cell>
          <cell r="AU86">
            <v>62</v>
          </cell>
          <cell r="AV86">
            <v>50</v>
          </cell>
          <cell r="AW86">
            <v>65</v>
          </cell>
          <cell r="AX86">
            <v>69</v>
          </cell>
          <cell r="AY86">
            <v>61</v>
          </cell>
          <cell r="AZ86">
            <v>63</v>
          </cell>
          <cell r="BA86">
            <v>68</v>
          </cell>
          <cell r="BB86">
            <v>81</v>
          </cell>
          <cell r="BC86">
            <v>44</v>
          </cell>
          <cell r="BD86">
            <v>48</v>
          </cell>
          <cell r="BE86">
            <v>35</v>
          </cell>
          <cell r="BF86">
            <v>57</v>
          </cell>
          <cell r="BG86">
            <v>69</v>
          </cell>
          <cell r="BH86">
            <v>51</v>
          </cell>
          <cell r="BI86">
            <v>65</v>
          </cell>
          <cell r="BJ86">
            <v>70</v>
          </cell>
          <cell r="BK86">
            <v>76</v>
          </cell>
          <cell r="BL86">
            <v>77</v>
          </cell>
          <cell r="BM86">
            <v>61</v>
          </cell>
          <cell r="BN86">
            <v>51</v>
          </cell>
          <cell r="BO86">
            <v>69</v>
          </cell>
          <cell r="BP86">
            <v>53</v>
          </cell>
          <cell r="BQ86">
            <v>71</v>
          </cell>
          <cell r="BR86">
            <v>80</v>
          </cell>
          <cell r="BS86">
            <v>77</v>
          </cell>
          <cell r="BT86">
            <v>73</v>
          </cell>
          <cell r="BU86">
            <v>85</v>
          </cell>
          <cell r="BV86">
            <v>61</v>
          </cell>
          <cell r="BW86">
            <v>43</v>
          </cell>
          <cell r="BX86">
            <v>52</v>
          </cell>
          <cell r="BY86">
            <v>45</v>
          </cell>
          <cell r="BZ86">
            <v>47</v>
          </cell>
          <cell r="CA86">
            <v>113</v>
          </cell>
          <cell r="CB86">
            <v>86</v>
          </cell>
          <cell r="CC86">
            <v>63</v>
          </cell>
          <cell r="CD86">
            <v>30</v>
          </cell>
          <cell r="CE86">
            <v>42</v>
          </cell>
          <cell r="CF86">
            <v>72</v>
          </cell>
          <cell r="CG86">
            <v>60</v>
          </cell>
          <cell r="CH86">
            <v>102</v>
          </cell>
          <cell r="CI86">
            <v>85</v>
          </cell>
          <cell r="CJ86">
            <v>75</v>
          </cell>
          <cell r="CK86">
            <v>60</v>
          </cell>
          <cell r="CL86">
            <v>66</v>
          </cell>
          <cell r="CM86">
            <v>73</v>
          </cell>
          <cell r="CN86">
            <v>58</v>
          </cell>
          <cell r="CO86">
            <v>65</v>
          </cell>
          <cell r="CP86">
            <v>67</v>
          </cell>
          <cell r="CQ86">
            <v>65</v>
          </cell>
          <cell r="CR86">
            <v>94</v>
          </cell>
          <cell r="CS86">
            <v>95</v>
          </cell>
          <cell r="CT86">
            <v>52</v>
          </cell>
          <cell r="CU86">
            <v>65</v>
          </cell>
          <cell r="CV86">
            <v>61</v>
          </cell>
          <cell r="CW86">
            <v>62</v>
          </cell>
          <cell r="CX86">
            <v>84</v>
          </cell>
          <cell r="CY86">
            <v>72</v>
          </cell>
          <cell r="CZ86">
            <v>61</v>
          </cell>
          <cell r="DA86">
            <v>125</v>
          </cell>
          <cell r="DB86">
            <v>106</v>
          </cell>
          <cell r="DC86">
            <v>101</v>
          </cell>
          <cell r="DD86">
            <v>87</v>
          </cell>
          <cell r="DE86">
            <v>86</v>
          </cell>
          <cell r="DF86">
            <v>81</v>
          </cell>
          <cell r="DG86">
            <v>65</v>
          </cell>
          <cell r="DH86">
            <v>82</v>
          </cell>
          <cell r="DI86">
            <v>64</v>
          </cell>
          <cell r="DJ86">
            <v>67</v>
          </cell>
          <cell r="DK86">
            <v>69</v>
          </cell>
          <cell r="DL86">
            <v>77</v>
          </cell>
          <cell r="DM86">
            <v>71</v>
          </cell>
          <cell r="DN86">
            <v>71</v>
          </cell>
          <cell r="DO86">
            <v>64</v>
          </cell>
          <cell r="DP86">
            <v>98</v>
          </cell>
          <cell r="DQ86">
            <v>70</v>
          </cell>
          <cell r="DR86">
            <v>64</v>
          </cell>
          <cell r="DS86">
            <v>59</v>
          </cell>
          <cell r="DT86">
            <v>71</v>
          </cell>
          <cell r="DU86">
            <v>68</v>
          </cell>
          <cell r="DV86">
            <v>83</v>
          </cell>
          <cell r="DW86">
            <v>91</v>
          </cell>
          <cell r="DX86">
            <v>82</v>
          </cell>
          <cell r="DY86">
            <v>87</v>
          </cell>
          <cell r="DZ86">
            <v>79</v>
          </cell>
          <cell r="EA86">
            <v>80</v>
          </cell>
          <cell r="EB86">
            <v>102</v>
          </cell>
          <cell r="EC86">
            <v>76</v>
          </cell>
          <cell r="ED86">
            <v>64</v>
          </cell>
          <cell r="EE86">
            <v>55</v>
          </cell>
          <cell r="EF86">
            <v>62</v>
          </cell>
          <cell r="EG86">
            <v>82</v>
          </cell>
          <cell r="EH86">
            <v>75</v>
          </cell>
          <cell r="EI86">
            <v>55</v>
          </cell>
          <cell r="EJ86">
            <v>71</v>
          </cell>
          <cell r="EK86">
            <v>85</v>
          </cell>
          <cell r="EL86">
            <v>54</v>
          </cell>
          <cell r="EM86">
            <v>82</v>
          </cell>
          <cell r="EN86">
            <v>81</v>
          </cell>
          <cell r="EO86">
            <v>95</v>
          </cell>
          <cell r="EP86">
            <v>99</v>
          </cell>
          <cell r="EQ86">
            <v>63</v>
          </cell>
          <cell r="ER86">
            <v>82</v>
          </cell>
          <cell r="ES86">
            <v>81</v>
          </cell>
          <cell r="ET86">
            <v>80</v>
          </cell>
          <cell r="EU86">
            <v>92</v>
          </cell>
          <cell r="EV86">
            <v>93</v>
          </cell>
          <cell r="EW86">
            <v>77</v>
          </cell>
          <cell r="EX86">
            <v>51</v>
          </cell>
          <cell r="EY86">
            <v>68</v>
          </cell>
          <cell r="EZ86">
            <v>56</v>
          </cell>
          <cell r="FA86">
            <v>78</v>
          </cell>
          <cell r="FB86">
            <v>78</v>
          </cell>
          <cell r="FC86">
            <v>73</v>
          </cell>
          <cell r="FD86">
            <v>69</v>
          </cell>
          <cell r="FE86">
            <v>74</v>
          </cell>
          <cell r="FF86">
            <v>81</v>
          </cell>
          <cell r="FG86">
            <v>72</v>
          </cell>
          <cell r="FH86">
            <v>63</v>
          </cell>
          <cell r="FI86">
            <v>53</v>
          </cell>
          <cell r="FJ86">
            <v>55</v>
          </cell>
          <cell r="FK86">
            <v>75</v>
          </cell>
          <cell r="FL86">
            <v>71</v>
          </cell>
          <cell r="FM86">
            <v>54</v>
          </cell>
          <cell r="FN86">
            <v>77</v>
          </cell>
          <cell r="FO86">
            <v>32</v>
          </cell>
          <cell r="FP86">
            <v>80</v>
          </cell>
          <cell r="FQ86">
            <v>84</v>
          </cell>
          <cell r="FR86">
            <v>75</v>
          </cell>
          <cell r="FS86">
            <v>69</v>
          </cell>
          <cell r="FT86">
            <v>77</v>
          </cell>
          <cell r="FU86">
            <v>78</v>
          </cell>
          <cell r="FV86">
            <v>66</v>
          </cell>
          <cell r="FW86">
            <v>51</v>
          </cell>
          <cell r="FX86">
            <v>78</v>
          </cell>
          <cell r="FY86">
            <v>78</v>
          </cell>
          <cell r="FZ86">
            <v>52</v>
          </cell>
          <cell r="GA86">
            <v>86</v>
          </cell>
          <cell r="GB86">
            <v>63</v>
          </cell>
          <cell r="GC86">
            <v>75</v>
          </cell>
          <cell r="GD86">
            <v>52</v>
          </cell>
          <cell r="GE86">
            <v>64</v>
          </cell>
          <cell r="GF86">
            <v>61</v>
          </cell>
          <cell r="GG86">
            <v>66</v>
          </cell>
          <cell r="GH86">
            <v>62</v>
          </cell>
          <cell r="GI86">
            <v>63</v>
          </cell>
          <cell r="GJ86">
            <v>74</v>
          </cell>
          <cell r="GK86">
            <v>72</v>
          </cell>
          <cell r="GL86">
            <v>77</v>
          </cell>
          <cell r="GM86">
            <v>75</v>
          </cell>
          <cell r="GN86">
            <v>69</v>
          </cell>
        </row>
        <row r="87">
          <cell r="B87" t="str">
            <v>SELZENTRY</v>
          </cell>
          <cell r="C87" t="str">
            <v>PFZ</v>
          </cell>
          <cell r="D87">
            <v>0</v>
          </cell>
          <cell r="E87">
            <v>0</v>
          </cell>
          <cell r="F87">
            <v>0</v>
          </cell>
          <cell r="G87">
            <v>0</v>
          </cell>
          <cell r="H87">
            <v>0</v>
          </cell>
          <cell r="I87">
            <v>0</v>
          </cell>
          <cell r="J87">
            <v>0</v>
          </cell>
          <cell r="K87">
            <v>0</v>
          </cell>
          <cell r="L87">
            <v>0</v>
          </cell>
          <cell r="M87">
            <v>0</v>
          </cell>
          <cell r="N87">
            <v>0</v>
          </cell>
          <cell r="O87">
            <v>0</v>
          </cell>
          <cell r="P87">
            <v>0</v>
          </cell>
          <cell r="Q87">
            <v>0</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3</v>
          </cell>
          <cell r="BO87">
            <v>54</v>
          </cell>
          <cell r="BP87">
            <v>43</v>
          </cell>
          <cell r="BQ87">
            <v>39</v>
          </cell>
          <cell r="BR87">
            <v>29</v>
          </cell>
          <cell r="BS87">
            <v>66</v>
          </cell>
          <cell r="BT87">
            <v>58</v>
          </cell>
          <cell r="BU87">
            <v>71</v>
          </cell>
          <cell r="BV87">
            <v>88</v>
          </cell>
          <cell r="BW87">
            <v>109</v>
          </cell>
          <cell r="BX87">
            <v>142</v>
          </cell>
          <cell r="BY87">
            <v>83</v>
          </cell>
          <cell r="BZ87">
            <v>99</v>
          </cell>
          <cell r="CA87">
            <v>135</v>
          </cell>
          <cell r="CB87">
            <v>124</v>
          </cell>
          <cell r="CC87">
            <v>105</v>
          </cell>
          <cell r="CD87">
            <v>69</v>
          </cell>
          <cell r="CE87">
            <v>88</v>
          </cell>
          <cell r="CF87">
            <v>102</v>
          </cell>
          <cell r="CG87">
            <v>110</v>
          </cell>
          <cell r="CH87">
            <v>98</v>
          </cell>
          <cell r="CI87">
            <v>124</v>
          </cell>
          <cell r="CJ87">
            <v>144</v>
          </cell>
          <cell r="CK87">
            <v>135</v>
          </cell>
          <cell r="CL87">
            <v>115</v>
          </cell>
          <cell r="CM87">
            <v>124</v>
          </cell>
          <cell r="CN87">
            <v>174</v>
          </cell>
          <cell r="CO87">
            <v>133</v>
          </cell>
          <cell r="CP87">
            <v>137</v>
          </cell>
          <cell r="CQ87">
            <v>118</v>
          </cell>
          <cell r="CR87">
            <v>126</v>
          </cell>
          <cell r="CS87">
            <v>166</v>
          </cell>
          <cell r="CT87">
            <v>136</v>
          </cell>
          <cell r="CU87">
            <v>117</v>
          </cell>
          <cell r="CV87">
            <v>151</v>
          </cell>
          <cell r="CW87">
            <v>158</v>
          </cell>
          <cell r="CX87">
            <v>126</v>
          </cell>
          <cell r="CY87">
            <v>128</v>
          </cell>
          <cell r="CZ87">
            <v>108</v>
          </cell>
          <cell r="DA87">
            <v>153</v>
          </cell>
          <cell r="DB87">
            <v>170</v>
          </cell>
          <cell r="DC87">
            <v>145</v>
          </cell>
          <cell r="DD87">
            <v>178</v>
          </cell>
          <cell r="DE87">
            <v>218</v>
          </cell>
          <cell r="DF87">
            <v>188</v>
          </cell>
          <cell r="DG87">
            <v>150</v>
          </cell>
          <cell r="DH87">
            <v>143</v>
          </cell>
          <cell r="DI87">
            <v>173</v>
          </cell>
          <cell r="DJ87">
            <v>164</v>
          </cell>
          <cell r="DK87">
            <v>141</v>
          </cell>
          <cell r="DL87">
            <v>128</v>
          </cell>
          <cell r="DM87">
            <v>126</v>
          </cell>
          <cell r="DN87">
            <v>205</v>
          </cell>
          <cell r="DO87">
            <v>209</v>
          </cell>
          <cell r="DP87">
            <v>179</v>
          </cell>
          <cell r="DQ87">
            <v>170</v>
          </cell>
          <cell r="DR87">
            <v>195</v>
          </cell>
          <cell r="DS87">
            <v>173</v>
          </cell>
          <cell r="DT87">
            <v>218</v>
          </cell>
          <cell r="DU87">
            <v>162</v>
          </cell>
          <cell r="DV87">
            <v>190</v>
          </cell>
          <cell r="DW87">
            <v>199</v>
          </cell>
          <cell r="DX87">
            <v>235</v>
          </cell>
          <cell r="DY87">
            <v>206</v>
          </cell>
          <cell r="DZ87">
            <v>207</v>
          </cell>
          <cell r="EA87">
            <v>174</v>
          </cell>
          <cell r="EB87">
            <v>187</v>
          </cell>
          <cell r="EC87">
            <v>202</v>
          </cell>
          <cell r="ED87">
            <v>143</v>
          </cell>
          <cell r="EE87">
            <v>152</v>
          </cell>
          <cell r="EF87">
            <v>229</v>
          </cell>
          <cell r="EG87">
            <v>226</v>
          </cell>
          <cell r="EH87">
            <v>222</v>
          </cell>
          <cell r="EI87">
            <v>211</v>
          </cell>
          <cell r="EJ87">
            <v>217</v>
          </cell>
          <cell r="EK87">
            <v>209</v>
          </cell>
          <cell r="EL87">
            <v>207</v>
          </cell>
          <cell r="EM87">
            <v>198</v>
          </cell>
          <cell r="EN87">
            <v>194</v>
          </cell>
          <cell r="EO87">
            <v>229</v>
          </cell>
          <cell r="EP87">
            <v>177</v>
          </cell>
          <cell r="EQ87">
            <v>232</v>
          </cell>
          <cell r="ER87">
            <v>188</v>
          </cell>
          <cell r="ES87">
            <v>176</v>
          </cell>
          <cell r="ET87">
            <v>250</v>
          </cell>
          <cell r="EU87">
            <v>208</v>
          </cell>
          <cell r="EV87">
            <v>195</v>
          </cell>
          <cell r="EW87">
            <v>190</v>
          </cell>
          <cell r="EX87">
            <v>209</v>
          </cell>
          <cell r="EY87">
            <v>209</v>
          </cell>
          <cell r="EZ87">
            <v>171</v>
          </cell>
          <cell r="FA87">
            <v>171</v>
          </cell>
          <cell r="FB87">
            <v>272</v>
          </cell>
          <cell r="FC87">
            <v>261</v>
          </cell>
          <cell r="FD87">
            <v>229</v>
          </cell>
          <cell r="FE87">
            <v>233</v>
          </cell>
          <cell r="FF87">
            <v>184</v>
          </cell>
          <cell r="FG87">
            <v>205</v>
          </cell>
          <cell r="FH87">
            <v>185</v>
          </cell>
          <cell r="FI87">
            <v>235</v>
          </cell>
          <cell r="FJ87">
            <v>276</v>
          </cell>
          <cell r="FK87">
            <v>201</v>
          </cell>
          <cell r="FL87">
            <v>205</v>
          </cell>
          <cell r="FM87">
            <v>190</v>
          </cell>
          <cell r="FN87">
            <v>211</v>
          </cell>
          <cell r="FO87">
            <v>224</v>
          </cell>
          <cell r="FP87">
            <v>211</v>
          </cell>
          <cell r="FQ87">
            <v>197</v>
          </cell>
          <cell r="FR87">
            <v>215</v>
          </cell>
          <cell r="FS87">
            <v>254</v>
          </cell>
          <cell r="FT87">
            <v>214</v>
          </cell>
          <cell r="FU87">
            <v>232</v>
          </cell>
          <cell r="FV87">
            <v>253</v>
          </cell>
          <cell r="FW87">
            <v>217</v>
          </cell>
          <cell r="FX87">
            <v>225</v>
          </cell>
          <cell r="FY87">
            <v>201</v>
          </cell>
          <cell r="FZ87">
            <v>203</v>
          </cell>
          <cell r="GA87">
            <v>255</v>
          </cell>
          <cell r="GB87">
            <v>268</v>
          </cell>
          <cell r="GC87">
            <v>246</v>
          </cell>
          <cell r="GD87">
            <v>224</v>
          </cell>
          <cell r="GE87">
            <v>220</v>
          </cell>
          <cell r="GF87">
            <v>251</v>
          </cell>
          <cell r="GG87">
            <v>272</v>
          </cell>
          <cell r="GH87">
            <v>209</v>
          </cell>
          <cell r="GI87">
            <v>240</v>
          </cell>
          <cell r="GJ87">
            <v>290</v>
          </cell>
          <cell r="GK87">
            <v>286</v>
          </cell>
          <cell r="GL87">
            <v>231</v>
          </cell>
          <cell r="GM87">
            <v>293</v>
          </cell>
          <cell r="GN87">
            <v>288</v>
          </cell>
        </row>
        <row r="88">
          <cell r="B88" t="str">
            <v>SENSIPAR</v>
          </cell>
          <cell r="C88" t="str">
            <v>AAI</v>
          </cell>
          <cell r="D88">
            <v>3967</v>
          </cell>
          <cell r="E88">
            <v>3324</v>
          </cell>
          <cell r="F88">
            <v>4061</v>
          </cell>
          <cell r="G88">
            <v>4330</v>
          </cell>
          <cell r="H88">
            <v>4124</v>
          </cell>
          <cell r="I88">
            <v>4193</v>
          </cell>
          <cell r="J88">
            <v>3882</v>
          </cell>
          <cell r="K88">
            <v>4254</v>
          </cell>
          <cell r="L88">
            <v>4323</v>
          </cell>
          <cell r="M88">
            <v>4346</v>
          </cell>
          <cell r="N88">
            <v>3851</v>
          </cell>
          <cell r="O88">
            <v>4416</v>
          </cell>
          <cell r="P88">
            <v>4552</v>
          </cell>
          <cell r="Q88">
            <v>4447</v>
          </cell>
          <cell r="R88">
            <v>4296</v>
          </cell>
          <cell r="S88">
            <v>4417</v>
          </cell>
          <cell r="T88">
            <v>4581</v>
          </cell>
          <cell r="U88">
            <v>4438</v>
          </cell>
          <cell r="V88">
            <v>4247</v>
          </cell>
          <cell r="W88">
            <v>4431</v>
          </cell>
          <cell r="X88">
            <v>4368</v>
          </cell>
          <cell r="Y88">
            <v>3644</v>
          </cell>
          <cell r="Z88">
            <v>4263</v>
          </cell>
          <cell r="AA88">
            <v>4211</v>
          </cell>
          <cell r="AB88">
            <v>4505</v>
          </cell>
          <cell r="AC88">
            <v>4703</v>
          </cell>
          <cell r="AD88">
            <v>3565</v>
          </cell>
          <cell r="AE88">
            <v>3730</v>
          </cell>
          <cell r="AF88">
            <v>4815</v>
          </cell>
          <cell r="AG88">
            <v>5125</v>
          </cell>
          <cell r="AH88">
            <v>4908</v>
          </cell>
          <cell r="AI88">
            <v>4529</v>
          </cell>
          <cell r="AJ88">
            <v>4444</v>
          </cell>
          <cell r="AK88">
            <v>4626</v>
          </cell>
          <cell r="AL88">
            <v>4827</v>
          </cell>
          <cell r="AM88">
            <v>5030</v>
          </cell>
          <cell r="AN88">
            <v>4661</v>
          </cell>
          <cell r="AO88">
            <v>4733</v>
          </cell>
          <cell r="AP88">
            <v>4803</v>
          </cell>
          <cell r="AQ88">
            <v>4408</v>
          </cell>
          <cell r="AR88">
            <v>4410</v>
          </cell>
          <cell r="AS88">
            <v>4922</v>
          </cell>
          <cell r="AT88">
            <v>4992</v>
          </cell>
          <cell r="AU88">
            <v>4832</v>
          </cell>
          <cell r="AV88">
            <v>4457</v>
          </cell>
          <cell r="AW88">
            <v>4594</v>
          </cell>
          <cell r="AX88">
            <v>4797</v>
          </cell>
          <cell r="AY88">
            <v>4795</v>
          </cell>
          <cell r="AZ88">
            <v>4219</v>
          </cell>
          <cell r="BA88">
            <v>4662</v>
          </cell>
          <cell r="BB88">
            <v>5052</v>
          </cell>
          <cell r="BC88">
            <v>4918</v>
          </cell>
          <cell r="BD88">
            <v>4946</v>
          </cell>
          <cell r="BE88">
            <v>4029</v>
          </cell>
          <cell r="BF88">
            <v>4806</v>
          </cell>
          <cell r="BG88">
            <v>5200</v>
          </cell>
          <cell r="BH88">
            <v>4792</v>
          </cell>
          <cell r="BI88">
            <v>4774</v>
          </cell>
          <cell r="BJ88">
            <v>4494</v>
          </cell>
          <cell r="BK88">
            <v>4693</v>
          </cell>
          <cell r="BL88">
            <v>4610</v>
          </cell>
          <cell r="BM88">
            <v>4524</v>
          </cell>
          <cell r="BN88">
            <v>4136</v>
          </cell>
          <cell r="BO88">
            <v>4724</v>
          </cell>
          <cell r="BP88">
            <v>4715</v>
          </cell>
          <cell r="BQ88">
            <v>4524</v>
          </cell>
          <cell r="BR88">
            <v>4760</v>
          </cell>
          <cell r="BS88">
            <v>4906</v>
          </cell>
          <cell r="BT88">
            <v>5163</v>
          </cell>
          <cell r="BU88">
            <v>4807</v>
          </cell>
          <cell r="BV88">
            <v>4558</v>
          </cell>
          <cell r="BW88">
            <v>4483</v>
          </cell>
          <cell r="BX88">
            <v>4877</v>
          </cell>
          <cell r="BY88">
            <v>4226</v>
          </cell>
          <cell r="BZ88">
            <v>4751</v>
          </cell>
          <cell r="CA88">
            <v>4771</v>
          </cell>
          <cell r="CB88">
            <v>4981</v>
          </cell>
          <cell r="CC88">
            <v>4989</v>
          </cell>
          <cell r="CD88">
            <v>3474</v>
          </cell>
          <cell r="CE88">
            <v>4212</v>
          </cell>
          <cell r="CF88">
            <v>4892</v>
          </cell>
          <cell r="CG88">
            <v>5104</v>
          </cell>
          <cell r="CH88">
            <v>5104</v>
          </cell>
          <cell r="CI88">
            <v>5064</v>
          </cell>
          <cell r="CJ88">
            <v>4829</v>
          </cell>
          <cell r="CK88">
            <v>4979</v>
          </cell>
          <cell r="CL88">
            <v>5208</v>
          </cell>
          <cell r="CM88">
            <v>5274</v>
          </cell>
          <cell r="CN88">
            <v>5122</v>
          </cell>
          <cell r="CO88">
            <v>5223</v>
          </cell>
          <cell r="CP88">
            <v>5062</v>
          </cell>
          <cell r="CQ88">
            <v>5005</v>
          </cell>
          <cell r="CR88">
            <v>4751</v>
          </cell>
          <cell r="CS88">
            <v>4783</v>
          </cell>
          <cell r="CT88">
            <v>4960</v>
          </cell>
          <cell r="CU88">
            <v>4959</v>
          </cell>
          <cell r="CV88">
            <v>5079</v>
          </cell>
          <cell r="CW88">
            <v>4846</v>
          </cell>
          <cell r="CX88">
            <v>4947</v>
          </cell>
          <cell r="CY88">
            <v>5256</v>
          </cell>
          <cell r="CZ88">
            <v>4642</v>
          </cell>
          <cell r="DA88">
            <v>5035</v>
          </cell>
          <cell r="DB88">
            <v>5073</v>
          </cell>
          <cell r="DC88">
            <v>5044</v>
          </cell>
          <cell r="DD88">
            <v>4889</v>
          </cell>
          <cell r="DE88">
            <v>4305</v>
          </cell>
          <cell r="DF88">
            <v>4878</v>
          </cell>
          <cell r="DG88">
            <v>5292</v>
          </cell>
          <cell r="DH88">
            <v>4991</v>
          </cell>
          <cell r="DI88">
            <v>5105</v>
          </cell>
          <cell r="DJ88">
            <v>4840</v>
          </cell>
          <cell r="DK88">
            <v>4882</v>
          </cell>
          <cell r="DL88">
            <v>4987</v>
          </cell>
          <cell r="DM88">
            <v>4816</v>
          </cell>
          <cell r="DN88">
            <v>4368</v>
          </cell>
          <cell r="DO88">
            <v>5261</v>
          </cell>
          <cell r="DP88">
            <v>5164</v>
          </cell>
          <cell r="DQ88">
            <v>4980</v>
          </cell>
          <cell r="DR88">
            <v>4857</v>
          </cell>
          <cell r="DS88">
            <v>4811</v>
          </cell>
          <cell r="DT88">
            <v>5042</v>
          </cell>
          <cell r="DU88">
            <v>5028</v>
          </cell>
          <cell r="DV88">
            <v>4884</v>
          </cell>
          <cell r="DW88">
            <v>4861</v>
          </cell>
          <cell r="DX88">
            <v>5101</v>
          </cell>
          <cell r="DY88">
            <v>5498</v>
          </cell>
          <cell r="DZ88">
            <v>4175</v>
          </cell>
          <cell r="EA88">
            <v>5320</v>
          </cell>
          <cell r="EB88">
            <v>5358</v>
          </cell>
          <cell r="EC88">
            <v>5106</v>
          </cell>
          <cell r="ED88">
            <v>3620</v>
          </cell>
          <cell r="EE88">
            <v>3997</v>
          </cell>
          <cell r="EF88">
            <v>4682</v>
          </cell>
          <cell r="EG88">
            <v>5119</v>
          </cell>
          <cell r="EH88">
            <v>5007</v>
          </cell>
          <cell r="EI88">
            <v>5008</v>
          </cell>
          <cell r="EJ88">
            <v>5281</v>
          </cell>
          <cell r="EK88">
            <v>5106</v>
          </cell>
          <cell r="EL88">
            <v>5119</v>
          </cell>
          <cell r="EM88">
            <v>5155</v>
          </cell>
          <cell r="EN88">
            <v>5240</v>
          </cell>
          <cell r="EO88">
            <v>5200</v>
          </cell>
          <cell r="EP88">
            <v>5062</v>
          </cell>
          <cell r="EQ88">
            <v>4712</v>
          </cell>
          <cell r="ER88">
            <v>4377</v>
          </cell>
          <cell r="ES88">
            <v>4649</v>
          </cell>
          <cell r="ET88">
            <v>4815</v>
          </cell>
          <cell r="EU88">
            <v>4841</v>
          </cell>
          <cell r="EV88">
            <v>4795</v>
          </cell>
          <cell r="EW88">
            <v>4762</v>
          </cell>
          <cell r="EX88">
            <v>4590</v>
          </cell>
          <cell r="EY88">
            <v>4934</v>
          </cell>
          <cell r="EZ88">
            <v>4256</v>
          </cell>
          <cell r="FA88">
            <v>4933</v>
          </cell>
          <cell r="FB88">
            <v>4779</v>
          </cell>
          <cell r="FC88">
            <v>4606</v>
          </cell>
          <cell r="FD88">
            <v>4623</v>
          </cell>
          <cell r="FE88">
            <v>4200</v>
          </cell>
          <cell r="FF88">
            <v>3988</v>
          </cell>
          <cell r="FG88">
            <v>4189</v>
          </cell>
          <cell r="FH88">
            <v>4305</v>
          </cell>
          <cell r="FI88">
            <v>4419</v>
          </cell>
          <cell r="FJ88">
            <v>4721</v>
          </cell>
          <cell r="FK88">
            <v>4446</v>
          </cell>
          <cell r="FL88">
            <v>4502</v>
          </cell>
          <cell r="FM88">
            <v>4498</v>
          </cell>
          <cell r="FN88">
            <v>4653</v>
          </cell>
          <cell r="FO88">
            <v>3981</v>
          </cell>
          <cell r="FP88">
            <v>4553</v>
          </cell>
          <cell r="FQ88">
            <v>4516</v>
          </cell>
          <cell r="FR88">
            <v>4431</v>
          </cell>
          <cell r="FS88">
            <v>4183</v>
          </cell>
          <cell r="FT88">
            <v>4467</v>
          </cell>
          <cell r="FU88">
            <v>4581</v>
          </cell>
          <cell r="FV88">
            <v>4343</v>
          </cell>
          <cell r="FW88">
            <v>4430</v>
          </cell>
          <cell r="FX88">
            <v>4499</v>
          </cell>
          <cell r="FY88">
            <v>4605</v>
          </cell>
          <cell r="FZ88">
            <v>3706</v>
          </cell>
          <cell r="GA88">
            <v>4319</v>
          </cell>
          <cell r="GB88">
            <v>4553</v>
          </cell>
          <cell r="GC88">
            <v>4573</v>
          </cell>
          <cell r="GD88">
            <v>3638</v>
          </cell>
          <cell r="GE88">
            <v>3950</v>
          </cell>
          <cell r="GF88">
            <v>4353</v>
          </cell>
          <cell r="GG88">
            <v>4854</v>
          </cell>
          <cell r="GH88">
            <v>5228</v>
          </cell>
          <cell r="GI88">
            <v>4910</v>
          </cell>
          <cell r="GJ88">
            <v>5019</v>
          </cell>
          <cell r="GK88">
            <v>4716</v>
          </cell>
          <cell r="GL88">
            <v>4769</v>
          </cell>
          <cell r="GM88">
            <v>4899</v>
          </cell>
          <cell r="GN88">
            <v>4847</v>
          </cell>
        </row>
        <row r="89">
          <cell r="B89" t="str">
            <v>SUPARTZ</v>
          </cell>
          <cell r="C89" t="str">
            <v>S6O</v>
          </cell>
          <cell r="D89">
            <v>237</v>
          </cell>
          <cell r="E89">
            <v>178</v>
          </cell>
          <cell r="F89">
            <v>263</v>
          </cell>
          <cell r="G89">
            <v>239</v>
          </cell>
          <cell r="H89">
            <v>245</v>
          </cell>
          <cell r="I89">
            <v>246</v>
          </cell>
          <cell r="J89">
            <v>219</v>
          </cell>
          <cell r="K89">
            <v>278</v>
          </cell>
          <cell r="L89">
            <v>279</v>
          </cell>
          <cell r="M89">
            <v>298</v>
          </cell>
          <cell r="N89">
            <v>260</v>
          </cell>
          <cell r="O89">
            <v>294</v>
          </cell>
          <cell r="P89">
            <v>315</v>
          </cell>
          <cell r="Q89">
            <v>326</v>
          </cell>
          <cell r="R89">
            <v>264</v>
          </cell>
          <cell r="S89">
            <v>267</v>
          </cell>
          <cell r="T89">
            <v>280</v>
          </cell>
          <cell r="U89">
            <v>284</v>
          </cell>
          <cell r="V89">
            <v>287</v>
          </cell>
          <cell r="W89">
            <v>310</v>
          </cell>
          <cell r="X89">
            <v>280</v>
          </cell>
          <cell r="Y89">
            <v>161</v>
          </cell>
          <cell r="Z89">
            <v>287</v>
          </cell>
          <cell r="AA89">
            <v>266</v>
          </cell>
          <cell r="AB89">
            <v>259</v>
          </cell>
          <cell r="AC89">
            <v>249</v>
          </cell>
          <cell r="AD89">
            <v>178</v>
          </cell>
          <cell r="AE89">
            <v>196</v>
          </cell>
          <cell r="AF89">
            <v>274</v>
          </cell>
          <cell r="AG89">
            <v>244</v>
          </cell>
          <cell r="AH89">
            <v>266</v>
          </cell>
          <cell r="AI89">
            <v>289</v>
          </cell>
          <cell r="AJ89">
            <v>283</v>
          </cell>
          <cell r="AK89">
            <v>266</v>
          </cell>
          <cell r="AL89">
            <v>281</v>
          </cell>
          <cell r="AM89">
            <v>322</v>
          </cell>
          <cell r="AN89">
            <v>397</v>
          </cell>
          <cell r="AO89">
            <v>311</v>
          </cell>
          <cell r="AP89">
            <v>345</v>
          </cell>
          <cell r="AQ89">
            <v>353</v>
          </cell>
          <cell r="AR89">
            <v>319</v>
          </cell>
          <cell r="AS89">
            <v>368</v>
          </cell>
          <cell r="AT89">
            <v>409</v>
          </cell>
          <cell r="AU89">
            <v>327</v>
          </cell>
          <cell r="AV89">
            <v>338</v>
          </cell>
          <cell r="AW89">
            <v>403</v>
          </cell>
          <cell r="AX89">
            <v>396</v>
          </cell>
          <cell r="AY89">
            <v>380</v>
          </cell>
          <cell r="AZ89">
            <v>323</v>
          </cell>
          <cell r="BA89">
            <v>314</v>
          </cell>
          <cell r="BB89">
            <v>316</v>
          </cell>
          <cell r="BC89">
            <v>276</v>
          </cell>
          <cell r="BD89">
            <v>301</v>
          </cell>
          <cell r="BE89">
            <v>202</v>
          </cell>
          <cell r="BF89">
            <v>297</v>
          </cell>
          <cell r="BG89">
            <v>293</v>
          </cell>
          <cell r="BH89">
            <v>301</v>
          </cell>
          <cell r="BI89">
            <v>262</v>
          </cell>
          <cell r="BJ89">
            <v>277</v>
          </cell>
          <cell r="BK89">
            <v>282</v>
          </cell>
          <cell r="BL89">
            <v>283</v>
          </cell>
          <cell r="BM89">
            <v>273</v>
          </cell>
          <cell r="BN89">
            <v>202</v>
          </cell>
          <cell r="BO89">
            <v>239</v>
          </cell>
          <cell r="BP89">
            <v>255</v>
          </cell>
          <cell r="BQ89">
            <v>253</v>
          </cell>
          <cell r="BR89">
            <v>274</v>
          </cell>
          <cell r="BS89">
            <v>255</v>
          </cell>
          <cell r="BT89">
            <v>300</v>
          </cell>
          <cell r="BU89">
            <v>315</v>
          </cell>
          <cell r="BV89">
            <v>303</v>
          </cell>
          <cell r="BW89">
            <v>280</v>
          </cell>
          <cell r="BX89">
            <v>287</v>
          </cell>
          <cell r="BY89">
            <v>204</v>
          </cell>
          <cell r="BZ89">
            <v>261</v>
          </cell>
          <cell r="CA89">
            <v>246</v>
          </cell>
          <cell r="CB89">
            <v>261</v>
          </cell>
          <cell r="CC89">
            <v>252</v>
          </cell>
          <cell r="CD89">
            <v>123</v>
          </cell>
          <cell r="CE89">
            <v>157</v>
          </cell>
          <cell r="CF89">
            <v>230</v>
          </cell>
          <cell r="CG89">
            <v>246</v>
          </cell>
          <cell r="CH89">
            <v>267</v>
          </cell>
          <cell r="CI89">
            <v>265</v>
          </cell>
          <cell r="CJ89">
            <v>280</v>
          </cell>
          <cell r="CK89">
            <v>287</v>
          </cell>
          <cell r="CL89">
            <v>252</v>
          </cell>
          <cell r="CM89">
            <v>300</v>
          </cell>
          <cell r="CN89">
            <v>324</v>
          </cell>
          <cell r="CO89">
            <v>268</v>
          </cell>
          <cell r="CP89">
            <v>324</v>
          </cell>
          <cell r="CQ89">
            <v>309</v>
          </cell>
          <cell r="CR89">
            <v>282</v>
          </cell>
          <cell r="CS89">
            <v>307</v>
          </cell>
          <cell r="CT89">
            <v>348</v>
          </cell>
          <cell r="CU89">
            <v>385</v>
          </cell>
          <cell r="CV89">
            <v>338</v>
          </cell>
          <cell r="CW89">
            <v>345</v>
          </cell>
          <cell r="CX89">
            <v>359</v>
          </cell>
          <cell r="CY89">
            <v>318</v>
          </cell>
          <cell r="CZ89">
            <v>254</v>
          </cell>
          <cell r="DA89">
            <v>367</v>
          </cell>
          <cell r="DB89">
            <v>382</v>
          </cell>
          <cell r="DC89">
            <v>359</v>
          </cell>
          <cell r="DD89">
            <v>362</v>
          </cell>
          <cell r="DE89">
            <v>286</v>
          </cell>
          <cell r="DF89">
            <v>443</v>
          </cell>
          <cell r="DG89">
            <v>403</v>
          </cell>
          <cell r="DH89">
            <v>454</v>
          </cell>
          <cell r="DI89">
            <v>499</v>
          </cell>
          <cell r="DJ89">
            <v>390</v>
          </cell>
          <cell r="DK89">
            <v>323</v>
          </cell>
          <cell r="DL89">
            <v>309</v>
          </cell>
          <cell r="DM89">
            <v>411</v>
          </cell>
          <cell r="DN89">
            <v>375</v>
          </cell>
          <cell r="DO89">
            <v>387</v>
          </cell>
          <cell r="DP89">
            <v>346</v>
          </cell>
          <cell r="DQ89">
            <v>352</v>
          </cell>
          <cell r="DR89">
            <v>323</v>
          </cell>
          <cell r="DS89">
            <v>283</v>
          </cell>
          <cell r="DT89">
            <v>322</v>
          </cell>
          <cell r="DU89">
            <v>302</v>
          </cell>
          <cell r="DV89">
            <v>260</v>
          </cell>
          <cell r="DW89">
            <v>281</v>
          </cell>
          <cell r="DX89">
            <v>348</v>
          </cell>
          <cell r="DY89">
            <v>291</v>
          </cell>
          <cell r="DZ89">
            <v>202</v>
          </cell>
          <cell r="EA89">
            <v>298</v>
          </cell>
          <cell r="EB89">
            <v>297</v>
          </cell>
          <cell r="EC89">
            <v>296</v>
          </cell>
          <cell r="ED89">
            <v>158</v>
          </cell>
          <cell r="EE89">
            <v>150</v>
          </cell>
          <cell r="EF89">
            <v>197</v>
          </cell>
          <cell r="EG89">
            <v>256</v>
          </cell>
          <cell r="EH89">
            <v>227</v>
          </cell>
          <cell r="EI89">
            <v>204</v>
          </cell>
          <cell r="EJ89">
            <v>277</v>
          </cell>
          <cell r="EK89">
            <v>288</v>
          </cell>
          <cell r="EL89">
            <v>263</v>
          </cell>
          <cell r="EM89">
            <v>267</v>
          </cell>
          <cell r="EN89">
            <v>328</v>
          </cell>
          <cell r="EO89">
            <v>276</v>
          </cell>
          <cell r="EP89">
            <v>345</v>
          </cell>
          <cell r="EQ89">
            <v>357</v>
          </cell>
          <cell r="ER89">
            <v>393</v>
          </cell>
          <cell r="ES89">
            <v>301</v>
          </cell>
          <cell r="ET89">
            <v>237</v>
          </cell>
          <cell r="EU89">
            <v>314</v>
          </cell>
          <cell r="EV89">
            <v>297</v>
          </cell>
          <cell r="EW89">
            <v>279</v>
          </cell>
          <cell r="EX89">
            <v>284</v>
          </cell>
          <cell r="EY89">
            <v>250</v>
          </cell>
          <cell r="EZ89">
            <v>207</v>
          </cell>
          <cell r="FA89">
            <v>277</v>
          </cell>
          <cell r="FB89">
            <v>275</v>
          </cell>
          <cell r="FC89">
            <v>245</v>
          </cell>
          <cell r="FD89">
            <v>288</v>
          </cell>
          <cell r="FE89">
            <v>224</v>
          </cell>
          <cell r="FF89">
            <v>234</v>
          </cell>
          <cell r="FG89">
            <v>297</v>
          </cell>
          <cell r="FH89">
            <v>264</v>
          </cell>
          <cell r="FI89">
            <v>303</v>
          </cell>
          <cell r="FJ89">
            <v>261</v>
          </cell>
          <cell r="FK89">
            <v>268</v>
          </cell>
          <cell r="FL89">
            <v>256</v>
          </cell>
          <cell r="FM89">
            <v>262</v>
          </cell>
          <cell r="FN89">
            <v>249</v>
          </cell>
          <cell r="FO89">
            <v>216</v>
          </cell>
          <cell r="FP89">
            <v>226</v>
          </cell>
          <cell r="FQ89">
            <v>274</v>
          </cell>
          <cell r="FR89">
            <v>255</v>
          </cell>
          <cell r="FS89">
            <v>221</v>
          </cell>
          <cell r="FT89">
            <v>273</v>
          </cell>
          <cell r="FU89">
            <v>236</v>
          </cell>
          <cell r="FV89">
            <v>290</v>
          </cell>
          <cell r="FW89">
            <v>236</v>
          </cell>
          <cell r="FX89">
            <v>221</v>
          </cell>
          <cell r="FY89">
            <v>212</v>
          </cell>
          <cell r="FZ89">
            <v>147</v>
          </cell>
          <cell r="GA89">
            <v>194</v>
          </cell>
          <cell r="GB89">
            <v>236</v>
          </cell>
          <cell r="GC89">
            <v>205</v>
          </cell>
          <cell r="GD89">
            <v>131</v>
          </cell>
          <cell r="GE89">
            <v>124</v>
          </cell>
          <cell r="GF89">
            <v>248</v>
          </cell>
          <cell r="GG89">
            <v>196</v>
          </cell>
          <cell r="GH89">
            <v>325</v>
          </cell>
          <cell r="GI89">
            <v>291</v>
          </cell>
          <cell r="GJ89">
            <v>279</v>
          </cell>
          <cell r="GK89">
            <v>202</v>
          </cell>
          <cell r="GL89">
            <v>374</v>
          </cell>
          <cell r="GM89">
            <v>309</v>
          </cell>
          <cell r="GN89">
            <v>321</v>
          </cell>
        </row>
        <row r="90">
          <cell r="B90" t="str">
            <v>SUSTIVA</v>
          </cell>
          <cell r="C90" t="str">
            <v>DPT</v>
          </cell>
          <cell r="D90">
            <v>5590</v>
          </cell>
          <cell r="E90">
            <v>4949</v>
          </cell>
          <cell r="F90">
            <v>5593</v>
          </cell>
          <cell r="G90">
            <v>5206</v>
          </cell>
          <cell r="H90">
            <v>5055</v>
          </cell>
          <cell r="I90">
            <v>5071</v>
          </cell>
          <cell r="J90">
            <v>5081</v>
          </cell>
          <cell r="K90">
            <v>4901</v>
          </cell>
          <cell r="L90">
            <v>4658</v>
          </cell>
          <cell r="M90">
            <v>4830</v>
          </cell>
          <cell r="N90">
            <v>4248</v>
          </cell>
          <cell r="O90">
            <v>4461</v>
          </cell>
          <cell r="P90">
            <v>4616</v>
          </cell>
          <cell r="Q90">
            <v>4409</v>
          </cell>
          <cell r="R90">
            <v>4535</v>
          </cell>
          <cell r="S90">
            <v>4143</v>
          </cell>
          <cell r="T90">
            <v>4145</v>
          </cell>
          <cell r="U90">
            <v>4045</v>
          </cell>
          <cell r="V90">
            <v>4046</v>
          </cell>
          <cell r="W90">
            <v>3849</v>
          </cell>
          <cell r="X90">
            <v>3903</v>
          </cell>
          <cell r="Y90">
            <v>3339</v>
          </cell>
          <cell r="Z90">
            <v>4135</v>
          </cell>
          <cell r="AA90">
            <v>3840</v>
          </cell>
          <cell r="AB90">
            <v>3751</v>
          </cell>
          <cell r="AC90">
            <v>3860</v>
          </cell>
          <cell r="AD90">
            <v>3346</v>
          </cell>
          <cell r="AE90">
            <v>3438</v>
          </cell>
          <cell r="AF90">
            <v>3884</v>
          </cell>
          <cell r="AG90">
            <v>3749</v>
          </cell>
          <cell r="AH90">
            <v>3651</v>
          </cell>
          <cell r="AI90">
            <v>3942</v>
          </cell>
          <cell r="AJ90">
            <v>3504</v>
          </cell>
          <cell r="AK90">
            <v>3431</v>
          </cell>
          <cell r="AL90">
            <v>3370</v>
          </cell>
          <cell r="AM90">
            <v>3603</v>
          </cell>
          <cell r="AN90">
            <v>3637</v>
          </cell>
          <cell r="AO90">
            <v>3383</v>
          </cell>
          <cell r="AP90">
            <v>3496</v>
          </cell>
          <cell r="AQ90">
            <v>3512</v>
          </cell>
          <cell r="AR90">
            <v>3346</v>
          </cell>
          <cell r="AS90">
            <v>3263</v>
          </cell>
          <cell r="AT90">
            <v>3114</v>
          </cell>
          <cell r="AU90">
            <v>3214</v>
          </cell>
          <cell r="AV90">
            <v>3384</v>
          </cell>
          <cell r="AW90">
            <v>3202</v>
          </cell>
          <cell r="AX90">
            <v>3121</v>
          </cell>
          <cell r="AY90">
            <v>3129</v>
          </cell>
          <cell r="AZ90">
            <v>2889</v>
          </cell>
          <cell r="BA90">
            <v>3290</v>
          </cell>
          <cell r="BB90">
            <v>3130</v>
          </cell>
          <cell r="BC90">
            <v>2882</v>
          </cell>
          <cell r="BD90">
            <v>3092</v>
          </cell>
          <cell r="BE90">
            <v>2966</v>
          </cell>
          <cell r="BF90">
            <v>3061</v>
          </cell>
          <cell r="BG90">
            <v>2999</v>
          </cell>
          <cell r="BH90">
            <v>2963</v>
          </cell>
          <cell r="BI90">
            <v>3125</v>
          </cell>
          <cell r="BJ90">
            <v>3071</v>
          </cell>
          <cell r="BK90">
            <v>2807</v>
          </cell>
          <cell r="BL90">
            <v>2797</v>
          </cell>
          <cell r="BM90">
            <v>2922</v>
          </cell>
          <cell r="BN90">
            <v>2748</v>
          </cell>
          <cell r="BO90">
            <v>3015</v>
          </cell>
          <cell r="BP90">
            <v>2878</v>
          </cell>
          <cell r="BQ90">
            <v>2956</v>
          </cell>
          <cell r="BR90">
            <v>3115</v>
          </cell>
          <cell r="BS90">
            <v>2841</v>
          </cell>
          <cell r="BT90">
            <v>2880</v>
          </cell>
          <cell r="BU90">
            <v>2753</v>
          </cell>
          <cell r="BV90">
            <v>2814</v>
          </cell>
          <cell r="BW90">
            <v>2846</v>
          </cell>
          <cell r="BX90">
            <v>2551</v>
          </cell>
          <cell r="BY90">
            <v>2277</v>
          </cell>
          <cell r="BZ90">
            <v>2724</v>
          </cell>
          <cell r="CA90">
            <v>2799</v>
          </cell>
          <cell r="CB90">
            <v>2801</v>
          </cell>
          <cell r="CC90">
            <v>2818</v>
          </cell>
          <cell r="CD90">
            <v>2247</v>
          </cell>
          <cell r="CE90">
            <v>2402</v>
          </cell>
          <cell r="CF90">
            <v>2950</v>
          </cell>
          <cell r="CG90">
            <v>2774</v>
          </cell>
          <cell r="CH90">
            <v>2671</v>
          </cell>
          <cell r="CI90">
            <v>2783</v>
          </cell>
          <cell r="CJ90">
            <v>2853</v>
          </cell>
          <cell r="CK90">
            <v>2724</v>
          </cell>
          <cell r="CL90">
            <v>2548</v>
          </cell>
          <cell r="CM90">
            <v>2728</v>
          </cell>
          <cell r="CN90">
            <v>3172</v>
          </cell>
          <cell r="CO90">
            <v>2806</v>
          </cell>
          <cell r="CP90">
            <v>2635</v>
          </cell>
          <cell r="CQ90">
            <v>2597</v>
          </cell>
          <cell r="CR90">
            <v>2716</v>
          </cell>
          <cell r="CS90">
            <v>2606</v>
          </cell>
          <cell r="CT90">
            <v>2473</v>
          </cell>
          <cell r="CU90">
            <v>2592</v>
          </cell>
          <cell r="CV90">
            <v>2672</v>
          </cell>
          <cell r="CW90">
            <v>2640</v>
          </cell>
          <cell r="CX90">
            <v>2438</v>
          </cell>
          <cell r="CY90">
            <v>2407</v>
          </cell>
          <cell r="CZ90">
            <v>2355</v>
          </cell>
          <cell r="DA90">
            <v>2720</v>
          </cell>
          <cell r="DB90">
            <v>2465</v>
          </cell>
          <cell r="DC90">
            <v>2264</v>
          </cell>
          <cell r="DD90">
            <v>2432</v>
          </cell>
          <cell r="DE90">
            <v>2400</v>
          </cell>
          <cell r="DF90">
            <v>2554</v>
          </cell>
          <cell r="DG90">
            <v>2470</v>
          </cell>
          <cell r="DH90">
            <v>2378</v>
          </cell>
          <cell r="DI90">
            <v>2403</v>
          </cell>
          <cell r="DJ90">
            <v>2476</v>
          </cell>
          <cell r="DK90">
            <v>2390</v>
          </cell>
          <cell r="DL90">
            <v>2312</v>
          </cell>
          <cell r="DM90">
            <v>2414</v>
          </cell>
          <cell r="DN90">
            <v>2336</v>
          </cell>
          <cell r="DO90">
            <v>2533</v>
          </cell>
          <cell r="DP90">
            <v>2524</v>
          </cell>
          <cell r="DQ90">
            <v>2389</v>
          </cell>
          <cell r="DR90">
            <v>2615</v>
          </cell>
          <cell r="DS90">
            <v>2483</v>
          </cell>
          <cell r="DT90">
            <v>2276</v>
          </cell>
          <cell r="DU90">
            <v>2393</v>
          </cell>
          <cell r="DV90">
            <v>2403</v>
          </cell>
          <cell r="DW90">
            <v>2436</v>
          </cell>
          <cell r="DX90">
            <v>2338</v>
          </cell>
          <cell r="DY90">
            <v>2291</v>
          </cell>
          <cell r="DZ90">
            <v>1919</v>
          </cell>
          <cell r="EA90">
            <v>2519</v>
          </cell>
          <cell r="EB90">
            <v>2384</v>
          </cell>
          <cell r="EC90">
            <v>2397</v>
          </cell>
          <cell r="ED90">
            <v>1945</v>
          </cell>
          <cell r="EE90">
            <v>2134</v>
          </cell>
          <cell r="EF90">
            <v>2499</v>
          </cell>
          <cell r="EG90">
            <v>2409</v>
          </cell>
          <cell r="EH90">
            <v>2167</v>
          </cell>
          <cell r="EI90">
            <v>2346</v>
          </cell>
          <cell r="EJ90">
            <v>2244</v>
          </cell>
          <cell r="EK90">
            <v>2240</v>
          </cell>
          <cell r="EL90">
            <v>2227</v>
          </cell>
          <cell r="EM90">
            <v>2216</v>
          </cell>
          <cell r="EN90">
            <v>2338</v>
          </cell>
          <cell r="EO90">
            <v>2211</v>
          </cell>
          <cell r="EP90">
            <v>2211</v>
          </cell>
          <cell r="EQ90">
            <v>2100</v>
          </cell>
          <cell r="ER90">
            <v>2317</v>
          </cell>
          <cell r="ES90">
            <v>2233</v>
          </cell>
          <cell r="ET90">
            <v>2108</v>
          </cell>
          <cell r="EU90">
            <v>2109</v>
          </cell>
          <cell r="EV90">
            <v>2154</v>
          </cell>
          <cell r="EW90">
            <v>2185</v>
          </cell>
          <cell r="EX90">
            <v>1991</v>
          </cell>
          <cell r="EY90">
            <v>2075</v>
          </cell>
          <cell r="EZ90">
            <v>2040</v>
          </cell>
          <cell r="FA90">
            <v>2189</v>
          </cell>
          <cell r="FB90">
            <v>1939</v>
          </cell>
          <cell r="FC90">
            <v>2059</v>
          </cell>
          <cell r="FD90">
            <v>1898</v>
          </cell>
          <cell r="FE90">
            <v>1983</v>
          </cell>
          <cell r="FF90">
            <v>1892</v>
          </cell>
          <cell r="FG90">
            <v>1802</v>
          </cell>
          <cell r="FH90">
            <v>1705</v>
          </cell>
          <cell r="FI90">
            <v>1944</v>
          </cell>
          <cell r="FJ90">
            <v>2112</v>
          </cell>
          <cell r="FK90">
            <v>1855</v>
          </cell>
          <cell r="FL90">
            <v>1873</v>
          </cell>
          <cell r="FM90">
            <v>1960</v>
          </cell>
          <cell r="FN90">
            <v>2040</v>
          </cell>
          <cell r="FO90">
            <v>1725</v>
          </cell>
          <cell r="FP90">
            <v>1973</v>
          </cell>
          <cell r="FQ90">
            <v>1946</v>
          </cell>
          <cell r="FR90">
            <v>2084</v>
          </cell>
          <cell r="FS90">
            <v>2016</v>
          </cell>
          <cell r="FT90">
            <v>1896</v>
          </cell>
          <cell r="FU90">
            <v>1849</v>
          </cell>
          <cell r="FV90">
            <v>1977</v>
          </cell>
          <cell r="FW90">
            <v>1960</v>
          </cell>
          <cell r="FX90">
            <v>2020</v>
          </cell>
          <cell r="FY90">
            <v>2089</v>
          </cell>
          <cell r="FZ90">
            <v>1688</v>
          </cell>
          <cell r="GA90">
            <v>2129</v>
          </cell>
          <cell r="GB90">
            <v>1925</v>
          </cell>
          <cell r="GC90">
            <v>2093</v>
          </cell>
          <cell r="GD90">
            <v>1666</v>
          </cell>
          <cell r="GE90">
            <v>1795</v>
          </cell>
          <cell r="GF90">
            <v>2139</v>
          </cell>
          <cell r="GG90">
            <v>2098</v>
          </cell>
          <cell r="GH90">
            <v>1800</v>
          </cell>
          <cell r="GI90">
            <v>2041</v>
          </cell>
          <cell r="GJ90">
            <v>2115</v>
          </cell>
          <cell r="GK90">
            <v>1858</v>
          </cell>
          <cell r="GL90">
            <v>1863</v>
          </cell>
          <cell r="GM90">
            <v>1837</v>
          </cell>
          <cell r="GN90">
            <v>2046</v>
          </cell>
        </row>
        <row r="91">
          <cell r="B91" t="str">
            <v>TARCEVA</v>
          </cell>
          <cell r="C91" t="str">
            <v>GTC</v>
          </cell>
          <cell r="D91">
            <v>1557</v>
          </cell>
          <cell r="E91">
            <v>1214</v>
          </cell>
          <cell r="F91">
            <v>1458</v>
          </cell>
          <cell r="G91">
            <v>1407</v>
          </cell>
          <cell r="H91">
            <v>1443</v>
          </cell>
          <cell r="I91">
            <v>1415</v>
          </cell>
          <cell r="J91">
            <v>1458</v>
          </cell>
          <cell r="K91">
            <v>1409</v>
          </cell>
          <cell r="L91">
            <v>1469</v>
          </cell>
          <cell r="M91">
            <v>1552</v>
          </cell>
          <cell r="N91">
            <v>1185</v>
          </cell>
          <cell r="O91">
            <v>1503</v>
          </cell>
          <cell r="P91">
            <v>1492</v>
          </cell>
          <cell r="Q91">
            <v>1603</v>
          </cell>
          <cell r="R91">
            <v>1598</v>
          </cell>
          <cell r="S91">
            <v>1424</v>
          </cell>
          <cell r="T91">
            <v>1469</v>
          </cell>
          <cell r="U91">
            <v>1504</v>
          </cell>
          <cell r="V91">
            <v>1584</v>
          </cell>
          <cell r="W91">
            <v>1485</v>
          </cell>
          <cell r="X91">
            <v>1533</v>
          </cell>
          <cell r="Y91">
            <v>1133</v>
          </cell>
          <cell r="Z91">
            <v>1462</v>
          </cell>
          <cell r="AA91">
            <v>1437</v>
          </cell>
          <cell r="AB91">
            <v>1397</v>
          </cell>
          <cell r="AC91">
            <v>1421</v>
          </cell>
          <cell r="AD91">
            <v>1083</v>
          </cell>
          <cell r="AE91">
            <v>1278</v>
          </cell>
          <cell r="AF91">
            <v>1554</v>
          </cell>
          <cell r="AG91">
            <v>1378</v>
          </cell>
          <cell r="AH91">
            <v>1473</v>
          </cell>
          <cell r="AI91">
            <v>1475</v>
          </cell>
          <cell r="AJ91">
            <v>1582</v>
          </cell>
          <cell r="AK91">
            <v>1455</v>
          </cell>
          <cell r="AL91">
            <v>1393</v>
          </cell>
          <cell r="AM91">
            <v>1578</v>
          </cell>
          <cell r="AN91">
            <v>1471</v>
          </cell>
          <cell r="AO91">
            <v>1478</v>
          </cell>
          <cell r="AP91">
            <v>1408</v>
          </cell>
          <cell r="AQ91">
            <v>1430</v>
          </cell>
          <cell r="AR91">
            <v>1389</v>
          </cell>
          <cell r="AS91">
            <v>1490</v>
          </cell>
          <cell r="AT91">
            <v>1449</v>
          </cell>
          <cell r="AU91">
            <v>1341</v>
          </cell>
          <cell r="AV91">
            <v>1482</v>
          </cell>
          <cell r="AW91">
            <v>1300</v>
          </cell>
          <cell r="AX91">
            <v>1348</v>
          </cell>
          <cell r="AY91">
            <v>1434</v>
          </cell>
          <cell r="AZ91">
            <v>1248</v>
          </cell>
          <cell r="BA91">
            <v>1448</v>
          </cell>
          <cell r="BB91">
            <v>1362</v>
          </cell>
          <cell r="BC91">
            <v>1371</v>
          </cell>
          <cell r="BD91">
            <v>1436</v>
          </cell>
          <cell r="BE91">
            <v>1221</v>
          </cell>
          <cell r="BF91">
            <v>1437</v>
          </cell>
          <cell r="BG91">
            <v>1377</v>
          </cell>
          <cell r="BH91">
            <v>1385</v>
          </cell>
          <cell r="BI91">
            <v>1316</v>
          </cell>
          <cell r="BJ91">
            <v>1336</v>
          </cell>
          <cell r="BK91">
            <v>1329</v>
          </cell>
          <cell r="BL91">
            <v>1321</v>
          </cell>
          <cell r="BM91">
            <v>1558</v>
          </cell>
          <cell r="BN91">
            <v>1159</v>
          </cell>
          <cell r="BO91">
            <v>1427</v>
          </cell>
          <cell r="BP91">
            <v>1311</v>
          </cell>
          <cell r="BQ91">
            <v>1452</v>
          </cell>
          <cell r="BR91">
            <v>1327</v>
          </cell>
          <cell r="BS91">
            <v>1422</v>
          </cell>
          <cell r="BT91">
            <v>1309</v>
          </cell>
          <cell r="BU91">
            <v>1225</v>
          </cell>
          <cell r="BV91">
            <v>1366</v>
          </cell>
          <cell r="BW91">
            <v>1336</v>
          </cell>
          <cell r="BX91">
            <v>1317</v>
          </cell>
          <cell r="BY91">
            <v>1107</v>
          </cell>
          <cell r="BZ91">
            <v>1438</v>
          </cell>
          <cell r="CA91">
            <v>1366</v>
          </cell>
          <cell r="CB91">
            <v>1247</v>
          </cell>
          <cell r="CC91">
            <v>1304</v>
          </cell>
          <cell r="CD91">
            <v>1032</v>
          </cell>
          <cell r="CE91">
            <v>1062</v>
          </cell>
          <cell r="CF91">
            <v>1466</v>
          </cell>
          <cell r="CG91">
            <v>1365</v>
          </cell>
          <cell r="CH91">
            <v>1386</v>
          </cell>
          <cell r="CI91">
            <v>1391</v>
          </cell>
          <cell r="CJ91">
            <v>1285</v>
          </cell>
          <cell r="CK91">
            <v>1317</v>
          </cell>
          <cell r="CL91">
            <v>1383</v>
          </cell>
          <cell r="CM91">
            <v>1403</v>
          </cell>
          <cell r="CN91">
            <v>1458</v>
          </cell>
          <cell r="CO91">
            <v>1396</v>
          </cell>
          <cell r="CP91">
            <v>1354</v>
          </cell>
          <cell r="CQ91">
            <v>1294</v>
          </cell>
          <cell r="CR91">
            <v>1336</v>
          </cell>
          <cell r="CS91">
            <v>1285</v>
          </cell>
          <cell r="CT91">
            <v>1287</v>
          </cell>
          <cell r="CU91">
            <v>1244</v>
          </cell>
          <cell r="CV91">
            <v>1247</v>
          </cell>
          <cell r="CW91">
            <v>1358</v>
          </cell>
          <cell r="CX91">
            <v>1257</v>
          </cell>
          <cell r="CY91">
            <v>1317</v>
          </cell>
          <cell r="CZ91">
            <v>1111</v>
          </cell>
          <cell r="DA91">
            <v>1304</v>
          </cell>
          <cell r="DB91">
            <v>1273</v>
          </cell>
          <cell r="DC91">
            <v>1244</v>
          </cell>
          <cell r="DD91">
            <v>1309</v>
          </cell>
          <cell r="DE91">
            <v>1125</v>
          </cell>
          <cell r="DF91">
            <v>1303</v>
          </cell>
          <cell r="DG91">
            <v>1243</v>
          </cell>
          <cell r="DH91">
            <v>1181</v>
          </cell>
          <cell r="DI91">
            <v>1323</v>
          </cell>
          <cell r="DJ91">
            <v>1245</v>
          </cell>
          <cell r="DK91">
            <v>1319</v>
          </cell>
          <cell r="DL91">
            <v>1248</v>
          </cell>
          <cell r="DM91">
            <v>1285</v>
          </cell>
          <cell r="DN91">
            <v>1076</v>
          </cell>
          <cell r="DO91">
            <v>1211</v>
          </cell>
          <cell r="DP91">
            <v>1260</v>
          </cell>
          <cell r="DQ91">
            <v>1263</v>
          </cell>
          <cell r="DR91">
            <v>1213</v>
          </cell>
          <cell r="DS91">
            <v>1246</v>
          </cell>
          <cell r="DT91">
            <v>1265</v>
          </cell>
          <cell r="DU91">
            <v>1312</v>
          </cell>
          <cell r="DV91">
            <v>1324</v>
          </cell>
          <cell r="DW91">
            <v>1214</v>
          </cell>
          <cell r="DX91">
            <v>1241</v>
          </cell>
          <cell r="DY91">
            <v>1229</v>
          </cell>
          <cell r="DZ91">
            <v>1044</v>
          </cell>
          <cell r="EA91">
            <v>1327</v>
          </cell>
          <cell r="EB91">
            <v>1231</v>
          </cell>
          <cell r="EC91">
            <v>1351</v>
          </cell>
          <cell r="ED91">
            <v>957</v>
          </cell>
          <cell r="EE91">
            <v>1056</v>
          </cell>
          <cell r="EF91">
            <v>1198</v>
          </cell>
          <cell r="EG91">
            <v>1240</v>
          </cell>
          <cell r="EH91">
            <v>1172</v>
          </cell>
          <cell r="EI91">
            <v>1227</v>
          </cell>
          <cell r="EJ91">
            <v>1349</v>
          </cell>
          <cell r="EK91">
            <v>1239</v>
          </cell>
          <cell r="EL91">
            <v>1131</v>
          </cell>
          <cell r="EM91">
            <v>1226</v>
          </cell>
          <cell r="EN91">
            <v>1245</v>
          </cell>
          <cell r="EO91">
            <v>1081</v>
          </cell>
          <cell r="EP91">
            <v>1148</v>
          </cell>
          <cell r="EQ91">
            <v>1162</v>
          </cell>
          <cell r="ER91">
            <v>1151</v>
          </cell>
          <cell r="ES91">
            <v>1073</v>
          </cell>
          <cell r="ET91">
            <v>1041</v>
          </cell>
          <cell r="EU91">
            <v>1159</v>
          </cell>
          <cell r="EV91">
            <v>1077</v>
          </cell>
          <cell r="EW91">
            <v>1128</v>
          </cell>
          <cell r="EX91">
            <v>1154</v>
          </cell>
          <cell r="EY91">
            <v>1194</v>
          </cell>
          <cell r="EZ91">
            <v>1020</v>
          </cell>
          <cell r="FA91">
            <v>1200</v>
          </cell>
          <cell r="FB91">
            <v>1241</v>
          </cell>
          <cell r="FC91">
            <v>1129</v>
          </cell>
          <cell r="FD91">
            <v>1136</v>
          </cell>
          <cell r="FE91">
            <v>1054</v>
          </cell>
          <cell r="FF91">
            <v>1067</v>
          </cell>
          <cell r="FG91">
            <v>1098</v>
          </cell>
          <cell r="FH91">
            <v>1076</v>
          </cell>
          <cell r="FI91">
            <v>1044</v>
          </cell>
          <cell r="FJ91">
            <v>1099</v>
          </cell>
          <cell r="FK91">
            <v>1066</v>
          </cell>
          <cell r="FL91">
            <v>1167</v>
          </cell>
          <cell r="FM91">
            <v>1138</v>
          </cell>
          <cell r="FN91">
            <v>1091</v>
          </cell>
          <cell r="FO91">
            <v>947</v>
          </cell>
          <cell r="FP91">
            <v>1214</v>
          </cell>
          <cell r="FQ91">
            <v>1186</v>
          </cell>
          <cell r="FR91">
            <v>1118</v>
          </cell>
          <cell r="FS91">
            <v>1152</v>
          </cell>
          <cell r="FT91">
            <v>1120</v>
          </cell>
          <cell r="FU91">
            <v>1093</v>
          </cell>
          <cell r="FV91">
            <v>1147</v>
          </cell>
          <cell r="FW91">
            <v>1151</v>
          </cell>
          <cell r="FX91">
            <v>1145</v>
          </cell>
          <cell r="FY91">
            <v>1166</v>
          </cell>
          <cell r="FZ91">
            <v>846</v>
          </cell>
          <cell r="GA91">
            <v>1257</v>
          </cell>
          <cell r="GB91">
            <v>1151</v>
          </cell>
          <cell r="GC91">
            <v>1051</v>
          </cell>
          <cell r="GD91">
            <v>861</v>
          </cell>
          <cell r="GE91">
            <v>874</v>
          </cell>
          <cell r="GF91">
            <v>1086</v>
          </cell>
          <cell r="GG91">
            <v>1209</v>
          </cell>
          <cell r="GH91">
            <v>1080</v>
          </cell>
          <cell r="GI91">
            <v>1149</v>
          </cell>
          <cell r="GJ91">
            <v>1103</v>
          </cell>
          <cell r="GK91">
            <v>1052</v>
          </cell>
          <cell r="GL91">
            <v>1080</v>
          </cell>
          <cell r="GM91">
            <v>1073</v>
          </cell>
          <cell r="GN91">
            <v>1102</v>
          </cell>
        </row>
        <row r="92">
          <cell r="B92" t="str">
            <v>TAXOTERE</v>
          </cell>
          <cell r="C92" t="str">
            <v>S.A</v>
          </cell>
          <cell r="D92">
            <v>46</v>
          </cell>
          <cell r="E92">
            <v>66</v>
          </cell>
          <cell r="F92">
            <v>51</v>
          </cell>
          <cell r="G92">
            <v>52</v>
          </cell>
          <cell r="H92">
            <v>58</v>
          </cell>
          <cell r="I92">
            <v>43</v>
          </cell>
          <cell r="J92">
            <v>50</v>
          </cell>
          <cell r="K92">
            <v>88</v>
          </cell>
          <cell r="L92">
            <v>64</v>
          </cell>
          <cell r="M92">
            <v>57</v>
          </cell>
          <cell r="N92">
            <v>41</v>
          </cell>
          <cell r="O92">
            <v>47</v>
          </cell>
          <cell r="P92">
            <v>36</v>
          </cell>
          <cell r="Q92">
            <v>69</v>
          </cell>
          <cell r="R92">
            <v>49</v>
          </cell>
          <cell r="S92">
            <v>50</v>
          </cell>
          <cell r="T92">
            <v>58</v>
          </cell>
          <cell r="U92">
            <v>74</v>
          </cell>
          <cell r="V92">
            <v>50</v>
          </cell>
          <cell r="W92">
            <v>42</v>
          </cell>
          <cell r="X92">
            <v>71</v>
          </cell>
          <cell r="Y92">
            <v>46</v>
          </cell>
          <cell r="Z92">
            <v>48</v>
          </cell>
          <cell r="AA92">
            <v>52</v>
          </cell>
          <cell r="AB92">
            <v>53</v>
          </cell>
          <cell r="AC92">
            <v>43</v>
          </cell>
          <cell r="AD92">
            <v>36</v>
          </cell>
          <cell r="AE92">
            <v>57</v>
          </cell>
          <cell r="AF92">
            <v>56</v>
          </cell>
          <cell r="AG92">
            <v>50</v>
          </cell>
          <cell r="AH92">
            <v>67</v>
          </cell>
          <cell r="AI92">
            <v>73</v>
          </cell>
          <cell r="AJ92">
            <v>54</v>
          </cell>
          <cell r="AK92">
            <v>58</v>
          </cell>
          <cell r="AL92">
            <v>60</v>
          </cell>
          <cell r="AM92">
            <v>79</v>
          </cell>
          <cell r="AN92">
            <v>60</v>
          </cell>
          <cell r="AO92">
            <v>60</v>
          </cell>
          <cell r="AP92">
            <v>91</v>
          </cell>
          <cell r="AQ92">
            <v>57</v>
          </cell>
          <cell r="AR92">
            <v>82</v>
          </cell>
          <cell r="AS92">
            <v>64</v>
          </cell>
          <cell r="AT92">
            <v>58</v>
          </cell>
          <cell r="AU92">
            <v>65</v>
          </cell>
          <cell r="AV92">
            <v>53</v>
          </cell>
          <cell r="AW92">
            <v>46</v>
          </cell>
          <cell r="AX92">
            <v>99</v>
          </cell>
          <cell r="AY92">
            <v>44</v>
          </cell>
          <cell r="AZ92">
            <v>54</v>
          </cell>
          <cell r="BA92">
            <v>58</v>
          </cell>
          <cell r="BB92">
            <v>62</v>
          </cell>
          <cell r="BC92">
            <v>64</v>
          </cell>
          <cell r="BD92">
            <v>53</v>
          </cell>
          <cell r="BE92">
            <v>30</v>
          </cell>
          <cell r="BF92">
            <v>50</v>
          </cell>
          <cell r="BG92">
            <v>51</v>
          </cell>
          <cell r="BH92">
            <v>47</v>
          </cell>
          <cell r="BI92">
            <v>65</v>
          </cell>
          <cell r="BJ92">
            <v>38</v>
          </cell>
          <cell r="BK92">
            <v>42</v>
          </cell>
          <cell r="BL92">
            <v>44</v>
          </cell>
          <cell r="BM92">
            <v>60</v>
          </cell>
          <cell r="BN92">
            <v>40</v>
          </cell>
          <cell r="BO92">
            <v>75</v>
          </cell>
          <cell r="BP92">
            <v>59</v>
          </cell>
          <cell r="BQ92">
            <v>55</v>
          </cell>
          <cell r="BR92">
            <v>50</v>
          </cell>
          <cell r="BS92">
            <v>48</v>
          </cell>
          <cell r="BT92">
            <v>65</v>
          </cell>
          <cell r="BU92">
            <v>70</v>
          </cell>
          <cell r="BV92">
            <v>68</v>
          </cell>
          <cell r="BW92">
            <v>43</v>
          </cell>
          <cell r="BX92">
            <v>57</v>
          </cell>
          <cell r="BY92">
            <v>36</v>
          </cell>
          <cell r="BZ92">
            <v>58</v>
          </cell>
          <cell r="CA92">
            <v>74</v>
          </cell>
          <cell r="CB92">
            <v>74</v>
          </cell>
          <cell r="CC92">
            <v>69</v>
          </cell>
          <cell r="CD92">
            <v>65</v>
          </cell>
          <cell r="CE92">
            <v>67</v>
          </cell>
          <cell r="CF92">
            <v>67</v>
          </cell>
          <cell r="CG92">
            <v>65</v>
          </cell>
          <cell r="CH92">
            <v>58</v>
          </cell>
          <cell r="CI92">
            <v>96</v>
          </cell>
          <cell r="CJ92">
            <v>56</v>
          </cell>
          <cell r="CK92">
            <v>46</v>
          </cell>
          <cell r="CL92">
            <v>47</v>
          </cell>
          <cell r="CM92">
            <v>38</v>
          </cell>
          <cell r="CN92">
            <v>73</v>
          </cell>
          <cell r="CO92">
            <v>62</v>
          </cell>
          <cell r="CP92">
            <v>52</v>
          </cell>
          <cell r="CQ92">
            <v>70</v>
          </cell>
          <cell r="CR92">
            <v>67</v>
          </cell>
          <cell r="CS92">
            <v>68</v>
          </cell>
          <cell r="CT92">
            <v>71</v>
          </cell>
          <cell r="CU92">
            <v>76</v>
          </cell>
          <cell r="CV92">
            <v>71</v>
          </cell>
          <cell r="CW92">
            <v>90</v>
          </cell>
          <cell r="CX92">
            <v>84</v>
          </cell>
          <cell r="CY92">
            <v>81</v>
          </cell>
          <cell r="CZ92">
            <v>82</v>
          </cell>
          <cell r="DA92">
            <v>83</v>
          </cell>
          <cell r="DB92">
            <v>136</v>
          </cell>
          <cell r="DC92">
            <v>108</v>
          </cell>
          <cell r="DD92">
            <v>96</v>
          </cell>
          <cell r="DE92">
            <v>98</v>
          </cell>
          <cell r="DF92">
            <v>213</v>
          </cell>
          <cell r="DG92">
            <v>128</v>
          </cell>
          <cell r="DH92">
            <v>106</v>
          </cell>
          <cell r="DI92">
            <v>122</v>
          </cell>
          <cell r="DJ92">
            <v>95</v>
          </cell>
          <cell r="DK92">
            <v>125</v>
          </cell>
          <cell r="DL92">
            <v>65</v>
          </cell>
          <cell r="DM92">
            <v>70</v>
          </cell>
          <cell r="DN92">
            <v>79</v>
          </cell>
          <cell r="DO92">
            <v>68</v>
          </cell>
          <cell r="DP92">
            <v>70</v>
          </cell>
          <cell r="DQ92">
            <v>79</v>
          </cell>
          <cell r="DR92">
            <v>64</v>
          </cell>
          <cell r="DS92">
            <v>52</v>
          </cell>
          <cell r="DT92">
            <v>73</v>
          </cell>
          <cell r="DU92">
            <v>65</v>
          </cell>
          <cell r="DV92">
            <v>67</v>
          </cell>
          <cell r="DW92">
            <v>72</v>
          </cell>
          <cell r="DX92">
            <v>53</v>
          </cell>
          <cell r="DY92">
            <v>73</v>
          </cell>
          <cell r="DZ92">
            <v>43</v>
          </cell>
          <cell r="EA92">
            <v>64</v>
          </cell>
          <cell r="EB92">
            <v>63</v>
          </cell>
          <cell r="EC92">
            <v>52</v>
          </cell>
          <cell r="ED92">
            <v>36</v>
          </cell>
          <cell r="EE92">
            <v>37</v>
          </cell>
          <cell r="EF92">
            <v>75</v>
          </cell>
          <cell r="EG92">
            <v>61</v>
          </cell>
          <cell r="EH92">
            <v>54</v>
          </cell>
          <cell r="EI92">
            <v>69</v>
          </cell>
          <cell r="EJ92">
            <v>62</v>
          </cell>
          <cell r="EK92">
            <v>56</v>
          </cell>
          <cell r="EL92">
            <v>56</v>
          </cell>
          <cell r="EM92">
            <v>55</v>
          </cell>
          <cell r="EN92">
            <v>56</v>
          </cell>
          <cell r="EO92">
            <v>56</v>
          </cell>
          <cell r="EP92">
            <v>67</v>
          </cell>
          <cell r="EQ92">
            <v>50</v>
          </cell>
          <cell r="ER92">
            <v>73</v>
          </cell>
          <cell r="ES92">
            <v>92</v>
          </cell>
          <cell r="ET92">
            <v>65</v>
          </cell>
          <cell r="EU92">
            <v>70</v>
          </cell>
          <cell r="EV92">
            <v>53</v>
          </cell>
          <cell r="EW92">
            <v>61</v>
          </cell>
          <cell r="EX92">
            <v>45</v>
          </cell>
          <cell r="EY92">
            <v>72</v>
          </cell>
          <cell r="EZ92">
            <v>59</v>
          </cell>
          <cell r="FA92">
            <v>68</v>
          </cell>
          <cell r="FB92">
            <v>60</v>
          </cell>
          <cell r="FC92">
            <v>80</v>
          </cell>
          <cell r="FD92">
            <v>55</v>
          </cell>
          <cell r="FE92">
            <v>60</v>
          </cell>
          <cell r="FF92">
            <v>51</v>
          </cell>
          <cell r="FG92">
            <v>55</v>
          </cell>
          <cell r="FH92">
            <v>82</v>
          </cell>
          <cell r="FI92">
            <v>65</v>
          </cell>
          <cell r="FJ92">
            <v>45</v>
          </cell>
          <cell r="FK92">
            <v>71</v>
          </cell>
          <cell r="FL92">
            <v>85</v>
          </cell>
          <cell r="FM92">
            <v>67</v>
          </cell>
          <cell r="FN92">
            <v>93</v>
          </cell>
          <cell r="FO92">
            <v>73</v>
          </cell>
          <cell r="FP92">
            <v>65</v>
          </cell>
          <cell r="FQ92">
            <v>70</v>
          </cell>
          <cell r="FR92">
            <v>69</v>
          </cell>
          <cell r="FS92">
            <v>58</v>
          </cell>
          <cell r="FT92">
            <v>86</v>
          </cell>
          <cell r="FU92">
            <v>58</v>
          </cell>
          <cell r="FV92">
            <v>74</v>
          </cell>
          <cell r="FW92">
            <v>50</v>
          </cell>
          <cell r="FX92">
            <v>82</v>
          </cell>
          <cell r="FY92">
            <v>63</v>
          </cell>
          <cell r="FZ92">
            <v>46</v>
          </cell>
          <cell r="GA92">
            <v>60</v>
          </cell>
          <cell r="GB92">
            <v>49</v>
          </cell>
          <cell r="GC92">
            <v>43</v>
          </cell>
          <cell r="GD92">
            <v>40</v>
          </cell>
          <cell r="GE92">
            <v>58</v>
          </cell>
          <cell r="GF92">
            <v>82</v>
          </cell>
          <cell r="GG92">
            <v>70</v>
          </cell>
          <cell r="GH92">
            <v>47</v>
          </cell>
          <cell r="GI92">
            <v>75</v>
          </cell>
          <cell r="GJ92">
            <v>63</v>
          </cell>
          <cell r="GK92">
            <v>48</v>
          </cell>
          <cell r="GL92">
            <v>49</v>
          </cell>
          <cell r="GM92">
            <v>70</v>
          </cell>
          <cell r="GN92">
            <v>64</v>
          </cell>
        </row>
        <row r="93">
          <cell r="B93" t="str">
            <v>THALOMID</v>
          </cell>
          <cell r="C93" t="str">
            <v>CC5</v>
          </cell>
          <cell r="D93">
            <v>2403</v>
          </cell>
          <cell r="E93">
            <v>1951</v>
          </cell>
          <cell r="F93">
            <v>2396</v>
          </cell>
          <cell r="G93">
            <v>2082</v>
          </cell>
          <cell r="H93">
            <v>2188</v>
          </cell>
          <cell r="I93">
            <v>2115</v>
          </cell>
          <cell r="J93">
            <v>2186</v>
          </cell>
          <cell r="K93">
            <v>2106</v>
          </cell>
          <cell r="L93">
            <v>2179</v>
          </cell>
          <cell r="M93">
            <v>2141</v>
          </cell>
          <cell r="N93">
            <v>1883</v>
          </cell>
          <cell r="O93">
            <v>2091</v>
          </cell>
          <cell r="P93">
            <v>2104</v>
          </cell>
          <cell r="Q93">
            <v>2033</v>
          </cell>
          <cell r="R93">
            <v>1981</v>
          </cell>
          <cell r="S93">
            <v>2107</v>
          </cell>
          <cell r="T93">
            <v>2067</v>
          </cell>
          <cell r="U93">
            <v>2071</v>
          </cell>
          <cell r="V93">
            <v>2049</v>
          </cell>
          <cell r="W93">
            <v>2110</v>
          </cell>
          <cell r="X93">
            <v>2048</v>
          </cell>
          <cell r="Y93">
            <v>1706</v>
          </cell>
          <cell r="Z93">
            <v>2084</v>
          </cell>
          <cell r="AA93">
            <v>2331</v>
          </cell>
          <cell r="AB93">
            <v>2088</v>
          </cell>
          <cell r="AC93">
            <v>2115</v>
          </cell>
          <cell r="AD93">
            <v>1662</v>
          </cell>
          <cell r="AE93">
            <v>1802</v>
          </cell>
          <cell r="AF93">
            <v>2239</v>
          </cell>
          <cell r="AG93">
            <v>2033</v>
          </cell>
          <cell r="AH93">
            <v>1953</v>
          </cell>
          <cell r="AI93">
            <v>1958</v>
          </cell>
          <cell r="AJ93">
            <v>2121</v>
          </cell>
          <cell r="AK93">
            <v>1998</v>
          </cell>
          <cell r="AL93">
            <v>1882</v>
          </cell>
          <cell r="AM93">
            <v>2023</v>
          </cell>
          <cell r="AN93">
            <v>2022</v>
          </cell>
          <cell r="AO93">
            <v>1929</v>
          </cell>
          <cell r="AP93">
            <v>2034</v>
          </cell>
          <cell r="AQ93">
            <v>1902</v>
          </cell>
          <cell r="AR93">
            <v>1935</v>
          </cell>
          <cell r="AS93">
            <v>1945</v>
          </cell>
          <cell r="AT93">
            <v>1934</v>
          </cell>
          <cell r="AU93">
            <v>1950</v>
          </cell>
          <cell r="AV93">
            <v>2057</v>
          </cell>
          <cell r="AW93">
            <v>1879</v>
          </cell>
          <cell r="AX93">
            <v>2017</v>
          </cell>
          <cell r="AY93">
            <v>1939</v>
          </cell>
          <cell r="AZ93">
            <v>1652</v>
          </cell>
          <cell r="BA93">
            <v>2014</v>
          </cell>
          <cell r="BB93">
            <v>2024</v>
          </cell>
          <cell r="BC93">
            <v>1899</v>
          </cell>
          <cell r="BD93">
            <v>1976</v>
          </cell>
          <cell r="BE93">
            <v>1669</v>
          </cell>
          <cell r="BF93">
            <v>1922</v>
          </cell>
          <cell r="BG93">
            <v>1827</v>
          </cell>
          <cell r="BH93">
            <v>2032</v>
          </cell>
          <cell r="BI93">
            <v>1764</v>
          </cell>
          <cell r="BJ93">
            <v>1765</v>
          </cell>
          <cell r="BK93">
            <v>1965</v>
          </cell>
          <cell r="BL93">
            <v>1899</v>
          </cell>
          <cell r="BM93">
            <v>1843</v>
          </cell>
          <cell r="BN93">
            <v>1554</v>
          </cell>
          <cell r="BO93">
            <v>2024</v>
          </cell>
          <cell r="BP93">
            <v>1876</v>
          </cell>
          <cell r="BQ93">
            <v>1738</v>
          </cell>
          <cell r="BR93">
            <v>1714</v>
          </cell>
          <cell r="BS93">
            <v>1926</v>
          </cell>
          <cell r="BT93">
            <v>1794</v>
          </cell>
          <cell r="BU93">
            <v>1795</v>
          </cell>
          <cell r="BV93">
            <v>1699</v>
          </cell>
          <cell r="BW93">
            <v>1846</v>
          </cell>
          <cell r="BX93">
            <v>1860</v>
          </cell>
          <cell r="BY93">
            <v>1629</v>
          </cell>
          <cell r="BZ93">
            <v>1820</v>
          </cell>
          <cell r="CA93">
            <v>1933</v>
          </cell>
          <cell r="CB93">
            <v>1753</v>
          </cell>
          <cell r="CC93">
            <v>1907</v>
          </cell>
          <cell r="CD93">
            <v>1483</v>
          </cell>
          <cell r="CE93">
            <v>1468</v>
          </cell>
          <cell r="CF93">
            <v>2053</v>
          </cell>
          <cell r="CG93">
            <v>1901</v>
          </cell>
          <cell r="CH93">
            <v>1761</v>
          </cell>
          <cell r="CI93">
            <v>1742</v>
          </cell>
          <cell r="CJ93">
            <v>1736</v>
          </cell>
          <cell r="CK93">
            <v>1819</v>
          </cell>
          <cell r="CL93">
            <v>1567</v>
          </cell>
          <cell r="CM93">
            <v>1805</v>
          </cell>
          <cell r="CN93">
            <v>1833</v>
          </cell>
          <cell r="CO93">
            <v>1836</v>
          </cell>
          <cell r="CP93">
            <v>1542</v>
          </cell>
          <cell r="CQ93">
            <v>1690</v>
          </cell>
          <cell r="CR93">
            <v>1733</v>
          </cell>
          <cell r="CS93">
            <v>1734</v>
          </cell>
          <cell r="CT93">
            <v>1647</v>
          </cell>
          <cell r="CU93">
            <v>1603</v>
          </cell>
          <cell r="CV93">
            <v>1697</v>
          </cell>
          <cell r="CW93">
            <v>1623</v>
          </cell>
          <cell r="CX93">
            <v>1561</v>
          </cell>
          <cell r="CY93">
            <v>1617</v>
          </cell>
          <cell r="CZ93">
            <v>1435</v>
          </cell>
          <cell r="DA93">
            <v>1632</v>
          </cell>
          <cell r="DB93">
            <v>1586</v>
          </cell>
          <cell r="DC93">
            <v>1592</v>
          </cell>
          <cell r="DD93">
            <v>1661</v>
          </cell>
          <cell r="DE93">
            <v>1332</v>
          </cell>
          <cell r="DF93">
            <v>1555</v>
          </cell>
          <cell r="DG93">
            <v>1685</v>
          </cell>
          <cell r="DH93">
            <v>1540</v>
          </cell>
          <cell r="DI93">
            <v>1511</v>
          </cell>
          <cell r="DJ93">
            <v>1542</v>
          </cell>
          <cell r="DK93">
            <v>1613</v>
          </cell>
          <cell r="DL93">
            <v>1503</v>
          </cell>
          <cell r="DM93">
            <v>1559</v>
          </cell>
          <cell r="DN93">
            <v>1297</v>
          </cell>
          <cell r="DO93">
            <v>1542</v>
          </cell>
          <cell r="DP93">
            <v>1524</v>
          </cell>
          <cell r="DQ93">
            <v>1497</v>
          </cell>
          <cell r="DR93">
            <v>1445</v>
          </cell>
          <cell r="DS93">
            <v>1462</v>
          </cell>
          <cell r="DT93">
            <v>1477</v>
          </cell>
          <cell r="DU93">
            <v>1500</v>
          </cell>
          <cell r="DV93">
            <v>1378</v>
          </cell>
          <cell r="DW93">
            <v>1305</v>
          </cell>
          <cell r="DX93">
            <v>1385</v>
          </cell>
          <cell r="DY93">
            <v>1447</v>
          </cell>
          <cell r="DZ93">
            <v>1220</v>
          </cell>
          <cell r="EA93">
            <v>1537</v>
          </cell>
          <cell r="EB93">
            <v>1442</v>
          </cell>
          <cell r="EC93">
            <v>1408</v>
          </cell>
          <cell r="ED93">
            <v>1153</v>
          </cell>
          <cell r="EE93">
            <v>1023</v>
          </cell>
          <cell r="EF93">
            <v>1194</v>
          </cell>
          <cell r="EG93">
            <v>1566</v>
          </cell>
          <cell r="EH93">
            <v>1211</v>
          </cell>
          <cell r="EI93">
            <v>1131</v>
          </cell>
          <cell r="EJ93">
            <v>1236</v>
          </cell>
          <cell r="EK93">
            <v>1201</v>
          </cell>
          <cell r="EL93">
            <v>1188</v>
          </cell>
          <cell r="EM93">
            <v>1157</v>
          </cell>
          <cell r="EN93">
            <v>1141</v>
          </cell>
          <cell r="EO93">
            <v>1209</v>
          </cell>
          <cell r="EP93">
            <v>1140</v>
          </cell>
          <cell r="EQ93">
            <v>1087</v>
          </cell>
          <cell r="ER93">
            <v>1024</v>
          </cell>
          <cell r="ES93">
            <v>1060</v>
          </cell>
          <cell r="ET93">
            <v>1002</v>
          </cell>
          <cell r="EU93">
            <v>947</v>
          </cell>
          <cell r="EV93">
            <v>1039</v>
          </cell>
          <cell r="EW93">
            <v>1126</v>
          </cell>
          <cell r="EX93">
            <v>1066</v>
          </cell>
          <cell r="EY93">
            <v>1084</v>
          </cell>
          <cell r="EZ93">
            <v>873</v>
          </cell>
          <cell r="FA93">
            <v>1190</v>
          </cell>
          <cell r="FB93">
            <v>1175</v>
          </cell>
          <cell r="FC93">
            <v>1002</v>
          </cell>
          <cell r="FD93">
            <v>981</v>
          </cell>
          <cell r="FE93">
            <v>1042</v>
          </cell>
          <cell r="FF93">
            <v>1111</v>
          </cell>
          <cell r="FG93">
            <v>1071</v>
          </cell>
          <cell r="FH93">
            <v>923</v>
          </cell>
          <cell r="FI93">
            <v>1037</v>
          </cell>
          <cell r="FJ93">
            <v>1101</v>
          </cell>
          <cell r="FK93">
            <v>1012</v>
          </cell>
          <cell r="FL93">
            <v>1021</v>
          </cell>
          <cell r="FM93">
            <v>1043</v>
          </cell>
          <cell r="FN93">
            <v>986</v>
          </cell>
          <cell r="FO93">
            <v>803</v>
          </cell>
          <cell r="FP93">
            <v>907</v>
          </cell>
          <cell r="FQ93">
            <v>1018</v>
          </cell>
          <cell r="FR93">
            <v>908</v>
          </cell>
          <cell r="FS93">
            <v>1007</v>
          </cell>
          <cell r="FT93">
            <v>970</v>
          </cell>
          <cell r="FU93">
            <v>973</v>
          </cell>
          <cell r="FV93">
            <v>1062</v>
          </cell>
          <cell r="FW93">
            <v>1008</v>
          </cell>
          <cell r="FX93">
            <v>868</v>
          </cell>
          <cell r="FY93">
            <v>1065</v>
          </cell>
          <cell r="FZ93">
            <v>785</v>
          </cell>
          <cell r="GA93">
            <v>1082</v>
          </cell>
          <cell r="GB93">
            <v>968</v>
          </cell>
          <cell r="GC93">
            <v>1116</v>
          </cell>
          <cell r="GD93">
            <v>877</v>
          </cell>
          <cell r="GE93">
            <v>757</v>
          </cell>
          <cell r="GF93">
            <v>939</v>
          </cell>
          <cell r="GG93">
            <v>965</v>
          </cell>
          <cell r="GH93">
            <v>835</v>
          </cell>
          <cell r="GI93">
            <v>847</v>
          </cell>
          <cell r="GJ93">
            <v>923</v>
          </cell>
          <cell r="GK93">
            <v>835</v>
          </cell>
          <cell r="GL93">
            <v>870</v>
          </cell>
          <cell r="GM93">
            <v>951</v>
          </cell>
          <cell r="GN93">
            <v>879</v>
          </cell>
        </row>
        <row r="94">
          <cell r="B94" t="str">
            <v>THYROGEN</v>
          </cell>
          <cell r="C94" t="str">
            <v>GZY</v>
          </cell>
          <cell r="D94">
            <v>269</v>
          </cell>
          <cell r="E94">
            <v>203</v>
          </cell>
          <cell r="F94">
            <v>313</v>
          </cell>
          <cell r="G94">
            <v>272</v>
          </cell>
          <cell r="H94">
            <v>285</v>
          </cell>
          <cell r="I94">
            <v>269</v>
          </cell>
          <cell r="J94">
            <v>227</v>
          </cell>
          <cell r="K94">
            <v>270</v>
          </cell>
          <cell r="L94">
            <v>234</v>
          </cell>
          <cell r="M94">
            <v>268</v>
          </cell>
          <cell r="N94">
            <v>175</v>
          </cell>
          <cell r="O94">
            <v>398</v>
          </cell>
          <cell r="P94">
            <v>371</v>
          </cell>
          <cell r="Q94">
            <v>305</v>
          </cell>
          <cell r="R94">
            <v>297</v>
          </cell>
          <cell r="S94">
            <v>298</v>
          </cell>
          <cell r="T94">
            <v>273</v>
          </cell>
          <cell r="U94">
            <v>264</v>
          </cell>
          <cell r="V94">
            <v>326</v>
          </cell>
          <cell r="W94">
            <v>272</v>
          </cell>
          <cell r="X94">
            <v>259</v>
          </cell>
          <cell r="Y94">
            <v>169</v>
          </cell>
          <cell r="Z94">
            <v>287</v>
          </cell>
          <cell r="AA94">
            <v>337</v>
          </cell>
          <cell r="AB94">
            <v>296</v>
          </cell>
          <cell r="AC94">
            <v>246</v>
          </cell>
          <cell r="AD94">
            <v>189</v>
          </cell>
          <cell r="AE94">
            <v>220</v>
          </cell>
          <cell r="AF94">
            <v>345</v>
          </cell>
          <cell r="AG94">
            <v>323</v>
          </cell>
          <cell r="AH94">
            <v>352</v>
          </cell>
          <cell r="AI94">
            <v>404</v>
          </cell>
          <cell r="AJ94">
            <v>379</v>
          </cell>
          <cell r="AK94">
            <v>332</v>
          </cell>
          <cell r="AL94">
            <v>286</v>
          </cell>
          <cell r="AM94">
            <v>284</v>
          </cell>
          <cell r="AN94">
            <v>324</v>
          </cell>
          <cell r="AO94">
            <v>331</v>
          </cell>
          <cell r="AP94">
            <v>289</v>
          </cell>
          <cell r="AQ94">
            <v>350</v>
          </cell>
          <cell r="AR94">
            <v>294</v>
          </cell>
          <cell r="AS94">
            <v>326</v>
          </cell>
          <cell r="AT94">
            <v>360</v>
          </cell>
          <cell r="AU94">
            <v>345</v>
          </cell>
          <cell r="AV94">
            <v>312</v>
          </cell>
          <cell r="AW94">
            <v>273</v>
          </cell>
          <cell r="AX94">
            <v>332</v>
          </cell>
          <cell r="AY94">
            <v>247</v>
          </cell>
          <cell r="AZ94">
            <v>243</v>
          </cell>
          <cell r="BA94">
            <v>294</v>
          </cell>
          <cell r="BB94">
            <v>341</v>
          </cell>
          <cell r="BC94">
            <v>337</v>
          </cell>
          <cell r="BD94">
            <v>301</v>
          </cell>
          <cell r="BE94">
            <v>205</v>
          </cell>
          <cell r="BF94">
            <v>308</v>
          </cell>
          <cell r="BG94">
            <v>355</v>
          </cell>
          <cell r="BH94">
            <v>298</v>
          </cell>
          <cell r="BI94">
            <v>314</v>
          </cell>
          <cell r="BJ94">
            <v>299</v>
          </cell>
          <cell r="BK94">
            <v>288</v>
          </cell>
          <cell r="BL94">
            <v>311</v>
          </cell>
          <cell r="BM94">
            <v>315</v>
          </cell>
          <cell r="BN94">
            <v>262</v>
          </cell>
          <cell r="BO94">
            <v>282</v>
          </cell>
          <cell r="BP94">
            <v>356</v>
          </cell>
          <cell r="BQ94">
            <v>281</v>
          </cell>
          <cell r="BR94">
            <v>335</v>
          </cell>
          <cell r="BS94">
            <v>261</v>
          </cell>
          <cell r="BT94">
            <v>344</v>
          </cell>
          <cell r="BU94">
            <v>293</v>
          </cell>
          <cell r="BV94">
            <v>286</v>
          </cell>
          <cell r="BW94">
            <v>328</v>
          </cell>
          <cell r="BX94">
            <v>328</v>
          </cell>
          <cell r="BY94">
            <v>163</v>
          </cell>
          <cell r="BZ94">
            <v>327</v>
          </cell>
          <cell r="CA94">
            <v>340</v>
          </cell>
          <cell r="CB94">
            <v>327</v>
          </cell>
          <cell r="CC94">
            <v>228</v>
          </cell>
          <cell r="CD94">
            <v>155</v>
          </cell>
          <cell r="CE94">
            <v>147</v>
          </cell>
          <cell r="CF94">
            <v>278</v>
          </cell>
          <cell r="CG94">
            <v>338</v>
          </cell>
          <cell r="CH94">
            <v>324</v>
          </cell>
          <cell r="CI94">
            <v>348</v>
          </cell>
          <cell r="CJ94">
            <v>372</v>
          </cell>
          <cell r="CK94">
            <v>337</v>
          </cell>
          <cell r="CL94">
            <v>325</v>
          </cell>
          <cell r="CM94">
            <v>427</v>
          </cell>
          <cell r="CN94">
            <v>371</v>
          </cell>
          <cell r="CO94">
            <v>376</v>
          </cell>
          <cell r="CP94">
            <v>341</v>
          </cell>
          <cell r="CQ94">
            <v>355</v>
          </cell>
          <cell r="CR94">
            <v>346</v>
          </cell>
          <cell r="CS94">
            <v>358</v>
          </cell>
          <cell r="CT94">
            <v>320</v>
          </cell>
          <cell r="CU94">
            <v>340</v>
          </cell>
          <cell r="CV94">
            <v>347</v>
          </cell>
          <cell r="CW94">
            <v>335</v>
          </cell>
          <cell r="CX94">
            <v>359</v>
          </cell>
          <cell r="CY94">
            <v>334</v>
          </cell>
          <cell r="CZ94">
            <v>263</v>
          </cell>
          <cell r="DA94">
            <v>359</v>
          </cell>
          <cell r="DB94">
            <v>293</v>
          </cell>
          <cell r="DC94">
            <v>329</v>
          </cell>
          <cell r="DD94">
            <v>383</v>
          </cell>
          <cell r="DE94">
            <v>278</v>
          </cell>
          <cell r="DF94">
            <v>367</v>
          </cell>
          <cell r="DG94">
            <v>387</v>
          </cell>
          <cell r="DH94">
            <v>386</v>
          </cell>
          <cell r="DI94">
            <v>336</v>
          </cell>
          <cell r="DJ94">
            <v>340</v>
          </cell>
          <cell r="DK94">
            <v>341</v>
          </cell>
          <cell r="DL94">
            <v>286</v>
          </cell>
          <cell r="DM94">
            <v>374</v>
          </cell>
          <cell r="DN94">
            <v>253</v>
          </cell>
          <cell r="DO94">
            <v>434</v>
          </cell>
          <cell r="DP94">
            <v>369</v>
          </cell>
          <cell r="DQ94">
            <v>445</v>
          </cell>
          <cell r="DR94">
            <v>384</v>
          </cell>
          <cell r="DS94">
            <v>331</v>
          </cell>
          <cell r="DT94">
            <v>357</v>
          </cell>
          <cell r="DU94">
            <v>394</v>
          </cell>
          <cell r="DV94">
            <v>323</v>
          </cell>
          <cell r="DW94">
            <v>385</v>
          </cell>
          <cell r="DX94">
            <v>424</v>
          </cell>
          <cell r="DY94">
            <v>342</v>
          </cell>
          <cell r="DZ94">
            <v>221</v>
          </cell>
          <cell r="EA94">
            <v>376</v>
          </cell>
          <cell r="EB94">
            <v>327</v>
          </cell>
          <cell r="EC94">
            <v>295</v>
          </cell>
          <cell r="ED94">
            <v>157</v>
          </cell>
          <cell r="EE94">
            <v>205</v>
          </cell>
          <cell r="EF94">
            <v>263</v>
          </cell>
          <cell r="EG94">
            <v>301</v>
          </cell>
          <cell r="EH94">
            <v>311</v>
          </cell>
          <cell r="EI94">
            <v>301</v>
          </cell>
          <cell r="EJ94">
            <v>354</v>
          </cell>
          <cell r="EK94">
            <v>310</v>
          </cell>
          <cell r="EL94">
            <v>308</v>
          </cell>
          <cell r="EM94">
            <v>328</v>
          </cell>
          <cell r="EN94">
            <v>315</v>
          </cell>
          <cell r="EO94">
            <v>348</v>
          </cell>
          <cell r="EP94">
            <v>330</v>
          </cell>
          <cell r="EQ94">
            <v>299</v>
          </cell>
          <cell r="ER94">
            <v>307</v>
          </cell>
          <cell r="ES94">
            <v>331</v>
          </cell>
          <cell r="ET94">
            <v>324</v>
          </cell>
          <cell r="EU94">
            <v>272</v>
          </cell>
          <cell r="EV94">
            <v>312</v>
          </cell>
          <cell r="EW94">
            <v>352</v>
          </cell>
          <cell r="EX94">
            <v>348</v>
          </cell>
          <cell r="EY94">
            <v>316</v>
          </cell>
          <cell r="EZ94">
            <v>239</v>
          </cell>
          <cell r="FA94">
            <v>304</v>
          </cell>
          <cell r="FB94">
            <v>337</v>
          </cell>
          <cell r="FC94">
            <v>340</v>
          </cell>
          <cell r="FD94">
            <v>322</v>
          </cell>
          <cell r="FE94">
            <v>261</v>
          </cell>
          <cell r="FF94">
            <v>300</v>
          </cell>
          <cell r="FG94">
            <v>372</v>
          </cell>
          <cell r="FH94">
            <v>328</v>
          </cell>
          <cell r="FI94">
            <v>308</v>
          </cell>
          <cell r="FJ94">
            <v>284</v>
          </cell>
          <cell r="FK94">
            <v>273</v>
          </cell>
          <cell r="FL94">
            <v>260</v>
          </cell>
          <cell r="FM94">
            <v>284</v>
          </cell>
          <cell r="FN94">
            <v>279</v>
          </cell>
          <cell r="FO94">
            <v>265</v>
          </cell>
          <cell r="FP94">
            <v>343</v>
          </cell>
          <cell r="FQ94">
            <v>311</v>
          </cell>
          <cell r="FR94">
            <v>283</v>
          </cell>
          <cell r="FS94">
            <v>357</v>
          </cell>
          <cell r="FT94">
            <v>334</v>
          </cell>
          <cell r="FU94">
            <v>323</v>
          </cell>
          <cell r="FV94">
            <v>308</v>
          </cell>
          <cell r="FW94">
            <v>295</v>
          </cell>
          <cell r="FX94">
            <v>314</v>
          </cell>
          <cell r="FY94">
            <v>291</v>
          </cell>
          <cell r="FZ94">
            <v>147</v>
          </cell>
          <cell r="GA94">
            <v>279</v>
          </cell>
          <cell r="GB94">
            <v>262</v>
          </cell>
          <cell r="GC94">
            <v>214</v>
          </cell>
          <cell r="GD94">
            <v>125</v>
          </cell>
          <cell r="GE94">
            <v>164</v>
          </cell>
          <cell r="GF94">
            <v>234</v>
          </cell>
          <cell r="GG94">
            <v>314</v>
          </cell>
          <cell r="GH94">
            <v>292</v>
          </cell>
          <cell r="GI94">
            <v>328</v>
          </cell>
          <cell r="GJ94">
            <v>295</v>
          </cell>
          <cell r="GK94">
            <v>278</v>
          </cell>
        </row>
        <row r="95">
          <cell r="B95" t="str">
            <v>TRIZIVIR</v>
          </cell>
          <cell r="C95" t="str">
            <v>GSK</v>
          </cell>
          <cell r="D95">
            <v>1657</v>
          </cell>
          <cell r="E95">
            <v>1421</v>
          </cell>
          <cell r="F95">
            <v>1530</v>
          </cell>
          <cell r="G95">
            <v>1466</v>
          </cell>
          <cell r="H95">
            <v>1522</v>
          </cell>
          <cell r="I95">
            <v>1488</v>
          </cell>
          <cell r="J95">
            <v>1456</v>
          </cell>
          <cell r="K95">
            <v>1545</v>
          </cell>
          <cell r="L95">
            <v>1578</v>
          </cell>
          <cell r="M95">
            <v>1514</v>
          </cell>
          <cell r="N95">
            <v>1305</v>
          </cell>
          <cell r="O95">
            <v>1465</v>
          </cell>
          <cell r="P95">
            <v>1481</v>
          </cell>
          <cell r="Q95">
            <v>1421</v>
          </cell>
          <cell r="R95">
            <v>1449</v>
          </cell>
          <cell r="S95">
            <v>1572</v>
          </cell>
          <cell r="T95">
            <v>1371</v>
          </cell>
          <cell r="U95">
            <v>1500</v>
          </cell>
          <cell r="V95">
            <v>1507</v>
          </cell>
          <cell r="W95">
            <v>1374</v>
          </cell>
          <cell r="X95">
            <v>1305</v>
          </cell>
          <cell r="Y95">
            <v>1104</v>
          </cell>
          <cell r="Z95">
            <v>1457</v>
          </cell>
          <cell r="AA95">
            <v>1359</v>
          </cell>
          <cell r="AB95">
            <v>1394</v>
          </cell>
          <cell r="AC95">
            <v>1373</v>
          </cell>
          <cell r="AD95">
            <v>1122</v>
          </cell>
          <cell r="AE95">
            <v>1298</v>
          </cell>
          <cell r="AF95">
            <v>1421</v>
          </cell>
          <cell r="AG95">
            <v>1390</v>
          </cell>
          <cell r="AH95">
            <v>1477</v>
          </cell>
          <cell r="AI95">
            <v>1423</v>
          </cell>
          <cell r="AJ95">
            <v>1398</v>
          </cell>
          <cell r="AK95">
            <v>1367</v>
          </cell>
          <cell r="AL95">
            <v>1400</v>
          </cell>
          <cell r="AM95">
            <v>1450</v>
          </cell>
          <cell r="AN95">
            <v>1443</v>
          </cell>
          <cell r="AO95">
            <v>1396</v>
          </cell>
          <cell r="AP95">
            <v>1336</v>
          </cell>
          <cell r="AQ95">
            <v>1341</v>
          </cell>
          <cell r="AR95">
            <v>1429</v>
          </cell>
          <cell r="AS95">
            <v>1332</v>
          </cell>
          <cell r="AT95">
            <v>1280</v>
          </cell>
          <cell r="AU95">
            <v>1269</v>
          </cell>
          <cell r="AV95">
            <v>1319</v>
          </cell>
          <cell r="AW95">
            <v>1379</v>
          </cell>
          <cell r="AX95">
            <v>1374</v>
          </cell>
          <cell r="AY95">
            <v>1350</v>
          </cell>
          <cell r="AZ95">
            <v>1239</v>
          </cell>
          <cell r="BA95">
            <v>1304</v>
          </cell>
          <cell r="BB95">
            <v>1344</v>
          </cell>
          <cell r="BC95">
            <v>1281</v>
          </cell>
          <cell r="BD95">
            <v>1360</v>
          </cell>
          <cell r="BE95">
            <v>1249</v>
          </cell>
          <cell r="BF95">
            <v>1314</v>
          </cell>
          <cell r="BG95">
            <v>1243</v>
          </cell>
          <cell r="BH95">
            <v>1180</v>
          </cell>
          <cell r="BI95">
            <v>1261</v>
          </cell>
          <cell r="BJ95">
            <v>1244</v>
          </cell>
          <cell r="BK95">
            <v>1156</v>
          </cell>
          <cell r="BL95">
            <v>1189</v>
          </cell>
          <cell r="BM95">
            <v>1218</v>
          </cell>
          <cell r="BN95">
            <v>1148</v>
          </cell>
          <cell r="BO95">
            <v>1239</v>
          </cell>
          <cell r="BP95">
            <v>1160</v>
          </cell>
          <cell r="BQ95">
            <v>1243</v>
          </cell>
          <cell r="BR95">
            <v>1216</v>
          </cell>
          <cell r="BS95">
            <v>1149</v>
          </cell>
          <cell r="BT95">
            <v>1249</v>
          </cell>
          <cell r="BU95">
            <v>1145</v>
          </cell>
          <cell r="BV95">
            <v>1187</v>
          </cell>
          <cell r="BW95">
            <v>1202</v>
          </cell>
          <cell r="BX95">
            <v>1130</v>
          </cell>
          <cell r="BY95">
            <v>1011</v>
          </cell>
          <cell r="BZ95">
            <v>1195</v>
          </cell>
          <cell r="CA95">
            <v>1219</v>
          </cell>
          <cell r="CB95">
            <v>1214</v>
          </cell>
          <cell r="CC95">
            <v>1228</v>
          </cell>
          <cell r="CD95">
            <v>925</v>
          </cell>
          <cell r="CE95">
            <v>1057</v>
          </cell>
          <cell r="CF95">
            <v>1168</v>
          </cell>
          <cell r="CG95">
            <v>1223</v>
          </cell>
          <cell r="CH95">
            <v>1166</v>
          </cell>
          <cell r="CI95">
            <v>1145</v>
          </cell>
          <cell r="CJ95">
            <v>1117</v>
          </cell>
          <cell r="CK95">
            <v>1159</v>
          </cell>
          <cell r="CL95">
            <v>1184</v>
          </cell>
          <cell r="CM95">
            <v>1200</v>
          </cell>
          <cell r="CN95">
            <v>1224</v>
          </cell>
          <cell r="CO95">
            <v>1211</v>
          </cell>
          <cell r="CP95">
            <v>1104</v>
          </cell>
          <cell r="CQ95">
            <v>1082</v>
          </cell>
          <cell r="CR95">
            <v>1111</v>
          </cell>
          <cell r="CS95">
            <v>1130</v>
          </cell>
          <cell r="CT95">
            <v>1047</v>
          </cell>
          <cell r="CU95">
            <v>1091</v>
          </cell>
          <cell r="CV95">
            <v>1167</v>
          </cell>
          <cell r="CW95">
            <v>1025</v>
          </cell>
          <cell r="CX95">
            <v>1100</v>
          </cell>
          <cell r="CY95">
            <v>1134</v>
          </cell>
          <cell r="CZ95">
            <v>1001</v>
          </cell>
          <cell r="DA95">
            <v>1162</v>
          </cell>
          <cell r="DB95">
            <v>973</v>
          </cell>
          <cell r="DC95">
            <v>1039</v>
          </cell>
          <cell r="DD95">
            <v>1040</v>
          </cell>
          <cell r="DE95">
            <v>1027</v>
          </cell>
          <cell r="DF95">
            <v>1118</v>
          </cell>
          <cell r="DG95">
            <v>1021</v>
          </cell>
          <cell r="DH95">
            <v>887</v>
          </cell>
          <cell r="DI95">
            <v>1039</v>
          </cell>
          <cell r="DJ95">
            <v>979</v>
          </cell>
          <cell r="DK95">
            <v>1031</v>
          </cell>
          <cell r="DL95">
            <v>965</v>
          </cell>
          <cell r="DM95">
            <v>1040</v>
          </cell>
          <cell r="DN95">
            <v>1052</v>
          </cell>
          <cell r="DO95">
            <v>1082</v>
          </cell>
          <cell r="DP95">
            <v>1077</v>
          </cell>
          <cell r="DQ95">
            <v>1037</v>
          </cell>
          <cell r="DR95">
            <v>1052</v>
          </cell>
          <cell r="DS95">
            <v>1124</v>
          </cell>
          <cell r="DT95">
            <v>990</v>
          </cell>
          <cell r="DU95">
            <v>979</v>
          </cell>
          <cell r="DV95">
            <v>985</v>
          </cell>
          <cell r="DW95">
            <v>1054</v>
          </cell>
          <cell r="DX95">
            <v>978</v>
          </cell>
          <cell r="DY95">
            <v>1119</v>
          </cell>
          <cell r="DZ95">
            <v>785</v>
          </cell>
          <cell r="EA95">
            <v>1093</v>
          </cell>
          <cell r="EB95">
            <v>957</v>
          </cell>
          <cell r="EC95">
            <v>1060</v>
          </cell>
          <cell r="ED95">
            <v>768</v>
          </cell>
          <cell r="EE95">
            <v>852</v>
          </cell>
          <cell r="EF95">
            <v>1032</v>
          </cell>
          <cell r="EG95">
            <v>1003</v>
          </cell>
          <cell r="EH95">
            <v>1010</v>
          </cell>
          <cell r="EI95">
            <v>997</v>
          </cell>
          <cell r="EJ95">
            <v>1019</v>
          </cell>
          <cell r="EK95">
            <v>946</v>
          </cell>
          <cell r="EL95">
            <v>963</v>
          </cell>
          <cell r="EM95">
            <v>970</v>
          </cell>
          <cell r="EN95">
            <v>1031</v>
          </cell>
          <cell r="EO95">
            <v>931</v>
          </cell>
          <cell r="EP95">
            <v>868</v>
          </cell>
          <cell r="EQ95">
            <v>972</v>
          </cell>
          <cell r="ER95">
            <v>949</v>
          </cell>
          <cell r="ES95">
            <v>873</v>
          </cell>
          <cell r="ET95">
            <v>901</v>
          </cell>
          <cell r="EU95">
            <v>916</v>
          </cell>
          <cell r="EV95">
            <v>940</v>
          </cell>
          <cell r="EW95">
            <v>883</v>
          </cell>
          <cell r="EX95">
            <v>854</v>
          </cell>
          <cell r="EY95">
            <v>799</v>
          </cell>
          <cell r="EZ95">
            <v>791</v>
          </cell>
          <cell r="FA95">
            <v>936</v>
          </cell>
          <cell r="FB95">
            <v>850</v>
          </cell>
          <cell r="FC95">
            <v>835</v>
          </cell>
          <cell r="FD95">
            <v>813</v>
          </cell>
          <cell r="FE95">
            <v>787</v>
          </cell>
          <cell r="FF95">
            <v>783</v>
          </cell>
          <cell r="FG95">
            <v>747</v>
          </cell>
          <cell r="FH95">
            <v>863</v>
          </cell>
          <cell r="FI95">
            <v>784</v>
          </cell>
          <cell r="FJ95">
            <v>838</v>
          </cell>
          <cell r="FK95">
            <v>847</v>
          </cell>
          <cell r="FL95">
            <v>847</v>
          </cell>
          <cell r="FM95">
            <v>902</v>
          </cell>
          <cell r="FN95">
            <v>800</v>
          </cell>
          <cell r="FO95">
            <v>795</v>
          </cell>
          <cell r="FP95">
            <v>849</v>
          </cell>
          <cell r="FQ95">
            <v>743</v>
          </cell>
          <cell r="FR95">
            <v>801</v>
          </cell>
          <cell r="FS95">
            <v>799</v>
          </cell>
          <cell r="FT95">
            <v>822</v>
          </cell>
          <cell r="FU95">
            <v>795</v>
          </cell>
          <cell r="FV95">
            <v>825</v>
          </cell>
          <cell r="FW95">
            <v>762</v>
          </cell>
          <cell r="FX95">
            <v>798</v>
          </cell>
          <cell r="FY95">
            <v>761</v>
          </cell>
          <cell r="FZ95">
            <v>690</v>
          </cell>
          <cell r="GA95">
            <v>898</v>
          </cell>
          <cell r="GB95">
            <v>841</v>
          </cell>
          <cell r="GC95">
            <v>812</v>
          </cell>
          <cell r="GD95">
            <v>667</v>
          </cell>
          <cell r="GE95">
            <v>772</v>
          </cell>
          <cell r="GF95">
            <v>821</v>
          </cell>
          <cell r="GG95">
            <v>806</v>
          </cell>
          <cell r="GH95">
            <v>737</v>
          </cell>
          <cell r="GI95">
            <v>745</v>
          </cell>
          <cell r="GJ95">
            <v>843</v>
          </cell>
          <cell r="GK95">
            <v>660</v>
          </cell>
          <cell r="GL95">
            <v>355</v>
          </cell>
          <cell r="GM95">
            <v>330</v>
          </cell>
          <cell r="GN95">
            <v>366</v>
          </cell>
        </row>
        <row r="96">
          <cell r="B96" t="str">
            <v>TRUVADA</v>
          </cell>
          <cell r="C96" t="str">
            <v>GS-</v>
          </cell>
          <cell r="D96">
            <v>6340</v>
          </cell>
          <cell r="E96">
            <v>5849</v>
          </cell>
          <cell r="F96">
            <v>6555</v>
          </cell>
          <cell r="G96">
            <v>6193</v>
          </cell>
          <cell r="H96">
            <v>6042</v>
          </cell>
          <cell r="I96">
            <v>6139</v>
          </cell>
          <cell r="J96">
            <v>6160</v>
          </cell>
          <cell r="K96">
            <v>5872</v>
          </cell>
          <cell r="L96">
            <v>5695</v>
          </cell>
          <cell r="M96">
            <v>5841</v>
          </cell>
          <cell r="N96">
            <v>5260</v>
          </cell>
          <cell r="O96">
            <v>5749</v>
          </cell>
          <cell r="P96">
            <v>6015</v>
          </cell>
          <cell r="Q96">
            <v>5722</v>
          </cell>
          <cell r="R96">
            <v>5913</v>
          </cell>
          <cell r="S96">
            <v>5786</v>
          </cell>
          <cell r="T96">
            <v>5504</v>
          </cell>
          <cell r="U96">
            <v>6090</v>
          </cell>
          <cell r="V96">
            <v>6191</v>
          </cell>
          <cell r="W96">
            <v>5267</v>
          </cell>
          <cell r="X96">
            <v>5281</v>
          </cell>
          <cell r="Y96">
            <v>4493</v>
          </cell>
          <cell r="Z96">
            <v>5518</v>
          </cell>
          <cell r="AA96">
            <v>5364</v>
          </cell>
          <cell r="AB96">
            <v>5521</v>
          </cell>
          <cell r="AC96">
            <v>5442</v>
          </cell>
          <cell r="AD96">
            <v>4572</v>
          </cell>
          <cell r="AE96">
            <v>5123</v>
          </cell>
          <cell r="AF96">
            <v>5653</v>
          </cell>
          <cell r="AG96">
            <v>5386</v>
          </cell>
          <cell r="AH96">
            <v>5489</v>
          </cell>
          <cell r="AI96">
            <v>5857</v>
          </cell>
          <cell r="AJ96">
            <v>5629</v>
          </cell>
          <cell r="AK96">
            <v>5323</v>
          </cell>
          <cell r="AL96">
            <v>5468</v>
          </cell>
          <cell r="AM96">
            <v>5674</v>
          </cell>
          <cell r="AN96">
            <v>5787</v>
          </cell>
          <cell r="AO96">
            <v>5703</v>
          </cell>
          <cell r="AP96">
            <v>5485</v>
          </cell>
          <cell r="AQ96">
            <v>5405</v>
          </cell>
          <cell r="AR96">
            <v>5743</v>
          </cell>
          <cell r="AS96">
            <v>5606</v>
          </cell>
          <cell r="AT96">
            <v>5451</v>
          </cell>
          <cell r="AU96">
            <v>5456</v>
          </cell>
          <cell r="AV96">
            <v>5873</v>
          </cell>
          <cell r="AW96">
            <v>5522</v>
          </cell>
          <cell r="AX96">
            <v>5537</v>
          </cell>
          <cell r="AY96">
            <v>5453</v>
          </cell>
          <cell r="AZ96">
            <v>5144</v>
          </cell>
          <cell r="BA96">
            <v>5770</v>
          </cell>
          <cell r="BB96">
            <v>5489</v>
          </cell>
          <cell r="BC96">
            <v>5331</v>
          </cell>
          <cell r="BD96">
            <v>5717</v>
          </cell>
          <cell r="BE96">
            <v>5121</v>
          </cell>
          <cell r="BF96">
            <v>5724</v>
          </cell>
          <cell r="BG96">
            <v>5407</v>
          </cell>
          <cell r="BH96">
            <v>5450</v>
          </cell>
          <cell r="BI96">
            <v>5875</v>
          </cell>
          <cell r="BJ96">
            <v>5726</v>
          </cell>
          <cell r="BK96">
            <v>5792</v>
          </cell>
          <cell r="BL96">
            <v>5666</v>
          </cell>
          <cell r="BM96">
            <v>5670</v>
          </cell>
          <cell r="BN96">
            <v>5282</v>
          </cell>
          <cell r="BO96">
            <v>5900</v>
          </cell>
          <cell r="BP96">
            <v>5587</v>
          </cell>
          <cell r="BQ96">
            <v>5928</v>
          </cell>
          <cell r="BR96">
            <v>5907</v>
          </cell>
          <cell r="BS96">
            <v>5829</v>
          </cell>
          <cell r="BT96">
            <v>5849</v>
          </cell>
          <cell r="BU96">
            <v>5708</v>
          </cell>
          <cell r="BV96">
            <v>5891</v>
          </cell>
          <cell r="BW96">
            <v>6023</v>
          </cell>
          <cell r="BX96">
            <v>6030</v>
          </cell>
          <cell r="BY96">
            <v>4995</v>
          </cell>
          <cell r="BZ96">
            <v>6246</v>
          </cell>
          <cell r="CA96">
            <v>6164</v>
          </cell>
          <cell r="CB96">
            <v>6029</v>
          </cell>
          <cell r="CC96">
            <v>6353</v>
          </cell>
          <cell r="CD96">
            <v>4782</v>
          </cell>
          <cell r="CE96">
            <v>5193</v>
          </cell>
          <cell r="CF96">
            <v>6408</v>
          </cell>
          <cell r="CG96">
            <v>6391</v>
          </cell>
          <cell r="CH96">
            <v>6073</v>
          </cell>
          <cell r="CI96">
            <v>6493</v>
          </cell>
          <cell r="CJ96">
            <v>6359</v>
          </cell>
          <cell r="CK96">
            <v>6352</v>
          </cell>
          <cell r="CL96">
            <v>5993</v>
          </cell>
          <cell r="CM96">
            <v>6404</v>
          </cell>
          <cell r="CN96">
            <v>6880</v>
          </cell>
          <cell r="CO96">
            <v>6439</v>
          </cell>
          <cell r="CP96">
            <v>6335</v>
          </cell>
          <cell r="CQ96">
            <v>6112</v>
          </cell>
          <cell r="CR96">
            <v>6584</v>
          </cell>
          <cell r="CS96">
            <v>6573</v>
          </cell>
          <cell r="CT96">
            <v>6534</v>
          </cell>
          <cell r="CU96">
            <v>6524</v>
          </cell>
          <cell r="CV96">
            <v>6571</v>
          </cell>
          <cell r="CW96">
            <v>6537</v>
          </cell>
          <cell r="CX96">
            <v>6377</v>
          </cell>
          <cell r="CY96">
            <v>6354</v>
          </cell>
          <cell r="CZ96">
            <v>6018</v>
          </cell>
          <cell r="DA96">
            <v>6844</v>
          </cell>
          <cell r="DB96">
            <v>6315</v>
          </cell>
          <cell r="DC96">
            <v>6159</v>
          </cell>
          <cell r="DD96">
            <v>6228</v>
          </cell>
          <cell r="DE96">
            <v>5951</v>
          </cell>
          <cell r="DF96">
            <v>6631</v>
          </cell>
          <cell r="DG96">
            <v>6685</v>
          </cell>
          <cell r="DH96">
            <v>6488</v>
          </cell>
          <cell r="DI96">
            <v>6611</v>
          </cell>
          <cell r="DJ96">
            <v>6783</v>
          </cell>
          <cell r="DK96">
            <v>6736</v>
          </cell>
          <cell r="DL96">
            <v>6817</v>
          </cell>
          <cell r="DM96">
            <v>6741</v>
          </cell>
          <cell r="DN96">
            <v>6460</v>
          </cell>
          <cell r="DO96">
            <v>7292</v>
          </cell>
          <cell r="DP96">
            <v>7317</v>
          </cell>
          <cell r="DQ96">
            <v>6978</v>
          </cell>
          <cell r="DR96">
            <v>7305</v>
          </cell>
          <cell r="DS96">
            <v>7030</v>
          </cell>
          <cell r="DT96">
            <v>6995</v>
          </cell>
          <cell r="DU96">
            <v>7031</v>
          </cell>
          <cell r="DV96">
            <v>7134</v>
          </cell>
          <cell r="DW96">
            <v>7133</v>
          </cell>
          <cell r="DX96">
            <v>7242</v>
          </cell>
          <cell r="DY96">
            <v>7350</v>
          </cell>
          <cell r="DZ96">
            <v>6257</v>
          </cell>
          <cell r="EA96">
            <v>7804</v>
          </cell>
          <cell r="EB96">
            <v>7421</v>
          </cell>
          <cell r="EC96">
            <v>7762</v>
          </cell>
          <cell r="ED96">
            <v>5871</v>
          </cell>
          <cell r="EE96">
            <v>6430</v>
          </cell>
          <cell r="EF96">
            <v>7795</v>
          </cell>
          <cell r="EG96">
            <v>7688</v>
          </cell>
          <cell r="EH96">
            <v>7195</v>
          </cell>
          <cell r="EI96">
            <v>7493</v>
          </cell>
          <cell r="EJ96">
            <v>7810</v>
          </cell>
          <cell r="EK96">
            <v>7411</v>
          </cell>
          <cell r="EL96">
            <v>7344</v>
          </cell>
          <cell r="EM96">
            <v>7687</v>
          </cell>
          <cell r="EN96">
            <v>7991</v>
          </cell>
          <cell r="EO96">
            <v>7475</v>
          </cell>
          <cell r="EP96">
            <v>7392</v>
          </cell>
          <cell r="EQ96">
            <v>7358</v>
          </cell>
          <cell r="ER96">
            <v>7434</v>
          </cell>
          <cell r="ES96">
            <v>7686</v>
          </cell>
          <cell r="ET96">
            <v>7688</v>
          </cell>
          <cell r="EU96">
            <v>7453</v>
          </cell>
          <cell r="EV96">
            <v>7559</v>
          </cell>
          <cell r="EW96">
            <v>8139</v>
          </cell>
          <cell r="EX96">
            <v>7795</v>
          </cell>
          <cell r="EY96">
            <v>7712</v>
          </cell>
          <cell r="EZ96">
            <v>7021</v>
          </cell>
          <cell r="FA96">
            <v>8147</v>
          </cell>
          <cell r="FB96">
            <v>7955</v>
          </cell>
          <cell r="FC96">
            <v>7452</v>
          </cell>
          <cell r="FD96">
            <v>7605</v>
          </cell>
          <cell r="FE96">
            <v>7569</v>
          </cell>
          <cell r="FF96">
            <v>6965</v>
          </cell>
          <cell r="FG96">
            <v>6949</v>
          </cell>
          <cell r="FH96">
            <v>6717</v>
          </cell>
          <cell r="FI96">
            <v>7637</v>
          </cell>
          <cell r="FJ96">
            <v>7951</v>
          </cell>
          <cell r="FK96">
            <v>7849</v>
          </cell>
          <cell r="FL96">
            <v>7757</v>
          </cell>
          <cell r="FM96">
            <v>7749</v>
          </cell>
          <cell r="FN96">
            <v>8410</v>
          </cell>
          <cell r="FO96">
            <v>7338</v>
          </cell>
          <cell r="FP96">
            <v>8137</v>
          </cell>
          <cell r="FQ96">
            <v>8197</v>
          </cell>
          <cell r="FR96">
            <v>8305</v>
          </cell>
          <cell r="FS96">
            <v>8112</v>
          </cell>
          <cell r="FT96">
            <v>7998</v>
          </cell>
          <cell r="FU96">
            <v>7999</v>
          </cell>
          <cell r="FV96">
            <v>8248</v>
          </cell>
          <cell r="FW96">
            <v>8235</v>
          </cell>
          <cell r="FX96">
            <v>8118</v>
          </cell>
          <cell r="FY96">
            <v>8288</v>
          </cell>
          <cell r="FZ96">
            <v>7176</v>
          </cell>
          <cell r="GA96">
            <v>8795</v>
          </cell>
          <cell r="GB96">
            <v>8597</v>
          </cell>
          <cell r="GC96">
            <v>8786</v>
          </cell>
          <cell r="GD96">
            <v>6791</v>
          </cell>
          <cell r="GE96">
            <v>7589</v>
          </cell>
          <cell r="GF96">
            <v>8979</v>
          </cell>
          <cell r="GG96">
            <v>8962</v>
          </cell>
          <cell r="GH96">
            <v>8386</v>
          </cell>
          <cell r="GI96">
            <v>8857</v>
          </cell>
          <cell r="GJ96">
            <v>9360</v>
          </cell>
          <cell r="GK96">
            <v>8625</v>
          </cell>
          <cell r="GL96">
            <v>689</v>
          </cell>
          <cell r="GM96">
            <v>731</v>
          </cell>
          <cell r="GN96">
            <v>775</v>
          </cell>
        </row>
        <row r="97">
          <cell r="B97" t="str">
            <v>TYSABRI</v>
          </cell>
          <cell r="C97" t="str">
            <v>ELA</v>
          </cell>
          <cell r="D97">
            <v>0</v>
          </cell>
          <cell r="E97">
            <v>0</v>
          </cell>
          <cell r="F97">
            <v>0</v>
          </cell>
          <cell r="G97">
            <v>0</v>
          </cell>
          <cell r="H97">
            <v>0</v>
          </cell>
          <cell r="I97">
            <v>0</v>
          </cell>
          <cell r="J97">
            <v>4</v>
          </cell>
          <cell r="K97">
            <v>14</v>
          </cell>
          <cell r="L97">
            <v>36</v>
          </cell>
          <cell r="M97">
            <v>26</v>
          </cell>
          <cell r="N97">
            <v>25</v>
          </cell>
          <cell r="O97">
            <v>21</v>
          </cell>
          <cell r="P97">
            <v>28</v>
          </cell>
          <cell r="Q97">
            <v>28</v>
          </cell>
          <cell r="R97">
            <v>31</v>
          </cell>
          <cell r="S97">
            <v>26</v>
          </cell>
          <cell r="T97">
            <v>18</v>
          </cell>
          <cell r="U97">
            <v>21</v>
          </cell>
          <cell r="V97">
            <v>27</v>
          </cell>
          <cell r="W97">
            <v>23</v>
          </cell>
          <cell r="X97">
            <v>24</v>
          </cell>
          <cell r="Y97">
            <v>13</v>
          </cell>
          <cell r="Z97">
            <v>32</v>
          </cell>
          <cell r="AA97">
            <v>11</v>
          </cell>
          <cell r="AB97">
            <v>25</v>
          </cell>
          <cell r="AC97">
            <v>18</v>
          </cell>
          <cell r="AD97">
            <v>19</v>
          </cell>
          <cell r="AE97">
            <v>20</v>
          </cell>
          <cell r="AF97">
            <v>20</v>
          </cell>
          <cell r="AG97">
            <v>17</v>
          </cell>
          <cell r="AH97">
            <v>27</v>
          </cell>
          <cell r="AI97">
            <v>33</v>
          </cell>
          <cell r="AJ97">
            <v>26</v>
          </cell>
          <cell r="AK97">
            <v>13</v>
          </cell>
          <cell r="AL97">
            <v>16</v>
          </cell>
          <cell r="AM97">
            <v>30</v>
          </cell>
          <cell r="AN97">
            <v>24</v>
          </cell>
          <cell r="AO97">
            <v>14</v>
          </cell>
          <cell r="AP97">
            <v>15</v>
          </cell>
          <cell r="AQ97">
            <v>15</v>
          </cell>
          <cell r="AR97">
            <v>42</v>
          </cell>
          <cell r="AS97">
            <v>24</v>
          </cell>
          <cell r="AT97">
            <v>16</v>
          </cell>
          <cell r="AU97">
            <v>14</v>
          </cell>
          <cell r="AV97">
            <v>17</v>
          </cell>
          <cell r="AW97">
            <v>25</v>
          </cell>
          <cell r="AX97">
            <v>24</v>
          </cell>
          <cell r="AY97">
            <v>20</v>
          </cell>
          <cell r="AZ97">
            <v>36</v>
          </cell>
          <cell r="BA97">
            <v>36</v>
          </cell>
          <cell r="BB97">
            <v>40</v>
          </cell>
          <cell r="BC97">
            <v>38</v>
          </cell>
          <cell r="BD97">
            <v>26</v>
          </cell>
          <cell r="BE97">
            <v>21</v>
          </cell>
          <cell r="BF97">
            <v>26</v>
          </cell>
          <cell r="BG97">
            <v>27</v>
          </cell>
          <cell r="BH97">
            <v>26</v>
          </cell>
          <cell r="BI97">
            <v>20</v>
          </cell>
          <cell r="BJ97">
            <v>36</v>
          </cell>
          <cell r="BK97">
            <v>51</v>
          </cell>
          <cell r="BL97">
            <v>41</v>
          </cell>
          <cell r="BM97">
            <v>57</v>
          </cell>
          <cell r="BN97">
            <v>40</v>
          </cell>
          <cell r="BO97">
            <v>48</v>
          </cell>
          <cell r="BP97">
            <v>52</v>
          </cell>
          <cell r="BQ97">
            <v>44</v>
          </cell>
          <cell r="BR97">
            <v>41</v>
          </cell>
          <cell r="BS97">
            <v>49</v>
          </cell>
          <cell r="BT97">
            <v>53</v>
          </cell>
          <cell r="BU97">
            <v>24</v>
          </cell>
          <cell r="BV97">
            <v>44</v>
          </cell>
          <cell r="BW97">
            <v>39</v>
          </cell>
          <cell r="BX97">
            <v>52</v>
          </cell>
          <cell r="BY97">
            <v>26</v>
          </cell>
          <cell r="BZ97">
            <v>47</v>
          </cell>
          <cell r="CA97">
            <v>39</v>
          </cell>
          <cell r="CB97">
            <v>38</v>
          </cell>
          <cell r="CC97">
            <v>38</v>
          </cell>
          <cell r="CD97">
            <v>28</v>
          </cell>
          <cell r="CE97">
            <v>30</v>
          </cell>
          <cell r="CF97">
            <v>43</v>
          </cell>
          <cell r="CG97">
            <v>27</v>
          </cell>
          <cell r="CH97">
            <v>31</v>
          </cell>
          <cell r="CI97">
            <v>45</v>
          </cell>
          <cell r="CJ97">
            <v>34</v>
          </cell>
          <cell r="CK97">
            <v>26</v>
          </cell>
          <cell r="CL97">
            <v>44</v>
          </cell>
          <cell r="CM97">
            <v>42</v>
          </cell>
          <cell r="CN97">
            <v>34</v>
          </cell>
          <cell r="CO97">
            <v>38</v>
          </cell>
          <cell r="CP97">
            <v>43</v>
          </cell>
          <cell r="CQ97">
            <v>43</v>
          </cell>
          <cell r="CR97">
            <v>41</v>
          </cell>
          <cell r="CS97">
            <v>45</v>
          </cell>
          <cell r="CT97">
            <v>39</v>
          </cell>
          <cell r="CU97">
            <v>45</v>
          </cell>
          <cell r="CV97">
            <v>39</v>
          </cell>
          <cell r="CW97">
            <v>44</v>
          </cell>
          <cell r="CX97">
            <v>51</v>
          </cell>
          <cell r="CY97">
            <v>48</v>
          </cell>
          <cell r="CZ97">
            <v>52</v>
          </cell>
          <cell r="DA97">
            <v>49</v>
          </cell>
          <cell r="DB97">
            <v>58</v>
          </cell>
          <cell r="DC97">
            <v>46</v>
          </cell>
          <cell r="DD97">
            <v>41</v>
          </cell>
          <cell r="DE97">
            <v>55</v>
          </cell>
          <cell r="DF97">
            <v>44</v>
          </cell>
          <cell r="DG97">
            <v>50</v>
          </cell>
          <cell r="DH97">
            <v>48</v>
          </cell>
          <cell r="DI97">
            <v>43</v>
          </cell>
          <cell r="DJ97">
            <v>79</v>
          </cell>
          <cell r="DK97">
            <v>55</v>
          </cell>
          <cell r="DL97">
            <v>71</v>
          </cell>
          <cell r="DM97">
            <v>68</v>
          </cell>
          <cell r="DN97">
            <v>51</v>
          </cell>
          <cell r="DO97">
            <v>63</v>
          </cell>
          <cell r="DP97">
            <v>60</v>
          </cell>
          <cell r="DQ97">
            <v>54</v>
          </cell>
          <cell r="DR97">
            <v>86</v>
          </cell>
          <cell r="DS97">
            <v>71</v>
          </cell>
          <cell r="DT97">
            <v>52</v>
          </cell>
          <cell r="DU97">
            <v>49</v>
          </cell>
          <cell r="DV97">
            <v>55</v>
          </cell>
          <cell r="DW97">
            <v>79</v>
          </cell>
          <cell r="DX97">
            <v>82</v>
          </cell>
          <cell r="DY97">
            <v>38</v>
          </cell>
          <cell r="DZ97">
            <v>29</v>
          </cell>
          <cell r="EA97">
            <v>60</v>
          </cell>
          <cell r="EB97">
            <v>89</v>
          </cell>
          <cell r="EC97">
            <v>57</v>
          </cell>
          <cell r="ED97">
            <v>24</v>
          </cell>
          <cell r="EE97">
            <v>44</v>
          </cell>
          <cell r="EF97">
            <v>64</v>
          </cell>
          <cell r="EG97">
            <v>27</v>
          </cell>
          <cell r="EH97">
            <v>30</v>
          </cell>
          <cell r="EI97">
            <v>36</v>
          </cell>
          <cell r="EJ97">
            <v>57</v>
          </cell>
          <cell r="EK97">
            <v>31</v>
          </cell>
          <cell r="EL97">
            <v>21</v>
          </cell>
          <cell r="EM97">
            <v>29</v>
          </cell>
          <cell r="EN97">
            <v>26</v>
          </cell>
          <cell r="EO97">
            <v>19</v>
          </cell>
          <cell r="EP97">
            <v>24</v>
          </cell>
          <cell r="EQ97">
            <v>25</v>
          </cell>
          <cell r="ER97">
            <v>13</v>
          </cell>
          <cell r="ES97">
            <v>16</v>
          </cell>
          <cell r="ET97">
            <v>16</v>
          </cell>
          <cell r="EU97">
            <v>17</v>
          </cell>
          <cell r="EV97">
            <v>23</v>
          </cell>
          <cell r="EW97">
            <v>12</v>
          </cell>
          <cell r="EX97">
            <v>18</v>
          </cell>
          <cell r="EY97">
            <v>20</v>
          </cell>
          <cell r="EZ97">
            <v>15</v>
          </cell>
          <cell r="FA97">
            <v>21</v>
          </cell>
          <cell r="FB97">
            <v>17</v>
          </cell>
          <cell r="FC97">
            <v>16</v>
          </cell>
          <cell r="FD97">
            <v>23</v>
          </cell>
          <cell r="FE97">
            <v>19</v>
          </cell>
          <cell r="FF97">
            <v>16</v>
          </cell>
          <cell r="FG97">
            <v>12</v>
          </cell>
          <cell r="FH97">
            <v>12</v>
          </cell>
          <cell r="FI97">
            <v>20</v>
          </cell>
          <cell r="FJ97">
            <v>19</v>
          </cell>
          <cell r="FK97">
            <v>17</v>
          </cell>
          <cell r="FL97">
            <v>12</v>
          </cell>
          <cell r="FM97">
            <v>22</v>
          </cell>
          <cell r="FN97">
            <v>23</v>
          </cell>
          <cell r="FO97">
            <v>15</v>
          </cell>
          <cell r="FP97">
            <v>20</v>
          </cell>
          <cell r="FQ97">
            <v>15</v>
          </cell>
          <cell r="FR97">
            <v>24</v>
          </cell>
          <cell r="FS97">
            <v>18</v>
          </cell>
          <cell r="FT97">
            <v>23</v>
          </cell>
          <cell r="FU97">
            <v>15</v>
          </cell>
          <cell r="FV97">
            <v>19</v>
          </cell>
          <cell r="FW97">
            <v>15</v>
          </cell>
          <cell r="FX97">
            <v>15</v>
          </cell>
          <cell r="FY97">
            <v>16</v>
          </cell>
          <cell r="FZ97">
            <v>16</v>
          </cell>
          <cell r="GA97">
            <v>12</v>
          </cell>
          <cell r="GB97">
            <v>11</v>
          </cell>
          <cell r="GC97">
            <v>9</v>
          </cell>
          <cell r="GD97">
            <v>11</v>
          </cell>
          <cell r="GE97">
            <v>18</v>
          </cell>
          <cell r="GF97">
            <v>19</v>
          </cell>
          <cell r="GG97">
            <v>11</v>
          </cell>
          <cell r="GH97">
            <v>17</v>
          </cell>
          <cell r="GI97">
            <v>18</v>
          </cell>
          <cell r="GJ97">
            <v>17</v>
          </cell>
          <cell r="GK97">
            <v>14</v>
          </cell>
          <cell r="GL97">
            <v>8515</v>
          </cell>
          <cell r="GM97">
            <v>8809</v>
          </cell>
          <cell r="GN97">
            <v>9365</v>
          </cell>
        </row>
        <row r="98">
          <cell r="B98" t="str">
            <v>TYZEKA</v>
          </cell>
          <cell r="C98" t="str">
            <v>NVR</v>
          </cell>
          <cell r="D98">
            <v>0</v>
          </cell>
          <cell r="E98">
            <v>0</v>
          </cell>
          <cell r="F98">
            <v>0</v>
          </cell>
          <cell r="G98">
            <v>0</v>
          </cell>
          <cell r="H98">
            <v>0</v>
          </cell>
          <cell r="I98">
            <v>0</v>
          </cell>
          <cell r="J98">
            <v>0</v>
          </cell>
          <cell r="K98">
            <v>0</v>
          </cell>
          <cell r="L98">
            <v>0</v>
          </cell>
          <cell r="M98">
            <v>0</v>
          </cell>
          <cell r="N98">
            <v>0</v>
          </cell>
          <cell r="O98">
            <v>0</v>
          </cell>
          <cell r="P98">
            <v>0</v>
          </cell>
          <cell r="Q98">
            <v>0</v>
          </cell>
          <cell r="R98">
            <v>0</v>
          </cell>
          <cell r="S98">
            <v>0</v>
          </cell>
          <cell r="T98">
            <v>0</v>
          </cell>
          <cell r="U98">
            <v>0</v>
          </cell>
          <cell r="V98">
            <v>0</v>
          </cell>
          <cell r="W98">
            <v>0</v>
          </cell>
          <cell r="X98">
            <v>2</v>
          </cell>
          <cell r="Y98">
            <v>5</v>
          </cell>
          <cell r="Z98">
            <v>15</v>
          </cell>
          <cell r="AA98">
            <v>29</v>
          </cell>
          <cell r="AB98">
            <v>31</v>
          </cell>
          <cell r="AC98">
            <v>30</v>
          </cell>
          <cell r="AD98">
            <v>43</v>
          </cell>
          <cell r="AE98">
            <v>22</v>
          </cell>
          <cell r="AF98">
            <v>38</v>
          </cell>
          <cell r="AG98">
            <v>38</v>
          </cell>
          <cell r="AH98">
            <v>41</v>
          </cell>
          <cell r="AI98">
            <v>52</v>
          </cell>
          <cell r="AJ98">
            <v>54</v>
          </cell>
          <cell r="AK98">
            <v>45</v>
          </cell>
          <cell r="AL98">
            <v>58</v>
          </cell>
          <cell r="AM98">
            <v>71</v>
          </cell>
          <cell r="AN98">
            <v>58</v>
          </cell>
          <cell r="AO98">
            <v>55</v>
          </cell>
          <cell r="AP98">
            <v>55</v>
          </cell>
          <cell r="AQ98">
            <v>90</v>
          </cell>
          <cell r="AR98">
            <v>81</v>
          </cell>
          <cell r="AS98">
            <v>61</v>
          </cell>
          <cell r="AT98">
            <v>74</v>
          </cell>
          <cell r="AU98">
            <v>80</v>
          </cell>
          <cell r="AV98">
            <v>86</v>
          </cell>
          <cell r="AW98">
            <v>95</v>
          </cell>
          <cell r="AX98">
            <v>80</v>
          </cell>
          <cell r="AY98">
            <v>81</v>
          </cell>
          <cell r="AZ98">
            <v>65</v>
          </cell>
          <cell r="BA98">
            <v>86</v>
          </cell>
          <cell r="BB98">
            <v>88</v>
          </cell>
          <cell r="BC98">
            <v>80</v>
          </cell>
          <cell r="BD98">
            <v>91</v>
          </cell>
          <cell r="BE98">
            <v>65</v>
          </cell>
          <cell r="BF98">
            <v>115</v>
          </cell>
          <cell r="BG98">
            <v>102</v>
          </cell>
          <cell r="BH98">
            <v>120</v>
          </cell>
          <cell r="BI98">
            <v>123</v>
          </cell>
          <cell r="BJ98">
            <v>125</v>
          </cell>
          <cell r="BK98">
            <v>101</v>
          </cell>
          <cell r="BL98">
            <v>101</v>
          </cell>
          <cell r="BM98">
            <v>99</v>
          </cell>
          <cell r="BN98">
            <v>82</v>
          </cell>
          <cell r="BO98">
            <v>100</v>
          </cell>
          <cell r="BP98">
            <v>87</v>
          </cell>
          <cell r="BQ98">
            <v>116</v>
          </cell>
          <cell r="BR98">
            <v>139</v>
          </cell>
          <cell r="BS98">
            <v>126</v>
          </cell>
          <cell r="BT98">
            <v>96</v>
          </cell>
          <cell r="BU98">
            <v>129</v>
          </cell>
          <cell r="BV98">
            <v>112</v>
          </cell>
          <cell r="BW98">
            <v>83</v>
          </cell>
          <cell r="BX98">
            <v>122</v>
          </cell>
          <cell r="BY98">
            <v>98</v>
          </cell>
          <cell r="BZ98">
            <v>104</v>
          </cell>
          <cell r="CA98">
            <v>128</v>
          </cell>
          <cell r="CB98">
            <v>141</v>
          </cell>
          <cell r="CC98">
            <v>102</v>
          </cell>
          <cell r="CD98">
            <v>98</v>
          </cell>
          <cell r="CE98">
            <v>142</v>
          </cell>
          <cell r="CF98">
            <v>120</v>
          </cell>
          <cell r="CG98">
            <v>113</v>
          </cell>
          <cell r="CH98">
            <v>82</v>
          </cell>
          <cell r="CI98">
            <v>128</v>
          </cell>
          <cell r="CJ98">
            <v>105</v>
          </cell>
          <cell r="CK98">
            <v>137</v>
          </cell>
          <cell r="CL98">
            <v>133</v>
          </cell>
          <cell r="CM98">
            <v>138</v>
          </cell>
          <cell r="CN98">
            <v>135</v>
          </cell>
          <cell r="CO98">
            <v>146</v>
          </cell>
          <cell r="CP98">
            <v>122</v>
          </cell>
          <cell r="CQ98">
            <v>143</v>
          </cell>
          <cell r="CR98">
            <v>174</v>
          </cell>
          <cell r="CS98">
            <v>155</v>
          </cell>
          <cell r="CT98">
            <v>153</v>
          </cell>
          <cell r="CU98">
            <v>196</v>
          </cell>
          <cell r="CV98">
            <v>188</v>
          </cell>
          <cell r="CW98">
            <v>152</v>
          </cell>
          <cell r="CX98">
            <v>144</v>
          </cell>
          <cell r="CY98">
            <v>147</v>
          </cell>
          <cell r="CZ98">
            <v>130</v>
          </cell>
          <cell r="DA98">
            <v>155</v>
          </cell>
          <cell r="DB98">
            <v>169</v>
          </cell>
          <cell r="DC98">
            <v>193</v>
          </cell>
          <cell r="DD98">
            <v>137</v>
          </cell>
          <cell r="DE98">
            <v>118</v>
          </cell>
          <cell r="DF98">
            <v>122</v>
          </cell>
          <cell r="DG98">
            <v>139</v>
          </cell>
          <cell r="DH98">
            <v>128</v>
          </cell>
          <cell r="DI98">
            <v>139</v>
          </cell>
          <cell r="DJ98">
            <v>172</v>
          </cell>
          <cell r="DK98">
            <v>134</v>
          </cell>
          <cell r="DL98">
            <v>142</v>
          </cell>
          <cell r="DM98">
            <v>152</v>
          </cell>
          <cell r="DN98">
            <v>111</v>
          </cell>
          <cell r="DO98">
            <v>155</v>
          </cell>
          <cell r="DP98">
            <v>136</v>
          </cell>
          <cell r="DQ98">
            <v>155</v>
          </cell>
          <cell r="DR98">
            <v>165</v>
          </cell>
          <cell r="DS98">
            <v>142</v>
          </cell>
          <cell r="DT98">
            <v>162</v>
          </cell>
          <cell r="DU98">
            <v>152</v>
          </cell>
          <cell r="DV98">
            <v>107</v>
          </cell>
          <cell r="DW98">
            <v>153</v>
          </cell>
          <cell r="DX98">
            <v>108</v>
          </cell>
          <cell r="DY98">
            <v>137</v>
          </cell>
          <cell r="DZ98">
            <v>108</v>
          </cell>
          <cell r="EA98">
            <v>76</v>
          </cell>
          <cell r="EB98">
            <v>133</v>
          </cell>
          <cell r="EC98">
            <v>113</v>
          </cell>
          <cell r="ED98">
            <v>83</v>
          </cell>
          <cell r="EE98">
            <v>100</v>
          </cell>
          <cell r="EF98">
            <v>78</v>
          </cell>
          <cell r="EG98">
            <v>80</v>
          </cell>
          <cell r="EH98">
            <v>81</v>
          </cell>
          <cell r="EI98">
            <v>107</v>
          </cell>
          <cell r="EJ98">
            <v>101</v>
          </cell>
          <cell r="EK98">
            <v>78</v>
          </cell>
          <cell r="EL98">
            <v>83</v>
          </cell>
          <cell r="EM98">
            <v>92</v>
          </cell>
          <cell r="EN98">
            <v>81</v>
          </cell>
          <cell r="EO98">
            <v>97</v>
          </cell>
          <cell r="EP98">
            <v>84</v>
          </cell>
          <cell r="EQ98">
            <v>90</v>
          </cell>
          <cell r="ER98">
            <v>63</v>
          </cell>
          <cell r="ES98">
            <v>82</v>
          </cell>
          <cell r="ET98">
            <v>64</v>
          </cell>
          <cell r="EU98">
            <v>82</v>
          </cell>
          <cell r="EV98">
            <v>62</v>
          </cell>
          <cell r="EW98">
            <v>71</v>
          </cell>
          <cell r="EX98">
            <v>69</v>
          </cell>
          <cell r="EY98">
            <v>49</v>
          </cell>
          <cell r="EZ98">
            <v>41</v>
          </cell>
          <cell r="FA98">
            <v>64</v>
          </cell>
          <cell r="FB98">
            <v>56</v>
          </cell>
          <cell r="FC98">
            <v>62</v>
          </cell>
          <cell r="FD98">
            <v>66</v>
          </cell>
          <cell r="FE98">
            <v>64</v>
          </cell>
          <cell r="FF98">
            <v>51</v>
          </cell>
          <cell r="FG98">
            <v>72</v>
          </cell>
          <cell r="FH98">
            <v>51</v>
          </cell>
          <cell r="FI98">
            <v>63</v>
          </cell>
          <cell r="FJ98">
            <v>49</v>
          </cell>
          <cell r="FK98">
            <v>43</v>
          </cell>
          <cell r="FL98">
            <v>55</v>
          </cell>
          <cell r="FM98">
            <v>51</v>
          </cell>
          <cell r="FN98">
            <v>50</v>
          </cell>
          <cell r="FO98">
            <v>96</v>
          </cell>
          <cell r="FP98">
            <v>60</v>
          </cell>
          <cell r="FQ98">
            <v>82</v>
          </cell>
          <cell r="FR98">
            <v>75</v>
          </cell>
          <cell r="FS98">
            <v>65</v>
          </cell>
          <cell r="FT98">
            <v>70</v>
          </cell>
          <cell r="FU98">
            <v>64</v>
          </cell>
          <cell r="FV98">
            <v>57</v>
          </cell>
          <cell r="FW98">
            <v>67</v>
          </cell>
          <cell r="FX98">
            <v>63</v>
          </cell>
          <cell r="FY98">
            <v>65</v>
          </cell>
          <cell r="FZ98">
            <v>38</v>
          </cell>
          <cell r="GA98">
            <v>75</v>
          </cell>
          <cell r="GB98">
            <v>68</v>
          </cell>
          <cell r="GC98">
            <v>73</v>
          </cell>
          <cell r="GD98">
            <v>42</v>
          </cell>
          <cell r="GE98">
            <v>55</v>
          </cell>
          <cell r="GF98">
            <v>46</v>
          </cell>
          <cell r="GG98">
            <v>71</v>
          </cell>
          <cell r="GH98">
            <v>61</v>
          </cell>
          <cell r="GI98">
            <v>50</v>
          </cell>
          <cell r="GJ98">
            <v>66</v>
          </cell>
          <cell r="GK98">
            <v>34</v>
          </cell>
          <cell r="GL98">
            <v>21</v>
          </cell>
          <cell r="GM98">
            <v>20</v>
          </cell>
          <cell r="GN98">
            <v>15</v>
          </cell>
        </row>
        <row r="99">
          <cell r="B99" t="str">
            <v>VELCADE</v>
          </cell>
          <cell r="C99" t="str">
            <v>MNN</v>
          </cell>
          <cell r="D99">
            <v>3</v>
          </cell>
          <cell r="E99">
            <v>6</v>
          </cell>
          <cell r="F99">
            <v>5</v>
          </cell>
          <cell r="G99">
            <v>9</v>
          </cell>
          <cell r="H99">
            <v>6</v>
          </cell>
          <cell r="I99">
            <v>6</v>
          </cell>
          <cell r="J99">
            <v>5</v>
          </cell>
          <cell r="K99">
            <v>4</v>
          </cell>
          <cell r="L99">
            <v>8</v>
          </cell>
          <cell r="M99">
            <v>4</v>
          </cell>
          <cell r="N99">
            <v>12</v>
          </cell>
          <cell r="O99">
            <v>10</v>
          </cell>
          <cell r="P99">
            <v>12</v>
          </cell>
          <cell r="Q99">
            <v>4</v>
          </cell>
          <cell r="R99">
            <v>9</v>
          </cell>
          <cell r="S99">
            <v>10</v>
          </cell>
          <cell r="T99">
            <v>7</v>
          </cell>
          <cell r="U99">
            <v>5</v>
          </cell>
          <cell r="V99">
            <v>14</v>
          </cell>
          <cell r="W99">
            <v>3</v>
          </cell>
          <cell r="X99">
            <v>6</v>
          </cell>
          <cell r="Y99">
            <v>7</v>
          </cell>
          <cell r="Z99">
            <v>6</v>
          </cell>
          <cell r="AA99">
            <v>15</v>
          </cell>
          <cell r="AB99">
            <v>8</v>
          </cell>
          <cell r="AC99">
            <v>15</v>
          </cell>
          <cell r="AD99">
            <v>4</v>
          </cell>
          <cell r="AE99">
            <v>5</v>
          </cell>
          <cell r="AF99">
            <v>15</v>
          </cell>
          <cell r="AG99">
            <v>8</v>
          </cell>
          <cell r="AH99">
            <v>13</v>
          </cell>
          <cell r="AI99">
            <v>8</v>
          </cell>
          <cell r="AJ99">
            <v>11</v>
          </cell>
          <cell r="AK99">
            <v>3</v>
          </cell>
          <cell r="AL99">
            <v>7</v>
          </cell>
          <cell r="AM99">
            <v>7</v>
          </cell>
          <cell r="AN99">
            <v>6</v>
          </cell>
          <cell r="AO99">
            <v>8</v>
          </cell>
          <cell r="AP99">
            <v>5</v>
          </cell>
          <cell r="AQ99">
            <v>7</v>
          </cell>
          <cell r="AR99">
            <v>5</v>
          </cell>
          <cell r="AS99">
            <v>11</v>
          </cell>
          <cell r="AT99">
            <v>7</v>
          </cell>
          <cell r="AU99">
            <v>5</v>
          </cell>
          <cell r="AV99">
            <v>11</v>
          </cell>
          <cell r="AW99">
            <v>5</v>
          </cell>
          <cell r="AX99">
            <v>6</v>
          </cell>
          <cell r="AY99">
            <v>5</v>
          </cell>
          <cell r="AZ99">
            <v>4</v>
          </cell>
          <cell r="BA99">
            <v>4</v>
          </cell>
          <cell r="BB99">
            <v>5</v>
          </cell>
          <cell r="BC99">
            <v>8</v>
          </cell>
          <cell r="BD99">
            <v>4</v>
          </cell>
          <cell r="BE99">
            <v>3</v>
          </cell>
          <cell r="BF99">
            <v>6</v>
          </cell>
          <cell r="BG99">
            <v>7</v>
          </cell>
          <cell r="BH99">
            <v>6</v>
          </cell>
          <cell r="BI99">
            <v>7</v>
          </cell>
          <cell r="BJ99">
            <v>8</v>
          </cell>
          <cell r="BK99">
            <v>3</v>
          </cell>
          <cell r="BL99">
            <v>11</v>
          </cell>
          <cell r="BM99">
            <v>10</v>
          </cell>
          <cell r="BN99">
            <v>4</v>
          </cell>
          <cell r="BO99">
            <v>8</v>
          </cell>
          <cell r="BP99">
            <v>3</v>
          </cell>
          <cell r="BQ99">
            <v>11</v>
          </cell>
          <cell r="BR99">
            <v>9</v>
          </cell>
          <cell r="BS99">
            <v>10</v>
          </cell>
          <cell r="BT99">
            <v>8</v>
          </cell>
          <cell r="BU99">
            <v>14</v>
          </cell>
          <cell r="BV99">
            <v>9</v>
          </cell>
          <cell r="BW99">
            <v>9</v>
          </cell>
          <cell r="BX99">
            <v>14</v>
          </cell>
          <cell r="BY99">
            <v>7</v>
          </cell>
          <cell r="BZ99">
            <v>11</v>
          </cell>
          <cell r="CA99">
            <v>7</v>
          </cell>
          <cell r="CB99">
            <v>11</v>
          </cell>
          <cell r="CC99">
            <v>5</v>
          </cell>
          <cell r="CD99">
            <v>6</v>
          </cell>
          <cell r="CE99">
            <v>6</v>
          </cell>
          <cell r="CF99">
            <v>16</v>
          </cell>
          <cell r="CG99">
            <v>11</v>
          </cell>
          <cell r="CH99">
            <v>9</v>
          </cell>
          <cell r="CI99">
            <v>9</v>
          </cell>
          <cell r="CJ99">
            <v>6</v>
          </cell>
          <cell r="CK99">
            <v>16</v>
          </cell>
          <cell r="CL99">
            <v>17</v>
          </cell>
          <cell r="CM99">
            <v>19</v>
          </cell>
          <cell r="CN99">
            <v>12</v>
          </cell>
          <cell r="CO99">
            <v>8</v>
          </cell>
          <cell r="CP99">
            <v>9</v>
          </cell>
          <cell r="CQ99">
            <v>12</v>
          </cell>
          <cell r="CR99">
            <v>18</v>
          </cell>
          <cell r="CS99">
            <v>16</v>
          </cell>
          <cell r="CT99">
            <v>16</v>
          </cell>
          <cell r="CU99">
            <v>19</v>
          </cell>
          <cell r="CV99">
            <v>15</v>
          </cell>
          <cell r="CW99">
            <v>8</v>
          </cell>
          <cell r="CX99">
            <v>11</v>
          </cell>
          <cell r="CY99">
            <v>11</v>
          </cell>
          <cell r="CZ99">
            <v>11</v>
          </cell>
          <cell r="DA99">
            <v>11</v>
          </cell>
          <cell r="DB99">
            <v>20</v>
          </cell>
          <cell r="DC99">
            <v>19</v>
          </cell>
          <cell r="DD99">
            <v>24</v>
          </cell>
          <cell r="DE99">
            <v>10</v>
          </cell>
          <cell r="DF99">
            <v>20</v>
          </cell>
          <cell r="DG99">
            <v>17</v>
          </cell>
          <cell r="DH99">
            <v>12</v>
          </cell>
          <cell r="DI99">
            <v>13</v>
          </cell>
          <cell r="DJ99">
            <v>16</v>
          </cell>
          <cell r="DK99">
            <v>17</v>
          </cell>
          <cell r="DL99">
            <v>16</v>
          </cell>
          <cell r="DM99">
            <v>18</v>
          </cell>
          <cell r="DN99">
            <v>15</v>
          </cell>
          <cell r="DO99">
            <v>23</v>
          </cell>
          <cell r="DP99">
            <v>18</v>
          </cell>
          <cell r="DQ99">
            <v>13</v>
          </cell>
          <cell r="DR99">
            <v>9</v>
          </cell>
          <cell r="DS99">
            <v>12</v>
          </cell>
          <cell r="DT99">
            <v>14</v>
          </cell>
          <cell r="DU99">
            <v>15</v>
          </cell>
          <cell r="DV99">
            <v>12</v>
          </cell>
          <cell r="DW99">
            <v>32</v>
          </cell>
          <cell r="DX99">
            <v>16</v>
          </cell>
          <cell r="DY99">
            <v>16</v>
          </cell>
          <cell r="DZ99">
            <v>13</v>
          </cell>
          <cell r="EA99">
            <v>14</v>
          </cell>
          <cell r="EB99">
            <v>20</v>
          </cell>
          <cell r="EC99">
            <v>10</v>
          </cell>
          <cell r="ED99">
            <v>5</v>
          </cell>
          <cell r="EE99">
            <v>5</v>
          </cell>
          <cell r="EF99">
            <v>13</v>
          </cell>
          <cell r="EG99">
            <v>5</v>
          </cell>
          <cell r="EH99">
            <v>15</v>
          </cell>
          <cell r="EI99">
            <v>9</v>
          </cell>
          <cell r="EJ99">
            <v>14</v>
          </cell>
          <cell r="EK99">
            <v>16</v>
          </cell>
          <cell r="EL99">
            <v>8</v>
          </cell>
          <cell r="EM99">
            <v>15</v>
          </cell>
          <cell r="EN99">
            <v>17</v>
          </cell>
          <cell r="EO99">
            <v>10</v>
          </cell>
          <cell r="EP99">
            <v>15</v>
          </cell>
          <cell r="EQ99">
            <v>7</v>
          </cell>
          <cell r="ER99">
            <v>13</v>
          </cell>
          <cell r="ES99">
            <v>9</v>
          </cell>
          <cell r="ET99">
            <v>15</v>
          </cell>
          <cell r="EU99">
            <v>11</v>
          </cell>
          <cell r="EV99">
            <v>13</v>
          </cell>
          <cell r="EW99">
            <v>19</v>
          </cell>
          <cell r="EX99">
            <v>15</v>
          </cell>
          <cell r="EY99">
            <v>8</v>
          </cell>
          <cell r="EZ99">
            <v>15</v>
          </cell>
          <cell r="FA99">
            <v>18</v>
          </cell>
          <cell r="FB99">
            <v>12</v>
          </cell>
          <cell r="FC99">
            <v>16</v>
          </cell>
          <cell r="FD99">
            <v>29</v>
          </cell>
          <cell r="FE99">
            <v>8</v>
          </cell>
          <cell r="FF99">
            <v>16</v>
          </cell>
          <cell r="FG99">
            <v>9</v>
          </cell>
          <cell r="FH99">
            <v>16</v>
          </cell>
          <cell r="FI99">
            <v>14</v>
          </cell>
          <cell r="FJ99">
            <v>9</v>
          </cell>
          <cell r="FK99">
            <v>9</v>
          </cell>
          <cell r="FL99">
            <v>28</v>
          </cell>
          <cell r="FM99">
            <v>7</v>
          </cell>
          <cell r="FN99">
            <v>11</v>
          </cell>
          <cell r="FO99">
            <v>10</v>
          </cell>
          <cell r="FP99">
            <v>8</v>
          </cell>
          <cell r="FQ99">
            <v>10</v>
          </cell>
          <cell r="FR99">
            <v>12</v>
          </cell>
          <cell r="FS99">
            <v>10</v>
          </cell>
          <cell r="FT99">
            <v>15</v>
          </cell>
          <cell r="FU99">
            <v>16</v>
          </cell>
          <cell r="FV99">
            <v>8</v>
          </cell>
          <cell r="FW99">
            <v>13</v>
          </cell>
          <cell r="FX99">
            <v>15</v>
          </cell>
          <cell r="FY99">
            <v>17</v>
          </cell>
          <cell r="FZ99">
            <v>11</v>
          </cell>
          <cell r="GA99">
            <v>12</v>
          </cell>
          <cell r="GB99">
            <v>13</v>
          </cell>
          <cell r="GC99">
            <v>16</v>
          </cell>
          <cell r="GD99">
            <v>15</v>
          </cell>
          <cell r="GE99">
            <v>13</v>
          </cell>
          <cell r="GF99">
            <v>17</v>
          </cell>
          <cell r="GG99">
            <v>18</v>
          </cell>
          <cell r="GH99">
            <v>14</v>
          </cell>
          <cell r="GI99">
            <v>17</v>
          </cell>
          <cell r="GJ99">
            <v>16</v>
          </cell>
          <cell r="GK99">
            <v>8</v>
          </cell>
          <cell r="GL99">
            <v>47</v>
          </cell>
          <cell r="GM99">
            <v>58</v>
          </cell>
          <cell r="GN99">
            <v>59</v>
          </cell>
        </row>
        <row r="100">
          <cell r="B100" t="str">
            <v>XOLAIR</v>
          </cell>
          <cell r="C100" t="str">
            <v>GTC</v>
          </cell>
          <cell r="D100">
            <v>429</v>
          </cell>
          <cell r="E100">
            <v>299</v>
          </cell>
          <cell r="F100">
            <v>455</v>
          </cell>
          <cell r="G100">
            <v>366</v>
          </cell>
          <cell r="H100">
            <v>345</v>
          </cell>
          <cell r="I100">
            <v>342</v>
          </cell>
          <cell r="J100">
            <v>431</v>
          </cell>
          <cell r="K100">
            <v>423</v>
          </cell>
          <cell r="L100">
            <v>356</v>
          </cell>
          <cell r="M100">
            <v>345</v>
          </cell>
          <cell r="N100">
            <v>354</v>
          </cell>
          <cell r="O100">
            <v>363</v>
          </cell>
          <cell r="P100">
            <v>417</v>
          </cell>
          <cell r="Q100">
            <v>391</v>
          </cell>
          <cell r="R100">
            <v>404</v>
          </cell>
          <cell r="S100">
            <v>338</v>
          </cell>
          <cell r="T100">
            <v>328</v>
          </cell>
          <cell r="U100">
            <v>396</v>
          </cell>
          <cell r="V100">
            <v>401</v>
          </cell>
          <cell r="W100">
            <v>391</v>
          </cell>
          <cell r="X100">
            <v>449</v>
          </cell>
          <cell r="Y100">
            <v>296</v>
          </cell>
          <cell r="Z100">
            <v>464</v>
          </cell>
          <cell r="AA100">
            <v>403</v>
          </cell>
          <cell r="AB100">
            <v>406</v>
          </cell>
          <cell r="AC100">
            <v>387</v>
          </cell>
          <cell r="AD100">
            <v>230</v>
          </cell>
          <cell r="AE100">
            <v>273</v>
          </cell>
          <cell r="AF100">
            <v>384</v>
          </cell>
          <cell r="AG100">
            <v>383</v>
          </cell>
          <cell r="AH100">
            <v>396</v>
          </cell>
          <cell r="AI100">
            <v>427</v>
          </cell>
          <cell r="AJ100">
            <v>436</v>
          </cell>
          <cell r="AK100">
            <v>380</v>
          </cell>
          <cell r="AL100">
            <v>377</v>
          </cell>
          <cell r="AM100">
            <v>446</v>
          </cell>
          <cell r="AN100">
            <v>357</v>
          </cell>
          <cell r="AO100">
            <v>320</v>
          </cell>
          <cell r="AP100">
            <v>420</v>
          </cell>
          <cell r="AQ100">
            <v>358</v>
          </cell>
          <cell r="AR100">
            <v>389</v>
          </cell>
          <cell r="AS100">
            <v>354</v>
          </cell>
          <cell r="AT100">
            <v>377</v>
          </cell>
          <cell r="AU100">
            <v>372</v>
          </cell>
          <cell r="AV100">
            <v>350</v>
          </cell>
          <cell r="AW100">
            <v>384</v>
          </cell>
          <cell r="AX100">
            <v>318</v>
          </cell>
          <cell r="AY100">
            <v>499</v>
          </cell>
          <cell r="AZ100">
            <v>405</v>
          </cell>
          <cell r="BA100">
            <v>478</v>
          </cell>
          <cell r="BB100">
            <v>479</v>
          </cell>
          <cell r="BC100">
            <v>463</v>
          </cell>
          <cell r="BD100">
            <v>495</v>
          </cell>
          <cell r="BE100">
            <v>334</v>
          </cell>
          <cell r="BF100">
            <v>481</v>
          </cell>
          <cell r="BG100">
            <v>456</v>
          </cell>
          <cell r="BH100">
            <v>470</v>
          </cell>
          <cell r="BI100">
            <v>444</v>
          </cell>
          <cell r="BJ100">
            <v>422</v>
          </cell>
          <cell r="BK100">
            <v>460</v>
          </cell>
          <cell r="BL100">
            <v>419</v>
          </cell>
          <cell r="BM100">
            <v>490</v>
          </cell>
          <cell r="BN100">
            <v>358</v>
          </cell>
          <cell r="BO100">
            <v>453</v>
          </cell>
          <cell r="BP100">
            <v>474</v>
          </cell>
          <cell r="BQ100">
            <v>470</v>
          </cell>
          <cell r="BR100">
            <v>373</v>
          </cell>
          <cell r="BS100">
            <v>397</v>
          </cell>
          <cell r="BT100">
            <v>394</v>
          </cell>
          <cell r="BU100">
            <v>427</v>
          </cell>
          <cell r="BV100">
            <v>358</v>
          </cell>
          <cell r="BW100">
            <v>400</v>
          </cell>
          <cell r="BX100">
            <v>419</v>
          </cell>
          <cell r="BY100">
            <v>252</v>
          </cell>
          <cell r="BZ100">
            <v>501</v>
          </cell>
          <cell r="CA100">
            <v>440</v>
          </cell>
          <cell r="CB100">
            <v>450</v>
          </cell>
          <cell r="CC100">
            <v>482</v>
          </cell>
          <cell r="CD100">
            <v>313</v>
          </cell>
          <cell r="CE100">
            <v>269</v>
          </cell>
          <cell r="CF100">
            <v>458</v>
          </cell>
          <cell r="CG100">
            <v>469</v>
          </cell>
          <cell r="CH100">
            <v>468</v>
          </cell>
          <cell r="CI100">
            <v>511</v>
          </cell>
          <cell r="CJ100">
            <v>498</v>
          </cell>
          <cell r="CK100">
            <v>469</v>
          </cell>
          <cell r="CL100">
            <v>438</v>
          </cell>
          <cell r="CM100">
            <v>417</v>
          </cell>
          <cell r="CN100">
            <v>515</v>
          </cell>
          <cell r="CO100">
            <v>490</v>
          </cell>
          <cell r="CP100">
            <v>469</v>
          </cell>
          <cell r="CQ100">
            <v>181</v>
          </cell>
          <cell r="CR100">
            <v>162</v>
          </cell>
          <cell r="CS100">
            <v>187</v>
          </cell>
          <cell r="CT100">
            <v>421</v>
          </cell>
          <cell r="CU100">
            <v>516</v>
          </cell>
          <cell r="CV100">
            <v>459</v>
          </cell>
          <cell r="CW100">
            <v>462</v>
          </cell>
          <cell r="CX100">
            <v>482</v>
          </cell>
          <cell r="CY100">
            <v>561</v>
          </cell>
          <cell r="CZ100">
            <v>404</v>
          </cell>
          <cell r="DA100">
            <v>525</v>
          </cell>
          <cell r="DB100">
            <v>509</v>
          </cell>
          <cell r="DC100">
            <v>583</v>
          </cell>
          <cell r="DD100">
            <v>497</v>
          </cell>
          <cell r="DE100">
            <v>422</v>
          </cell>
          <cell r="DF100">
            <v>612</v>
          </cell>
          <cell r="DG100">
            <v>638</v>
          </cell>
          <cell r="DH100">
            <v>559</v>
          </cell>
          <cell r="DI100">
            <v>506</v>
          </cell>
          <cell r="DJ100">
            <v>629</v>
          </cell>
          <cell r="DK100">
            <v>544</v>
          </cell>
          <cell r="DL100">
            <v>503</v>
          </cell>
          <cell r="DM100">
            <v>646</v>
          </cell>
          <cell r="DN100">
            <v>328</v>
          </cell>
          <cell r="DO100">
            <v>417</v>
          </cell>
          <cell r="DP100">
            <v>400</v>
          </cell>
          <cell r="DQ100">
            <v>358</v>
          </cell>
          <cell r="DR100">
            <v>418</v>
          </cell>
          <cell r="DS100">
            <v>369</v>
          </cell>
          <cell r="DT100">
            <v>394</v>
          </cell>
          <cell r="DU100">
            <v>380</v>
          </cell>
          <cell r="DV100">
            <v>432</v>
          </cell>
          <cell r="DW100">
            <v>342</v>
          </cell>
          <cell r="DX100">
            <v>411</v>
          </cell>
          <cell r="DY100">
            <v>404</v>
          </cell>
          <cell r="DZ100">
            <v>257</v>
          </cell>
          <cell r="EA100">
            <v>419</v>
          </cell>
          <cell r="EB100">
            <v>396</v>
          </cell>
          <cell r="EC100">
            <v>426</v>
          </cell>
          <cell r="ED100">
            <v>181</v>
          </cell>
          <cell r="EE100">
            <v>247</v>
          </cell>
          <cell r="EF100">
            <v>318</v>
          </cell>
          <cell r="EG100">
            <v>272</v>
          </cell>
          <cell r="EH100">
            <v>239</v>
          </cell>
          <cell r="EI100">
            <v>264</v>
          </cell>
          <cell r="EJ100">
            <v>311</v>
          </cell>
          <cell r="EK100">
            <v>298</v>
          </cell>
          <cell r="EL100">
            <v>295</v>
          </cell>
          <cell r="EM100">
            <v>299</v>
          </cell>
          <cell r="EN100">
            <v>298</v>
          </cell>
          <cell r="EO100">
            <v>252</v>
          </cell>
          <cell r="EP100">
            <v>247</v>
          </cell>
          <cell r="EQ100">
            <v>274</v>
          </cell>
          <cell r="ER100">
            <v>264</v>
          </cell>
          <cell r="ES100">
            <v>255</v>
          </cell>
          <cell r="ET100">
            <v>246</v>
          </cell>
          <cell r="EU100">
            <v>298</v>
          </cell>
          <cell r="EV100">
            <v>282</v>
          </cell>
          <cell r="EW100">
            <v>262</v>
          </cell>
          <cell r="EX100">
            <v>260</v>
          </cell>
          <cell r="EY100">
            <v>296</v>
          </cell>
          <cell r="EZ100">
            <v>206</v>
          </cell>
          <cell r="FA100">
            <v>261</v>
          </cell>
          <cell r="FB100">
            <v>242</v>
          </cell>
          <cell r="FC100">
            <v>247</v>
          </cell>
          <cell r="FD100">
            <v>261</v>
          </cell>
          <cell r="FE100">
            <v>215</v>
          </cell>
          <cell r="FF100">
            <v>221</v>
          </cell>
          <cell r="FG100">
            <v>224</v>
          </cell>
          <cell r="FH100">
            <v>241</v>
          </cell>
          <cell r="FI100">
            <v>278</v>
          </cell>
          <cell r="FJ100">
            <v>214</v>
          </cell>
          <cell r="FK100">
            <v>235</v>
          </cell>
          <cell r="FL100">
            <v>249</v>
          </cell>
          <cell r="FM100">
            <v>250</v>
          </cell>
          <cell r="FN100">
            <v>209</v>
          </cell>
          <cell r="FO100">
            <v>146</v>
          </cell>
          <cell r="FP100">
            <v>198</v>
          </cell>
          <cell r="FQ100">
            <v>215</v>
          </cell>
          <cell r="FR100">
            <v>198</v>
          </cell>
          <cell r="FS100">
            <v>179</v>
          </cell>
          <cell r="FT100">
            <v>181</v>
          </cell>
          <cell r="FU100">
            <v>192</v>
          </cell>
          <cell r="FV100">
            <v>209</v>
          </cell>
          <cell r="FW100">
            <v>170</v>
          </cell>
          <cell r="FX100">
            <v>187</v>
          </cell>
          <cell r="FY100">
            <v>215</v>
          </cell>
          <cell r="FZ100">
            <v>147</v>
          </cell>
          <cell r="GA100">
            <v>215</v>
          </cell>
          <cell r="GB100">
            <v>213</v>
          </cell>
          <cell r="GC100">
            <v>267</v>
          </cell>
          <cell r="GD100">
            <v>167</v>
          </cell>
          <cell r="GE100">
            <v>192</v>
          </cell>
          <cell r="GF100">
            <v>259</v>
          </cell>
          <cell r="GG100">
            <v>293</v>
          </cell>
          <cell r="GH100">
            <v>299</v>
          </cell>
          <cell r="GI100">
            <v>374</v>
          </cell>
          <cell r="GJ100">
            <v>346</v>
          </cell>
          <cell r="GK100">
            <v>361</v>
          </cell>
          <cell r="GL100">
            <v>19</v>
          </cell>
          <cell r="GM100">
            <v>10</v>
          </cell>
          <cell r="GN100">
            <v>24</v>
          </cell>
        </row>
        <row r="101">
          <cell r="B101" t="str">
            <v>VIDAZA</v>
          </cell>
          <cell r="C101" t="str">
            <v>PM6</v>
          </cell>
          <cell r="D101">
            <v>7</v>
          </cell>
          <cell r="E101">
            <v>1</v>
          </cell>
          <cell r="F101">
            <v>5</v>
          </cell>
          <cell r="G101">
            <v>2</v>
          </cell>
          <cell r="H101">
            <v>6</v>
          </cell>
          <cell r="I101">
            <v>4</v>
          </cell>
          <cell r="J101">
            <v>10</v>
          </cell>
          <cell r="K101">
            <v>4</v>
          </cell>
          <cell r="L101">
            <v>6</v>
          </cell>
          <cell r="M101">
            <v>9</v>
          </cell>
          <cell r="N101">
            <v>7</v>
          </cell>
          <cell r="O101">
            <v>1</v>
          </cell>
          <cell r="P101">
            <v>2</v>
          </cell>
          <cell r="Q101">
            <v>8</v>
          </cell>
          <cell r="R101">
            <v>3</v>
          </cell>
          <cell r="S101">
            <v>4</v>
          </cell>
          <cell r="T101">
            <v>3</v>
          </cell>
          <cell r="U101">
            <v>2</v>
          </cell>
          <cell r="V101">
            <v>3</v>
          </cell>
          <cell r="W101">
            <v>10</v>
          </cell>
          <cell r="X101">
            <v>5</v>
          </cell>
          <cell r="Y101">
            <v>4</v>
          </cell>
          <cell r="Z101">
            <v>4</v>
          </cell>
          <cell r="AA101">
            <v>6</v>
          </cell>
          <cell r="AB101">
            <v>6</v>
          </cell>
          <cell r="AC101">
            <v>6</v>
          </cell>
          <cell r="AD101">
            <v>2</v>
          </cell>
          <cell r="AE101">
            <v>7</v>
          </cell>
          <cell r="AF101">
            <v>2</v>
          </cell>
          <cell r="AG101">
            <v>2</v>
          </cell>
          <cell r="AH101">
            <v>10</v>
          </cell>
          <cell r="AI101">
            <v>6</v>
          </cell>
          <cell r="AJ101">
            <v>2</v>
          </cell>
          <cell r="AK101">
            <v>3</v>
          </cell>
          <cell r="AL101">
            <v>4</v>
          </cell>
          <cell r="AM101">
            <v>6</v>
          </cell>
          <cell r="AN101">
            <v>4</v>
          </cell>
          <cell r="AO101">
            <v>2</v>
          </cell>
          <cell r="AP101">
            <v>1</v>
          </cell>
          <cell r="AQ101">
            <v>6</v>
          </cell>
          <cell r="AR101">
            <v>7</v>
          </cell>
          <cell r="AS101">
            <v>3</v>
          </cell>
          <cell r="AT101">
            <v>7</v>
          </cell>
          <cell r="AU101">
            <v>3</v>
          </cell>
          <cell r="AV101">
            <v>3</v>
          </cell>
          <cell r="AW101">
            <v>7</v>
          </cell>
          <cell r="AX101">
            <v>5</v>
          </cell>
          <cell r="AY101">
            <v>2</v>
          </cell>
          <cell r="AZ101">
            <v>6</v>
          </cell>
          <cell r="BA101">
            <v>7</v>
          </cell>
          <cell r="BB101">
            <v>3</v>
          </cell>
          <cell r="BC101">
            <v>8</v>
          </cell>
          <cell r="BD101">
            <v>3</v>
          </cell>
          <cell r="BE101">
            <v>2</v>
          </cell>
          <cell r="BF101">
            <v>1</v>
          </cell>
          <cell r="BG101">
            <v>4</v>
          </cell>
          <cell r="BH101">
            <v>2</v>
          </cell>
          <cell r="BI101">
            <v>13</v>
          </cell>
          <cell r="BJ101">
            <v>9</v>
          </cell>
          <cell r="BK101">
            <v>4</v>
          </cell>
          <cell r="BL101">
            <v>5</v>
          </cell>
          <cell r="BM101">
            <v>2</v>
          </cell>
          <cell r="BN101">
            <v>5</v>
          </cell>
          <cell r="BO101">
            <v>6</v>
          </cell>
          <cell r="BP101">
            <v>4</v>
          </cell>
          <cell r="BQ101">
            <v>4</v>
          </cell>
          <cell r="BR101">
            <v>5</v>
          </cell>
          <cell r="BS101">
            <v>10</v>
          </cell>
          <cell r="BT101">
            <v>8</v>
          </cell>
          <cell r="BU101">
            <v>3</v>
          </cell>
          <cell r="BV101">
            <v>2</v>
          </cell>
          <cell r="BW101">
            <v>1</v>
          </cell>
          <cell r="BX101">
            <v>8</v>
          </cell>
          <cell r="BY101">
            <v>3</v>
          </cell>
          <cell r="BZ101">
            <v>1</v>
          </cell>
          <cell r="CA101">
            <v>6</v>
          </cell>
          <cell r="CB101">
            <v>0</v>
          </cell>
          <cell r="CC101">
            <v>6</v>
          </cell>
          <cell r="CD101">
            <v>4</v>
          </cell>
          <cell r="CE101">
            <v>6</v>
          </cell>
          <cell r="CF101">
            <v>4</v>
          </cell>
          <cell r="CG101">
            <v>1</v>
          </cell>
          <cell r="CH101">
            <v>4</v>
          </cell>
          <cell r="CI101">
            <v>3</v>
          </cell>
          <cell r="CJ101">
            <v>5</v>
          </cell>
          <cell r="CK101">
            <v>5</v>
          </cell>
          <cell r="CL101">
            <v>4</v>
          </cell>
          <cell r="CM101">
            <v>5</v>
          </cell>
          <cell r="CN101">
            <v>6</v>
          </cell>
          <cell r="CO101">
            <v>7</v>
          </cell>
          <cell r="CP101">
            <v>2</v>
          </cell>
          <cell r="CQ101">
            <v>6</v>
          </cell>
          <cell r="CR101">
            <v>2</v>
          </cell>
          <cell r="CS101">
            <v>10</v>
          </cell>
          <cell r="CT101">
            <v>9</v>
          </cell>
          <cell r="CU101">
            <v>3</v>
          </cell>
          <cell r="CV101">
            <v>11</v>
          </cell>
          <cell r="CW101">
            <v>8</v>
          </cell>
          <cell r="CX101">
            <v>4</v>
          </cell>
          <cell r="CY101">
            <v>6</v>
          </cell>
          <cell r="CZ101">
            <v>5</v>
          </cell>
          <cell r="DA101">
            <v>2</v>
          </cell>
          <cell r="DB101">
            <v>10</v>
          </cell>
          <cell r="DC101">
            <v>8</v>
          </cell>
          <cell r="DD101">
            <v>4</v>
          </cell>
          <cell r="DE101">
            <v>6</v>
          </cell>
          <cell r="DF101">
            <v>7</v>
          </cell>
          <cell r="DG101">
            <v>7</v>
          </cell>
          <cell r="DH101">
            <v>4</v>
          </cell>
          <cell r="DI101">
            <v>10</v>
          </cell>
          <cell r="DJ101">
            <v>7</v>
          </cell>
          <cell r="DK101">
            <v>4</v>
          </cell>
          <cell r="DL101">
            <v>8</v>
          </cell>
          <cell r="DM101">
            <v>4</v>
          </cell>
          <cell r="DN101">
            <v>6</v>
          </cell>
          <cell r="DO101">
            <v>8</v>
          </cell>
          <cell r="DP101">
            <v>2</v>
          </cell>
          <cell r="DQ101">
            <v>4</v>
          </cell>
          <cell r="DR101">
            <v>8</v>
          </cell>
          <cell r="DS101">
            <v>5</v>
          </cell>
          <cell r="DT101">
            <v>2</v>
          </cell>
          <cell r="DU101">
            <v>10</v>
          </cell>
          <cell r="DV101">
            <v>3</v>
          </cell>
          <cell r="DW101">
            <v>5</v>
          </cell>
          <cell r="DX101">
            <v>7</v>
          </cell>
          <cell r="DY101">
            <v>11</v>
          </cell>
          <cell r="DZ101">
            <v>1</v>
          </cell>
          <cell r="EA101">
            <v>5</v>
          </cell>
          <cell r="EB101">
            <v>10</v>
          </cell>
          <cell r="EC101">
            <v>6</v>
          </cell>
          <cell r="ED101">
            <v>3</v>
          </cell>
          <cell r="EE101">
            <v>3</v>
          </cell>
          <cell r="EF101">
            <v>10</v>
          </cell>
          <cell r="EG101">
            <v>8</v>
          </cell>
          <cell r="EH101">
            <v>1</v>
          </cell>
          <cell r="EI101">
            <v>8</v>
          </cell>
          <cell r="EJ101">
            <v>6</v>
          </cell>
          <cell r="EK101">
            <v>3</v>
          </cell>
          <cell r="EL101">
            <v>7</v>
          </cell>
          <cell r="EM101">
            <v>7</v>
          </cell>
          <cell r="EN101">
            <v>9</v>
          </cell>
          <cell r="EO101">
            <v>14</v>
          </cell>
          <cell r="EP101">
            <v>4</v>
          </cell>
          <cell r="EQ101">
            <v>3</v>
          </cell>
          <cell r="ER101">
            <v>6</v>
          </cell>
          <cell r="ES101">
            <v>4</v>
          </cell>
          <cell r="ET101">
            <v>6</v>
          </cell>
          <cell r="EU101">
            <v>2</v>
          </cell>
          <cell r="EV101">
            <v>4</v>
          </cell>
          <cell r="EW101">
            <v>3</v>
          </cell>
          <cell r="EX101">
            <v>4</v>
          </cell>
          <cell r="EY101">
            <v>8</v>
          </cell>
          <cell r="EZ101">
            <v>3</v>
          </cell>
          <cell r="FA101">
            <v>8</v>
          </cell>
          <cell r="FB101">
            <v>15</v>
          </cell>
          <cell r="FC101">
            <v>10</v>
          </cell>
          <cell r="FD101">
            <v>6</v>
          </cell>
          <cell r="FE101">
            <v>10</v>
          </cell>
          <cell r="FF101">
            <v>7</v>
          </cell>
          <cell r="FG101">
            <v>5</v>
          </cell>
          <cell r="FH101">
            <v>3</v>
          </cell>
          <cell r="FI101">
            <v>5</v>
          </cell>
          <cell r="FJ101">
            <v>5</v>
          </cell>
          <cell r="FK101">
            <v>5</v>
          </cell>
          <cell r="FL101">
            <v>0</v>
          </cell>
          <cell r="FM101">
            <v>8</v>
          </cell>
          <cell r="FN101">
            <v>9</v>
          </cell>
          <cell r="FO101">
            <v>2</v>
          </cell>
          <cell r="FP101">
            <v>2</v>
          </cell>
          <cell r="FQ101">
            <v>3</v>
          </cell>
          <cell r="FR101">
            <v>6</v>
          </cell>
          <cell r="FS101">
            <v>1</v>
          </cell>
          <cell r="FT101">
            <v>3</v>
          </cell>
          <cell r="FU101">
            <v>5</v>
          </cell>
          <cell r="FV101">
            <v>5</v>
          </cell>
          <cell r="FW101">
            <v>5</v>
          </cell>
          <cell r="FX101">
            <v>4</v>
          </cell>
          <cell r="FY101">
            <v>6</v>
          </cell>
          <cell r="FZ101">
            <v>6</v>
          </cell>
          <cell r="GA101">
            <v>5</v>
          </cell>
          <cell r="GB101">
            <v>5</v>
          </cell>
          <cell r="GC101">
            <v>11</v>
          </cell>
          <cell r="GD101">
            <v>4</v>
          </cell>
          <cell r="GE101">
            <v>6</v>
          </cell>
          <cell r="GF101">
            <v>3</v>
          </cell>
          <cell r="GG101">
            <v>6</v>
          </cell>
          <cell r="GH101">
            <v>1</v>
          </cell>
          <cell r="GI101">
            <v>3</v>
          </cell>
          <cell r="GJ101">
            <v>12</v>
          </cell>
          <cell r="GK101">
            <v>2</v>
          </cell>
          <cell r="GL101">
            <v>388</v>
          </cell>
          <cell r="GM101">
            <v>319</v>
          </cell>
          <cell r="GN101">
            <v>332</v>
          </cell>
        </row>
        <row r="102">
          <cell r="B102" t="str">
            <v>VIDEX</v>
          </cell>
          <cell r="C102" t="str">
            <v>BHV</v>
          </cell>
          <cell r="D102">
            <v>59</v>
          </cell>
          <cell r="E102">
            <v>33</v>
          </cell>
          <cell r="F102">
            <v>59</v>
          </cell>
          <cell r="G102">
            <v>43</v>
          </cell>
          <cell r="H102">
            <v>26</v>
          </cell>
          <cell r="I102">
            <v>56</v>
          </cell>
          <cell r="J102">
            <v>41</v>
          </cell>
          <cell r="K102">
            <v>38</v>
          </cell>
          <cell r="L102">
            <v>45</v>
          </cell>
          <cell r="M102">
            <v>38</v>
          </cell>
          <cell r="N102">
            <v>43</v>
          </cell>
          <cell r="O102">
            <v>48</v>
          </cell>
          <cell r="P102">
            <v>33</v>
          </cell>
          <cell r="Q102">
            <v>36</v>
          </cell>
          <cell r="R102">
            <v>36</v>
          </cell>
          <cell r="S102">
            <v>41</v>
          </cell>
          <cell r="T102">
            <v>27</v>
          </cell>
          <cell r="U102">
            <v>36</v>
          </cell>
          <cell r="V102">
            <v>28</v>
          </cell>
          <cell r="W102">
            <v>25</v>
          </cell>
          <cell r="X102">
            <v>27</v>
          </cell>
          <cell r="Y102">
            <v>26</v>
          </cell>
          <cell r="Z102">
            <v>36</v>
          </cell>
          <cell r="AA102">
            <v>14</v>
          </cell>
          <cell r="AB102">
            <v>23</v>
          </cell>
          <cell r="AC102">
            <v>30</v>
          </cell>
          <cell r="AD102">
            <v>27</v>
          </cell>
          <cell r="AE102">
            <v>25</v>
          </cell>
          <cell r="AF102">
            <v>25</v>
          </cell>
          <cell r="AG102">
            <v>33</v>
          </cell>
          <cell r="AH102">
            <v>26</v>
          </cell>
          <cell r="AI102">
            <v>19</v>
          </cell>
          <cell r="AJ102">
            <v>20</v>
          </cell>
          <cell r="AK102">
            <v>19</v>
          </cell>
          <cell r="AL102">
            <v>22</v>
          </cell>
          <cell r="AM102">
            <v>21</v>
          </cell>
          <cell r="AN102">
            <v>30</v>
          </cell>
          <cell r="AO102">
            <v>38</v>
          </cell>
          <cell r="AP102">
            <v>31</v>
          </cell>
          <cell r="AQ102">
            <v>23</v>
          </cell>
          <cell r="AR102">
            <v>28</v>
          </cell>
          <cell r="AS102">
            <v>25</v>
          </cell>
          <cell r="AT102">
            <v>28</v>
          </cell>
          <cell r="AU102">
            <v>22</v>
          </cell>
          <cell r="AV102">
            <v>25</v>
          </cell>
          <cell r="AW102">
            <v>22</v>
          </cell>
          <cell r="AX102">
            <v>28</v>
          </cell>
          <cell r="AY102">
            <v>27</v>
          </cell>
          <cell r="AZ102">
            <v>25</v>
          </cell>
          <cell r="BA102">
            <v>31</v>
          </cell>
          <cell r="BB102">
            <v>20</v>
          </cell>
          <cell r="BC102">
            <v>23</v>
          </cell>
          <cell r="BD102">
            <v>22</v>
          </cell>
          <cell r="BE102">
            <v>25</v>
          </cell>
          <cell r="BF102">
            <v>32</v>
          </cell>
          <cell r="BG102">
            <v>20</v>
          </cell>
          <cell r="BH102">
            <v>30</v>
          </cell>
          <cell r="BI102">
            <v>23</v>
          </cell>
          <cell r="BJ102">
            <v>25</v>
          </cell>
          <cell r="BK102">
            <v>32</v>
          </cell>
          <cell r="BL102">
            <v>20</v>
          </cell>
          <cell r="BM102">
            <v>20</v>
          </cell>
          <cell r="BN102">
            <v>21</v>
          </cell>
          <cell r="BO102">
            <v>17</v>
          </cell>
          <cell r="BP102">
            <v>17</v>
          </cell>
          <cell r="BQ102">
            <v>17</v>
          </cell>
          <cell r="BR102">
            <v>23</v>
          </cell>
          <cell r="BS102">
            <v>22</v>
          </cell>
          <cell r="BT102">
            <v>26</v>
          </cell>
          <cell r="BU102">
            <v>29</v>
          </cell>
          <cell r="BV102">
            <v>15</v>
          </cell>
          <cell r="BW102">
            <v>26</v>
          </cell>
          <cell r="BX102">
            <v>13</v>
          </cell>
          <cell r="BY102">
            <v>14</v>
          </cell>
          <cell r="BZ102">
            <v>23</v>
          </cell>
          <cell r="CA102">
            <v>16</v>
          </cell>
          <cell r="CB102">
            <v>29</v>
          </cell>
          <cell r="CC102">
            <v>15</v>
          </cell>
          <cell r="CD102">
            <v>14</v>
          </cell>
          <cell r="CE102">
            <v>9</v>
          </cell>
          <cell r="CF102">
            <v>20</v>
          </cell>
          <cell r="CG102">
            <v>14</v>
          </cell>
          <cell r="CH102">
            <v>15</v>
          </cell>
          <cell r="CI102">
            <v>25</v>
          </cell>
          <cell r="CJ102">
            <v>36</v>
          </cell>
          <cell r="CK102">
            <v>27</v>
          </cell>
          <cell r="CL102">
            <v>21</v>
          </cell>
          <cell r="CM102">
            <v>21</v>
          </cell>
          <cell r="CN102">
            <v>16</v>
          </cell>
          <cell r="CO102">
            <v>22</v>
          </cell>
          <cell r="CP102">
            <v>13</v>
          </cell>
          <cell r="CQ102">
            <v>11</v>
          </cell>
          <cell r="CR102">
            <v>19</v>
          </cell>
          <cell r="CS102">
            <v>17</v>
          </cell>
          <cell r="CT102">
            <v>19</v>
          </cell>
          <cell r="CU102">
            <v>26</v>
          </cell>
          <cell r="CV102">
            <v>13</v>
          </cell>
          <cell r="CW102">
            <v>18</v>
          </cell>
          <cell r="CX102">
            <v>11</v>
          </cell>
          <cell r="CY102">
            <v>23</v>
          </cell>
          <cell r="CZ102">
            <v>21</v>
          </cell>
          <cell r="DA102">
            <v>20</v>
          </cell>
          <cell r="DB102">
            <v>12</v>
          </cell>
          <cell r="DC102">
            <v>16</v>
          </cell>
          <cell r="DD102">
            <v>16</v>
          </cell>
          <cell r="DE102">
            <v>21</v>
          </cell>
          <cell r="DF102">
            <v>15</v>
          </cell>
          <cell r="DG102">
            <v>20</v>
          </cell>
          <cell r="DH102">
            <v>12</v>
          </cell>
          <cell r="DI102">
            <v>12</v>
          </cell>
          <cell r="DJ102">
            <v>15</v>
          </cell>
          <cell r="DK102">
            <v>22</v>
          </cell>
          <cell r="DL102">
            <v>21</v>
          </cell>
          <cell r="DM102">
            <v>16</v>
          </cell>
          <cell r="DN102">
            <v>30</v>
          </cell>
          <cell r="DO102">
            <v>15</v>
          </cell>
          <cell r="DP102">
            <v>12</v>
          </cell>
          <cell r="DQ102">
            <v>13</v>
          </cell>
          <cell r="DR102">
            <v>36</v>
          </cell>
          <cell r="DS102">
            <v>16</v>
          </cell>
          <cell r="DT102">
            <v>17</v>
          </cell>
          <cell r="DU102">
            <v>13</v>
          </cell>
          <cell r="DV102">
            <v>7</v>
          </cell>
          <cell r="DW102">
            <v>22</v>
          </cell>
          <cell r="DX102">
            <v>17</v>
          </cell>
          <cell r="DY102">
            <v>11</v>
          </cell>
          <cell r="DZ102">
            <v>16</v>
          </cell>
          <cell r="EA102">
            <v>17</v>
          </cell>
          <cell r="EB102">
            <v>14</v>
          </cell>
          <cell r="EC102">
            <v>18</v>
          </cell>
          <cell r="ED102">
            <v>15</v>
          </cell>
          <cell r="EE102">
            <v>21</v>
          </cell>
          <cell r="EF102">
            <v>7</v>
          </cell>
          <cell r="EG102">
            <v>14</v>
          </cell>
          <cell r="EH102">
            <v>16</v>
          </cell>
          <cell r="EI102">
            <v>18</v>
          </cell>
          <cell r="EJ102">
            <v>13</v>
          </cell>
          <cell r="EK102">
            <v>12</v>
          </cell>
          <cell r="EL102">
            <v>13</v>
          </cell>
          <cell r="EM102">
            <v>24</v>
          </cell>
          <cell r="EN102">
            <v>15</v>
          </cell>
          <cell r="EO102">
            <v>18</v>
          </cell>
          <cell r="EP102">
            <v>9</v>
          </cell>
          <cell r="EQ102">
            <v>22</v>
          </cell>
          <cell r="ER102">
            <v>14</v>
          </cell>
          <cell r="ES102">
            <v>15</v>
          </cell>
          <cell r="ET102">
            <v>21</v>
          </cell>
          <cell r="EU102">
            <v>14</v>
          </cell>
          <cell r="EV102">
            <v>10</v>
          </cell>
          <cell r="EW102">
            <v>12</v>
          </cell>
          <cell r="EX102">
            <v>7</v>
          </cell>
          <cell r="EY102">
            <v>11</v>
          </cell>
          <cell r="EZ102">
            <v>17</v>
          </cell>
          <cell r="FA102">
            <v>13</v>
          </cell>
          <cell r="FB102">
            <v>10</v>
          </cell>
          <cell r="FC102">
            <v>12</v>
          </cell>
          <cell r="FD102">
            <v>13</v>
          </cell>
          <cell r="FE102">
            <v>19</v>
          </cell>
          <cell r="FF102">
            <v>16</v>
          </cell>
          <cell r="FG102">
            <v>19</v>
          </cell>
          <cell r="FH102">
            <v>14</v>
          </cell>
          <cell r="FI102">
            <v>21</v>
          </cell>
          <cell r="FJ102">
            <v>13</v>
          </cell>
          <cell r="FK102">
            <v>12</v>
          </cell>
          <cell r="FL102">
            <v>11</v>
          </cell>
          <cell r="FM102">
            <v>9</v>
          </cell>
          <cell r="FN102">
            <v>11</v>
          </cell>
          <cell r="FO102">
            <v>13</v>
          </cell>
          <cell r="FP102">
            <v>10</v>
          </cell>
          <cell r="FQ102">
            <v>14</v>
          </cell>
          <cell r="FR102">
            <v>15</v>
          </cell>
          <cell r="FS102">
            <v>15</v>
          </cell>
          <cell r="FT102">
            <v>15</v>
          </cell>
          <cell r="FU102">
            <v>5</v>
          </cell>
          <cell r="FV102">
            <v>5</v>
          </cell>
          <cell r="FW102">
            <v>13</v>
          </cell>
          <cell r="FX102">
            <v>20</v>
          </cell>
          <cell r="FY102">
            <v>9</v>
          </cell>
          <cell r="FZ102">
            <v>18</v>
          </cell>
          <cell r="GA102">
            <v>13</v>
          </cell>
          <cell r="GB102">
            <v>25</v>
          </cell>
          <cell r="GC102">
            <v>6</v>
          </cell>
          <cell r="GD102">
            <v>8</v>
          </cell>
          <cell r="GE102">
            <v>20</v>
          </cell>
          <cell r="GF102">
            <v>21</v>
          </cell>
          <cell r="GG102">
            <v>9</v>
          </cell>
          <cell r="GH102">
            <v>8</v>
          </cell>
          <cell r="GI102">
            <v>22</v>
          </cell>
          <cell r="GJ102">
            <v>21</v>
          </cell>
          <cell r="GK102">
            <v>14</v>
          </cell>
          <cell r="GL102">
            <v>6</v>
          </cell>
          <cell r="GM102">
            <v>4</v>
          </cell>
          <cell r="GN102">
            <v>7</v>
          </cell>
        </row>
        <row r="103">
          <cell r="B103" t="str">
            <v>VIDEX EC</v>
          </cell>
          <cell r="C103" t="str">
            <v>BHV</v>
          </cell>
          <cell r="D103">
            <v>333</v>
          </cell>
          <cell r="E103">
            <v>297</v>
          </cell>
          <cell r="F103">
            <v>241</v>
          </cell>
          <cell r="G103">
            <v>323</v>
          </cell>
          <cell r="H103">
            <v>291</v>
          </cell>
          <cell r="I103">
            <v>264</v>
          </cell>
          <cell r="J103">
            <v>247</v>
          </cell>
          <cell r="K103">
            <v>244</v>
          </cell>
          <cell r="L103">
            <v>315</v>
          </cell>
          <cell r="M103">
            <v>274</v>
          </cell>
          <cell r="N103">
            <v>258</v>
          </cell>
          <cell r="O103">
            <v>234</v>
          </cell>
          <cell r="P103">
            <v>303</v>
          </cell>
          <cell r="Q103">
            <v>266</v>
          </cell>
          <cell r="R103">
            <v>247</v>
          </cell>
          <cell r="S103">
            <v>244</v>
          </cell>
          <cell r="T103">
            <v>258</v>
          </cell>
          <cell r="U103">
            <v>248</v>
          </cell>
          <cell r="V103">
            <v>241</v>
          </cell>
          <cell r="W103">
            <v>201</v>
          </cell>
          <cell r="X103">
            <v>235</v>
          </cell>
          <cell r="Y103">
            <v>200</v>
          </cell>
          <cell r="Z103">
            <v>242</v>
          </cell>
          <cell r="AA103">
            <v>222</v>
          </cell>
          <cell r="AB103">
            <v>207</v>
          </cell>
          <cell r="AC103">
            <v>213</v>
          </cell>
          <cell r="AD103">
            <v>167</v>
          </cell>
          <cell r="AE103">
            <v>181</v>
          </cell>
          <cell r="AF103">
            <v>206</v>
          </cell>
          <cell r="AG103">
            <v>206</v>
          </cell>
          <cell r="AH103">
            <v>212</v>
          </cell>
          <cell r="AI103">
            <v>247</v>
          </cell>
          <cell r="AJ103">
            <v>201</v>
          </cell>
          <cell r="AK103">
            <v>203</v>
          </cell>
          <cell r="AL103">
            <v>162</v>
          </cell>
          <cell r="AM103">
            <v>220</v>
          </cell>
          <cell r="AN103">
            <v>185</v>
          </cell>
          <cell r="AO103">
            <v>201</v>
          </cell>
          <cell r="AP103">
            <v>189</v>
          </cell>
          <cell r="AQ103">
            <v>169</v>
          </cell>
          <cell r="AR103">
            <v>217</v>
          </cell>
          <cell r="AS103">
            <v>188</v>
          </cell>
          <cell r="AT103">
            <v>173</v>
          </cell>
          <cell r="AU103">
            <v>175</v>
          </cell>
          <cell r="AV103">
            <v>182</v>
          </cell>
          <cell r="AW103">
            <v>209</v>
          </cell>
          <cell r="AX103">
            <v>176</v>
          </cell>
          <cell r="AY103">
            <v>195</v>
          </cell>
          <cell r="AZ103">
            <v>149</v>
          </cell>
          <cell r="BA103">
            <v>188</v>
          </cell>
          <cell r="BB103">
            <v>171</v>
          </cell>
          <cell r="BC103">
            <v>167</v>
          </cell>
          <cell r="BD103">
            <v>189</v>
          </cell>
          <cell r="BE103">
            <v>142</v>
          </cell>
          <cell r="BF103">
            <v>152</v>
          </cell>
          <cell r="BG103">
            <v>149</v>
          </cell>
          <cell r="BH103">
            <v>183</v>
          </cell>
          <cell r="BI103">
            <v>157</v>
          </cell>
          <cell r="BJ103">
            <v>142</v>
          </cell>
          <cell r="BK103">
            <v>161</v>
          </cell>
          <cell r="BL103">
            <v>166</v>
          </cell>
          <cell r="BM103">
            <v>159</v>
          </cell>
          <cell r="BN103">
            <v>142</v>
          </cell>
          <cell r="BO103">
            <v>147</v>
          </cell>
          <cell r="BP103">
            <v>142</v>
          </cell>
          <cell r="BQ103">
            <v>163</v>
          </cell>
          <cell r="BR103">
            <v>160</v>
          </cell>
          <cell r="BS103">
            <v>147</v>
          </cell>
          <cell r="BT103">
            <v>136</v>
          </cell>
          <cell r="BU103">
            <v>150</v>
          </cell>
          <cell r="BV103">
            <v>152</v>
          </cell>
          <cell r="BW103">
            <v>149</v>
          </cell>
          <cell r="BX103">
            <v>117</v>
          </cell>
          <cell r="BY103">
            <v>151</v>
          </cell>
          <cell r="BZ103">
            <v>147</v>
          </cell>
          <cell r="CA103">
            <v>153</v>
          </cell>
          <cell r="CB103">
            <v>160</v>
          </cell>
          <cell r="CC103">
            <v>153</v>
          </cell>
          <cell r="CD103">
            <v>128</v>
          </cell>
          <cell r="CE103">
            <v>126</v>
          </cell>
          <cell r="CF103">
            <v>174</v>
          </cell>
          <cell r="CG103">
            <v>154</v>
          </cell>
          <cell r="CH103">
            <v>160</v>
          </cell>
          <cell r="CI103">
            <v>162</v>
          </cell>
          <cell r="CJ103">
            <v>164</v>
          </cell>
          <cell r="CK103">
            <v>121</v>
          </cell>
          <cell r="CL103">
            <v>131</v>
          </cell>
          <cell r="CM103">
            <v>127</v>
          </cell>
          <cell r="CN103">
            <v>156</v>
          </cell>
          <cell r="CO103">
            <v>137</v>
          </cell>
          <cell r="CP103">
            <v>113</v>
          </cell>
          <cell r="CQ103">
            <v>133</v>
          </cell>
          <cell r="CR103">
            <v>140</v>
          </cell>
          <cell r="CS103">
            <v>119</v>
          </cell>
          <cell r="CT103">
            <v>104</v>
          </cell>
          <cell r="CU103">
            <v>117</v>
          </cell>
          <cell r="CV103">
            <v>117</v>
          </cell>
          <cell r="CW103">
            <v>114</v>
          </cell>
          <cell r="CX103">
            <v>92</v>
          </cell>
          <cell r="CY103">
            <v>109</v>
          </cell>
          <cell r="CZ103">
            <v>81</v>
          </cell>
          <cell r="DA103">
            <v>125</v>
          </cell>
          <cell r="DB103">
            <v>112</v>
          </cell>
          <cell r="DC103">
            <v>85</v>
          </cell>
          <cell r="DD103">
            <v>99</v>
          </cell>
          <cell r="DE103">
            <v>76</v>
          </cell>
          <cell r="DF103">
            <v>107</v>
          </cell>
          <cell r="DG103">
            <v>103</v>
          </cell>
          <cell r="DH103">
            <v>109</v>
          </cell>
          <cell r="DI103">
            <v>96</v>
          </cell>
          <cell r="DJ103">
            <v>119</v>
          </cell>
          <cell r="DK103">
            <v>100</v>
          </cell>
          <cell r="DL103">
            <v>102</v>
          </cell>
          <cell r="DM103">
            <v>76</v>
          </cell>
          <cell r="DN103">
            <v>134</v>
          </cell>
          <cell r="DO103">
            <v>115</v>
          </cell>
          <cell r="DP103">
            <v>84</v>
          </cell>
          <cell r="DQ103">
            <v>104</v>
          </cell>
          <cell r="DR103">
            <v>91</v>
          </cell>
          <cell r="DS103">
            <v>105</v>
          </cell>
          <cell r="DT103">
            <v>109</v>
          </cell>
          <cell r="DU103">
            <v>115</v>
          </cell>
          <cell r="DV103">
            <v>102</v>
          </cell>
          <cell r="DW103">
            <v>130</v>
          </cell>
          <cell r="DX103">
            <v>86</v>
          </cell>
          <cell r="DY103">
            <v>98</v>
          </cell>
          <cell r="DZ103">
            <v>92</v>
          </cell>
          <cell r="EA103">
            <v>93</v>
          </cell>
          <cell r="EB103">
            <v>121</v>
          </cell>
          <cell r="EC103">
            <v>101</v>
          </cell>
          <cell r="ED103">
            <v>100</v>
          </cell>
          <cell r="EE103">
            <v>99</v>
          </cell>
          <cell r="EF103">
            <v>112</v>
          </cell>
          <cell r="EG103">
            <v>92</v>
          </cell>
          <cell r="EH103">
            <v>82</v>
          </cell>
          <cell r="EI103">
            <v>94</v>
          </cell>
          <cell r="EJ103">
            <v>98</v>
          </cell>
          <cell r="EK103">
            <v>90</v>
          </cell>
          <cell r="EL103">
            <v>92</v>
          </cell>
          <cell r="EM103">
            <v>99</v>
          </cell>
          <cell r="EN103">
            <v>93</v>
          </cell>
          <cell r="EO103">
            <v>82</v>
          </cell>
          <cell r="EP103">
            <v>72</v>
          </cell>
          <cell r="EQ103">
            <v>76</v>
          </cell>
          <cell r="ER103">
            <v>85</v>
          </cell>
          <cell r="ES103">
            <v>83</v>
          </cell>
          <cell r="ET103">
            <v>72</v>
          </cell>
          <cell r="EU103">
            <v>94</v>
          </cell>
          <cell r="EV103">
            <v>92</v>
          </cell>
          <cell r="EW103">
            <v>74</v>
          </cell>
          <cell r="EX103">
            <v>100</v>
          </cell>
          <cell r="EY103">
            <v>89</v>
          </cell>
          <cell r="EZ103">
            <v>80</v>
          </cell>
          <cell r="FA103">
            <v>101</v>
          </cell>
          <cell r="FB103">
            <v>75</v>
          </cell>
          <cell r="FC103">
            <v>87</v>
          </cell>
          <cell r="FD103">
            <v>74</v>
          </cell>
          <cell r="FE103">
            <v>80</v>
          </cell>
          <cell r="FF103">
            <v>60</v>
          </cell>
          <cell r="FG103">
            <v>90</v>
          </cell>
          <cell r="FH103">
            <v>58</v>
          </cell>
          <cell r="FI103">
            <v>60</v>
          </cell>
          <cell r="FJ103">
            <v>65</v>
          </cell>
          <cell r="FK103">
            <v>74</v>
          </cell>
          <cell r="FL103">
            <v>66</v>
          </cell>
          <cell r="FM103">
            <v>72</v>
          </cell>
          <cell r="FN103">
            <v>64</v>
          </cell>
          <cell r="FO103">
            <v>65</v>
          </cell>
          <cell r="FP103">
            <v>64</v>
          </cell>
          <cell r="FQ103">
            <v>68</v>
          </cell>
          <cell r="FR103">
            <v>80</v>
          </cell>
          <cell r="FS103">
            <v>67</v>
          </cell>
          <cell r="FT103">
            <v>67</v>
          </cell>
          <cell r="FU103">
            <v>69</v>
          </cell>
          <cell r="FV103">
            <v>66</v>
          </cell>
          <cell r="FW103">
            <v>55</v>
          </cell>
          <cell r="FX103">
            <v>47</v>
          </cell>
          <cell r="FY103">
            <v>57</v>
          </cell>
          <cell r="FZ103">
            <v>46</v>
          </cell>
          <cell r="GA103">
            <v>57</v>
          </cell>
          <cell r="GB103">
            <v>56</v>
          </cell>
          <cell r="GC103">
            <v>49</v>
          </cell>
          <cell r="GD103">
            <v>51</v>
          </cell>
          <cell r="GE103">
            <v>45</v>
          </cell>
          <cell r="GF103">
            <v>54</v>
          </cell>
          <cell r="GG103">
            <v>60</v>
          </cell>
          <cell r="GH103">
            <v>64</v>
          </cell>
          <cell r="GI103">
            <v>58</v>
          </cell>
          <cell r="GJ103">
            <v>49</v>
          </cell>
          <cell r="GK103">
            <v>49</v>
          </cell>
          <cell r="GL103">
            <v>16</v>
          </cell>
          <cell r="GM103">
            <v>5</v>
          </cell>
          <cell r="GN103">
            <v>5</v>
          </cell>
        </row>
        <row r="104">
          <cell r="B104" t="str">
            <v>VIRACEPT</v>
          </cell>
          <cell r="C104" t="str">
            <v>PFZ</v>
          </cell>
          <cell r="D104">
            <v>1369</v>
          </cell>
          <cell r="E104">
            <v>1287</v>
          </cell>
          <cell r="F104">
            <v>1328</v>
          </cell>
          <cell r="G104">
            <v>1255</v>
          </cell>
          <cell r="H104">
            <v>1267</v>
          </cell>
          <cell r="I104">
            <v>1314</v>
          </cell>
          <cell r="J104">
            <v>1455</v>
          </cell>
          <cell r="K104">
            <v>1251</v>
          </cell>
          <cell r="L104">
            <v>1348</v>
          </cell>
          <cell r="M104">
            <v>1360</v>
          </cell>
          <cell r="N104">
            <v>1153</v>
          </cell>
          <cell r="O104">
            <v>1319</v>
          </cell>
          <cell r="P104">
            <v>1262</v>
          </cell>
          <cell r="Q104">
            <v>1376</v>
          </cell>
          <cell r="R104">
            <v>1356</v>
          </cell>
          <cell r="S104">
            <v>1191</v>
          </cell>
          <cell r="T104">
            <v>1226</v>
          </cell>
          <cell r="U104">
            <v>1272</v>
          </cell>
          <cell r="V104">
            <v>1290</v>
          </cell>
          <cell r="W104">
            <v>1328</v>
          </cell>
          <cell r="X104">
            <v>1219</v>
          </cell>
          <cell r="Y104">
            <v>983</v>
          </cell>
          <cell r="Z104">
            <v>1223</v>
          </cell>
          <cell r="AA104">
            <v>1181</v>
          </cell>
          <cell r="AB104">
            <v>1170</v>
          </cell>
          <cell r="AC104">
            <v>1157</v>
          </cell>
          <cell r="AD104">
            <v>1034</v>
          </cell>
          <cell r="AE104">
            <v>1081</v>
          </cell>
          <cell r="AF104">
            <v>1159</v>
          </cell>
          <cell r="AG104">
            <v>1164</v>
          </cell>
          <cell r="AH104">
            <v>1167</v>
          </cell>
          <cell r="AI104">
            <v>1198</v>
          </cell>
          <cell r="AJ104">
            <v>1191</v>
          </cell>
          <cell r="AK104">
            <v>1186</v>
          </cell>
          <cell r="AL104">
            <v>1056</v>
          </cell>
          <cell r="AM104">
            <v>1106</v>
          </cell>
          <cell r="AN104">
            <v>1187</v>
          </cell>
          <cell r="AO104">
            <v>1132</v>
          </cell>
          <cell r="AP104">
            <v>1161</v>
          </cell>
          <cell r="AQ104">
            <v>1048</v>
          </cell>
          <cell r="AR104">
            <v>1151</v>
          </cell>
          <cell r="AS104">
            <v>1033</v>
          </cell>
          <cell r="AT104">
            <v>1033</v>
          </cell>
          <cell r="AU104">
            <v>1031</v>
          </cell>
          <cell r="AV104">
            <v>1093</v>
          </cell>
          <cell r="AW104">
            <v>1092</v>
          </cell>
          <cell r="AX104">
            <v>1095</v>
          </cell>
          <cell r="AY104">
            <v>1040</v>
          </cell>
          <cell r="AZ104">
            <v>1018</v>
          </cell>
          <cell r="BA104">
            <v>1125</v>
          </cell>
          <cell r="BB104">
            <v>1002</v>
          </cell>
          <cell r="BC104">
            <v>1072</v>
          </cell>
          <cell r="BD104">
            <v>1062</v>
          </cell>
          <cell r="BE104">
            <v>1017</v>
          </cell>
          <cell r="BF104">
            <v>1019</v>
          </cell>
          <cell r="BG104">
            <v>953</v>
          </cell>
          <cell r="BH104">
            <v>1015</v>
          </cell>
          <cell r="BI104">
            <v>1039</v>
          </cell>
          <cell r="BJ104">
            <v>981</v>
          </cell>
          <cell r="BK104">
            <v>1026</v>
          </cell>
          <cell r="BL104">
            <v>955</v>
          </cell>
          <cell r="BM104">
            <v>1018</v>
          </cell>
          <cell r="BN104">
            <v>907</v>
          </cell>
          <cell r="BO104">
            <v>971</v>
          </cell>
          <cell r="BP104">
            <v>983</v>
          </cell>
          <cell r="BQ104">
            <v>1049</v>
          </cell>
          <cell r="BR104">
            <v>988</v>
          </cell>
          <cell r="BS104">
            <v>882</v>
          </cell>
          <cell r="BT104">
            <v>913</v>
          </cell>
          <cell r="BU104">
            <v>937</v>
          </cell>
          <cell r="BV104">
            <v>865</v>
          </cell>
          <cell r="BW104">
            <v>929</v>
          </cell>
          <cell r="BX104">
            <v>780</v>
          </cell>
          <cell r="BY104">
            <v>721</v>
          </cell>
          <cell r="BZ104">
            <v>923</v>
          </cell>
          <cell r="CA104">
            <v>916</v>
          </cell>
          <cell r="CB104">
            <v>839</v>
          </cell>
          <cell r="CC104">
            <v>916</v>
          </cell>
          <cell r="CD104">
            <v>723</v>
          </cell>
          <cell r="CE104">
            <v>737</v>
          </cell>
          <cell r="CF104">
            <v>867</v>
          </cell>
          <cell r="CG104">
            <v>859</v>
          </cell>
          <cell r="CH104">
            <v>760</v>
          </cell>
          <cell r="CI104">
            <v>825</v>
          </cell>
          <cell r="CJ104">
            <v>840</v>
          </cell>
          <cell r="CK104">
            <v>895</v>
          </cell>
          <cell r="CL104">
            <v>832</v>
          </cell>
          <cell r="CM104">
            <v>873</v>
          </cell>
          <cell r="CN104">
            <v>892</v>
          </cell>
          <cell r="CO104">
            <v>824</v>
          </cell>
          <cell r="CP104">
            <v>789</v>
          </cell>
          <cell r="CQ104">
            <v>772</v>
          </cell>
          <cell r="CR104">
            <v>796</v>
          </cell>
          <cell r="CS104">
            <v>797</v>
          </cell>
          <cell r="CT104">
            <v>820</v>
          </cell>
          <cell r="CU104">
            <v>743</v>
          </cell>
          <cell r="CV104">
            <v>801</v>
          </cell>
          <cell r="CW104">
            <v>781</v>
          </cell>
          <cell r="CX104">
            <v>743</v>
          </cell>
          <cell r="CY104">
            <v>680</v>
          </cell>
          <cell r="CZ104">
            <v>741</v>
          </cell>
          <cell r="DA104">
            <v>780</v>
          </cell>
          <cell r="DB104">
            <v>775</v>
          </cell>
          <cell r="DC104">
            <v>762</v>
          </cell>
          <cell r="DD104">
            <v>712</v>
          </cell>
          <cell r="DE104">
            <v>692</v>
          </cell>
          <cell r="DF104">
            <v>778</v>
          </cell>
          <cell r="DG104">
            <v>787</v>
          </cell>
          <cell r="DH104">
            <v>703</v>
          </cell>
          <cell r="DI104">
            <v>797</v>
          </cell>
          <cell r="DJ104">
            <v>743</v>
          </cell>
          <cell r="DK104">
            <v>702</v>
          </cell>
          <cell r="DL104">
            <v>671</v>
          </cell>
          <cell r="DM104">
            <v>740</v>
          </cell>
          <cell r="DN104">
            <v>775</v>
          </cell>
          <cell r="DO104">
            <v>823</v>
          </cell>
          <cell r="DP104">
            <v>808</v>
          </cell>
          <cell r="DQ104">
            <v>766</v>
          </cell>
          <cell r="DR104">
            <v>847</v>
          </cell>
          <cell r="DS104">
            <v>707</v>
          </cell>
          <cell r="DT104">
            <v>741</v>
          </cell>
          <cell r="DU104">
            <v>744</v>
          </cell>
          <cell r="DV104">
            <v>656</v>
          </cell>
          <cell r="DW104">
            <v>707</v>
          </cell>
          <cell r="DX104">
            <v>705</v>
          </cell>
          <cell r="DY104">
            <v>700</v>
          </cell>
          <cell r="DZ104">
            <v>645</v>
          </cell>
          <cell r="EA104">
            <v>749</v>
          </cell>
          <cell r="EB104">
            <v>674</v>
          </cell>
          <cell r="EC104">
            <v>654</v>
          </cell>
          <cell r="ED104">
            <v>557</v>
          </cell>
          <cell r="EE104">
            <v>635</v>
          </cell>
          <cell r="EF104">
            <v>684</v>
          </cell>
          <cell r="EG104">
            <v>678</v>
          </cell>
          <cell r="EH104">
            <v>638</v>
          </cell>
          <cell r="EI104">
            <v>681</v>
          </cell>
          <cell r="EJ104">
            <v>761</v>
          </cell>
          <cell r="EK104">
            <v>664</v>
          </cell>
          <cell r="EL104">
            <v>593</v>
          </cell>
          <cell r="EM104">
            <v>680</v>
          </cell>
          <cell r="EN104">
            <v>711</v>
          </cell>
          <cell r="EO104">
            <v>702</v>
          </cell>
          <cell r="EP104">
            <v>646</v>
          </cell>
          <cell r="EQ104">
            <v>643</v>
          </cell>
          <cell r="ER104">
            <v>660</v>
          </cell>
          <cell r="ES104">
            <v>653</v>
          </cell>
          <cell r="ET104">
            <v>650</v>
          </cell>
          <cell r="EU104">
            <v>618</v>
          </cell>
          <cell r="EV104">
            <v>630</v>
          </cell>
          <cell r="EW104">
            <v>670</v>
          </cell>
          <cell r="EX104">
            <v>656</v>
          </cell>
          <cell r="EY104">
            <v>584</v>
          </cell>
          <cell r="EZ104">
            <v>605</v>
          </cell>
          <cell r="FA104">
            <v>648</v>
          </cell>
          <cell r="FB104">
            <v>623</v>
          </cell>
          <cell r="FC104">
            <v>622</v>
          </cell>
          <cell r="FD104">
            <v>661</v>
          </cell>
          <cell r="FE104">
            <v>649</v>
          </cell>
          <cell r="FF104">
            <v>572</v>
          </cell>
          <cell r="FG104">
            <v>534</v>
          </cell>
          <cell r="FH104">
            <v>507</v>
          </cell>
          <cell r="FI104">
            <v>557</v>
          </cell>
          <cell r="FJ104">
            <v>615</v>
          </cell>
          <cell r="FK104">
            <v>552</v>
          </cell>
          <cell r="FL104">
            <v>488</v>
          </cell>
          <cell r="FM104">
            <v>586</v>
          </cell>
          <cell r="FN104">
            <v>593</v>
          </cell>
          <cell r="FO104">
            <v>529</v>
          </cell>
          <cell r="FP104">
            <v>604</v>
          </cell>
          <cell r="FQ104">
            <v>585</v>
          </cell>
          <cell r="FR104">
            <v>568</v>
          </cell>
          <cell r="FS104">
            <v>577</v>
          </cell>
          <cell r="FT104">
            <v>555</v>
          </cell>
          <cell r="FU104">
            <v>610</v>
          </cell>
          <cell r="FV104">
            <v>550</v>
          </cell>
          <cell r="FW104">
            <v>529</v>
          </cell>
          <cell r="FX104">
            <v>505</v>
          </cell>
          <cell r="FY104">
            <v>539</v>
          </cell>
          <cell r="FZ104">
            <v>442</v>
          </cell>
          <cell r="GA104">
            <v>614</v>
          </cell>
          <cell r="GB104">
            <v>591</v>
          </cell>
          <cell r="GC104">
            <v>550</v>
          </cell>
          <cell r="GD104">
            <v>438</v>
          </cell>
          <cell r="GE104">
            <v>504</v>
          </cell>
          <cell r="GF104">
            <v>578</v>
          </cell>
          <cell r="GG104">
            <v>562</v>
          </cell>
          <cell r="GH104">
            <v>514</v>
          </cell>
          <cell r="GI104">
            <v>531</v>
          </cell>
          <cell r="GJ104">
            <v>590</v>
          </cell>
          <cell r="GK104">
            <v>470</v>
          </cell>
          <cell r="GL104">
            <v>53</v>
          </cell>
          <cell r="GM104">
            <v>51</v>
          </cell>
          <cell r="GN104">
            <v>64</v>
          </cell>
        </row>
        <row r="105">
          <cell r="B105" t="str">
            <v>VIRAMUNE</v>
          </cell>
          <cell r="C105" t="str">
            <v>B.I</v>
          </cell>
          <cell r="D105">
            <v>2034</v>
          </cell>
          <cell r="E105">
            <v>1855</v>
          </cell>
          <cell r="F105">
            <v>1857</v>
          </cell>
          <cell r="G105">
            <v>1828</v>
          </cell>
          <cell r="H105">
            <v>1837</v>
          </cell>
          <cell r="I105">
            <v>2029</v>
          </cell>
          <cell r="J105">
            <v>1880</v>
          </cell>
          <cell r="K105">
            <v>1857</v>
          </cell>
          <cell r="L105">
            <v>1890</v>
          </cell>
          <cell r="M105">
            <v>1934</v>
          </cell>
          <cell r="N105">
            <v>1722</v>
          </cell>
          <cell r="O105">
            <v>1938</v>
          </cell>
          <cell r="P105">
            <v>1857</v>
          </cell>
          <cell r="Q105">
            <v>1866</v>
          </cell>
          <cell r="R105">
            <v>1876</v>
          </cell>
          <cell r="S105">
            <v>1820</v>
          </cell>
          <cell r="T105">
            <v>1649</v>
          </cell>
          <cell r="U105">
            <v>1731</v>
          </cell>
          <cell r="V105">
            <v>1852</v>
          </cell>
          <cell r="W105">
            <v>1868</v>
          </cell>
          <cell r="X105">
            <v>1790</v>
          </cell>
          <cell r="Y105">
            <v>1498</v>
          </cell>
          <cell r="Z105">
            <v>1962</v>
          </cell>
          <cell r="AA105">
            <v>1928</v>
          </cell>
          <cell r="AB105">
            <v>1859</v>
          </cell>
          <cell r="AC105">
            <v>1852</v>
          </cell>
          <cell r="AD105">
            <v>1565</v>
          </cell>
          <cell r="AE105">
            <v>1719</v>
          </cell>
          <cell r="AF105">
            <v>1916</v>
          </cell>
          <cell r="AG105">
            <v>1792</v>
          </cell>
          <cell r="AH105">
            <v>1828</v>
          </cell>
          <cell r="AI105">
            <v>1873</v>
          </cell>
          <cell r="AJ105">
            <v>1895</v>
          </cell>
          <cell r="AK105">
            <v>1807</v>
          </cell>
          <cell r="AL105">
            <v>1807</v>
          </cell>
          <cell r="AM105">
            <v>1862</v>
          </cell>
          <cell r="AN105">
            <v>1947</v>
          </cell>
          <cell r="AO105">
            <v>1747</v>
          </cell>
          <cell r="AP105">
            <v>1804</v>
          </cell>
          <cell r="AQ105">
            <v>1823</v>
          </cell>
          <cell r="AR105">
            <v>1859</v>
          </cell>
          <cell r="AS105">
            <v>1714</v>
          </cell>
          <cell r="AT105">
            <v>1727</v>
          </cell>
          <cell r="AU105">
            <v>1638</v>
          </cell>
          <cell r="AV105">
            <v>1864</v>
          </cell>
          <cell r="AW105">
            <v>1846</v>
          </cell>
          <cell r="AX105">
            <v>1777</v>
          </cell>
          <cell r="AY105">
            <v>1719</v>
          </cell>
          <cell r="AZ105">
            <v>1626</v>
          </cell>
          <cell r="BA105">
            <v>1861</v>
          </cell>
          <cell r="BB105">
            <v>1653</v>
          </cell>
          <cell r="BC105">
            <v>1676</v>
          </cell>
          <cell r="BD105">
            <v>1780</v>
          </cell>
          <cell r="BE105">
            <v>1534</v>
          </cell>
          <cell r="BF105">
            <v>1740</v>
          </cell>
          <cell r="BG105">
            <v>1786</v>
          </cell>
          <cell r="BH105">
            <v>1678</v>
          </cell>
          <cell r="BI105">
            <v>1959</v>
          </cell>
          <cell r="BJ105">
            <v>1745</v>
          </cell>
          <cell r="BK105">
            <v>1758</v>
          </cell>
          <cell r="BL105">
            <v>1736</v>
          </cell>
          <cell r="BM105">
            <v>1767</v>
          </cell>
          <cell r="BN105">
            <v>1572</v>
          </cell>
          <cell r="BO105">
            <v>1776</v>
          </cell>
          <cell r="BP105">
            <v>1690</v>
          </cell>
          <cell r="BQ105">
            <v>1746</v>
          </cell>
          <cell r="BR105">
            <v>1827</v>
          </cell>
          <cell r="BS105">
            <v>1665</v>
          </cell>
          <cell r="BT105">
            <v>1725</v>
          </cell>
          <cell r="BU105">
            <v>1639</v>
          </cell>
          <cell r="BV105">
            <v>1767</v>
          </cell>
          <cell r="BW105">
            <v>1675</v>
          </cell>
          <cell r="BX105">
            <v>1717</v>
          </cell>
          <cell r="BY105">
            <v>1419</v>
          </cell>
          <cell r="BZ105">
            <v>1710</v>
          </cell>
          <cell r="CA105">
            <v>1751</v>
          </cell>
          <cell r="CB105">
            <v>1665</v>
          </cell>
          <cell r="CC105">
            <v>1853</v>
          </cell>
          <cell r="CD105">
            <v>1417</v>
          </cell>
          <cell r="CE105">
            <v>1524</v>
          </cell>
          <cell r="CF105">
            <v>1773</v>
          </cell>
          <cell r="CG105">
            <v>1755</v>
          </cell>
          <cell r="CH105">
            <v>1719</v>
          </cell>
          <cell r="CI105">
            <v>1846</v>
          </cell>
          <cell r="CJ105">
            <v>1703</v>
          </cell>
          <cell r="CK105">
            <v>1659</v>
          </cell>
          <cell r="CL105">
            <v>1688</v>
          </cell>
          <cell r="CM105">
            <v>1659</v>
          </cell>
          <cell r="CN105">
            <v>1842</v>
          </cell>
          <cell r="CO105">
            <v>1677</v>
          </cell>
          <cell r="CP105">
            <v>1622</v>
          </cell>
          <cell r="CQ105">
            <v>1646</v>
          </cell>
          <cell r="CR105">
            <v>1736</v>
          </cell>
          <cell r="CS105">
            <v>1517</v>
          </cell>
          <cell r="CT105">
            <v>1634</v>
          </cell>
          <cell r="CU105">
            <v>1590</v>
          </cell>
          <cell r="CV105">
            <v>1621</v>
          </cell>
          <cell r="CW105">
            <v>1543</v>
          </cell>
          <cell r="CX105">
            <v>1655</v>
          </cell>
          <cell r="CY105">
            <v>1560</v>
          </cell>
          <cell r="CZ105">
            <v>1425</v>
          </cell>
          <cell r="DA105">
            <v>1683</v>
          </cell>
          <cell r="DB105">
            <v>1513</v>
          </cell>
          <cell r="DC105">
            <v>1570</v>
          </cell>
          <cell r="DD105">
            <v>1456</v>
          </cell>
          <cell r="DE105">
            <v>1514</v>
          </cell>
          <cell r="DF105">
            <v>1681</v>
          </cell>
          <cell r="DG105">
            <v>1560</v>
          </cell>
          <cell r="DH105">
            <v>1539</v>
          </cell>
          <cell r="DI105">
            <v>1610</v>
          </cell>
          <cell r="DJ105">
            <v>1635</v>
          </cell>
          <cell r="DK105">
            <v>1590</v>
          </cell>
          <cell r="DL105">
            <v>1578</v>
          </cell>
          <cell r="DM105">
            <v>1523</v>
          </cell>
          <cell r="DN105">
            <v>1492</v>
          </cell>
          <cell r="DO105">
            <v>1772</v>
          </cell>
          <cell r="DP105">
            <v>1536</v>
          </cell>
          <cell r="DQ105">
            <v>1600</v>
          </cell>
          <cell r="DR105">
            <v>1738</v>
          </cell>
          <cell r="DS105">
            <v>1619</v>
          </cell>
          <cell r="DT105">
            <v>1520</v>
          </cell>
          <cell r="DU105">
            <v>1509</v>
          </cell>
          <cell r="DV105">
            <v>1538</v>
          </cell>
          <cell r="DW105">
            <v>1689</v>
          </cell>
          <cell r="DX105">
            <v>1486</v>
          </cell>
          <cell r="DY105">
            <v>1601</v>
          </cell>
          <cell r="DZ105">
            <v>1381</v>
          </cell>
          <cell r="EA105">
            <v>1730</v>
          </cell>
          <cell r="EB105">
            <v>1562</v>
          </cell>
          <cell r="EC105">
            <v>1647</v>
          </cell>
          <cell r="ED105">
            <v>1301</v>
          </cell>
          <cell r="EE105">
            <v>1488</v>
          </cell>
          <cell r="EF105">
            <v>1625</v>
          </cell>
          <cell r="EG105">
            <v>1617</v>
          </cell>
          <cell r="EH105">
            <v>1562</v>
          </cell>
          <cell r="EI105">
            <v>1584</v>
          </cell>
          <cell r="EJ105">
            <v>1606</v>
          </cell>
          <cell r="EK105">
            <v>1501</v>
          </cell>
          <cell r="EL105">
            <v>1599</v>
          </cell>
          <cell r="EM105">
            <v>1567</v>
          </cell>
          <cell r="EN105">
            <v>1665</v>
          </cell>
          <cell r="EO105">
            <v>1575</v>
          </cell>
          <cell r="EP105">
            <v>1515</v>
          </cell>
          <cell r="EQ105">
            <v>1503</v>
          </cell>
          <cell r="ER105">
            <v>1508</v>
          </cell>
          <cell r="ES105">
            <v>1544</v>
          </cell>
          <cell r="ET105">
            <v>1442</v>
          </cell>
          <cell r="EU105">
            <v>1533</v>
          </cell>
          <cell r="EV105">
            <v>1548</v>
          </cell>
          <cell r="EW105">
            <v>1628</v>
          </cell>
          <cell r="EX105">
            <v>1492</v>
          </cell>
          <cell r="EY105">
            <v>1609</v>
          </cell>
          <cell r="EZ105">
            <v>1330</v>
          </cell>
          <cell r="FA105">
            <v>1647</v>
          </cell>
          <cell r="FB105">
            <v>1438</v>
          </cell>
          <cell r="FC105">
            <v>1452</v>
          </cell>
          <cell r="FD105">
            <v>1426</v>
          </cell>
          <cell r="FE105">
            <v>1469</v>
          </cell>
          <cell r="FF105">
            <v>1287</v>
          </cell>
          <cell r="FG105">
            <v>1249</v>
          </cell>
          <cell r="FH105">
            <v>1242</v>
          </cell>
          <cell r="FI105">
            <v>1410</v>
          </cell>
          <cell r="FJ105">
            <v>1490</v>
          </cell>
          <cell r="FK105">
            <v>1450</v>
          </cell>
          <cell r="FL105">
            <v>1456</v>
          </cell>
          <cell r="FM105">
            <v>1486</v>
          </cell>
          <cell r="FN105">
            <v>1558</v>
          </cell>
          <cell r="FO105">
            <v>1328</v>
          </cell>
          <cell r="FP105">
            <v>1489</v>
          </cell>
          <cell r="FQ105">
            <v>1569</v>
          </cell>
          <cell r="FR105">
            <v>1517</v>
          </cell>
          <cell r="FS105">
            <v>1464</v>
          </cell>
          <cell r="FT105">
            <v>1402</v>
          </cell>
          <cell r="FU105">
            <v>1376</v>
          </cell>
          <cell r="FV105">
            <v>1471</v>
          </cell>
          <cell r="FW105">
            <v>1601</v>
          </cell>
          <cell r="FX105">
            <v>1382</v>
          </cell>
          <cell r="FY105">
            <v>1549</v>
          </cell>
          <cell r="FZ105">
            <v>1204</v>
          </cell>
          <cell r="GA105">
            <v>1750</v>
          </cell>
          <cell r="GB105">
            <v>1432</v>
          </cell>
          <cell r="GC105">
            <v>1502</v>
          </cell>
          <cell r="GD105">
            <v>1309</v>
          </cell>
          <cell r="GE105">
            <v>1450</v>
          </cell>
          <cell r="GF105">
            <v>1615</v>
          </cell>
          <cell r="GG105">
            <v>1618</v>
          </cell>
          <cell r="GH105">
            <v>1514</v>
          </cell>
          <cell r="GI105">
            <v>1582</v>
          </cell>
          <cell r="GJ105">
            <v>1582</v>
          </cell>
          <cell r="GK105">
            <v>1466</v>
          </cell>
          <cell r="GL105">
            <v>545</v>
          </cell>
          <cell r="GM105">
            <v>516</v>
          </cell>
          <cell r="GN105">
            <v>559</v>
          </cell>
        </row>
        <row r="106">
          <cell r="B106" t="str">
            <v>VIREAD</v>
          </cell>
          <cell r="C106" t="str">
            <v>GS-</v>
          </cell>
          <cell r="D106">
            <v>3576</v>
          </cell>
          <cell r="E106">
            <v>3152</v>
          </cell>
          <cell r="F106">
            <v>3437</v>
          </cell>
          <cell r="G106">
            <v>3346</v>
          </cell>
          <cell r="H106">
            <v>3369</v>
          </cell>
          <cell r="I106">
            <v>3460</v>
          </cell>
          <cell r="J106">
            <v>3321</v>
          </cell>
          <cell r="K106">
            <v>3353</v>
          </cell>
          <cell r="L106">
            <v>3353</v>
          </cell>
          <cell r="M106">
            <v>3454</v>
          </cell>
          <cell r="N106">
            <v>3085</v>
          </cell>
          <cell r="O106">
            <v>3305</v>
          </cell>
          <cell r="P106">
            <v>3190</v>
          </cell>
          <cell r="Q106">
            <v>3301</v>
          </cell>
          <cell r="R106">
            <v>3359</v>
          </cell>
          <cell r="S106">
            <v>3202</v>
          </cell>
          <cell r="T106">
            <v>3267</v>
          </cell>
          <cell r="U106">
            <v>3113</v>
          </cell>
          <cell r="V106">
            <v>3229</v>
          </cell>
          <cell r="W106">
            <v>3140</v>
          </cell>
          <cell r="X106">
            <v>3094</v>
          </cell>
          <cell r="Y106">
            <v>2635</v>
          </cell>
          <cell r="Z106">
            <v>3396</v>
          </cell>
          <cell r="AA106">
            <v>3259</v>
          </cell>
          <cell r="AB106">
            <v>3150</v>
          </cell>
          <cell r="AC106">
            <v>3213</v>
          </cell>
          <cell r="AD106">
            <v>2685</v>
          </cell>
          <cell r="AE106">
            <v>2813</v>
          </cell>
          <cell r="AF106">
            <v>3276</v>
          </cell>
          <cell r="AG106">
            <v>3039</v>
          </cell>
          <cell r="AH106">
            <v>3195</v>
          </cell>
          <cell r="AI106">
            <v>3316</v>
          </cell>
          <cell r="AJ106">
            <v>3207</v>
          </cell>
          <cell r="AK106">
            <v>3090</v>
          </cell>
          <cell r="AL106">
            <v>2967</v>
          </cell>
          <cell r="AM106">
            <v>3331</v>
          </cell>
          <cell r="AN106">
            <v>3142</v>
          </cell>
          <cell r="AO106">
            <v>2979</v>
          </cell>
          <cell r="AP106">
            <v>3045</v>
          </cell>
          <cell r="AQ106">
            <v>2927</v>
          </cell>
          <cell r="AR106">
            <v>3169</v>
          </cell>
          <cell r="AS106">
            <v>2993</v>
          </cell>
          <cell r="AT106">
            <v>2921</v>
          </cell>
          <cell r="AU106">
            <v>2793</v>
          </cell>
          <cell r="AV106">
            <v>3128</v>
          </cell>
          <cell r="AW106">
            <v>3144</v>
          </cell>
          <cell r="AX106">
            <v>2943</v>
          </cell>
          <cell r="AY106">
            <v>2852</v>
          </cell>
          <cell r="AZ106">
            <v>2723</v>
          </cell>
          <cell r="BA106">
            <v>3139</v>
          </cell>
          <cell r="BB106">
            <v>2883</v>
          </cell>
          <cell r="BC106">
            <v>2845</v>
          </cell>
          <cell r="BD106">
            <v>3021</v>
          </cell>
          <cell r="BE106">
            <v>2751</v>
          </cell>
          <cell r="BF106">
            <v>2858</v>
          </cell>
          <cell r="BG106">
            <v>2802</v>
          </cell>
          <cell r="BH106">
            <v>2733</v>
          </cell>
          <cell r="BI106">
            <v>3020</v>
          </cell>
          <cell r="BJ106">
            <v>2805</v>
          </cell>
          <cell r="BK106">
            <v>2803</v>
          </cell>
          <cell r="BL106">
            <v>2738</v>
          </cell>
          <cell r="BM106">
            <v>2814</v>
          </cell>
          <cell r="BN106">
            <v>2480</v>
          </cell>
          <cell r="BO106">
            <v>2918</v>
          </cell>
          <cell r="BP106">
            <v>2742</v>
          </cell>
          <cell r="BQ106">
            <v>2878</v>
          </cell>
          <cell r="BR106">
            <v>2798</v>
          </cell>
          <cell r="BS106">
            <v>2713</v>
          </cell>
          <cell r="BT106">
            <v>2663</v>
          </cell>
          <cell r="BU106">
            <v>2657</v>
          </cell>
          <cell r="BV106">
            <v>2681</v>
          </cell>
          <cell r="BW106">
            <v>2837</v>
          </cell>
          <cell r="BX106">
            <v>2649</v>
          </cell>
          <cell r="BY106">
            <v>2299</v>
          </cell>
          <cell r="BZ106">
            <v>2895</v>
          </cell>
          <cell r="CA106">
            <v>2723</v>
          </cell>
          <cell r="CB106">
            <v>2628</v>
          </cell>
          <cell r="CC106">
            <v>2675</v>
          </cell>
          <cell r="CD106">
            <v>2192</v>
          </cell>
          <cell r="CE106">
            <v>2418</v>
          </cell>
          <cell r="CF106">
            <v>2898</v>
          </cell>
          <cell r="CG106">
            <v>2782</v>
          </cell>
          <cell r="CH106">
            <v>2684</v>
          </cell>
          <cell r="CI106">
            <v>2822</v>
          </cell>
          <cell r="CJ106">
            <v>2873</v>
          </cell>
          <cell r="CK106">
            <v>2721</v>
          </cell>
          <cell r="CL106">
            <v>2525</v>
          </cell>
          <cell r="CM106">
            <v>2769</v>
          </cell>
          <cell r="CN106">
            <v>3014</v>
          </cell>
          <cell r="CO106">
            <v>2762</v>
          </cell>
          <cell r="CP106">
            <v>2651</v>
          </cell>
          <cell r="CQ106">
            <v>2764</v>
          </cell>
          <cell r="CR106">
            <v>2803</v>
          </cell>
          <cell r="CS106">
            <v>2757</v>
          </cell>
          <cell r="CT106">
            <v>2626</v>
          </cell>
          <cell r="CU106">
            <v>2519</v>
          </cell>
          <cell r="CV106">
            <v>2810</v>
          </cell>
          <cell r="CW106">
            <v>2692</v>
          </cell>
          <cell r="CX106">
            <v>2578</v>
          </cell>
          <cell r="CY106">
            <v>2510</v>
          </cell>
          <cell r="CZ106">
            <v>2368</v>
          </cell>
          <cell r="DA106">
            <v>2731</v>
          </cell>
          <cell r="DB106">
            <v>2554</v>
          </cell>
          <cell r="DC106">
            <v>2625</v>
          </cell>
          <cell r="DD106">
            <v>2758</v>
          </cell>
          <cell r="DE106">
            <v>2466</v>
          </cell>
          <cell r="DF106">
            <v>2594</v>
          </cell>
          <cell r="DG106">
            <v>2574</v>
          </cell>
          <cell r="DH106">
            <v>2550</v>
          </cell>
          <cell r="DI106">
            <v>2540</v>
          </cell>
          <cell r="DJ106">
            <v>2647</v>
          </cell>
          <cell r="DK106">
            <v>2487</v>
          </cell>
          <cell r="DL106">
            <v>2502</v>
          </cell>
          <cell r="DM106">
            <v>2683</v>
          </cell>
          <cell r="DN106">
            <v>2748</v>
          </cell>
          <cell r="DO106">
            <v>2993</v>
          </cell>
          <cell r="DP106">
            <v>2736</v>
          </cell>
          <cell r="DQ106">
            <v>2878</v>
          </cell>
          <cell r="DR106">
            <v>2951</v>
          </cell>
          <cell r="DS106">
            <v>2872</v>
          </cell>
          <cell r="DT106">
            <v>2668</v>
          </cell>
          <cell r="DU106">
            <v>2732</v>
          </cell>
          <cell r="DV106">
            <v>2730</v>
          </cell>
          <cell r="DW106">
            <v>2908</v>
          </cell>
          <cell r="DX106">
            <v>2797</v>
          </cell>
          <cell r="DY106">
            <v>2898</v>
          </cell>
          <cell r="DZ106">
            <v>2415</v>
          </cell>
          <cell r="EA106">
            <v>3029</v>
          </cell>
          <cell r="EB106">
            <v>2889</v>
          </cell>
          <cell r="EC106">
            <v>2880</v>
          </cell>
          <cell r="ED106">
            <v>2159</v>
          </cell>
          <cell r="EE106">
            <v>2524</v>
          </cell>
          <cell r="EF106">
            <v>3141</v>
          </cell>
          <cell r="EG106">
            <v>3073</v>
          </cell>
          <cell r="EH106">
            <v>2584</v>
          </cell>
          <cell r="EI106">
            <v>3000</v>
          </cell>
          <cell r="EJ106">
            <v>2975</v>
          </cell>
          <cell r="EK106">
            <v>2925</v>
          </cell>
          <cell r="EL106">
            <v>2774</v>
          </cell>
          <cell r="EM106">
            <v>2951</v>
          </cell>
          <cell r="EN106">
            <v>3348</v>
          </cell>
          <cell r="EO106">
            <v>3072</v>
          </cell>
          <cell r="EP106">
            <v>3100</v>
          </cell>
          <cell r="EQ106">
            <v>3004</v>
          </cell>
          <cell r="ER106">
            <v>3198</v>
          </cell>
          <cell r="ES106">
            <v>3011</v>
          </cell>
          <cell r="ET106">
            <v>2948</v>
          </cell>
          <cell r="EU106">
            <v>2995</v>
          </cell>
          <cell r="EV106">
            <v>3000</v>
          </cell>
          <cell r="EW106">
            <v>3212</v>
          </cell>
          <cell r="EX106">
            <v>2954</v>
          </cell>
          <cell r="EY106">
            <v>2922</v>
          </cell>
          <cell r="EZ106">
            <v>2808</v>
          </cell>
          <cell r="FA106">
            <v>3106</v>
          </cell>
          <cell r="FB106">
            <v>3090</v>
          </cell>
          <cell r="FC106">
            <v>3001</v>
          </cell>
          <cell r="FD106">
            <v>2939</v>
          </cell>
          <cell r="FE106">
            <v>3147</v>
          </cell>
          <cell r="FF106">
            <v>2729</v>
          </cell>
          <cell r="FG106">
            <v>2671</v>
          </cell>
          <cell r="FH106">
            <v>2618</v>
          </cell>
          <cell r="FI106">
            <v>2997</v>
          </cell>
          <cell r="FJ106">
            <v>3014</v>
          </cell>
          <cell r="FK106">
            <v>3060</v>
          </cell>
          <cell r="FL106">
            <v>2917</v>
          </cell>
          <cell r="FM106">
            <v>2934</v>
          </cell>
          <cell r="FN106">
            <v>3161</v>
          </cell>
          <cell r="FO106">
            <v>2718</v>
          </cell>
          <cell r="FP106">
            <v>3140</v>
          </cell>
          <cell r="FQ106">
            <v>3231</v>
          </cell>
          <cell r="FR106">
            <v>3205</v>
          </cell>
          <cell r="FS106">
            <v>3169</v>
          </cell>
          <cell r="FT106">
            <v>2960</v>
          </cell>
          <cell r="FU106">
            <v>3125</v>
          </cell>
          <cell r="FV106">
            <v>2979</v>
          </cell>
          <cell r="FW106">
            <v>3043</v>
          </cell>
          <cell r="FX106">
            <v>3190</v>
          </cell>
          <cell r="FY106">
            <v>3186</v>
          </cell>
          <cell r="FZ106">
            <v>2668</v>
          </cell>
          <cell r="GA106">
            <v>3469</v>
          </cell>
          <cell r="GB106">
            <v>3242</v>
          </cell>
          <cell r="GC106">
            <v>3231</v>
          </cell>
          <cell r="GD106">
            <v>2792</v>
          </cell>
          <cell r="GE106">
            <v>2874</v>
          </cell>
          <cell r="GF106">
            <v>3427</v>
          </cell>
          <cell r="GG106">
            <v>3238</v>
          </cell>
          <cell r="GH106">
            <v>3154</v>
          </cell>
          <cell r="GI106">
            <v>3256</v>
          </cell>
          <cell r="GJ106">
            <v>3549</v>
          </cell>
          <cell r="GK106">
            <v>3031</v>
          </cell>
          <cell r="GL106">
            <v>1483</v>
          </cell>
          <cell r="GM106">
            <v>1595</v>
          </cell>
          <cell r="GN106">
            <v>1605</v>
          </cell>
        </row>
        <row r="107">
          <cell r="B107" t="str">
            <v>VISUDYNE</v>
          </cell>
          <cell r="C107" t="str">
            <v>NSV</v>
          </cell>
          <cell r="D107">
            <v>1</v>
          </cell>
          <cell r="E107">
            <v>4</v>
          </cell>
          <cell r="F107">
            <v>2</v>
          </cell>
          <cell r="G107">
            <v>2</v>
          </cell>
          <cell r="H107">
            <v>1</v>
          </cell>
          <cell r="I107">
            <v>1</v>
          </cell>
          <cell r="J107">
            <v>13</v>
          </cell>
          <cell r="K107">
            <v>13</v>
          </cell>
          <cell r="L107">
            <v>2</v>
          </cell>
          <cell r="M107">
            <v>12</v>
          </cell>
          <cell r="N107">
            <v>1</v>
          </cell>
          <cell r="O107">
            <v>4</v>
          </cell>
          <cell r="P107">
            <v>4</v>
          </cell>
          <cell r="Q107">
            <v>3</v>
          </cell>
          <cell r="R107">
            <v>4</v>
          </cell>
          <cell r="S107">
            <v>5</v>
          </cell>
          <cell r="T107">
            <v>3</v>
          </cell>
          <cell r="U107">
            <v>8</v>
          </cell>
          <cell r="V107">
            <v>2</v>
          </cell>
          <cell r="W107">
            <v>2</v>
          </cell>
          <cell r="X107">
            <v>4</v>
          </cell>
          <cell r="Y107">
            <v>1</v>
          </cell>
          <cell r="Z107">
            <v>4</v>
          </cell>
          <cell r="AA107">
            <v>2</v>
          </cell>
          <cell r="AB107">
            <v>4</v>
          </cell>
          <cell r="AC107">
            <v>5</v>
          </cell>
          <cell r="AD107">
            <v>0</v>
          </cell>
          <cell r="AE107">
            <v>5</v>
          </cell>
          <cell r="AF107">
            <v>6</v>
          </cell>
          <cell r="AG107">
            <v>3</v>
          </cell>
          <cell r="AH107">
            <v>2</v>
          </cell>
          <cell r="AI107">
            <v>4</v>
          </cell>
          <cell r="AJ107">
            <v>1</v>
          </cell>
          <cell r="AK107">
            <v>3</v>
          </cell>
          <cell r="AL107">
            <v>2</v>
          </cell>
          <cell r="AM107">
            <v>3</v>
          </cell>
          <cell r="AN107">
            <v>6</v>
          </cell>
          <cell r="AO107">
            <v>6</v>
          </cell>
          <cell r="AP107">
            <v>4</v>
          </cell>
          <cell r="AQ107">
            <v>4</v>
          </cell>
          <cell r="AR107">
            <v>2</v>
          </cell>
          <cell r="AS107">
            <v>6</v>
          </cell>
          <cell r="AT107">
            <v>12</v>
          </cell>
          <cell r="AU107">
            <v>9</v>
          </cell>
          <cell r="AV107">
            <v>10</v>
          </cell>
          <cell r="AW107">
            <v>4</v>
          </cell>
          <cell r="AX107">
            <v>2</v>
          </cell>
          <cell r="AY107">
            <v>4</v>
          </cell>
          <cell r="AZ107">
            <v>1</v>
          </cell>
          <cell r="BA107">
            <v>9</v>
          </cell>
          <cell r="BB107">
            <v>4</v>
          </cell>
          <cell r="BC107">
            <v>7</v>
          </cell>
          <cell r="BD107">
            <v>5</v>
          </cell>
          <cell r="BE107">
            <v>1</v>
          </cell>
          <cell r="BF107">
            <v>3</v>
          </cell>
          <cell r="BG107">
            <v>7</v>
          </cell>
          <cell r="BH107">
            <v>4</v>
          </cell>
          <cell r="BI107">
            <v>0</v>
          </cell>
          <cell r="BJ107">
            <v>1</v>
          </cell>
          <cell r="BK107">
            <v>4</v>
          </cell>
          <cell r="BL107">
            <v>7</v>
          </cell>
          <cell r="BM107">
            <v>3</v>
          </cell>
          <cell r="BN107">
            <v>6</v>
          </cell>
          <cell r="BO107">
            <v>2</v>
          </cell>
          <cell r="BP107">
            <v>2</v>
          </cell>
          <cell r="BQ107">
            <v>6</v>
          </cell>
          <cell r="BR107">
            <v>1</v>
          </cell>
          <cell r="BS107">
            <v>0</v>
          </cell>
          <cell r="BT107">
            <v>3</v>
          </cell>
          <cell r="BU107">
            <v>1</v>
          </cell>
          <cell r="BV107">
            <v>2</v>
          </cell>
          <cell r="BW107">
            <v>8</v>
          </cell>
          <cell r="BX107">
            <v>2</v>
          </cell>
          <cell r="BY107">
            <v>4</v>
          </cell>
          <cell r="BZ107">
            <v>4</v>
          </cell>
          <cell r="CA107">
            <v>3</v>
          </cell>
          <cell r="CB107">
            <v>2</v>
          </cell>
          <cell r="CC107">
            <v>0</v>
          </cell>
          <cell r="CD107">
            <v>0</v>
          </cell>
          <cell r="CE107">
            <v>2</v>
          </cell>
          <cell r="CF107">
            <v>1</v>
          </cell>
          <cell r="CG107">
            <v>4</v>
          </cell>
          <cell r="CH107">
            <v>3</v>
          </cell>
          <cell r="CI107">
            <v>4</v>
          </cell>
          <cell r="CJ107">
            <v>4</v>
          </cell>
          <cell r="CK107">
            <v>1</v>
          </cell>
          <cell r="CL107">
            <v>0</v>
          </cell>
          <cell r="CM107">
            <v>5</v>
          </cell>
          <cell r="CN107">
            <v>2</v>
          </cell>
          <cell r="CO107">
            <v>1</v>
          </cell>
          <cell r="CP107">
            <v>0</v>
          </cell>
          <cell r="CQ107">
            <v>5</v>
          </cell>
          <cell r="CR107">
            <v>2</v>
          </cell>
          <cell r="CS107">
            <v>1</v>
          </cell>
          <cell r="CT107">
            <v>0</v>
          </cell>
          <cell r="CU107">
            <v>0</v>
          </cell>
          <cell r="CV107">
            <v>1</v>
          </cell>
          <cell r="CW107">
            <v>1</v>
          </cell>
          <cell r="CX107">
            <v>4</v>
          </cell>
          <cell r="CY107">
            <v>0</v>
          </cell>
          <cell r="CZ107">
            <v>3</v>
          </cell>
          <cell r="DA107">
            <v>2</v>
          </cell>
          <cell r="DB107">
            <v>2</v>
          </cell>
          <cell r="DC107">
            <v>2</v>
          </cell>
          <cell r="DD107">
            <v>3</v>
          </cell>
          <cell r="DE107">
            <v>3</v>
          </cell>
          <cell r="DF107">
            <v>6</v>
          </cell>
          <cell r="DG107">
            <v>2</v>
          </cell>
          <cell r="DH107">
            <v>2</v>
          </cell>
          <cell r="DI107">
            <v>3</v>
          </cell>
          <cell r="DJ107">
            <v>4</v>
          </cell>
          <cell r="DK107">
            <v>4</v>
          </cell>
          <cell r="DL107">
            <v>1</v>
          </cell>
          <cell r="DM107">
            <v>6</v>
          </cell>
          <cell r="DN107">
            <v>4</v>
          </cell>
          <cell r="DO107">
            <v>4</v>
          </cell>
          <cell r="DP107">
            <v>1</v>
          </cell>
          <cell r="DQ107">
            <v>5</v>
          </cell>
          <cell r="DR107">
            <v>1</v>
          </cell>
          <cell r="DS107">
            <v>3</v>
          </cell>
          <cell r="DT107">
            <v>0</v>
          </cell>
          <cell r="DU107">
            <v>4</v>
          </cell>
          <cell r="DV107">
            <v>2</v>
          </cell>
          <cell r="DW107">
            <v>8</v>
          </cell>
          <cell r="DX107">
            <v>4</v>
          </cell>
          <cell r="DY107">
            <v>4</v>
          </cell>
          <cell r="DZ107">
            <v>0</v>
          </cell>
          <cell r="EA107">
            <v>1</v>
          </cell>
          <cell r="EB107">
            <v>2</v>
          </cell>
          <cell r="EC107">
            <v>2</v>
          </cell>
          <cell r="EH107">
            <v>1</v>
          </cell>
          <cell r="EM107">
            <v>1</v>
          </cell>
          <cell r="EQ107">
            <v>1</v>
          </cell>
          <cell r="EX107">
            <v>1</v>
          </cell>
          <cell r="EY107">
            <v>1</v>
          </cell>
          <cell r="FE107">
            <v>2</v>
          </cell>
          <cell r="FG107">
            <v>2</v>
          </cell>
          <cell r="FS107">
            <v>2</v>
          </cell>
          <cell r="FW107">
            <v>1</v>
          </cell>
          <cell r="GD107">
            <v>1</v>
          </cell>
          <cell r="GF107">
            <v>1</v>
          </cell>
          <cell r="GH107">
            <v>3</v>
          </cell>
          <cell r="GI107">
            <v>3</v>
          </cell>
          <cell r="GJ107">
            <v>2</v>
          </cell>
          <cell r="GK107">
            <v>3031</v>
          </cell>
          <cell r="GL107">
            <v>3025</v>
          </cell>
          <cell r="GM107">
            <v>3248</v>
          </cell>
          <cell r="GN107">
            <v>3407</v>
          </cell>
        </row>
        <row r="108">
          <cell r="B108" t="str">
            <v>ZEMPLAR</v>
          </cell>
          <cell r="C108" t="str">
            <v>ABT</v>
          </cell>
          <cell r="D108">
            <v>1142</v>
          </cell>
          <cell r="E108">
            <v>975</v>
          </cell>
          <cell r="F108">
            <v>1106</v>
          </cell>
          <cell r="G108">
            <v>1180</v>
          </cell>
          <cell r="H108">
            <v>1180</v>
          </cell>
          <cell r="I108">
            <v>1116</v>
          </cell>
          <cell r="J108">
            <v>1197</v>
          </cell>
          <cell r="K108">
            <v>1230</v>
          </cell>
          <cell r="L108">
            <v>1265</v>
          </cell>
          <cell r="M108">
            <v>1175</v>
          </cell>
          <cell r="N108">
            <v>1133</v>
          </cell>
          <cell r="O108">
            <v>1239</v>
          </cell>
          <cell r="P108">
            <v>1281</v>
          </cell>
          <cell r="Q108">
            <v>1345</v>
          </cell>
          <cell r="R108">
            <v>1325</v>
          </cell>
          <cell r="S108">
            <v>1338</v>
          </cell>
          <cell r="T108">
            <v>1331</v>
          </cell>
          <cell r="U108">
            <v>1329</v>
          </cell>
          <cell r="V108">
            <v>1517</v>
          </cell>
          <cell r="W108">
            <v>1448</v>
          </cell>
          <cell r="X108">
            <v>1480</v>
          </cell>
          <cell r="Y108">
            <v>1092</v>
          </cell>
          <cell r="Z108">
            <v>1485</v>
          </cell>
          <cell r="AA108">
            <v>1623</v>
          </cell>
          <cell r="AB108">
            <v>1655</v>
          </cell>
          <cell r="AC108">
            <v>1630</v>
          </cell>
          <cell r="AD108">
            <v>1247</v>
          </cell>
          <cell r="AE108">
            <v>1227</v>
          </cell>
          <cell r="AF108">
            <v>1570</v>
          </cell>
          <cell r="AG108">
            <v>1493</v>
          </cell>
          <cell r="AH108">
            <v>1568</v>
          </cell>
          <cell r="AI108">
            <v>1579</v>
          </cell>
          <cell r="AJ108">
            <v>1534</v>
          </cell>
          <cell r="AK108">
            <v>1541</v>
          </cell>
          <cell r="AL108">
            <v>1581</v>
          </cell>
          <cell r="AM108">
            <v>1659</v>
          </cell>
          <cell r="AN108">
            <v>1753</v>
          </cell>
          <cell r="AO108">
            <v>1622</v>
          </cell>
          <cell r="AP108">
            <v>1567</v>
          </cell>
          <cell r="AQ108">
            <v>1640</v>
          </cell>
          <cell r="AR108">
            <v>1633</v>
          </cell>
          <cell r="AS108">
            <v>1487</v>
          </cell>
          <cell r="AT108">
            <v>1610</v>
          </cell>
          <cell r="AU108">
            <v>1567</v>
          </cell>
          <cell r="AV108">
            <v>1738</v>
          </cell>
          <cell r="AW108">
            <v>1627</v>
          </cell>
          <cell r="AX108">
            <v>1620</v>
          </cell>
          <cell r="AY108">
            <v>1543</v>
          </cell>
          <cell r="AZ108">
            <v>1473</v>
          </cell>
          <cell r="BA108">
            <v>1638</v>
          </cell>
          <cell r="BB108">
            <v>1763</v>
          </cell>
          <cell r="BC108">
            <v>1674</v>
          </cell>
          <cell r="BD108">
            <v>1813</v>
          </cell>
          <cell r="BE108">
            <v>1682</v>
          </cell>
          <cell r="BF108">
            <v>1749</v>
          </cell>
          <cell r="BG108">
            <v>1726</v>
          </cell>
          <cell r="BH108">
            <v>1817</v>
          </cell>
          <cell r="BI108">
            <v>1930</v>
          </cell>
          <cell r="BJ108">
            <v>1741</v>
          </cell>
          <cell r="BK108">
            <v>1666</v>
          </cell>
          <cell r="BL108">
            <v>1763</v>
          </cell>
          <cell r="BM108">
            <v>1872</v>
          </cell>
          <cell r="BN108">
            <v>1547</v>
          </cell>
          <cell r="BO108">
            <v>1708</v>
          </cell>
          <cell r="BP108">
            <v>1845</v>
          </cell>
          <cell r="BQ108">
            <v>1971</v>
          </cell>
          <cell r="BR108">
            <v>1928</v>
          </cell>
          <cell r="BS108">
            <v>1811</v>
          </cell>
          <cell r="BT108">
            <v>1912</v>
          </cell>
          <cell r="BU108">
            <v>1968</v>
          </cell>
          <cell r="BV108">
            <v>1987</v>
          </cell>
          <cell r="BW108">
            <v>1872</v>
          </cell>
          <cell r="BX108">
            <v>1949</v>
          </cell>
          <cell r="BY108">
            <v>1646</v>
          </cell>
          <cell r="BZ108">
            <v>2029</v>
          </cell>
          <cell r="CA108">
            <v>2211</v>
          </cell>
          <cell r="CB108">
            <v>2014</v>
          </cell>
          <cell r="CC108">
            <v>2217</v>
          </cell>
          <cell r="CD108">
            <v>1636</v>
          </cell>
          <cell r="CE108">
            <v>1682</v>
          </cell>
          <cell r="CF108">
            <v>2129</v>
          </cell>
          <cell r="CG108">
            <v>2189</v>
          </cell>
          <cell r="CH108">
            <v>2235</v>
          </cell>
          <cell r="CI108">
            <v>2099</v>
          </cell>
          <cell r="CJ108">
            <v>2085</v>
          </cell>
          <cell r="CK108">
            <v>2333</v>
          </cell>
          <cell r="CL108">
            <v>2218</v>
          </cell>
          <cell r="CM108">
            <v>2261</v>
          </cell>
          <cell r="CN108">
            <v>2463</v>
          </cell>
          <cell r="CO108">
            <v>2469</v>
          </cell>
          <cell r="CP108">
            <v>2182</v>
          </cell>
          <cell r="CQ108">
            <v>2215</v>
          </cell>
          <cell r="CR108">
            <v>2293</v>
          </cell>
          <cell r="CS108">
            <v>2300</v>
          </cell>
          <cell r="CT108">
            <v>2381</v>
          </cell>
          <cell r="CU108">
            <v>2278</v>
          </cell>
          <cell r="CV108">
            <v>2291</v>
          </cell>
          <cell r="CW108">
            <v>2351</v>
          </cell>
          <cell r="CX108">
            <v>2383</v>
          </cell>
          <cell r="CY108">
            <v>2229</v>
          </cell>
          <cell r="CZ108">
            <v>2129</v>
          </cell>
          <cell r="DA108">
            <v>2461</v>
          </cell>
          <cell r="DB108">
            <v>2546</v>
          </cell>
          <cell r="DC108">
            <v>2386</v>
          </cell>
          <cell r="DD108">
            <v>2284</v>
          </cell>
          <cell r="DE108">
            <v>2134</v>
          </cell>
          <cell r="DF108">
            <v>2324</v>
          </cell>
          <cell r="DG108">
            <v>2153</v>
          </cell>
          <cell r="DH108">
            <v>2312</v>
          </cell>
          <cell r="DI108">
            <v>2264</v>
          </cell>
          <cell r="DJ108">
            <v>2236</v>
          </cell>
          <cell r="DK108">
            <v>2233</v>
          </cell>
          <cell r="DL108">
            <v>2359</v>
          </cell>
          <cell r="DM108">
            <v>2303</v>
          </cell>
          <cell r="DN108">
            <v>2129</v>
          </cell>
          <cell r="DO108">
            <v>2470</v>
          </cell>
          <cell r="DP108">
            <v>2259</v>
          </cell>
          <cell r="DQ108">
            <v>2318</v>
          </cell>
          <cell r="DR108">
            <v>2437</v>
          </cell>
          <cell r="DS108">
            <v>2414</v>
          </cell>
          <cell r="DT108">
            <v>2246</v>
          </cell>
          <cell r="DU108">
            <v>2214</v>
          </cell>
          <cell r="DV108">
            <v>2392</v>
          </cell>
          <cell r="DW108">
            <v>2461</v>
          </cell>
          <cell r="DX108">
            <v>2422</v>
          </cell>
          <cell r="DY108">
            <v>2509</v>
          </cell>
          <cell r="DZ108">
            <v>1974</v>
          </cell>
          <cell r="EA108">
            <v>2449</v>
          </cell>
          <cell r="EB108">
            <v>2424</v>
          </cell>
          <cell r="EC108">
            <v>2310</v>
          </cell>
          <cell r="ED108">
            <v>1772</v>
          </cell>
          <cell r="EE108">
            <v>2094</v>
          </cell>
          <cell r="EF108">
            <v>2430</v>
          </cell>
          <cell r="EG108">
            <v>2425</v>
          </cell>
          <cell r="EH108">
            <v>2415</v>
          </cell>
          <cell r="EI108">
            <v>2526</v>
          </cell>
          <cell r="EJ108">
            <v>2659</v>
          </cell>
          <cell r="EK108">
            <v>2630</v>
          </cell>
          <cell r="EL108">
            <v>2529</v>
          </cell>
          <cell r="EM108">
            <v>2638</v>
          </cell>
          <cell r="EN108">
            <v>2873</v>
          </cell>
          <cell r="EO108">
            <v>2847</v>
          </cell>
          <cell r="EP108">
            <v>2811</v>
          </cell>
          <cell r="EQ108">
            <v>2916</v>
          </cell>
          <cell r="ER108">
            <v>2810</v>
          </cell>
          <cell r="ES108">
            <v>2817</v>
          </cell>
          <cell r="ET108">
            <v>2634</v>
          </cell>
          <cell r="EU108">
            <v>2788</v>
          </cell>
          <cell r="EV108">
            <v>2866</v>
          </cell>
          <cell r="EW108">
            <v>2841</v>
          </cell>
          <cell r="EX108">
            <v>2841</v>
          </cell>
          <cell r="EY108">
            <v>2834</v>
          </cell>
          <cell r="EZ108">
            <v>2716</v>
          </cell>
          <cell r="FA108">
            <v>2984</v>
          </cell>
          <cell r="FB108">
            <v>2771</v>
          </cell>
          <cell r="FC108">
            <v>2738</v>
          </cell>
          <cell r="FD108">
            <v>2911</v>
          </cell>
          <cell r="FE108">
            <v>2724</v>
          </cell>
          <cell r="FF108">
            <v>2678</v>
          </cell>
          <cell r="FG108">
            <v>2639</v>
          </cell>
          <cell r="FH108">
            <v>2644</v>
          </cell>
          <cell r="FI108">
            <v>2832</v>
          </cell>
          <cell r="FJ108">
            <v>2818</v>
          </cell>
          <cell r="FK108">
            <v>2622</v>
          </cell>
          <cell r="FL108">
            <v>2723</v>
          </cell>
          <cell r="FM108">
            <v>2619</v>
          </cell>
          <cell r="FN108">
            <v>2989</v>
          </cell>
          <cell r="FO108">
            <v>2553</v>
          </cell>
          <cell r="FP108">
            <v>2797</v>
          </cell>
          <cell r="FQ108">
            <v>2552</v>
          </cell>
          <cell r="FR108">
            <v>2828</v>
          </cell>
          <cell r="FS108">
            <v>2872</v>
          </cell>
          <cell r="FT108">
            <v>2733</v>
          </cell>
          <cell r="FU108">
            <v>2712</v>
          </cell>
          <cell r="FV108">
            <v>2700</v>
          </cell>
          <cell r="FW108">
            <v>2946</v>
          </cell>
          <cell r="FX108">
            <v>2721</v>
          </cell>
          <cell r="FY108">
            <v>2717</v>
          </cell>
          <cell r="FZ108">
            <v>2287</v>
          </cell>
          <cell r="GA108">
            <v>2941</v>
          </cell>
          <cell r="GB108">
            <v>2815</v>
          </cell>
          <cell r="GC108">
            <v>2889</v>
          </cell>
          <cell r="GD108">
            <v>2305</v>
          </cell>
          <cell r="GE108">
            <v>2309</v>
          </cell>
          <cell r="GF108">
            <v>2848</v>
          </cell>
          <cell r="GG108">
            <v>2971</v>
          </cell>
          <cell r="GH108">
            <v>2904</v>
          </cell>
          <cell r="GI108">
            <v>2814</v>
          </cell>
          <cell r="GJ108">
            <v>2932</v>
          </cell>
          <cell r="GK108">
            <v>2805</v>
          </cell>
          <cell r="GL108">
            <v>2716</v>
          </cell>
          <cell r="GM108">
            <v>2780</v>
          </cell>
          <cell r="GN108">
            <v>3025</v>
          </cell>
        </row>
        <row r="109">
          <cell r="B109" t="str">
            <v>ZERIT</v>
          </cell>
          <cell r="C109" t="str">
            <v>BHV</v>
          </cell>
          <cell r="D109">
            <v>1468</v>
          </cell>
          <cell r="E109">
            <v>1272</v>
          </cell>
          <cell r="F109">
            <v>1306</v>
          </cell>
          <cell r="G109">
            <v>1285</v>
          </cell>
          <cell r="H109">
            <v>1260</v>
          </cell>
          <cell r="I109">
            <v>1341</v>
          </cell>
          <cell r="J109">
            <v>1411</v>
          </cell>
          <cell r="K109">
            <v>1315</v>
          </cell>
          <cell r="L109">
            <v>1368</v>
          </cell>
          <cell r="M109">
            <v>1349</v>
          </cell>
          <cell r="N109">
            <v>1121</v>
          </cell>
          <cell r="O109">
            <v>1318</v>
          </cell>
          <cell r="P109">
            <v>1260</v>
          </cell>
          <cell r="Q109">
            <v>1285</v>
          </cell>
          <cell r="R109">
            <v>1273</v>
          </cell>
          <cell r="S109">
            <v>1172</v>
          </cell>
          <cell r="T109">
            <v>1107</v>
          </cell>
          <cell r="U109">
            <v>1268</v>
          </cell>
          <cell r="V109">
            <v>1268</v>
          </cell>
          <cell r="W109">
            <v>1180</v>
          </cell>
          <cell r="X109">
            <v>1179</v>
          </cell>
          <cell r="Y109">
            <v>986</v>
          </cell>
          <cell r="Z109">
            <v>1178</v>
          </cell>
          <cell r="AA109">
            <v>1154</v>
          </cell>
          <cell r="AB109">
            <v>1171</v>
          </cell>
          <cell r="AC109">
            <v>1173</v>
          </cell>
          <cell r="AD109">
            <v>1018</v>
          </cell>
          <cell r="AE109">
            <v>1016</v>
          </cell>
          <cell r="AF109">
            <v>1254</v>
          </cell>
          <cell r="AG109">
            <v>1114</v>
          </cell>
          <cell r="AH109">
            <v>1190</v>
          </cell>
          <cell r="AI109">
            <v>1221</v>
          </cell>
          <cell r="AJ109">
            <v>1135</v>
          </cell>
          <cell r="AK109">
            <v>1130</v>
          </cell>
          <cell r="AL109">
            <v>1104</v>
          </cell>
          <cell r="AM109">
            <v>1105</v>
          </cell>
          <cell r="AN109">
            <v>1075</v>
          </cell>
          <cell r="AO109">
            <v>1006</v>
          </cell>
          <cell r="AP109">
            <v>975</v>
          </cell>
          <cell r="AQ109">
            <v>990</v>
          </cell>
          <cell r="AR109">
            <v>988</v>
          </cell>
          <cell r="AS109">
            <v>1110</v>
          </cell>
          <cell r="AT109">
            <v>955</v>
          </cell>
          <cell r="AU109">
            <v>1043</v>
          </cell>
          <cell r="AV109">
            <v>1032</v>
          </cell>
          <cell r="AW109">
            <v>1006</v>
          </cell>
          <cell r="AX109">
            <v>969</v>
          </cell>
          <cell r="AY109">
            <v>1028</v>
          </cell>
          <cell r="AZ109">
            <v>887</v>
          </cell>
          <cell r="BA109">
            <v>1172</v>
          </cell>
          <cell r="BB109">
            <v>1029</v>
          </cell>
          <cell r="BC109">
            <v>917</v>
          </cell>
          <cell r="BD109">
            <v>1006</v>
          </cell>
          <cell r="BE109">
            <v>861</v>
          </cell>
          <cell r="BF109">
            <v>962</v>
          </cell>
          <cell r="BG109">
            <v>939</v>
          </cell>
          <cell r="BH109">
            <v>1008</v>
          </cell>
          <cell r="BI109">
            <v>1000</v>
          </cell>
          <cell r="BJ109">
            <v>927</v>
          </cell>
          <cell r="BK109">
            <v>888</v>
          </cell>
          <cell r="BL109">
            <v>940</v>
          </cell>
          <cell r="BM109">
            <v>901</v>
          </cell>
          <cell r="BN109">
            <v>868</v>
          </cell>
          <cell r="BO109">
            <v>1005</v>
          </cell>
          <cell r="BP109">
            <v>974</v>
          </cell>
          <cell r="BQ109">
            <v>919</v>
          </cell>
          <cell r="BR109">
            <v>930</v>
          </cell>
          <cell r="BS109">
            <v>873</v>
          </cell>
          <cell r="BT109">
            <v>908</v>
          </cell>
          <cell r="BU109">
            <v>896</v>
          </cell>
          <cell r="BV109">
            <v>903</v>
          </cell>
          <cell r="BW109">
            <v>874</v>
          </cell>
          <cell r="BX109">
            <v>900</v>
          </cell>
          <cell r="BY109">
            <v>729</v>
          </cell>
          <cell r="BZ109">
            <v>895</v>
          </cell>
          <cell r="CA109">
            <v>898</v>
          </cell>
          <cell r="CB109">
            <v>824</v>
          </cell>
          <cell r="CC109">
            <v>838</v>
          </cell>
          <cell r="CD109">
            <v>652</v>
          </cell>
          <cell r="CE109">
            <v>722</v>
          </cell>
          <cell r="CF109">
            <v>956</v>
          </cell>
          <cell r="CG109">
            <v>828</v>
          </cell>
          <cell r="CH109">
            <v>710</v>
          </cell>
          <cell r="CI109">
            <v>878</v>
          </cell>
          <cell r="CJ109">
            <v>849</v>
          </cell>
          <cell r="CK109">
            <v>796</v>
          </cell>
          <cell r="CL109">
            <v>804</v>
          </cell>
          <cell r="CM109">
            <v>780</v>
          </cell>
          <cell r="CN109">
            <v>853</v>
          </cell>
          <cell r="CO109">
            <v>856</v>
          </cell>
          <cell r="CP109">
            <v>739</v>
          </cell>
          <cell r="CQ109">
            <v>720</v>
          </cell>
          <cell r="CR109">
            <v>770</v>
          </cell>
          <cell r="CS109">
            <v>669</v>
          </cell>
          <cell r="CT109">
            <v>675</v>
          </cell>
          <cell r="CU109">
            <v>752</v>
          </cell>
          <cell r="CV109">
            <v>762</v>
          </cell>
          <cell r="CW109">
            <v>691</v>
          </cell>
          <cell r="CX109">
            <v>720</v>
          </cell>
          <cell r="CY109">
            <v>699</v>
          </cell>
          <cell r="CZ109">
            <v>644</v>
          </cell>
          <cell r="DA109">
            <v>786</v>
          </cell>
          <cell r="DB109">
            <v>685</v>
          </cell>
          <cell r="DC109">
            <v>738</v>
          </cell>
          <cell r="DD109">
            <v>682</v>
          </cell>
          <cell r="DE109">
            <v>652</v>
          </cell>
          <cell r="DF109">
            <v>716</v>
          </cell>
          <cell r="DG109">
            <v>714</v>
          </cell>
          <cell r="DH109">
            <v>606</v>
          </cell>
          <cell r="DI109">
            <v>660</v>
          </cell>
          <cell r="DJ109">
            <v>715</v>
          </cell>
          <cell r="DK109">
            <v>649</v>
          </cell>
          <cell r="DL109">
            <v>621</v>
          </cell>
          <cell r="DM109">
            <v>646</v>
          </cell>
          <cell r="DN109">
            <v>726</v>
          </cell>
          <cell r="DO109">
            <v>710</v>
          </cell>
          <cell r="DP109">
            <v>645</v>
          </cell>
          <cell r="DQ109">
            <v>687</v>
          </cell>
          <cell r="DR109">
            <v>684</v>
          </cell>
          <cell r="DS109">
            <v>693</v>
          </cell>
          <cell r="DT109">
            <v>616</v>
          </cell>
          <cell r="DU109">
            <v>619</v>
          </cell>
          <cell r="DV109">
            <v>525</v>
          </cell>
          <cell r="DW109">
            <v>570</v>
          </cell>
          <cell r="DX109">
            <v>580</v>
          </cell>
          <cell r="DY109">
            <v>636</v>
          </cell>
          <cell r="DZ109">
            <v>479</v>
          </cell>
          <cell r="EA109">
            <v>637</v>
          </cell>
          <cell r="EB109">
            <v>604</v>
          </cell>
          <cell r="EC109">
            <v>563</v>
          </cell>
          <cell r="ED109">
            <v>486</v>
          </cell>
          <cell r="EE109">
            <v>550</v>
          </cell>
          <cell r="EF109">
            <v>556</v>
          </cell>
          <cell r="EG109">
            <v>424</v>
          </cell>
          <cell r="EH109">
            <v>325</v>
          </cell>
          <cell r="EI109">
            <v>346</v>
          </cell>
          <cell r="EJ109">
            <v>384</v>
          </cell>
          <cell r="EK109">
            <v>344</v>
          </cell>
          <cell r="EL109">
            <v>262</v>
          </cell>
          <cell r="EM109">
            <v>240</v>
          </cell>
          <cell r="EN109">
            <v>261</v>
          </cell>
          <cell r="EO109">
            <v>196</v>
          </cell>
          <cell r="EP109">
            <v>180</v>
          </cell>
          <cell r="EQ109">
            <v>199</v>
          </cell>
          <cell r="ER109">
            <v>204</v>
          </cell>
          <cell r="ES109">
            <v>191</v>
          </cell>
          <cell r="ET109">
            <v>174</v>
          </cell>
          <cell r="EU109">
            <v>159</v>
          </cell>
          <cell r="EV109">
            <v>151</v>
          </cell>
          <cell r="EW109">
            <v>160</v>
          </cell>
          <cell r="EX109">
            <v>155</v>
          </cell>
          <cell r="EY109">
            <v>149</v>
          </cell>
          <cell r="EZ109">
            <v>113</v>
          </cell>
          <cell r="FA109">
            <v>145</v>
          </cell>
          <cell r="FB109">
            <v>139</v>
          </cell>
          <cell r="FC109">
            <v>116</v>
          </cell>
          <cell r="FD109">
            <v>107</v>
          </cell>
          <cell r="FE109">
            <v>125</v>
          </cell>
          <cell r="FF109">
            <v>87</v>
          </cell>
          <cell r="FG109">
            <v>75</v>
          </cell>
          <cell r="FH109">
            <v>90</v>
          </cell>
          <cell r="FI109">
            <v>83</v>
          </cell>
          <cell r="FJ109">
            <v>129</v>
          </cell>
          <cell r="FK109">
            <v>85</v>
          </cell>
          <cell r="FL109">
            <v>76</v>
          </cell>
          <cell r="FM109">
            <v>104</v>
          </cell>
          <cell r="FN109">
            <v>124</v>
          </cell>
          <cell r="FO109">
            <v>78</v>
          </cell>
          <cell r="FP109">
            <v>78</v>
          </cell>
          <cell r="FQ109">
            <v>75</v>
          </cell>
          <cell r="FR109">
            <v>65</v>
          </cell>
          <cell r="FS109">
            <v>60</v>
          </cell>
          <cell r="FT109">
            <v>80</v>
          </cell>
          <cell r="FU109">
            <v>66</v>
          </cell>
          <cell r="FV109">
            <v>56</v>
          </cell>
          <cell r="FW109">
            <v>69</v>
          </cell>
          <cell r="FX109">
            <v>71</v>
          </cell>
          <cell r="FY109">
            <v>70</v>
          </cell>
          <cell r="FZ109">
            <v>54</v>
          </cell>
          <cell r="GA109">
            <v>71</v>
          </cell>
          <cell r="GB109">
            <v>65</v>
          </cell>
          <cell r="GC109">
            <v>44</v>
          </cell>
          <cell r="GD109">
            <v>64</v>
          </cell>
          <cell r="GE109">
            <v>51</v>
          </cell>
          <cell r="GF109">
            <v>66</v>
          </cell>
          <cell r="GG109">
            <v>55</v>
          </cell>
          <cell r="GH109">
            <v>61</v>
          </cell>
          <cell r="GI109">
            <v>60</v>
          </cell>
          <cell r="GJ109">
            <v>51</v>
          </cell>
          <cell r="GK109">
            <v>39</v>
          </cell>
          <cell r="GL109">
            <v>47</v>
          </cell>
          <cell r="GM109">
            <v>53</v>
          </cell>
          <cell r="GN109">
            <v>79</v>
          </cell>
        </row>
        <row r="110">
          <cell r="B110" t="str">
            <v>ZIAGEN</v>
          </cell>
          <cell r="C110" t="str">
            <v>GSK</v>
          </cell>
          <cell r="D110">
            <v>1269</v>
          </cell>
          <cell r="E110">
            <v>1071</v>
          </cell>
          <cell r="F110">
            <v>1172</v>
          </cell>
          <cell r="G110">
            <v>1273</v>
          </cell>
          <cell r="H110">
            <v>1148</v>
          </cell>
          <cell r="I110">
            <v>1263</v>
          </cell>
          <cell r="J110">
            <v>1191</v>
          </cell>
          <cell r="K110">
            <v>1177</v>
          </cell>
          <cell r="L110">
            <v>1163</v>
          </cell>
          <cell r="M110">
            <v>1333</v>
          </cell>
          <cell r="N110">
            <v>1152</v>
          </cell>
          <cell r="O110">
            <v>1268</v>
          </cell>
          <cell r="P110">
            <v>1141</v>
          </cell>
          <cell r="Q110">
            <v>1193</v>
          </cell>
          <cell r="R110">
            <v>1250</v>
          </cell>
          <cell r="S110">
            <v>1122</v>
          </cell>
          <cell r="T110">
            <v>1159</v>
          </cell>
          <cell r="U110">
            <v>1124</v>
          </cell>
          <cell r="V110">
            <v>1192</v>
          </cell>
          <cell r="W110">
            <v>1269</v>
          </cell>
          <cell r="X110">
            <v>1119</v>
          </cell>
          <cell r="Y110">
            <v>1027</v>
          </cell>
          <cell r="Z110">
            <v>1233</v>
          </cell>
          <cell r="AA110">
            <v>1120</v>
          </cell>
          <cell r="AB110">
            <v>1157</v>
          </cell>
          <cell r="AC110">
            <v>1223</v>
          </cell>
          <cell r="AD110">
            <v>931</v>
          </cell>
          <cell r="AE110">
            <v>1043</v>
          </cell>
          <cell r="AF110">
            <v>1164</v>
          </cell>
          <cell r="AG110">
            <v>1138</v>
          </cell>
          <cell r="AH110">
            <v>1144</v>
          </cell>
          <cell r="AI110">
            <v>1254</v>
          </cell>
          <cell r="AJ110">
            <v>1177</v>
          </cell>
          <cell r="AK110">
            <v>1182</v>
          </cell>
          <cell r="AL110">
            <v>1105</v>
          </cell>
          <cell r="AM110">
            <v>1171</v>
          </cell>
          <cell r="AN110">
            <v>1218</v>
          </cell>
          <cell r="AO110">
            <v>1166</v>
          </cell>
          <cell r="AP110">
            <v>1126</v>
          </cell>
          <cell r="AQ110">
            <v>1045</v>
          </cell>
          <cell r="AR110">
            <v>1167</v>
          </cell>
          <cell r="AS110">
            <v>1106</v>
          </cell>
          <cell r="AT110">
            <v>1149</v>
          </cell>
          <cell r="AU110">
            <v>1119</v>
          </cell>
          <cell r="AV110">
            <v>1199</v>
          </cell>
          <cell r="AW110">
            <v>1160</v>
          </cell>
          <cell r="AX110">
            <v>1100</v>
          </cell>
          <cell r="AY110">
            <v>1100</v>
          </cell>
          <cell r="AZ110">
            <v>1017</v>
          </cell>
          <cell r="BA110">
            <v>1345</v>
          </cell>
          <cell r="BB110">
            <v>1071</v>
          </cell>
          <cell r="BC110">
            <v>974</v>
          </cell>
          <cell r="BD110">
            <v>1087</v>
          </cell>
          <cell r="BE110">
            <v>1083</v>
          </cell>
          <cell r="BF110">
            <v>1138</v>
          </cell>
          <cell r="BG110">
            <v>1047</v>
          </cell>
          <cell r="BH110">
            <v>1078</v>
          </cell>
          <cell r="BI110">
            <v>1167</v>
          </cell>
          <cell r="BJ110">
            <v>1205</v>
          </cell>
          <cell r="BK110">
            <v>1081</v>
          </cell>
          <cell r="BL110">
            <v>1032</v>
          </cell>
          <cell r="BM110">
            <v>1089</v>
          </cell>
          <cell r="BN110">
            <v>1022</v>
          </cell>
          <cell r="BO110">
            <v>1147</v>
          </cell>
          <cell r="BP110">
            <v>1068</v>
          </cell>
          <cell r="BQ110">
            <v>1029</v>
          </cell>
          <cell r="BR110">
            <v>1203</v>
          </cell>
          <cell r="BS110">
            <v>1109</v>
          </cell>
          <cell r="BT110">
            <v>1172</v>
          </cell>
          <cell r="BU110">
            <v>1056</v>
          </cell>
          <cell r="BV110">
            <v>1108</v>
          </cell>
          <cell r="BW110">
            <v>1172</v>
          </cell>
          <cell r="BX110">
            <v>1108</v>
          </cell>
          <cell r="BY110">
            <v>956</v>
          </cell>
          <cell r="BZ110">
            <v>1104</v>
          </cell>
          <cell r="CA110">
            <v>1179</v>
          </cell>
          <cell r="CB110">
            <v>1122</v>
          </cell>
          <cell r="CC110">
            <v>1137</v>
          </cell>
          <cell r="CD110">
            <v>814</v>
          </cell>
          <cell r="CE110">
            <v>897</v>
          </cell>
          <cell r="CF110">
            <v>1107</v>
          </cell>
          <cell r="CG110">
            <v>1143</v>
          </cell>
          <cell r="CH110">
            <v>1079</v>
          </cell>
          <cell r="CI110">
            <v>1142</v>
          </cell>
          <cell r="CJ110">
            <v>1139</v>
          </cell>
          <cell r="CK110">
            <v>1111</v>
          </cell>
          <cell r="CL110">
            <v>1058</v>
          </cell>
          <cell r="CM110">
            <v>1096</v>
          </cell>
          <cell r="CN110">
            <v>1202</v>
          </cell>
          <cell r="CO110">
            <v>1101</v>
          </cell>
          <cell r="CP110">
            <v>1137</v>
          </cell>
          <cell r="CQ110">
            <v>963</v>
          </cell>
          <cell r="CR110">
            <v>1116</v>
          </cell>
          <cell r="CS110">
            <v>1072</v>
          </cell>
          <cell r="CT110">
            <v>1029</v>
          </cell>
          <cell r="CU110">
            <v>1003</v>
          </cell>
          <cell r="CV110">
            <v>1112</v>
          </cell>
          <cell r="CW110">
            <v>1041</v>
          </cell>
          <cell r="CX110">
            <v>1011</v>
          </cell>
          <cell r="CY110">
            <v>1047</v>
          </cell>
          <cell r="CZ110">
            <v>878</v>
          </cell>
          <cell r="DA110">
            <v>1167</v>
          </cell>
          <cell r="DB110">
            <v>1018</v>
          </cell>
          <cell r="DC110">
            <v>978</v>
          </cell>
          <cell r="DD110">
            <v>979</v>
          </cell>
          <cell r="DE110">
            <v>886</v>
          </cell>
          <cell r="DF110">
            <v>1083</v>
          </cell>
          <cell r="DG110">
            <v>962</v>
          </cell>
          <cell r="DH110">
            <v>993</v>
          </cell>
          <cell r="DI110">
            <v>998</v>
          </cell>
          <cell r="DJ110">
            <v>997</v>
          </cell>
          <cell r="DK110">
            <v>1051</v>
          </cell>
          <cell r="DL110">
            <v>956</v>
          </cell>
          <cell r="DM110">
            <v>996</v>
          </cell>
          <cell r="DN110">
            <v>1073</v>
          </cell>
          <cell r="DO110">
            <v>1118</v>
          </cell>
          <cell r="DP110">
            <v>1172</v>
          </cell>
          <cell r="DQ110">
            <v>1064</v>
          </cell>
          <cell r="DR110">
            <v>1107</v>
          </cell>
          <cell r="DS110">
            <v>981</v>
          </cell>
          <cell r="DT110">
            <v>992</v>
          </cell>
          <cell r="DU110">
            <v>926</v>
          </cell>
          <cell r="DV110">
            <v>1027</v>
          </cell>
          <cell r="DW110">
            <v>1087</v>
          </cell>
          <cell r="DX110">
            <v>989</v>
          </cell>
          <cell r="DY110">
            <v>1056</v>
          </cell>
          <cell r="DZ110">
            <v>833</v>
          </cell>
          <cell r="EA110">
            <v>1150</v>
          </cell>
          <cell r="EB110">
            <v>1084</v>
          </cell>
          <cell r="EC110">
            <v>1108</v>
          </cell>
          <cell r="ED110">
            <v>763</v>
          </cell>
          <cell r="EE110">
            <v>919</v>
          </cell>
          <cell r="EF110">
            <v>1122</v>
          </cell>
          <cell r="EG110">
            <v>1019</v>
          </cell>
          <cell r="EH110">
            <v>956</v>
          </cell>
          <cell r="EI110">
            <v>1031</v>
          </cell>
          <cell r="EJ110">
            <v>1040</v>
          </cell>
          <cell r="EK110">
            <v>1054</v>
          </cell>
          <cell r="EL110">
            <v>990</v>
          </cell>
          <cell r="EM110">
            <v>1021</v>
          </cell>
          <cell r="EN110">
            <v>1088</v>
          </cell>
          <cell r="EO110">
            <v>1080</v>
          </cell>
          <cell r="EP110">
            <v>1065</v>
          </cell>
          <cell r="EQ110">
            <v>1049</v>
          </cell>
          <cell r="ER110">
            <v>985</v>
          </cell>
          <cell r="ES110">
            <v>1070</v>
          </cell>
          <cell r="ET110">
            <v>1053</v>
          </cell>
          <cell r="EU110">
            <v>979</v>
          </cell>
          <cell r="EV110">
            <v>1097</v>
          </cell>
          <cell r="EW110">
            <v>1121</v>
          </cell>
          <cell r="EX110">
            <v>1094</v>
          </cell>
          <cell r="EY110">
            <v>1038</v>
          </cell>
          <cell r="EZ110">
            <v>909</v>
          </cell>
          <cell r="FA110">
            <v>944</v>
          </cell>
          <cell r="FB110">
            <v>989</v>
          </cell>
          <cell r="FC110">
            <v>982</v>
          </cell>
          <cell r="FD110">
            <v>886</v>
          </cell>
          <cell r="FE110">
            <v>965</v>
          </cell>
          <cell r="FF110">
            <v>862</v>
          </cell>
          <cell r="FG110">
            <v>945</v>
          </cell>
          <cell r="FH110">
            <v>805</v>
          </cell>
          <cell r="FI110">
            <v>895</v>
          </cell>
          <cell r="FJ110">
            <v>1040</v>
          </cell>
          <cell r="FK110">
            <v>1079</v>
          </cell>
          <cell r="FL110">
            <v>903</v>
          </cell>
          <cell r="FM110">
            <v>974</v>
          </cell>
          <cell r="FN110">
            <v>1075</v>
          </cell>
          <cell r="FO110">
            <v>846</v>
          </cell>
          <cell r="FP110">
            <v>944</v>
          </cell>
          <cell r="FQ110">
            <v>1070</v>
          </cell>
          <cell r="FR110">
            <v>996</v>
          </cell>
          <cell r="FS110">
            <v>1009</v>
          </cell>
          <cell r="FT110">
            <v>1022</v>
          </cell>
          <cell r="FU110">
            <v>973</v>
          </cell>
          <cell r="FV110">
            <v>847</v>
          </cell>
          <cell r="FW110">
            <v>961</v>
          </cell>
          <cell r="FX110">
            <v>1042</v>
          </cell>
          <cell r="FY110">
            <v>1000</v>
          </cell>
          <cell r="FZ110">
            <v>827</v>
          </cell>
          <cell r="GA110">
            <v>1079</v>
          </cell>
          <cell r="GB110">
            <v>978</v>
          </cell>
          <cell r="GC110">
            <v>1027</v>
          </cell>
          <cell r="GD110">
            <v>814</v>
          </cell>
          <cell r="GE110">
            <v>863</v>
          </cell>
          <cell r="GF110">
            <v>1033</v>
          </cell>
          <cell r="GG110">
            <v>954</v>
          </cell>
          <cell r="GH110">
            <v>992</v>
          </cell>
          <cell r="GI110">
            <v>988</v>
          </cell>
          <cell r="GJ110">
            <v>996</v>
          </cell>
          <cell r="GK110">
            <v>1009</v>
          </cell>
          <cell r="GL110">
            <v>959</v>
          </cell>
          <cell r="GM110">
            <v>1001</v>
          </cell>
          <cell r="GN110">
            <v>1095</v>
          </cell>
        </row>
        <row r="111">
          <cell r="B111" t="str">
            <v>ZIDOVUDINE</v>
          </cell>
          <cell r="C111" t="str">
            <v xml:space="preserve">WM </v>
          </cell>
          <cell r="D111">
            <v>0</v>
          </cell>
          <cell r="E111">
            <v>0</v>
          </cell>
          <cell r="F111">
            <v>0</v>
          </cell>
          <cell r="G111">
            <v>0</v>
          </cell>
          <cell r="H111">
            <v>0</v>
          </cell>
          <cell r="I111">
            <v>0</v>
          </cell>
          <cell r="J111">
            <v>0</v>
          </cell>
          <cell r="K111">
            <v>0</v>
          </cell>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0</v>
          </cell>
          <cell r="DE111">
            <v>0</v>
          </cell>
          <cell r="DF111">
            <v>0</v>
          </cell>
          <cell r="DG111">
            <v>1</v>
          </cell>
          <cell r="DH111">
            <v>0</v>
          </cell>
          <cell r="DI111">
            <v>0</v>
          </cell>
          <cell r="DJ111">
            <v>0</v>
          </cell>
          <cell r="DK111">
            <v>0</v>
          </cell>
          <cell r="DL111">
            <v>0</v>
          </cell>
          <cell r="DM111">
            <v>0</v>
          </cell>
          <cell r="DN111">
            <v>0</v>
          </cell>
          <cell r="DO111">
            <v>0</v>
          </cell>
          <cell r="DP111">
            <v>0</v>
          </cell>
          <cell r="DQ111">
            <v>0</v>
          </cell>
          <cell r="DR111">
            <v>0</v>
          </cell>
          <cell r="DS111">
            <v>0</v>
          </cell>
          <cell r="DT111">
            <v>0</v>
          </cell>
          <cell r="DU111">
            <v>0</v>
          </cell>
          <cell r="DV111">
            <v>1</v>
          </cell>
          <cell r="DW111">
            <v>0</v>
          </cell>
          <cell r="DX111">
            <v>0</v>
          </cell>
          <cell r="DY111">
            <v>0</v>
          </cell>
          <cell r="DZ111">
            <v>0</v>
          </cell>
          <cell r="FY111">
            <v>1</v>
          </cell>
          <cell r="GA111">
            <v>1</v>
          </cell>
        </row>
        <row r="112">
          <cell r="B112" t="str">
            <v>ZIDOVUDINE TEV</v>
          </cell>
          <cell r="C112" t="str">
            <v>TEV</v>
          </cell>
          <cell r="D112">
            <v>21</v>
          </cell>
          <cell r="E112">
            <v>17</v>
          </cell>
          <cell r="F112">
            <v>36</v>
          </cell>
          <cell r="G112">
            <v>25</v>
          </cell>
          <cell r="H112">
            <v>29</v>
          </cell>
          <cell r="I112">
            <v>34</v>
          </cell>
          <cell r="J112">
            <v>37</v>
          </cell>
          <cell r="K112">
            <v>44</v>
          </cell>
          <cell r="L112">
            <v>25</v>
          </cell>
          <cell r="M112">
            <v>34</v>
          </cell>
          <cell r="N112">
            <v>33</v>
          </cell>
          <cell r="O112">
            <v>31</v>
          </cell>
          <cell r="P112">
            <v>22</v>
          </cell>
          <cell r="Q112">
            <v>40</v>
          </cell>
          <cell r="R112">
            <v>38</v>
          </cell>
          <cell r="S112">
            <v>33</v>
          </cell>
          <cell r="T112">
            <v>30</v>
          </cell>
          <cell r="U112">
            <v>35</v>
          </cell>
          <cell r="V112">
            <v>39</v>
          </cell>
          <cell r="W112">
            <v>35</v>
          </cell>
          <cell r="X112">
            <v>29</v>
          </cell>
          <cell r="Y112">
            <v>26</v>
          </cell>
          <cell r="Z112">
            <v>40</v>
          </cell>
          <cell r="AA112">
            <v>26</v>
          </cell>
          <cell r="AB112">
            <v>27</v>
          </cell>
          <cell r="AC112">
            <v>44</v>
          </cell>
          <cell r="AD112">
            <v>21</v>
          </cell>
          <cell r="AE112">
            <v>24</v>
          </cell>
          <cell r="AF112">
            <v>22</v>
          </cell>
          <cell r="AG112">
            <v>21</v>
          </cell>
          <cell r="AH112">
            <v>24</v>
          </cell>
          <cell r="AI112">
            <v>27</v>
          </cell>
          <cell r="AJ112">
            <v>38</v>
          </cell>
          <cell r="AK112">
            <v>20</v>
          </cell>
          <cell r="AL112">
            <v>19</v>
          </cell>
          <cell r="AM112">
            <v>18</v>
          </cell>
          <cell r="AN112">
            <v>19</v>
          </cell>
          <cell r="AO112">
            <v>14</v>
          </cell>
          <cell r="AP112">
            <v>9</v>
          </cell>
          <cell r="AQ112">
            <v>11</v>
          </cell>
          <cell r="AR112">
            <v>25</v>
          </cell>
          <cell r="AS112">
            <v>7</v>
          </cell>
          <cell r="AT112">
            <v>15</v>
          </cell>
          <cell r="AU112">
            <v>9</v>
          </cell>
          <cell r="AV112">
            <v>9</v>
          </cell>
          <cell r="AW112">
            <v>3</v>
          </cell>
          <cell r="AX112">
            <v>13</v>
          </cell>
          <cell r="AY112">
            <v>7</v>
          </cell>
          <cell r="AZ112">
            <v>6</v>
          </cell>
          <cell r="BA112">
            <v>5</v>
          </cell>
          <cell r="BB112">
            <v>5</v>
          </cell>
          <cell r="BC112">
            <v>8</v>
          </cell>
          <cell r="BD112">
            <v>11</v>
          </cell>
          <cell r="BE112">
            <v>6</v>
          </cell>
          <cell r="BF112">
            <v>5</v>
          </cell>
          <cell r="BG112">
            <v>8</v>
          </cell>
          <cell r="BH112">
            <v>1</v>
          </cell>
          <cell r="BI112">
            <v>4</v>
          </cell>
          <cell r="BJ112">
            <v>7</v>
          </cell>
          <cell r="BK112">
            <v>5</v>
          </cell>
          <cell r="BL112">
            <v>2</v>
          </cell>
          <cell r="BM112">
            <v>4</v>
          </cell>
          <cell r="BN112">
            <v>2</v>
          </cell>
          <cell r="BO112">
            <v>3</v>
          </cell>
          <cell r="BP112">
            <v>0</v>
          </cell>
          <cell r="BQ112">
            <v>2</v>
          </cell>
          <cell r="BR112">
            <v>5</v>
          </cell>
          <cell r="BS112">
            <v>4</v>
          </cell>
          <cell r="BT112">
            <v>6</v>
          </cell>
          <cell r="BU112">
            <v>12</v>
          </cell>
          <cell r="BV112">
            <v>1</v>
          </cell>
          <cell r="BW112">
            <v>3</v>
          </cell>
          <cell r="BX112">
            <v>1</v>
          </cell>
          <cell r="BY112">
            <v>2</v>
          </cell>
          <cell r="BZ112">
            <v>2</v>
          </cell>
          <cell r="CA112">
            <v>1</v>
          </cell>
          <cell r="CB112">
            <v>6</v>
          </cell>
          <cell r="CC112">
            <v>2</v>
          </cell>
          <cell r="CD112">
            <v>0</v>
          </cell>
          <cell r="CE112">
            <v>5</v>
          </cell>
          <cell r="CF112">
            <v>1</v>
          </cell>
          <cell r="CG112">
            <v>5</v>
          </cell>
          <cell r="CH112">
            <v>4</v>
          </cell>
          <cell r="CI112">
            <v>3</v>
          </cell>
          <cell r="CJ112">
            <v>0</v>
          </cell>
          <cell r="CK112">
            <v>3</v>
          </cell>
          <cell r="CL112">
            <v>1</v>
          </cell>
          <cell r="CM112">
            <v>3</v>
          </cell>
          <cell r="CN112">
            <v>3</v>
          </cell>
          <cell r="CO112">
            <v>1</v>
          </cell>
          <cell r="CP112">
            <v>0</v>
          </cell>
          <cell r="CQ112">
            <v>2</v>
          </cell>
          <cell r="CR112">
            <v>0</v>
          </cell>
          <cell r="CS112">
            <v>2</v>
          </cell>
          <cell r="CT112">
            <v>0</v>
          </cell>
          <cell r="CU112">
            <v>1</v>
          </cell>
          <cell r="CV112">
            <v>1</v>
          </cell>
          <cell r="CW112">
            <v>0</v>
          </cell>
          <cell r="CX112">
            <v>0</v>
          </cell>
          <cell r="CY112">
            <v>0</v>
          </cell>
          <cell r="CZ112">
            <v>0</v>
          </cell>
          <cell r="DA112">
            <v>0</v>
          </cell>
          <cell r="DB112">
            <v>0</v>
          </cell>
          <cell r="DC112">
            <v>4</v>
          </cell>
          <cell r="DD112">
            <v>4</v>
          </cell>
          <cell r="DE112">
            <v>0</v>
          </cell>
          <cell r="DF112">
            <v>1</v>
          </cell>
          <cell r="DG112">
            <v>3</v>
          </cell>
          <cell r="DH112">
            <v>5</v>
          </cell>
          <cell r="DI112">
            <v>0</v>
          </cell>
          <cell r="DJ112">
            <v>1</v>
          </cell>
          <cell r="DK112">
            <v>0</v>
          </cell>
          <cell r="DL112">
            <v>0</v>
          </cell>
          <cell r="DM112">
            <v>0</v>
          </cell>
          <cell r="DN112">
            <v>0</v>
          </cell>
          <cell r="DO112">
            <v>0</v>
          </cell>
          <cell r="DP112">
            <v>0</v>
          </cell>
          <cell r="DQ112">
            <v>0</v>
          </cell>
          <cell r="DR112">
            <v>0</v>
          </cell>
          <cell r="DS112">
            <v>0</v>
          </cell>
          <cell r="DT112">
            <v>0</v>
          </cell>
          <cell r="DU112">
            <v>1</v>
          </cell>
          <cell r="DV112">
            <v>0</v>
          </cell>
          <cell r="DW112">
            <v>0</v>
          </cell>
          <cell r="DX112">
            <v>0</v>
          </cell>
          <cell r="DY112">
            <v>0</v>
          </cell>
          <cell r="DZ112">
            <v>0</v>
          </cell>
          <cell r="EA112">
            <v>0</v>
          </cell>
          <cell r="EC112">
            <v>1</v>
          </cell>
          <cell r="EF112">
            <v>1</v>
          </cell>
          <cell r="EG112">
            <v>2</v>
          </cell>
          <cell r="EI112">
            <v>1</v>
          </cell>
          <cell r="FG112">
            <v>1</v>
          </cell>
        </row>
        <row r="113">
          <cell r="B113" t="str">
            <v>ZIDOVUDINE RBY</v>
          </cell>
          <cell r="C113" t="str">
            <v xml:space="preserve">BY </v>
          </cell>
          <cell r="D113">
            <v>273</v>
          </cell>
          <cell r="E113">
            <v>272</v>
          </cell>
          <cell r="F113">
            <v>282</v>
          </cell>
          <cell r="G113">
            <v>266</v>
          </cell>
          <cell r="H113">
            <v>269</v>
          </cell>
          <cell r="I113">
            <v>302</v>
          </cell>
          <cell r="J113">
            <v>265</v>
          </cell>
          <cell r="K113">
            <v>302</v>
          </cell>
          <cell r="L113">
            <v>301</v>
          </cell>
          <cell r="M113">
            <v>320</v>
          </cell>
          <cell r="N113">
            <v>273</v>
          </cell>
          <cell r="O113">
            <v>276</v>
          </cell>
          <cell r="P113">
            <v>268</v>
          </cell>
          <cell r="Q113">
            <v>321</v>
          </cell>
          <cell r="R113">
            <v>289</v>
          </cell>
          <cell r="S113">
            <v>272</v>
          </cell>
          <cell r="T113">
            <v>281</v>
          </cell>
          <cell r="U113">
            <v>294</v>
          </cell>
          <cell r="V113">
            <v>347</v>
          </cell>
          <cell r="W113">
            <v>299</v>
          </cell>
          <cell r="X113">
            <v>275</v>
          </cell>
          <cell r="Y113">
            <v>263</v>
          </cell>
          <cell r="Z113">
            <v>358</v>
          </cell>
          <cell r="AA113">
            <v>273</v>
          </cell>
          <cell r="AB113">
            <v>311</v>
          </cell>
          <cell r="AC113">
            <v>318</v>
          </cell>
          <cell r="AD113">
            <v>275</v>
          </cell>
          <cell r="AE113">
            <v>288</v>
          </cell>
          <cell r="AF113">
            <v>308</v>
          </cell>
          <cell r="AG113">
            <v>320</v>
          </cell>
          <cell r="AH113">
            <v>366</v>
          </cell>
          <cell r="AI113">
            <v>316</v>
          </cell>
          <cell r="AJ113">
            <v>302</v>
          </cell>
          <cell r="AK113">
            <v>313</v>
          </cell>
          <cell r="AL113">
            <v>303</v>
          </cell>
          <cell r="AM113">
            <v>323</v>
          </cell>
          <cell r="AN113">
            <v>376</v>
          </cell>
          <cell r="AO113">
            <v>360</v>
          </cell>
          <cell r="AP113">
            <v>319</v>
          </cell>
          <cell r="AQ113">
            <v>310</v>
          </cell>
          <cell r="AR113">
            <v>338</v>
          </cell>
          <cell r="AS113">
            <v>340</v>
          </cell>
          <cell r="AT113">
            <v>363</v>
          </cell>
          <cell r="AU113">
            <v>271</v>
          </cell>
          <cell r="AV113">
            <v>344</v>
          </cell>
          <cell r="AW113">
            <v>326</v>
          </cell>
          <cell r="AX113">
            <v>335</v>
          </cell>
          <cell r="AY113">
            <v>283</v>
          </cell>
          <cell r="AZ113">
            <v>302</v>
          </cell>
          <cell r="BA113">
            <v>314</v>
          </cell>
          <cell r="BB113">
            <v>325</v>
          </cell>
          <cell r="BC113">
            <v>270</v>
          </cell>
          <cell r="BD113">
            <v>332</v>
          </cell>
          <cell r="BE113">
            <v>283</v>
          </cell>
          <cell r="BF113">
            <v>306</v>
          </cell>
          <cell r="BG113">
            <v>315</v>
          </cell>
          <cell r="BH113">
            <v>299</v>
          </cell>
          <cell r="BI113">
            <v>364</v>
          </cell>
          <cell r="BJ113">
            <v>342</v>
          </cell>
          <cell r="BK113">
            <v>274</v>
          </cell>
          <cell r="BL113">
            <v>322</v>
          </cell>
          <cell r="BM113">
            <v>362</v>
          </cell>
          <cell r="BN113">
            <v>289</v>
          </cell>
          <cell r="BO113">
            <v>390</v>
          </cell>
          <cell r="BP113">
            <v>336</v>
          </cell>
          <cell r="BQ113">
            <v>342</v>
          </cell>
          <cell r="BR113">
            <v>367</v>
          </cell>
          <cell r="BS113">
            <v>327</v>
          </cell>
          <cell r="BT113">
            <v>362</v>
          </cell>
          <cell r="BU113">
            <v>331</v>
          </cell>
          <cell r="BV113">
            <v>367</v>
          </cell>
          <cell r="BW113">
            <v>341</v>
          </cell>
          <cell r="BX113">
            <v>370</v>
          </cell>
          <cell r="BY113">
            <v>291</v>
          </cell>
          <cell r="BZ113">
            <v>333</v>
          </cell>
          <cell r="CA113">
            <v>335</v>
          </cell>
          <cell r="CB113">
            <v>350</v>
          </cell>
          <cell r="CC113">
            <v>351</v>
          </cell>
          <cell r="CD113">
            <v>286</v>
          </cell>
          <cell r="CE113">
            <v>267</v>
          </cell>
          <cell r="CF113">
            <v>310</v>
          </cell>
          <cell r="CG113">
            <v>319</v>
          </cell>
          <cell r="CH113">
            <v>330</v>
          </cell>
          <cell r="CI113">
            <v>333</v>
          </cell>
          <cell r="CJ113">
            <v>336</v>
          </cell>
          <cell r="CK113">
            <v>340</v>
          </cell>
          <cell r="CL113">
            <v>342</v>
          </cell>
          <cell r="CM113">
            <v>383</v>
          </cell>
          <cell r="CN113">
            <v>392</v>
          </cell>
          <cell r="CO113">
            <v>371</v>
          </cell>
          <cell r="CP113">
            <v>359</v>
          </cell>
          <cell r="CQ113">
            <v>313</v>
          </cell>
          <cell r="CR113">
            <v>317</v>
          </cell>
          <cell r="CS113">
            <v>350</v>
          </cell>
          <cell r="CT113">
            <v>315</v>
          </cell>
          <cell r="CU113">
            <v>320</v>
          </cell>
          <cell r="CV113">
            <v>329</v>
          </cell>
          <cell r="CW113">
            <v>326</v>
          </cell>
          <cell r="CX113">
            <v>352</v>
          </cell>
          <cell r="CY113">
            <v>298</v>
          </cell>
          <cell r="CZ113">
            <v>303</v>
          </cell>
          <cell r="DA113">
            <v>348</v>
          </cell>
          <cell r="DB113">
            <v>329</v>
          </cell>
          <cell r="DC113">
            <v>289</v>
          </cell>
          <cell r="DD113">
            <v>329</v>
          </cell>
          <cell r="DE113">
            <v>295</v>
          </cell>
          <cell r="DF113">
            <v>344</v>
          </cell>
          <cell r="DG113">
            <v>343</v>
          </cell>
          <cell r="DH113">
            <v>312</v>
          </cell>
          <cell r="DI113">
            <v>316</v>
          </cell>
          <cell r="DJ113">
            <v>329</v>
          </cell>
          <cell r="DK113">
            <v>329</v>
          </cell>
          <cell r="DL113">
            <v>291</v>
          </cell>
          <cell r="DM113">
            <v>293</v>
          </cell>
          <cell r="DN113">
            <v>293</v>
          </cell>
          <cell r="DO113">
            <v>335</v>
          </cell>
          <cell r="DP113">
            <v>320</v>
          </cell>
          <cell r="DQ113">
            <v>286</v>
          </cell>
          <cell r="DR113">
            <v>268</v>
          </cell>
          <cell r="DS113">
            <v>252</v>
          </cell>
          <cell r="DT113">
            <v>249</v>
          </cell>
          <cell r="DU113">
            <v>232</v>
          </cell>
          <cell r="DV113">
            <v>248</v>
          </cell>
          <cell r="DW113">
            <v>218</v>
          </cell>
          <cell r="DX113">
            <v>192</v>
          </cell>
          <cell r="DY113">
            <v>176</v>
          </cell>
          <cell r="DZ113">
            <v>144</v>
          </cell>
          <cell r="EA113">
            <v>211</v>
          </cell>
          <cell r="EB113">
            <v>134</v>
          </cell>
          <cell r="EC113">
            <v>105</v>
          </cell>
          <cell r="ED113">
            <v>125</v>
          </cell>
          <cell r="EE113">
            <v>118</v>
          </cell>
          <cell r="EF113">
            <v>111</v>
          </cell>
          <cell r="EG113">
            <v>96</v>
          </cell>
          <cell r="EH113">
            <v>94</v>
          </cell>
          <cell r="EI113">
            <v>111</v>
          </cell>
          <cell r="EJ113">
            <v>104</v>
          </cell>
          <cell r="EK113">
            <v>93</v>
          </cell>
          <cell r="EL113">
            <v>92</v>
          </cell>
          <cell r="EM113">
            <v>80</v>
          </cell>
          <cell r="EN113">
            <v>98</v>
          </cell>
          <cell r="EO113">
            <v>65</v>
          </cell>
          <cell r="EP113">
            <v>80</v>
          </cell>
          <cell r="EQ113">
            <v>78</v>
          </cell>
          <cell r="ER113">
            <v>70</v>
          </cell>
          <cell r="ES113">
            <v>64</v>
          </cell>
          <cell r="ET113">
            <v>41</v>
          </cell>
          <cell r="EU113">
            <v>67</v>
          </cell>
          <cell r="EV113">
            <v>62</v>
          </cell>
          <cell r="EW113">
            <v>52</v>
          </cell>
          <cell r="EX113">
            <v>73</v>
          </cell>
          <cell r="EY113">
            <v>64</v>
          </cell>
          <cell r="EZ113">
            <v>69</v>
          </cell>
          <cell r="FA113">
            <v>70</v>
          </cell>
          <cell r="FB113">
            <v>62</v>
          </cell>
          <cell r="FC113">
            <v>64</v>
          </cell>
          <cell r="FD113">
            <v>60</v>
          </cell>
          <cell r="FE113">
            <v>61</v>
          </cell>
          <cell r="FF113">
            <v>47</v>
          </cell>
          <cell r="FG113">
            <v>45</v>
          </cell>
          <cell r="FH113">
            <v>73</v>
          </cell>
          <cell r="FI113">
            <v>54</v>
          </cell>
          <cell r="FJ113">
            <v>71</v>
          </cell>
          <cell r="FK113">
            <v>41</v>
          </cell>
          <cell r="FL113">
            <v>55</v>
          </cell>
          <cell r="FM113">
            <v>45</v>
          </cell>
          <cell r="FN113">
            <v>50</v>
          </cell>
          <cell r="FO113">
            <v>36</v>
          </cell>
          <cell r="FP113">
            <v>36</v>
          </cell>
          <cell r="FQ113">
            <v>50</v>
          </cell>
          <cell r="FR113">
            <v>34</v>
          </cell>
          <cell r="FS113">
            <v>41</v>
          </cell>
          <cell r="FT113">
            <v>27</v>
          </cell>
          <cell r="FU113">
            <v>33</v>
          </cell>
          <cell r="FV113">
            <v>28</v>
          </cell>
          <cell r="FW113">
            <v>28</v>
          </cell>
          <cell r="FX113">
            <v>17</v>
          </cell>
          <cell r="FY113">
            <v>26</v>
          </cell>
          <cell r="FZ113">
            <v>35</v>
          </cell>
          <cell r="GA113">
            <v>28</v>
          </cell>
          <cell r="GB113">
            <v>26</v>
          </cell>
          <cell r="GC113">
            <v>32</v>
          </cell>
          <cell r="GD113">
            <v>23</v>
          </cell>
          <cell r="GE113">
            <v>32</v>
          </cell>
          <cell r="GF113">
            <v>32</v>
          </cell>
          <cell r="GG113">
            <v>25</v>
          </cell>
          <cell r="GH113">
            <v>35</v>
          </cell>
          <cell r="GI113">
            <v>26</v>
          </cell>
          <cell r="GJ113">
            <v>37</v>
          </cell>
          <cell r="GK113">
            <v>37</v>
          </cell>
          <cell r="GL113">
            <v>25</v>
          </cell>
          <cell r="GM113">
            <v>26</v>
          </cell>
          <cell r="GN113">
            <v>18</v>
          </cell>
        </row>
        <row r="114">
          <cell r="B114" t="str">
            <v>ZIDOVUDINE ROX</v>
          </cell>
          <cell r="C114" t="str">
            <v xml:space="preserve">OX </v>
          </cell>
          <cell r="D114">
            <v>79</v>
          </cell>
          <cell r="E114">
            <v>50</v>
          </cell>
          <cell r="F114">
            <v>53</v>
          </cell>
          <cell r="G114">
            <v>53</v>
          </cell>
          <cell r="H114">
            <v>66</v>
          </cell>
          <cell r="I114">
            <v>55</v>
          </cell>
          <cell r="J114">
            <v>47</v>
          </cell>
          <cell r="K114">
            <v>62</v>
          </cell>
          <cell r="L114">
            <v>47</v>
          </cell>
          <cell r="M114">
            <v>58</v>
          </cell>
          <cell r="N114">
            <v>46</v>
          </cell>
          <cell r="O114">
            <v>53</v>
          </cell>
          <cell r="P114">
            <v>44</v>
          </cell>
          <cell r="Q114">
            <v>70</v>
          </cell>
          <cell r="R114">
            <v>61</v>
          </cell>
          <cell r="S114">
            <v>65</v>
          </cell>
          <cell r="T114">
            <v>71</v>
          </cell>
          <cell r="U114">
            <v>67</v>
          </cell>
          <cell r="V114">
            <v>62</v>
          </cell>
          <cell r="W114">
            <v>38</v>
          </cell>
          <cell r="X114">
            <v>39</v>
          </cell>
          <cell r="Y114">
            <v>65</v>
          </cell>
          <cell r="Z114">
            <v>65</v>
          </cell>
          <cell r="AA114">
            <v>41</v>
          </cell>
          <cell r="AB114">
            <v>64</v>
          </cell>
          <cell r="AC114">
            <v>73</v>
          </cell>
          <cell r="AD114">
            <v>67</v>
          </cell>
          <cell r="AE114">
            <v>55</v>
          </cell>
          <cell r="AF114">
            <v>52</v>
          </cell>
          <cell r="AG114">
            <v>66</v>
          </cell>
          <cell r="AH114">
            <v>65</v>
          </cell>
          <cell r="AI114">
            <v>61</v>
          </cell>
          <cell r="AJ114">
            <v>65</v>
          </cell>
          <cell r="AK114">
            <v>71</v>
          </cell>
          <cell r="AL114">
            <v>62</v>
          </cell>
          <cell r="AM114">
            <v>41</v>
          </cell>
          <cell r="AN114">
            <v>62</v>
          </cell>
          <cell r="AO114">
            <v>54</v>
          </cell>
          <cell r="AP114">
            <v>76</v>
          </cell>
          <cell r="AQ114">
            <v>37</v>
          </cell>
          <cell r="AR114">
            <v>62</v>
          </cell>
          <cell r="AS114">
            <v>60</v>
          </cell>
          <cell r="AT114">
            <v>59</v>
          </cell>
          <cell r="AU114">
            <v>50</v>
          </cell>
          <cell r="AV114">
            <v>64</v>
          </cell>
          <cell r="AW114">
            <v>64</v>
          </cell>
          <cell r="AX114">
            <v>75</v>
          </cell>
          <cell r="AY114">
            <v>65</v>
          </cell>
          <cell r="AZ114">
            <v>55</v>
          </cell>
          <cell r="BA114">
            <v>76</v>
          </cell>
          <cell r="BB114">
            <v>49</v>
          </cell>
          <cell r="BC114">
            <v>51</v>
          </cell>
          <cell r="BD114">
            <v>67</v>
          </cell>
          <cell r="BE114">
            <v>45</v>
          </cell>
          <cell r="BF114">
            <v>44</v>
          </cell>
          <cell r="BG114">
            <v>41</v>
          </cell>
          <cell r="BH114">
            <v>39</v>
          </cell>
          <cell r="BI114">
            <v>52</v>
          </cell>
          <cell r="BJ114">
            <v>71</v>
          </cell>
          <cell r="BK114">
            <v>53</v>
          </cell>
          <cell r="BL114">
            <v>49</v>
          </cell>
          <cell r="BM114">
            <v>30</v>
          </cell>
          <cell r="BN114">
            <v>66</v>
          </cell>
          <cell r="BO114">
            <v>46</v>
          </cell>
          <cell r="BP114">
            <v>46</v>
          </cell>
          <cell r="BQ114">
            <v>25</v>
          </cell>
          <cell r="BR114">
            <v>43</v>
          </cell>
          <cell r="BS114">
            <v>35</v>
          </cell>
          <cell r="BT114">
            <v>64</v>
          </cell>
          <cell r="BU114">
            <v>54</v>
          </cell>
          <cell r="BV114">
            <v>40</v>
          </cell>
          <cell r="BW114">
            <v>37</v>
          </cell>
          <cell r="BX114">
            <v>37</v>
          </cell>
          <cell r="BY114">
            <v>49</v>
          </cell>
          <cell r="BZ114">
            <v>48</v>
          </cell>
          <cell r="CA114">
            <v>48</v>
          </cell>
          <cell r="CB114">
            <v>52</v>
          </cell>
          <cell r="CC114">
            <v>103</v>
          </cell>
          <cell r="CD114">
            <v>38</v>
          </cell>
          <cell r="CE114">
            <v>39</v>
          </cell>
          <cell r="CF114">
            <v>67</v>
          </cell>
          <cell r="CG114">
            <v>91</v>
          </cell>
          <cell r="CH114">
            <v>48</v>
          </cell>
          <cell r="CI114">
            <v>47</v>
          </cell>
          <cell r="CJ114">
            <v>56</v>
          </cell>
          <cell r="CK114">
            <v>41</v>
          </cell>
          <cell r="CL114">
            <v>42</v>
          </cell>
          <cell r="CM114">
            <v>53</v>
          </cell>
          <cell r="CN114">
            <v>67</v>
          </cell>
          <cell r="CO114">
            <v>61</v>
          </cell>
          <cell r="CP114">
            <v>47</v>
          </cell>
          <cell r="CQ114">
            <v>37</v>
          </cell>
          <cell r="CR114">
            <v>46</v>
          </cell>
          <cell r="CS114">
            <v>36</v>
          </cell>
          <cell r="CT114">
            <v>45</v>
          </cell>
          <cell r="CU114">
            <v>41</v>
          </cell>
          <cell r="CV114">
            <v>47</v>
          </cell>
          <cell r="CW114">
            <v>47</v>
          </cell>
          <cell r="CX114">
            <v>32</v>
          </cell>
          <cell r="CY114">
            <v>50</v>
          </cell>
          <cell r="CZ114">
            <v>36</v>
          </cell>
          <cell r="DA114">
            <v>34</v>
          </cell>
          <cell r="DB114">
            <v>57</v>
          </cell>
          <cell r="DC114">
            <v>36</v>
          </cell>
          <cell r="DD114">
            <v>33</v>
          </cell>
          <cell r="DE114">
            <v>42</v>
          </cell>
          <cell r="DF114">
            <v>57</v>
          </cell>
          <cell r="DG114">
            <v>34</v>
          </cell>
          <cell r="DH114">
            <v>49</v>
          </cell>
          <cell r="DI114">
            <v>38</v>
          </cell>
          <cell r="DJ114">
            <v>37</v>
          </cell>
          <cell r="DK114">
            <v>65</v>
          </cell>
          <cell r="DL114">
            <v>67</v>
          </cell>
          <cell r="DM114">
            <v>52</v>
          </cell>
          <cell r="DN114">
            <v>42</v>
          </cell>
          <cell r="DO114">
            <v>75</v>
          </cell>
          <cell r="DP114">
            <v>89</v>
          </cell>
          <cell r="DQ114">
            <v>99</v>
          </cell>
          <cell r="DR114">
            <v>123</v>
          </cell>
          <cell r="DS114">
            <v>164</v>
          </cell>
          <cell r="DT114">
            <v>167</v>
          </cell>
          <cell r="DU114">
            <v>204</v>
          </cell>
          <cell r="DV114">
            <v>161</v>
          </cell>
          <cell r="DW114">
            <v>196</v>
          </cell>
          <cell r="DX114">
            <v>201</v>
          </cell>
          <cell r="DY114">
            <v>170</v>
          </cell>
          <cell r="DZ114">
            <v>151</v>
          </cell>
          <cell r="EA114">
            <v>218</v>
          </cell>
          <cell r="EB114">
            <v>247</v>
          </cell>
          <cell r="EC114">
            <v>268</v>
          </cell>
          <cell r="ED114">
            <v>203</v>
          </cell>
          <cell r="EE114">
            <v>229</v>
          </cell>
          <cell r="EF114">
            <v>326</v>
          </cell>
          <cell r="EG114">
            <v>320</v>
          </cell>
          <cell r="EH114">
            <v>252</v>
          </cell>
          <cell r="EI114">
            <v>224</v>
          </cell>
          <cell r="EJ114">
            <v>279</v>
          </cell>
          <cell r="EK114">
            <v>267</v>
          </cell>
          <cell r="EL114">
            <v>271</v>
          </cell>
          <cell r="EM114">
            <v>214</v>
          </cell>
          <cell r="EN114">
            <v>253</v>
          </cell>
          <cell r="EO114">
            <v>233</v>
          </cell>
          <cell r="EP114">
            <v>244</v>
          </cell>
          <cell r="EQ114">
            <v>256</v>
          </cell>
          <cell r="ER114">
            <v>242</v>
          </cell>
          <cell r="ES114">
            <v>231</v>
          </cell>
          <cell r="ET114">
            <v>240</v>
          </cell>
          <cell r="EU114">
            <v>250</v>
          </cell>
          <cell r="EV114">
            <v>272</v>
          </cell>
          <cell r="EW114">
            <v>223</v>
          </cell>
          <cell r="EX114">
            <v>226</v>
          </cell>
          <cell r="EY114">
            <v>249</v>
          </cell>
          <cell r="EZ114">
            <v>233</v>
          </cell>
          <cell r="FA114">
            <v>253</v>
          </cell>
          <cell r="FB114">
            <v>239</v>
          </cell>
          <cell r="FC114">
            <v>231</v>
          </cell>
          <cell r="FD114">
            <v>272</v>
          </cell>
          <cell r="FE114">
            <v>221</v>
          </cell>
          <cell r="FF114">
            <v>226</v>
          </cell>
          <cell r="FG114">
            <v>197</v>
          </cell>
          <cell r="FH114">
            <v>182</v>
          </cell>
          <cell r="FI114">
            <v>207</v>
          </cell>
          <cell r="FJ114">
            <v>236</v>
          </cell>
          <cell r="FK114">
            <v>226</v>
          </cell>
          <cell r="FL114">
            <v>239</v>
          </cell>
          <cell r="FM114">
            <v>184</v>
          </cell>
          <cell r="FN114">
            <v>238</v>
          </cell>
          <cell r="FO114">
            <v>200</v>
          </cell>
          <cell r="FP114">
            <v>249</v>
          </cell>
          <cell r="FQ114">
            <v>265</v>
          </cell>
          <cell r="FR114">
            <v>279</v>
          </cell>
          <cell r="FS114">
            <v>266</v>
          </cell>
          <cell r="FT114">
            <v>238</v>
          </cell>
          <cell r="FU114">
            <v>273</v>
          </cell>
          <cell r="FV114">
            <v>234</v>
          </cell>
          <cell r="FW114">
            <v>233</v>
          </cell>
          <cell r="FX114">
            <v>287</v>
          </cell>
          <cell r="FY114">
            <v>236</v>
          </cell>
          <cell r="FZ114">
            <v>204</v>
          </cell>
          <cell r="GA114">
            <v>287</v>
          </cell>
          <cell r="GB114">
            <v>253</v>
          </cell>
          <cell r="GC114">
            <v>232</v>
          </cell>
          <cell r="GD114">
            <v>181</v>
          </cell>
          <cell r="GE114">
            <v>249</v>
          </cell>
          <cell r="GF114">
            <v>260</v>
          </cell>
          <cell r="GG114">
            <v>249</v>
          </cell>
          <cell r="GH114">
            <v>224</v>
          </cell>
          <cell r="GI114">
            <v>244</v>
          </cell>
          <cell r="GJ114">
            <v>266</v>
          </cell>
          <cell r="GK114">
            <v>212</v>
          </cell>
          <cell r="GL114">
            <v>234</v>
          </cell>
          <cell r="GM114">
            <v>229</v>
          </cell>
          <cell r="GN114">
            <v>269</v>
          </cell>
        </row>
        <row r="115">
          <cell r="B115" t="str">
            <v>ZIDOVUDINE AOB</v>
          </cell>
          <cell r="C115" t="str">
            <v xml:space="preserve">OB </v>
          </cell>
          <cell r="D115">
            <v>148</v>
          </cell>
          <cell r="E115">
            <v>118</v>
          </cell>
          <cell r="F115">
            <v>152</v>
          </cell>
          <cell r="G115">
            <v>170</v>
          </cell>
          <cell r="H115">
            <v>147</v>
          </cell>
          <cell r="I115">
            <v>187</v>
          </cell>
          <cell r="J115">
            <v>199</v>
          </cell>
          <cell r="K115">
            <v>184</v>
          </cell>
          <cell r="L115">
            <v>202</v>
          </cell>
          <cell r="M115">
            <v>161</v>
          </cell>
          <cell r="N115">
            <v>167</v>
          </cell>
          <cell r="O115">
            <v>201</v>
          </cell>
          <cell r="P115">
            <v>191</v>
          </cell>
          <cell r="Q115">
            <v>170</v>
          </cell>
          <cell r="R115">
            <v>184</v>
          </cell>
          <cell r="S115">
            <v>181</v>
          </cell>
          <cell r="T115">
            <v>199</v>
          </cell>
          <cell r="U115">
            <v>204</v>
          </cell>
          <cell r="V115">
            <v>225</v>
          </cell>
          <cell r="W115">
            <v>191</v>
          </cell>
          <cell r="X115">
            <v>205</v>
          </cell>
          <cell r="Y115">
            <v>206</v>
          </cell>
          <cell r="Z115">
            <v>189</v>
          </cell>
          <cell r="AA115">
            <v>162</v>
          </cell>
          <cell r="AB115">
            <v>237</v>
          </cell>
          <cell r="AC115">
            <v>234</v>
          </cell>
          <cell r="AD115">
            <v>151</v>
          </cell>
          <cell r="AE115">
            <v>175</v>
          </cell>
          <cell r="AF115">
            <v>246</v>
          </cell>
          <cell r="AG115">
            <v>223</v>
          </cell>
          <cell r="AH115">
            <v>183</v>
          </cell>
          <cell r="AI115">
            <v>210</v>
          </cell>
          <cell r="AJ115">
            <v>224</v>
          </cell>
          <cell r="AK115">
            <v>215</v>
          </cell>
          <cell r="AL115">
            <v>231</v>
          </cell>
          <cell r="AM115">
            <v>226</v>
          </cell>
          <cell r="AN115">
            <v>272</v>
          </cell>
          <cell r="AO115">
            <v>254</v>
          </cell>
          <cell r="AP115">
            <v>279</v>
          </cell>
          <cell r="AQ115">
            <v>228</v>
          </cell>
          <cell r="AR115">
            <v>231</v>
          </cell>
          <cell r="AS115">
            <v>201</v>
          </cell>
          <cell r="AT115">
            <v>232</v>
          </cell>
          <cell r="AU115">
            <v>280</v>
          </cell>
          <cell r="AV115">
            <v>235</v>
          </cell>
          <cell r="AW115">
            <v>244</v>
          </cell>
          <cell r="AX115">
            <v>224</v>
          </cell>
          <cell r="AY115">
            <v>237</v>
          </cell>
          <cell r="AZ115">
            <v>190</v>
          </cell>
          <cell r="BA115">
            <v>286</v>
          </cell>
          <cell r="BB115">
            <v>233</v>
          </cell>
          <cell r="BC115">
            <v>230</v>
          </cell>
          <cell r="BD115">
            <v>279</v>
          </cell>
          <cell r="BE115">
            <v>269</v>
          </cell>
          <cell r="BF115">
            <v>261</v>
          </cell>
          <cell r="BG115">
            <v>247</v>
          </cell>
          <cell r="BH115">
            <v>253</v>
          </cell>
          <cell r="BI115">
            <v>259</v>
          </cell>
          <cell r="BJ115">
            <v>271</v>
          </cell>
          <cell r="BK115">
            <v>292</v>
          </cell>
          <cell r="BL115">
            <v>249</v>
          </cell>
          <cell r="BM115">
            <v>241</v>
          </cell>
          <cell r="BN115">
            <v>239</v>
          </cell>
          <cell r="BO115">
            <v>261</v>
          </cell>
          <cell r="BP115">
            <v>295</v>
          </cell>
          <cell r="BQ115">
            <v>272</v>
          </cell>
          <cell r="BR115">
            <v>237</v>
          </cell>
          <cell r="BS115">
            <v>292</v>
          </cell>
          <cell r="BT115">
            <v>236</v>
          </cell>
          <cell r="BU115">
            <v>279</v>
          </cell>
          <cell r="BV115">
            <v>277</v>
          </cell>
          <cell r="BW115">
            <v>298</v>
          </cell>
          <cell r="BX115">
            <v>252</v>
          </cell>
          <cell r="BY115">
            <v>238</v>
          </cell>
          <cell r="BZ115">
            <v>274</v>
          </cell>
          <cell r="CA115">
            <v>224</v>
          </cell>
          <cell r="CB115">
            <v>279</v>
          </cell>
          <cell r="CC115">
            <v>256</v>
          </cell>
          <cell r="CD115">
            <v>198</v>
          </cell>
          <cell r="CE115">
            <v>220</v>
          </cell>
          <cell r="CF115">
            <v>257</v>
          </cell>
          <cell r="CG115">
            <v>316</v>
          </cell>
          <cell r="CH115">
            <v>281</v>
          </cell>
          <cell r="CI115">
            <v>236</v>
          </cell>
          <cell r="CJ115">
            <v>249</v>
          </cell>
          <cell r="CK115">
            <v>263</v>
          </cell>
          <cell r="CL115">
            <v>238</v>
          </cell>
          <cell r="CM115">
            <v>262</v>
          </cell>
          <cell r="CN115">
            <v>298</v>
          </cell>
          <cell r="CO115">
            <v>234</v>
          </cell>
          <cell r="CP115">
            <v>275</v>
          </cell>
          <cell r="CQ115">
            <v>241</v>
          </cell>
          <cell r="CR115">
            <v>234</v>
          </cell>
          <cell r="CS115">
            <v>271</v>
          </cell>
          <cell r="CT115">
            <v>236</v>
          </cell>
          <cell r="CU115">
            <v>270</v>
          </cell>
          <cell r="CV115">
            <v>245</v>
          </cell>
          <cell r="CW115">
            <v>262</v>
          </cell>
          <cell r="CX115">
            <v>230</v>
          </cell>
          <cell r="CY115">
            <v>280</v>
          </cell>
          <cell r="CZ115">
            <v>240</v>
          </cell>
          <cell r="DA115">
            <v>295</v>
          </cell>
          <cell r="DB115">
            <v>277</v>
          </cell>
          <cell r="DC115">
            <v>265</v>
          </cell>
          <cell r="DD115">
            <v>232</v>
          </cell>
          <cell r="DE115">
            <v>252</v>
          </cell>
          <cell r="DF115">
            <v>283</v>
          </cell>
          <cell r="DG115">
            <v>296</v>
          </cell>
          <cell r="DH115">
            <v>290</v>
          </cell>
          <cell r="DI115">
            <v>261</v>
          </cell>
          <cell r="DJ115">
            <v>276</v>
          </cell>
          <cell r="DK115">
            <v>256</v>
          </cell>
          <cell r="DL115">
            <v>284</v>
          </cell>
          <cell r="DM115">
            <v>287</v>
          </cell>
          <cell r="DN115">
            <v>246</v>
          </cell>
          <cell r="DO115">
            <v>303</v>
          </cell>
          <cell r="DP115">
            <v>276</v>
          </cell>
          <cell r="DQ115">
            <v>263</v>
          </cell>
          <cell r="DR115">
            <v>304</v>
          </cell>
          <cell r="DS115">
            <v>262</v>
          </cell>
          <cell r="DT115">
            <v>249</v>
          </cell>
          <cell r="DU115">
            <v>270</v>
          </cell>
          <cell r="DV115">
            <v>252</v>
          </cell>
          <cell r="DW115">
            <v>264</v>
          </cell>
          <cell r="DX115">
            <v>292</v>
          </cell>
          <cell r="DY115">
            <v>278</v>
          </cell>
          <cell r="DZ115">
            <v>244</v>
          </cell>
          <cell r="EA115">
            <v>266</v>
          </cell>
          <cell r="EB115">
            <v>312</v>
          </cell>
          <cell r="EC115">
            <v>298</v>
          </cell>
          <cell r="ED115">
            <v>241</v>
          </cell>
          <cell r="EE115">
            <v>272</v>
          </cell>
          <cell r="EF115">
            <v>283</v>
          </cell>
          <cell r="EG115">
            <v>281</v>
          </cell>
          <cell r="EH115">
            <v>258</v>
          </cell>
          <cell r="EI115">
            <v>291</v>
          </cell>
          <cell r="EJ115">
            <v>281</v>
          </cell>
          <cell r="EK115">
            <v>272</v>
          </cell>
          <cell r="EL115">
            <v>254</v>
          </cell>
          <cell r="EM115">
            <v>269</v>
          </cell>
          <cell r="EN115">
            <v>303</v>
          </cell>
          <cell r="EO115">
            <v>255</v>
          </cell>
          <cell r="EP115">
            <v>250</v>
          </cell>
          <cell r="EQ115">
            <v>297</v>
          </cell>
          <cell r="ER115">
            <v>278</v>
          </cell>
          <cell r="ES115">
            <v>291</v>
          </cell>
          <cell r="ET115">
            <v>267</v>
          </cell>
          <cell r="EU115">
            <v>303</v>
          </cell>
          <cell r="EV115">
            <v>254</v>
          </cell>
          <cell r="EW115">
            <v>296</v>
          </cell>
          <cell r="EX115">
            <v>266</v>
          </cell>
          <cell r="EY115">
            <v>272</v>
          </cell>
          <cell r="EZ115">
            <v>249</v>
          </cell>
          <cell r="FA115">
            <v>238</v>
          </cell>
          <cell r="FB115">
            <v>288</v>
          </cell>
          <cell r="FC115">
            <v>258</v>
          </cell>
          <cell r="FD115">
            <v>248</v>
          </cell>
          <cell r="FE115">
            <v>261</v>
          </cell>
          <cell r="FF115">
            <v>250</v>
          </cell>
          <cell r="FG115">
            <v>266</v>
          </cell>
          <cell r="FH115">
            <v>251</v>
          </cell>
          <cell r="FI115">
            <v>291</v>
          </cell>
          <cell r="FJ115">
            <v>285</v>
          </cell>
          <cell r="FK115">
            <v>297</v>
          </cell>
          <cell r="FL115">
            <v>293</v>
          </cell>
          <cell r="FM115">
            <v>287</v>
          </cell>
          <cell r="FN115">
            <v>317</v>
          </cell>
          <cell r="FO115">
            <v>262</v>
          </cell>
          <cell r="FP115">
            <v>290</v>
          </cell>
          <cell r="FQ115">
            <v>314</v>
          </cell>
          <cell r="FR115">
            <v>252</v>
          </cell>
          <cell r="FS115">
            <v>309</v>
          </cell>
          <cell r="FT115">
            <v>276</v>
          </cell>
          <cell r="FU115">
            <v>267</v>
          </cell>
          <cell r="FV115">
            <v>283</v>
          </cell>
          <cell r="FW115">
            <v>351</v>
          </cell>
          <cell r="FX115">
            <v>277</v>
          </cell>
          <cell r="FY115">
            <v>327</v>
          </cell>
          <cell r="FZ115">
            <v>260</v>
          </cell>
          <cell r="GA115">
            <v>305</v>
          </cell>
          <cell r="GB115">
            <v>290</v>
          </cell>
          <cell r="GC115">
            <v>281</v>
          </cell>
          <cell r="GD115">
            <v>234</v>
          </cell>
          <cell r="GE115">
            <v>220</v>
          </cell>
          <cell r="GF115">
            <v>345</v>
          </cell>
          <cell r="GG115">
            <v>317</v>
          </cell>
          <cell r="GH115">
            <v>281</v>
          </cell>
          <cell r="GI115">
            <v>296</v>
          </cell>
          <cell r="GJ115">
            <v>304</v>
          </cell>
          <cell r="GK115">
            <v>290</v>
          </cell>
          <cell r="GL115">
            <v>321</v>
          </cell>
          <cell r="GM115">
            <v>276</v>
          </cell>
          <cell r="GN115">
            <v>343</v>
          </cell>
        </row>
        <row r="116">
          <cell r="B116" t="str">
            <v>ZOFRAN</v>
          </cell>
          <cell r="C116" t="str">
            <v>GSK</v>
          </cell>
          <cell r="D116">
            <v>16670</v>
          </cell>
          <cell r="E116">
            <v>14632</v>
          </cell>
          <cell r="F116">
            <v>16907</v>
          </cell>
          <cell r="G116">
            <v>16428</v>
          </cell>
          <cell r="H116">
            <v>16157</v>
          </cell>
          <cell r="I116">
            <v>16317</v>
          </cell>
          <cell r="J116">
            <v>16386</v>
          </cell>
          <cell r="K116">
            <v>16490</v>
          </cell>
          <cell r="L116">
            <v>16660</v>
          </cell>
          <cell r="M116">
            <v>17314</v>
          </cell>
          <cell r="N116">
            <v>15614</v>
          </cell>
          <cell r="O116">
            <v>17246</v>
          </cell>
          <cell r="P116">
            <v>16845</v>
          </cell>
          <cell r="Q116">
            <v>16827</v>
          </cell>
          <cell r="R116">
            <v>17245</v>
          </cell>
          <cell r="S116">
            <v>16907</v>
          </cell>
          <cell r="T116">
            <v>17093</v>
          </cell>
          <cell r="U116">
            <v>17071</v>
          </cell>
          <cell r="V116">
            <v>17472</v>
          </cell>
          <cell r="W116">
            <v>17833</v>
          </cell>
          <cell r="X116">
            <v>18666</v>
          </cell>
          <cell r="Y116">
            <v>15665</v>
          </cell>
          <cell r="Z116">
            <v>18775</v>
          </cell>
          <cell r="AA116">
            <v>18149</v>
          </cell>
          <cell r="AB116">
            <v>18710</v>
          </cell>
          <cell r="AC116">
            <v>19244</v>
          </cell>
          <cell r="AD116">
            <v>16602</v>
          </cell>
          <cell r="AE116">
            <v>12550</v>
          </cell>
          <cell r="AF116">
            <v>7048</v>
          </cell>
          <cell r="AG116">
            <v>5410</v>
          </cell>
          <cell r="AH116">
            <v>4554</v>
          </cell>
          <cell r="AI116">
            <v>3909</v>
          </cell>
          <cell r="AJ116">
            <v>3333</v>
          </cell>
          <cell r="AK116">
            <v>2960</v>
          </cell>
          <cell r="AL116">
            <v>2671</v>
          </cell>
          <cell r="AM116">
            <v>2693</v>
          </cell>
          <cell r="AN116">
            <v>2443</v>
          </cell>
          <cell r="AO116">
            <v>2250</v>
          </cell>
          <cell r="AP116">
            <v>2121</v>
          </cell>
          <cell r="AQ116">
            <v>2054</v>
          </cell>
          <cell r="AR116">
            <v>1963</v>
          </cell>
          <cell r="AS116">
            <v>1894</v>
          </cell>
          <cell r="AT116">
            <v>1881</v>
          </cell>
          <cell r="AU116">
            <v>1867</v>
          </cell>
          <cell r="AV116">
            <v>1802</v>
          </cell>
          <cell r="AW116">
            <v>1689</v>
          </cell>
          <cell r="AX116">
            <v>1665</v>
          </cell>
          <cell r="AY116">
            <v>1597</v>
          </cell>
          <cell r="AZ116">
            <v>1550</v>
          </cell>
          <cell r="BA116">
            <v>1549</v>
          </cell>
          <cell r="BB116">
            <v>1509</v>
          </cell>
          <cell r="BC116">
            <v>1520</v>
          </cell>
          <cell r="BD116">
            <v>1560</v>
          </cell>
          <cell r="BE116">
            <v>1267</v>
          </cell>
          <cell r="BF116">
            <v>1504</v>
          </cell>
          <cell r="BG116">
            <v>1389</v>
          </cell>
          <cell r="BH116">
            <v>1298</v>
          </cell>
          <cell r="BI116">
            <v>1211</v>
          </cell>
          <cell r="BJ116">
            <v>1227</v>
          </cell>
          <cell r="BK116">
            <v>1298</v>
          </cell>
          <cell r="BL116">
            <v>1130</v>
          </cell>
          <cell r="BM116">
            <v>1274</v>
          </cell>
          <cell r="BN116">
            <v>1089</v>
          </cell>
          <cell r="BO116">
            <v>1177</v>
          </cell>
          <cell r="BP116">
            <v>1123</v>
          </cell>
          <cell r="BQ116">
            <v>1070</v>
          </cell>
          <cell r="BR116">
            <v>1098</v>
          </cell>
          <cell r="BS116">
            <v>1110</v>
          </cell>
          <cell r="BT116">
            <v>1036</v>
          </cell>
          <cell r="BU116">
            <v>1061</v>
          </cell>
          <cell r="BV116">
            <v>1168</v>
          </cell>
          <cell r="BW116">
            <v>905</v>
          </cell>
          <cell r="BX116">
            <v>1012</v>
          </cell>
          <cell r="BY116">
            <v>823</v>
          </cell>
          <cell r="BZ116">
            <v>911</v>
          </cell>
          <cell r="CA116">
            <v>865</v>
          </cell>
          <cell r="CB116">
            <v>856</v>
          </cell>
          <cell r="CC116">
            <v>829</v>
          </cell>
          <cell r="CD116">
            <v>719</v>
          </cell>
          <cell r="CE116">
            <v>729</v>
          </cell>
          <cell r="CF116">
            <v>847</v>
          </cell>
          <cell r="CG116">
            <v>847</v>
          </cell>
          <cell r="CH116">
            <v>703</v>
          </cell>
          <cell r="CI116">
            <v>755</v>
          </cell>
          <cell r="CJ116">
            <v>856</v>
          </cell>
          <cell r="CK116">
            <v>719</v>
          </cell>
          <cell r="CL116">
            <v>718</v>
          </cell>
          <cell r="CM116">
            <v>656</v>
          </cell>
          <cell r="CN116">
            <v>728</v>
          </cell>
          <cell r="CO116">
            <v>619</v>
          </cell>
          <cell r="CP116">
            <v>610</v>
          </cell>
          <cell r="CQ116">
            <v>523</v>
          </cell>
          <cell r="CR116">
            <v>571</v>
          </cell>
          <cell r="CS116">
            <v>567</v>
          </cell>
          <cell r="CT116">
            <v>543</v>
          </cell>
          <cell r="CU116">
            <v>488</v>
          </cell>
          <cell r="CV116">
            <v>514</v>
          </cell>
          <cell r="CW116">
            <v>561</v>
          </cell>
          <cell r="CX116">
            <v>536</v>
          </cell>
          <cell r="CY116">
            <v>515</v>
          </cell>
          <cell r="CZ116">
            <v>527</v>
          </cell>
          <cell r="DA116">
            <v>722</v>
          </cell>
          <cell r="DB116">
            <v>609</v>
          </cell>
          <cell r="DC116">
            <v>533</v>
          </cell>
          <cell r="DD116">
            <v>551</v>
          </cell>
          <cell r="DE116">
            <v>517</v>
          </cell>
          <cell r="DF116">
            <v>614</v>
          </cell>
          <cell r="DG116">
            <v>627</v>
          </cell>
          <cell r="DH116">
            <v>556</v>
          </cell>
          <cell r="DI116">
            <v>570</v>
          </cell>
          <cell r="DJ116">
            <v>541</v>
          </cell>
          <cell r="DK116">
            <v>559</v>
          </cell>
          <cell r="DL116">
            <v>492</v>
          </cell>
          <cell r="DM116">
            <v>576</v>
          </cell>
          <cell r="DN116">
            <v>499</v>
          </cell>
          <cell r="DO116">
            <v>558</v>
          </cell>
          <cell r="DP116">
            <v>552</v>
          </cell>
          <cell r="DQ116">
            <v>482</v>
          </cell>
          <cell r="DR116">
            <v>513</v>
          </cell>
          <cell r="DS116">
            <v>564</v>
          </cell>
          <cell r="DT116">
            <v>491</v>
          </cell>
          <cell r="DU116">
            <v>509</v>
          </cell>
          <cell r="DV116">
            <v>505</v>
          </cell>
          <cell r="DW116">
            <v>566</v>
          </cell>
          <cell r="DX116">
            <v>506</v>
          </cell>
          <cell r="DY116">
            <v>530</v>
          </cell>
          <cell r="DZ116">
            <v>479</v>
          </cell>
          <cell r="EA116">
            <v>649</v>
          </cell>
          <cell r="EB116">
            <v>561</v>
          </cell>
          <cell r="EC116">
            <v>483</v>
          </cell>
          <cell r="ED116">
            <v>393</v>
          </cell>
          <cell r="EE116">
            <v>431</v>
          </cell>
          <cell r="EF116">
            <v>498</v>
          </cell>
          <cell r="EG116">
            <v>494</v>
          </cell>
          <cell r="EH116">
            <v>478</v>
          </cell>
          <cell r="EI116">
            <v>538</v>
          </cell>
          <cell r="EJ116">
            <v>542</v>
          </cell>
          <cell r="EK116">
            <v>485</v>
          </cell>
          <cell r="EL116">
            <v>413</v>
          </cell>
          <cell r="EM116">
            <v>486</v>
          </cell>
          <cell r="EN116">
            <v>508</v>
          </cell>
          <cell r="EO116">
            <v>526</v>
          </cell>
          <cell r="EP116">
            <v>452</v>
          </cell>
          <cell r="EQ116">
            <v>501</v>
          </cell>
          <cell r="ER116">
            <v>507</v>
          </cell>
          <cell r="ES116">
            <v>468</v>
          </cell>
          <cell r="ET116">
            <v>496</v>
          </cell>
          <cell r="EU116">
            <v>551</v>
          </cell>
          <cell r="EV116">
            <v>574</v>
          </cell>
          <cell r="EW116">
            <v>583</v>
          </cell>
          <cell r="EX116">
            <v>558</v>
          </cell>
          <cell r="EY116">
            <v>611</v>
          </cell>
          <cell r="EZ116">
            <v>469</v>
          </cell>
          <cell r="FA116">
            <v>592</v>
          </cell>
          <cell r="FB116">
            <v>560</v>
          </cell>
          <cell r="FC116">
            <v>516</v>
          </cell>
          <cell r="FD116">
            <v>571</v>
          </cell>
          <cell r="FE116">
            <v>490</v>
          </cell>
          <cell r="FF116">
            <v>464</v>
          </cell>
          <cell r="FG116">
            <v>457</v>
          </cell>
          <cell r="FH116">
            <v>449</v>
          </cell>
          <cell r="FI116">
            <v>515</v>
          </cell>
          <cell r="FJ116">
            <v>607</v>
          </cell>
          <cell r="FK116">
            <v>495</v>
          </cell>
          <cell r="FL116">
            <v>558</v>
          </cell>
          <cell r="FM116">
            <v>549</v>
          </cell>
          <cell r="FN116">
            <v>591</v>
          </cell>
          <cell r="FO116">
            <v>467</v>
          </cell>
          <cell r="FP116">
            <v>505</v>
          </cell>
          <cell r="FQ116">
            <v>509</v>
          </cell>
          <cell r="FR116">
            <v>520</v>
          </cell>
          <cell r="FS116">
            <v>499</v>
          </cell>
          <cell r="FT116">
            <v>550</v>
          </cell>
          <cell r="FU116">
            <v>565</v>
          </cell>
          <cell r="FV116">
            <v>386</v>
          </cell>
          <cell r="FW116">
            <v>355</v>
          </cell>
          <cell r="FX116">
            <v>284</v>
          </cell>
          <cell r="FY116">
            <v>284</v>
          </cell>
          <cell r="FZ116">
            <v>258</v>
          </cell>
          <cell r="GA116">
            <v>267</v>
          </cell>
          <cell r="GB116">
            <v>303</v>
          </cell>
          <cell r="GC116">
            <v>285</v>
          </cell>
          <cell r="GD116">
            <v>217</v>
          </cell>
          <cell r="GE116">
            <v>230</v>
          </cell>
          <cell r="GF116">
            <v>278</v>
          </cell>
          <cell r="GG116">
            <v>249</v>
          </cell>
          <cell r="GH116">
            <v>242</v>
          </cell>
          <cell r="GI116">
            <v>246</v>
          </cell>
          <cell r="GJ116">
            <v>259</v>
          </cell>
          <cell r="GK116">
            <v>233</v>
          </cell>
          <cell r="GL116">
            <v>209</v>
          </cell>
          <cell r="GM116">
            <v>216</v>
          </cell>
          <cell r="GN116">
            <v>229</v>
          </cell>
        </row>
        <row r="117">
          <cell r="B117" t="str">
            <v>ZOFRAN ODT</v>
          </cell>
          <cell r="C117" t="str">
            <v>GSK</v>
          </cell>
          <cell r="D117">
            <v>10257</v>
          </cell>
          <cell r="E117">
            <v>8627</v>
          </cell>
          <cell r="F117">
            <v>10089</v>
          </cell>
          <cell r="G117">
            <v>9568</v>
          </cell>
          <cell r="H117">
            <v>9774</v>
          </cell>
          <cell r="I117">
            <v>9454</v>
          </cell>
          <cell r="J117">
            <v>9936</v>
          </cell>
          <cell r="K117">
            <v>9840</v>
          </cell>
          <cell r="L117">
            <v>9740</v>
          </cell>
          <cell r="M117">
            <v>9720</v>
          </cell>
          <cell r="N117">
            <v>9109</v>
          </cell>
          <cell r="O117">
            <v>9955</v>
          </cell>
          <cell r="P117">
            <v>9808</v>
          </cell>
          <cell r="Q117">
            <v>9945</v>
          </cell>
          <cell r="R117">
            <v>9913</v>
          </cell>
          <cell r="S117">
            <v>10135</v>
          </cell>
          <cell r="T117">
            <v>10240</v>
          </cell>
          <cell r="U117">
            <v>10106</v>
          </cell>
          <cell r="V117">
            <v>10540</v>
          </cell>
          <cell r="W117">
            <v>10966</v>
          </cell>
          <cell r="X117">
            <v>11300</v>
          </cell>
          <cell r="Y117">
            <v>10532</v>
          </cell>
          <cell r="Z117">
            <v>12054</v>
          </cell>
          <cell r="AA117">
            <v>12169</v>
          </cell>
          <cell r="AB117">
            <v>13448</v>
          </cell>
          <cell r="AC117">
            <v>14421</v>
          </cell>
          <cell r="AD117">
            <v>13238</v>
          </cell>
          <cell r="AE117">
            <v>11280</v>
          </cell>
          <cell r="AF117">
            <v>6084</v>
          </cell>
          <cell r="AG117">
            <v>3992</v>
          </cell>
          <cell r="AH117">
            <v>3182</v>
          </cell>
          <cell r="AI117">
            <v>2843</v>
          </cell>
          <cell r="AJ117">
            <v>2360</v>
          </cell>
          <cell r="AK117">
            <v>2157</v>
          </cell>
          <cell r="AL117">
            <v>1981</v>
          </cell>
          <cell r="AM117">
            <v>1871</v>
          </cell>
          <cell r="AN117">
            <v>1686</v>
          </cell>
          <cell r="AO117">
            <v>1736</v>
          </cell>
          <cell r="AP117">
            <v>1654</v>
          </cell>
          <cell r="AQ117">
            <v>1384</v>
          </cell>
          <cell r="AR117">
            <v>1433</v>
          </cell>
          <cell r="AS117">
            <v>1388</v>
          </cell>
          <cell r="AT117">
            <v>1208</v>
          </cell>
          <cell r="AU117">
            <v>1136</v>
          </cell>
          <cell r="AV117">
            <v>1207</v>
          </cell>
          <cell r="AW117">
            <v>1144</v>
          </cell>
          <cell r="AX117">
            <v>1042</v>
          </cell>
          <cell r="AY117">
            <v>1078</v>
          </cell>
          <cell r="AZ117">
            <v>937</v>
          </cell>
          <cell r="BA117">
            <v>933</v>
          </cell>
          <cell r="BB117">
            <v>920</v>
          </cell>
          <cell r="BC117">
            <v>958</v>
          </cell>
          <cell r="BD117">
            <v>839</v>
          </cell>
          <cell r="BE117">
            <v>826</v>
          </cell>
          <cell r="BF117">
            <v>822</v>
          </cell>
          <cell r="BG117">
            <v>887</v>
          </cell>
          <cell r="BH117">
            <v>804</v>
          </cell>
          <cell r="BI117">
            <v>766</v>
          </cell>
          <cell r="BJ117">
            <v>795</v>
          </cell>
          <cell r="BK117">
            <v>733</v>
          </cell>
          <cell r="BL117">
            <v>666</v>
          </cell>
          <cell r="BM117">
            <v>628</v>
          </cell>
          <cell r="BN117">
            <v>698</v>
          </cell>
          <cell r="BO117">
            <v>801</v>
          </cell>
          <cell r="BP117">
            <v>636</v>
          </cell>
          <cell r="BQ117">
            <v>656</v>
          </cell>
          <cell r="BR117">
            <v>656</v>
          </cell>
          <cell r="BS117">
            <v>665</v>
          </cell>
          <cell r="BT117">
            <v>571</v>
          </cell>
          <cell r="BU117">
            <v>561</v>
          </cell>
          <cell r="BV117">
            <v>560</v>
          </cell>
          <cell r="BW117">
            <v>589</v>
          </cell>
          <cell r="BX117">
            <v>576</v>
          </cell>
          <cell r="BY117">
            <v>547</v>
          </cell>
          <cell r="BZ117">
            <v>568</v>
          </cell>
          <cell r="CA117">
            <v>567</v>
          </cell>
          <cell r="CB117">
            <v>507</v>
          </cell>
          <cell r="CC117">
            <v>560</v>
          </cell>
          <cell r="CD117">
            <v>524</v>
          </cell>
          <cell r="CE117">
            <v>516</v>
          </cell>
          <cell r="CF117">
            <v>515</v>
          </cell>
          <cell r="CG117">
            <v>411</v>
          </cell>
          <cell r="CH117">
            <v>391</v>
          </cell>
          <cell r="CI117">
            <v>434</v>
          </cell>
          <cell r="CJ117">
            <v>433</v>
          </cell>
          <cell r="CK117">
            <v>377</v>
          </cell>
          <cell r="CL117">
            <v>434</v>
          </cell>
          <cell r="CM117">
            <v>393</v>
          </cell>
          <cell r="CN117">
            <v>375</v>
          </cell>
          <cell r="CO117">
            <v>358</v>
          </cell>
          <cell r="CP117">
            <v>339</v>
          </cell>
          <cell r="CQ117">
            <v>338</v>
          </cell>
          <cell r="CR117">
            <v>336</v>
          </cell>
          <cell r="CS117">
            <v>341</v>
          </cell>
          <cell r="CT117">
            <v>323</v>
          </cell>
          <cell r="CU117">
            <v>364</v>
          </cell>
          <cell r="CV117">
            <v>342</v>
          </cell>
          <cell r="CW117">
            <v>370</v>
          </cell>
          <cell r="CX117">
            <v>322</v>
          </cell>
          <cell r="CY117">
            <v>341</v>
          </cell>
          <cell r="CZ117">
            <v>341</v>
          </cell>
          <cell r="DA117">
            <v>360</v>
          </cell>
          <cell r="DB117">
            <v>332</v>
          </cell>
          <cell r="DC117">
            <v>387</v>
          </cell>
          <cell r="DD117">
            <v>364</v>
          </cell>
          <cell r="DE117">
            <v>325</v>
          </cell>
          <cell r="DF117">
            <v>328</v>
          </cell>
          <cell r="DG117">
            <v>299</v>
          </cell>
          <cell r="DH117">
            <v>274</v>
          </cell>
          <cell r="DI117">
            <v>287</v>
          </cell>
          <cell r="DJ117">
            <v>295</v>
          </cell>
          <cell r="DK117">
            <v>275</v>
          </cell>
          <cell r="DL117">
            <v>326</v>
          </cell>
          <cell r="DM117">
            <v>305</v>
          </cell>
          <cell r="DN117">
            <v>294</v>
          </cell>
          <cell r="DO117">
            <v>307</v>
          </cell>
          <cell r="DP117">
            <v>253</v>
          </cell>
          <cell r="DQ117">
            <v>289</v>
          </cell>
          <cell r="DR117">
            <v>277</v>
          </cell>
          <cell r="DS117">
            <v>255</v>
          </cell>
          <cell r="DT117">
            <v>294</v>
          </cell>
          <cell r="DU117">
            <v>333</v>
          </cell>
          <cell r="DV117">
            <v>285</v>
          </cell>
          <cell r="DW117">
            <v>328</v>
          </cell>
          <cell r="DX117">
            <v>323</v>
          </cell>
          <cell r="DY117">
            <v>373</v>
          </cell>
          <cell r="DZ117">
            <v>318</v>
          </cell>
          <cell r="EA117">
            <v>338</v>
          </cell>
          <cell r="EB117">
            <v>330</v>
          </cell>
          <cell r="EC117">
            <v>348</v>
          </cell>
          <cell r="ED117">
            <v>284</v>
          </cell>
          <cell r="EE117">
            <v>309</v>
          </cell>
          <cell r="EF117">
            <v>339</v>
          </cell>
          <cell r="EG117">
            <v>338</v>
          </cell>
          <cell r="EH117">
            <v>318</v>
          </cell>
          <cell r="EI117">
            <v>325</v>
          </cell>
          <cell r="EJ117">
            <v>311</v>
          </cell>
          <cell r="EK117">
            <v>337</v>
          </cell>
          <cell r="EL117">
            <v>309</v>
          </cell>
          <cell r="EM117">
            <v>345</v>
          </cell>
          <cell r="EN117">
            <v>403</v>
          </cell>
          <cell r="EO117">
            <v>386</v>
          </cell>
          <cell r="EP117">
            <v>351</v>
          </cell>
          <cell r="EQ117">
            <v>327</v>
          </cell>
          <cell r="ER117">
            <v>326</v>
          </cell>
          <cell r="ES117">
            <v>374</v>
          </cell>
          <cell r="ET117">
            <v>370</v>
          </cell>
          <cell r="EU117">
            <v>402</v>
          </cell>
          <cell r="EV117">
            <v>432</v>
          </cell>
          <cell r="EW117">
            <v>427</v>
          </cell>
          <cell r="EX117">
            <v>376</v>
          </cell>
          <cell r="EY117">
            <v>356</v>
          </cell>
          <cell r="EZ117">
            <v>313</v>
          </cell>
          <cell r="FA117">
            <v>373</v>
          </cell>
          <cell r="FB117">
            <v>356</v>
          </cell>
          <cell r="FC117">
            <v>399</v>
          </cell>
          <cell r="FD117">
            <v>357</v>
          </cell>
          <cell r="FE117">
            <v>353</v>
          </cell>
          <cell r="FF117">
            <v>303</v>
          </cell>
          <cell r="FG117">
            <v>323</v>
          </cell>
          <cell r="FH117">
            <v>322</v>
          </cell>
          <cell r="FI117">
            <v>339</v>
          </cell>
          <cell r="FJ117">
            <v>328</v>
          </cell>
          <cell r="FK117">
            <v>374</v>
          </cell>
          <cell r="FL117">
            <v>325</v>
          </cell>
          <cell r="FM117">
            <v>321</v>
          </cell>
          <cell r="FN117">
            <v>374</v>
          </cell>
          <cell r="FO117">
            <v>399</v>
          </cell>
          <cell r="FP117">
            <v>395</v>
          </cell>
          <cell r="FQ117">
            <v>446</v>
          </cell>
          <cell r="FR117">
            <v>442</v>
          </cell>
          <cell r="FS117">
            <v>422</v>
          </cell>
          <cell r="FT117">
            <v>488</v>
          </cell>
          <cell r="FU117">
            <v>472</v>
          </cell>
          <cell r="FV117">
            <v>454</v>
          </cell>
          <cell r="FW117">
            <v>456</v>
          </cell>
          <cell r="FX117">
            <v>415</v>
          </cell>
          <cell r="FY117">
            <v>401</v>
          </cell>
          <cell r="FZ117">
            <v>377</v>
          </cell>
          <cell r="GA117">
            <v>485</v>
          </cell>
          <cell r="GB117">
            <v>421</v>
          </cell>
          <cell r="GC117">
            <v>428</v>
          </cell>
          <cell r="GD117">
            <v>364</v>
          </cell>
          <cell r="GE117">
            <v>387</v>
          </cell>
          <cell r="GF117">
            <v>456</v>
          </cell>
          <cell r="GG117">
            <v>423</v>
          </cell>
          <cell r="GH117">
            <v>436</v>
          </cell>
          <cell r="GI117">
            <v>387</v>
          </cell>
          <cell r="GJ117">
            <v>415</v>
          </cell>
          <cell r="GK117">
            <v>386</v>
          </cell>
          <cell r="GL117">
            <v>387</v>
          </cell>
          <cell r="GM117">
            <v>427</v>
          </cell>
          <cell r="GN117">
            <v>436</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vmlDrawing4.vml" Type="http://schemas.openxmlformats.org/officeDocument/2006/relationships/vmlDrawing"/>
<Relationship Id="rId3" Target="../comments4.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5.vml" Type="http://schemas.openxmlformats.org/officeDocument/2006/relationships/vmlDrawing"/>
<Relationship Id="rId3" Target="../comments5.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10.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384"/>
  <sheetViews>
    <sheetView showGridLines="0" tabSelected="1" workbookViewId="0">
      <selection activeCell="Z1" sqref="Z1"/>
    </sheetView>
  </sheetViews>
  <sheetFormatPr defaultRowHeight="12.75"/>
  <cols>
    <col min="1" max="1" width="25.7109375" style="637" customWidth="1"/>
    <col min="2" max="5" width="9.140625" style="637"/>
    <col min="6" max="6" width="18.7109375" style="637" customWidth="1"/>
    <col min="7" max="256" width="9.140625" style="637"/>
    <col min="257" max="257" width="100.7109375" style="637" customWidth="1"/>
    <col min="258" max="512" width="9.140625" style="637"/>
    <col min="513" max="513" width="100.7109375" style="637" customWidth="1"/>
    <col min="514" max="768" width="9.140625" style="637"/>
    <col min="769" max="769" width="100.7109375" style="637" customWidth="1"/>
    <col min="770" max="1024" width="9.140625" style="637"/>
    <col min="1025" max="1025" width="100.7109375" style="637" customWidth="1"/>
    <col min="1026" max="1280" width="9.140625" style="637"/>
    <col min="1281" max="1281" width="100.7109375" style="637" customWidth="1"/>
    <col min="1282" max="1536" width="9.140625" style="637"/>
    <col min="1537" max="1537" width="100.7109375" style="637" customWidth="1"/>
    <col min="1538" max="1792" width="9.140625" style="637"/>
    <col min="1793" max="1793" width="100.7109375" style="637" customWidth="1"/>
    <col min="1794" max="2048" width="9.140625" style="637"/>
    <col min="2049" max="2049" width="100.7109375" style="637" customWidth="1"/>
    <col min="2050" max="2304" width="9.140625" style="637"/>
    <col min="2305" max="2305" width="100.7109375" style="637" customWidth="1"/>
    <col min="2306" max="2560" width="9.140625" style="637"/>
    <col min="2561" max="2561" width="100.7109375" style="637" customWidth="1"/>
    <col min="2562" max="2816" width="9.140625" style="637"/>
    <col min="2817" max="2817" width="100.7109375" style="637" customWidth="1"/>
    <col min="2818" max="3072" width="9.140625" style="637"/>
    <col min="3073" max="3073" width="100.7109375" style="637" customWidth="1"/>
    <col min="3074" max="3328" width="9.140625" style="637"/>
    <col min="3329" max="3329" width="100.7109375" style="637" customWidth="1"/>
    <col min="3330" max="3584" width="9.140625" style="637"/>
    <col min="3585" max="3585" width="100.7109375" style="637" customWidth="1"/>
    <col min="3586" max="3840" width="9.140625" style="637"/>
    <col min="3841" max="3841" width="100.7109375" style="637" customWidth="1"/>
    <col min="3842" max="4096" width="9.140625" style="637"/>
    <col min="4097" max="4097" width="100.7109375" style="637" customWidth="1"/>
    <col min="4098" max="4352" width="9.140625" style="637"/>
    <col min="4353" max="4353" width="100.7109375" style="637" customWidth="1"/>
    <col min="4354" max="4608" width="9.140625" style="637"/>
    <col min="4609" max="4609" width="100.7109375" style="637" customWidth="1"/>
    <col min="4610" max="4864" width="9.140625" style="637"/>
    <col min="4865" max="4865" width="100.7109375" style="637" customWidth="1"/>
    <col min="4866" max="5120" width="9.140625" style="637"/>
    <col min="5121" max="5121" width="100.7109375" style="637" customWidth="1"/>
    <col min="5122" max="5376" width="9.140625" style="637"/>
    <col min="5377" max="5377" width="100.7109375" style="637" customWidth="1"/>
    <col min="5378" max="5632" width="9.140625" style="637"/>
    <col min="5633" max="5633" width="100.7109375" style="637" customWidth="1"/>
    <col min="5634" max="5888" width="9.140625" style="637"/>
    <col min="5889" max="5889" width="100.7109375" style="637" customWidth="1"/>
    <col min="5890" max="6144" width="9.140625" style="637"/>
    <col min="6145" max="6145" width="100.7109375" style="637" customWidth="1"/>
    <col min="6146" max="6400" width="9.140625" style="637"/>
    <col min="6401" max="6401" width="100.7109375" style="637" customWidth="1"/>
    <col min="6402" max="6656" width="9.140625" style="637"/>
    <col min="6657" max="6657" width="100.7109375" style="637" customWidth="1"/>
    <col min="6658" max="6912" width="9.140625" style="637"/>
    <col min="6913" max="6913" width="100.7109375" style="637" customWidth="1"/>
    <col min="6914" max="7168" width="9.140625" style="637"/>
    <col min="7169" max="7169" width="100.7109375" style="637" customWidth="1"/>
    <col min="7170" max="7424" width="9.140625" style="637"/>
    <col min="7425" max="7425" width="100.7109375" style="637" customWidth="1"/>
    <col min="7426" max="7680" width="9.140625" style="637"/>
    <col min="7681" max="7681" width="100.7109375" style="637" customWidth="1"/>
    <col min="7682" max="7936" width="9.140625" style="637"/>
    <col min="7937" max="7937" width="100.7109375" style="637" customWidth="1"/>
    <col min="7938" max="8192" width="9.140625" style="637"/>
    <col min="8193" max="8193" width="100.7109375" style="637" customWidth="1"/>
    <col min="8194" max="8448" width="9.140625" style="637"/>
    <col min="8449" max="8449" width="100.7109375" style="637" customWidth="1"/>
    <col min="8450" max="8704" width="9.140625" style="637"/>
    <col min="8705" max="8705" width="100.7109375" style="637" customWidth="1"/>
    <col min="8706" max="8960" width="9.140625" style="637"/>
    <col min="8961" max="8961" width="100.7109375" style="637" customWidth="1"/>
    <col min="8962" max="9216" width="9.140625" style="637"/>
    <col min="9217" max="9217" width="100.7109375" style="637" customWidth="1"/>
    <col min="9218" max="9472" width="9.140625" style="637"/>
    <col min="9473" max="9473" width="100.7109375" style="637" customWidth="1"/>
    <col min="9474" max="9728" width="9.140625" style="637"/>
    <col min="9729" max="9729" width="100.7109375" style="637" customWidth="1"/>
    <col min="9730" max="9984" width="9.140625" style="637"/>
    <col min="9985" max="9985" width="100.7109375" style="637" customWidth="1"/>
    <col min="9986" max="10240" width="9.140625" style="637"/>
    <col min="10241" max="10241" width="100.7109375" style="637" customWidth="1"/>
    <col min="10242" max="10496" width="9.140625" style="637"/>
    <col min="10497" max="10497" width="100.7109375" style="637" customWidth="1"/>
    <col min="10498" max="10752" width="9.140625" style="637"/>
    <col min="10753" max="10753" width="100.7109375" style="637" customWidth="1"/>
    <col min="10754" max="11008" width="9.140625" style="637"/>
    <col min="11009" max="11009" width="100.7109375" style="637" customWidth="1"/>
    <col min="11010" max="11264" width="9.140625" style="637"/>
    <col min="11265" max="11265" width="100.7109375" style="637" customWidth="1"/>
    <col min="11266" max="11520" width="9.140625" style="637"/>
    <col min="11521" max="11521" width="100.7109375" style="637" customWidth="1"/>
    <col min="11522" max="11776" width="9.140625" style="637"/>
    <col min="11777" max="11777" width="100.7109375" style="637" customWidth="1"/>
    <col min="11778" max="12032" width="9.140625" style="637"/>
    <col min="12033" max="12033" width="100.7109375" style="637" customWidth="1"/>
    <col min="12034" max="12288" width="9.140625" style="637"/>
    <col min="12289" max="12289" width="100.7109375" style="637" customWidth="1"/>
    <col min="12290" max="12544" width="9.140625" style="637"/>
    <col min="12545" max="12545" width="100.7109375" style="637" customWidth="1"/>
    <col min="12546" max="12800" width="9.140625" style="637"/>
    <col min="12801" max="12801" width="100.7109375" style="637" customWidth="1"/>
    <col min="12802" max="13056" width="9.140625" style="637"/>
    <col min="13057" max="13057" width="100.7109375" style="637" customWidth="1"/>
    <col min="13058" max="13312" width="9.140625" style="637"/>
    <col min="13313" max="13313" width="100.7109375" style="637" customWidth="1"/>
    <col min="13314" max="13568" width="9.140625" style="637"/>
    <col min="13569" max="13569" width="100.7109375" style="637" customWidth="1"/>
    <col min="13570" max="13824" width="9.140625" style="637"/>
    <col min="13825" max="13825" width="100.7109375" style="637" customWidth="1"/>
    <col min="13826" max="14080" width="9.140625" style="637"/>
    <col min="14081" max="14081" width="100.7109375" style="637" customWidth="1"/>
    <col min="14082" max="14336" width="9.140625" style="637"/>
    <col min="14337" max="14337" width="100.7109375" style="637" customWidth="1"/>
    <col min="14338" max="14592" width="9.140625" style="637"/>
    <col min="14593" max="14593" width="100.7109375" style="637" customWidth="1"/>
    <col min="14594" max="14848" width="9.140625" style="637"/>
    <col min="14849" max="14849" width="100.7109375" style="637" customWidth="1"/>
    <col min="14850" max="15104" width="9.140625" style="637"/>
    <col min="15105" max="15105" width="100.7109375" style="637" customWidth="1"/>
    <col min="15106" max="15360" width="9.140625" style="637"/>
    <col min="15361" max="15361" width="100.7109375" style="637" customWidth="1"/>
    <col min="15362" max="15616" width="9.140625" style="637"/>
    <col min="15617" max="15617" width="100.7109375" style="637" customWidth="1"/>
    <col min="15618" max="15872" width="9.140625" style="637"/>
    <col min="15873" max="15873" width="100.7109375" style="637" customWidth="1"/>
    <col min="15874" max="16128" width="9.140625" style="637"/>
    <col min="16129" max="16129" width="100.7109375" style="637" customWidth="1"/>
    <col min="16130" max="16384" width="9.140625" style="637"/>
  </cols>
  <sheetData>
    <row r="1" spans="1:8" ht="30" customHeight="1">
      <c r="A1" s="635"/>
      <c r="B1" s="636"/>
      <c r="C1" s="636"/>
      <c r="D1" s="636"/>
      <c r="E1" s="636"/>
      <c r="F1" s="636"/>
      <c r="G1" s="636"/>
      <c r="H1" s="636"/>
    </row>
    <row r="2" spans="1:8" ht="14.25">
      <c r="A2" s="638" t="s">
        <v>460</v>
      </c>
      <c r="B2" s="636"/>
      <c r="C2" s="636"/>
      <c r="D2" s="636"/>
      <c r="E2" s="636"/>
      <c r="F2" s="636"/>
      <c r="G2" s="636"/>
      <c r="H2" s="636"/>
    </row>
    <row r="3" spans="1:8" ht="14.25">
      <c r="A3" s="638" t="s">
        <v>461</v>
      </c>
      <c r="B3" s="636"/>
      <c r="C3" s="636"/>
      <c r="D3" s="636"/>
      <c r="E3" s="636"/>
      <c r="F3" s="636"/>
      <c r="G3" s="636"/>
      <c r="H3" s="636"/>
    </row>
    <row r="4" spans="1:8" ht="14.25">
      <c r="A4" s="638" t="s">
        <v>462</v>
      </c>
      <c r="B4" s="636"/>
      <c r="C4" s="636"/>
      <c r="D4" s="636"/>
      <c r="E4" s="636"/>
      <c r="F4" s="636"/>
      <c r="G4" s="636"/>
      <c r="H4" s="636"/>
    </row>
    <row r="5" spans="1:8" ht="14.25">
      <c r="A5" s="638" t="s">
        <v>463</v>
      </c>
      <c r="B5" s="636"/>
      <c r="C5" s="636"/>
      <c r="D5" s="636"/>
      <c r="E5" s="636"/>
      <c r="F5" s="636"/>
      <c r="G5" s="636"/>
      <c r="H5" s="636"/>
    </row>
    <row r="6" spans="1:8" ht="14.25">
      <c r="A6" s="638"/>
      <c r="B6" s="636"/>
      <c r="C6" s="636"/>
      <c r="D6" s="636"/>
      <c r="E6" s="636"/>
      <c r="F6" s="636"/>
      <c r="G6" s="636"/>
      <c r="H6" s="636"/>
    </row>
    <row r="7" spans="1:8">
      <c r="A7" s="635" t="s">
        <v>464</v>
      </c>
      <c r="B7" s="636"/>
      <c r="C7" s="636"/>
      <c r="D7" s="636"/>
      <c r="E7" s="636"/>
      <c r="F7" s="636"/>
      <c r="G7" s="636"/>
      <c r="H7" s="636"/>
    </row>
    <row r="8" spans="1:8">
      <c r="A8" s="635" t="s">
        <v>465</v>
      </c>
      <c r="B8" s="636"/>
      <c r="C8" s="636"/>
      <c r="D8" s="636"/>
      <c r="E8" s="636"/>
      <c r="F8" s="636"/>
      <c r="G8" s="636"/>
      <c r="H8" s="636"/>
    </row>
    <row r="9" spans="1:8">
      <c r="A9" s="635"/>
      <c r="B9" s="636"/>
      <c r="C9" s="636"/>
      <c r="D9" s="636"/>
      <c r="E9" s="636"/>
      <c r="F9" s="636"/>
      <c r="G9" s="636"/>
      <c r="H9" s="636"/>
    </row>
    <row r="10" spans="1:8">
      <c r="A10" s="639" t="s">
        <v>466</v>
      </c>
      <c r="B10" s="636"/>
      <c r="C10" s="636"/>
      <c r="D10" s="636"/>
      <c r="E10" s="636"/>
      <c r="F10" s="636"/>
      <c r="G10" s="636"/>
      <c r="H10" s="636"/>
    </row>
    <row r="11" spans="1:8">
      <c r="A11" s="639" t="s">
        <v>467</v>
      </c>
      <c r="B11" s="636"/>
      <c r="C11" s="636"/>
      <c r="D11" s="636"/>
      <c r="E11" s="636"/>
      <c r="F11" s="636"/>
      <c r="G11" s="636"/>
      <c r="H11" s="636"/>
    </row>
    <row r="12" spans="1:8">
      <c r="A12" s="639" t="s">
        <v>468</v>
      </c>
      <c r="B12" s="636"/>
      <c r="C12" s="636"/>
      <c r="D12" s="636"/>
      <c r="E12" s="636"/>
      <c r="F12" s="636"/>
      <c r="G12" s="636"/>
      <c r="H12" s="636"/>
    </row>
    <row r="13" spans="1:8">
      <c r="A13" s="639" t="s">
        <v>469</v>
      </c>
      <c r="B13" s="636"/>
      <c r="C13" s="636"/>
      <c r="D13" s="636"/>
      <c r="E13" s="636"/>
      <c r="F13" s="636"/>
      <c r="G13" s="636"/>
      <c r="H13" s="636"/>
    </row>
    <row r="14" spans="1:8">
      <c r="A14" s="639" t="s">
        <v>470</v>
      </c>
      <c r="B14" s="636"/>
      <c r="C14" s="636"/>
      <c r="D14" s="636"/>
      <c r="E14" s="636"/>
      <c r="F14" s="636"/>
      <c r="G14" s="636"/>
      <c r="H14" s="636"/>
    </row>
    <row r="15" spans="1:8">
      <c r="A15" s="639" t="s">
        <v>471</v>
      </c>
      <c r="B15" s="636"/>
      <c r="C15" s="636"/>
      <c r="D15" s="636"/>
      <c r="E15" s="636"/>
      <c r="F15" s="636"/>
      <c r="G15" s="636"/>
      <c r="H15" s="636"/>
    </row>
    <row r="16" spans="1:8">
      <c r="A16" s="639"/>
      <c r="B16" s="636"/>
      <c r="C16" s="636"/>
      <c r="D16" s="636"/>
      <c r="E16" s="636"/>
      <c r="F16" s="636"/>
      <c r="G16" s="636"/>
      <c r="H16" s="636"/>
    </row>
    <row r="17" spans="1:8">
      <c r="A17" s="639" t="s">
        <v>457</v>
      </c>
      <c r="B17" s="636"/>
      <c r="C17" s="636"/>
      <c r="D17" s="636"/>
      <c r="E17" s="636"/>
      <c r="F17" s="636"/>
      <c r="G17" s="636"/>
      <c r="H17" s="636"/>
    </row>
    <row r="18" spans="1:8">
      <c r="A18" s="639"/>
      <c r="B18" s="636"/>
      <c r="C18" s="636"/>
      <c r="D18" s="636"/>
      <c r="E18" s="636"/>
      <c r="F18" s="636"/>
      <c r="G18" s="636"/>
      <c r="H18" s="636"/>
    </row>
    <row r="19" spans="1:8">
      <c r="A19" s="639" t="s">
        <v>458</v>
      </c>
      <c r="B19" s="636"/>
      <c r="C19" s="636"/>
      <c r="D19" s="636"/>
      <c r="E19" s="636"/>
      <c r="F19" s="636"/>
      <c r="G19" s="636"/>
      <c r="H19" s="636"/>
    </row>
    <row r="20" spans="1:8">
      <c r="A20" s="635"/>
      <c r="B20" s="636"/>
      <c r="C20" s="636"/>
      <c r="D20" s="636"/>
      <c r="E20" s="636"/>
      <c r="F20" s="636"/>
      <c r="G20" s="636"/>
      <c r="H20" s="636"/>
    </row>
    <row r="21" spans="1:8">
      <c r="A21" s="640" t="s">
        <v>459</v>
      </c>
      <c r="B21" s="636"/>
      <c r="C21" s="636"/>
      <c r="D21" s="636"/>
      <c r="E21" s="636"/>
      <c r="F21" s="636"/>
      <c r="G21" s="636"/>
      <c r="H21" s="636"/>
    </row>
    <row r="22" spans="1:8">
      <c r="A22" s="641"/>
      <c r="B22" s="641"/>
      <c r="C22" s="641"/>
      <c r="D22" s="641"/>
      <c r="E22" s="641"/>
      <c r="F22" s="641"/>
      <c r="G22" s="641"/>
      <c r="H22" s="641"/>
    </row>
    <row r="23" spans="1:8">
      <c r="A23" s="642" t="s">
        <v>746</v>
      </c>
      <c r="B23" s="641"/>
      <c r="C23" s="641"/>
      <c r="D23" s="641"/>
      <c r="E23" s="641"/>
      <c r="F23" s="641"/>
      <c r="G23" s="641"/>
      <c r="H23" s="641"/>
    </row>
    <row r="24" spans="1:8">
      <c r="A24" s="642" t="s">
        <v>747</v>
      </c>
      <c r="B24" s="641"/>
      <c r="C24" s="641"/>
      <c r="D24" s="641"/>
      <c r="E24" s="641"/>
      <c r="F24" s="641"/>
      <c r="G24" s="641"/>
      <c r="H24" s="641"/>
    </row>
    <row r="25" spans="1:8">
      <c r="A25" s="642" t="s">
        <v>748</v>
      </c>
      <c r="B25" s="641"/>
      <c r="C25" s="641"/>
      <c r="D25" s="641"/>
      <c r="E25" s="641"/>
      <c r="F25" s="641"/>
      <c r="G25" s="641"/>
      <c r="H25" s="641"/>
    </row>
    <row r="26" spans="1:8">
      <c r="A26" s="642" t="s">
        <v>749</v>
      </c>
      <c r="B26" s="641"/>
      <c r="C26" s="641"/>
      <c r="D26" s="641"/>
      <c r="E26" s="641"/>
      <c r="F26" s="641"/>
      <c r="G26" s="641"/>
      <c r="H26" s="641"/>
    </row>
    <row r="27" spans="1:8">
      <c r="A27" s="641"/>
      <c r="B27" s="641"/>
      <c r="C27" s="641"/>
      <c r="D27" s="641"/>
      <c r="E27" s="641"/>
      <c r="F27" s="641"/>
      <c r="G27" s="641"/>
      <c r="H27" s="641"/>
    </row>
    <row r="28" spans="1:8">
      <c r="A28" s="641"/>
      <c r="B28" s="641"/>
      <c r="C28" s="641"/>
      <c r="D28" s="641"/>
      <c r="E28" s="641"/>
      <c r="F28" s="641"/>
      <c r="G28" s="641"/>
      <c r="H28" s="641"/>
    </row>
    <row r="29" spans="1:8">
      <c r="A29" s="642" t="s">
        <v>741</v>
      </c>
      <c r="B29" s="641"/>
      <c r="C29" s="641"/>
      <c r="D29" s="641"/>
      <c r="E29" s="641"/>
      <c r="F29" s="641"/>
      <c r="G29" s="641"/>
      <c r="H29" s="641"/>
    </row>
    <row r="30" spans="1:8">
      <c r="A30" s="642" t="s">
        <v>742</v>
      </c>
      <c r="B30" s="641"/>
      <c r="C30" s="641"/>
      <c r="D30" s="641"/>
      <c r="E30" s="641"/>
      <c r="F30" s="641"/>
      <c r="G30" s="641"/>
      <c r="H30" s="641"/>
    </row>
    <row r="31" spans="1:8">
      <c r="A31" s="642" t="s">
        <v>743</v>
      </c>
      <c r="B31" s="641"/>
      <c r="C31" s="641"/>
      <c r="D31" s="641"/>
      <c r="E31" s="641"/>
      <c r="F31" s="641"/>
      <c r="G31" s="641"/>
      <c r="H31" s="641"/>
    </row>
    <row r="32" spans="1:8">
      <c r="A32" s="642" t="s">
        <v>744</v>
      </c>
      <c r="B32" s="641"/>
      <c r="C32" s="641"/>
      <c r="D32" s="641"/>
      <c r="E32" s="641"/>
      <c r="F32" s="641"/>
      <c r="G32" s="641"/>
      <c r="H32" s="641"/>
    </row>
    <row r="33" spans="1:8">
      <c r="A33" s="642" t="s">
        <v>745</v>
      </c>
      <c r="B33" s="641"/>
      <c r="C33" s="641"/>
      <c r="D33" s="641"/>
      <c r="E33" s="641"/>
      <c r="F33" s="641"/>
      <c r="G33" s="641"/>
      <c r="H33" s="641"/>
    </row>
    <row r="34" spans="1:8">
      <c r="A34" s="641"/>
      <c r="B34" s="641"/>
      <c r="C34" s="641"/>
      <c r="D34" s="641"/>
      <c r="E34" s="641"/>
      <c r="F34" s="641"/>
      <c r="G34" s="641"/>
      <c r="H34" s="641"/>
    </row>
    <row r="35" spans="1:8">
      <c r="A35" s="642" t="s">
        <v>737</v>
      </c>
      <c r="B35" s="641"/>
      <c r="C35" s="641"/>
      <c r="D35" s="641"/>
      <c r="E35" s="641"/>
      <c r="F35" s="641"/>
      <c r="G35" s="641"/>
      <c r="H35" s="641"/>
    </row>
    <row r="36" spans="1:8">
      <c r="A36" s="642" t="s">
        <v>738</v>
      </c>
      <c r="B36" s="641"/>
      <c r="C36" s="641"/>
      <c r="D36" s="641"/>
      <c r="E36" s="641"/>
      <c r="F36" s="641"/>
      <c r="G36" s="641"/>
      <c r="H36" s="641"/>
    </row>
    <row r="37" spans="1:8">
      <c r="A37" s="642" t="s">
        <v>739</v>
      </c>
      <c r="B37" s="641"/>
      <c r="C37" s="641"/>
      <c r="D37" s="641"/>
      <c r="E37" s="641"/>
      <c r="F37" s="641"/>
      <c r="G37" s="641"/>
      <c r="H37" s="641"/>
    </row>
    <row r="38" spans="1:8">
      <c r="A38" s="642" t="s">
        <v>740</v>
      </c>
      <c r="B38" s="641"/>
      <c r="C38" s="641"/>
      <c r="D38" s="641"/>
      <c r="E38" s="641"/>
      <c r="F38" s="641"/>
      <c r="G38" s="641"/>
      <c r="H38" s="641"/>
    </row>
    <row r="39" spans="1:8">
      <c r="A39" s="641"/>
      <c r="B39" s="641"/>
      <c r="C39" s="641"/>
      <c r="D39" s="641"/>
      <c r="E39" s="641"/>
      <c r="F39" s="641"/>
      <c r="G39" s="641"/>
      <c r="H39" s="641"/>
    </row>
    <row r="40" spans="1:8">
      <c r="A40" s="642" t="s">
        <v>731</v>
      </c>
      <c r="B40" s="641"/>
      <c r="C40" s="641"/>
      <c r="D40" s="641"/>
      <c r="E40" s="641"/>
      <c r="F40" s="641"/>
      <c r="G40" s="641"/>
      <c r="H40" s="641"/>
    </row>
    <row r="41" spans="1:8">
      <c r="A41" s="642" t="s">
        <v>732</v>
      </c>
      <c r="B41" s="641"/>
      <c r="C41" s="641"/>
      <c r="D41" s="641"/>
      <c r="E41" s="641"/>
      <c r="F41" s="641"/>
      <c r="G41" s="641"/>
      <c r="H41" s="641"/>
    </row>
    <row r="42" spans="1:8">
      <c r="A42" s="642" t="s">
        <v>733</v>
      </c>
      <c r="B42" s="641"/>
      <c r="C42" s="641"/>
      <c r="D42" s="641"/>
      <c r="E42" s="641"/>
      <c r="F42" s="641"/>
      <c r="G42" s="641"/>
      <c r="H42" s="641"/>
    </row>
    <row r="43" spans="1:8">
      <c r="A43" s="642" t="s">
        <v>734</v>
      </c>
      <c r="B43" s="641"/>
      <c r="C43" s="641"/>
      <c r="D43" s="641"/>
      <c r="E43" s="641"/>
      <c r="F43" s="641"/>
      <c r="G43" s="641"/>
      <c r="H43" s="641"/>
    </row>
    <row r="44" spans="1:8">
      <c r="A44" s="642" t="s">
        <v>735</v>
      </c>
      <c r="B44" s="641"/>
      <c r="C44" s="641"/>
      <c r="D44" s="641"/>
      <c r="E44" s="641"/>
      <c r="F44" s="641"/>
      <c r="G44" s="641"/>
      <c r="H44" s="641"/>
    </row>
    <row r="45" spans="1:8">
      <c r="A45" s="642" t="s">
        <v>736</v>
      </c>
      <c r="B45" s="641"/>
      <c r="C45" s="641"/>
      <c r="D45" s="641"/>
      <c r="E45" s="641"/>
      <c r="F45" s="641"/>
      <c r="G45" s="641"/>
      <c r="H45" s="641"/>
    </row>
    <row r="46" spans="1:8">
      <c r="A46" s="641"/>
      <c r="B46" s="641"/>
      <c r="C46" s="641"/>
      <c r="D46" s="641"/>
      <c r="E46" s="641"/>
      <c r="F46" s="641"/>
      <c r="G46" s="641"/>
      <c r="H46" s="641"/>
    </row>
    <row r="47" spans="1:8" ht="15.75">
      <c r="A47" s="643" t="s">
        <v>472</v>
      </c>
      <c r="B47" s="641"/>
      <c r="C47" s="641"/>
      <c r="D47" s="641"/>
      <c r="E47" s="641"/>
      <c r="F47" s="641"/>
      <c r="G47" s="641"/>
      <c r="H47" s="641"/>
    </row>
    <row r="48" spans="1:8">
      <c r="A48" s="641"/>
      <c r="B48" s="641"/>
      <c r="C48" s="641"/>
      <c r="D48" s="641"/>
      <c r="E48" s="641"/>
      <c r="F48" s="641"/>
      <c r="G48" s="641"/>
      <c r="H48" s="641"/>
    </row>
    <row r="49" spans="1:8">
      <c r="A49" s="642" t="s">
        <v>727</v>
      </c>
      <c r="B49" s="641"/>
      <c r="C49" s="641"/>
      <c r="D49" s="641"/>
      <c r="E49" s="641"/>
      <c r="F49" s="641"/>
      <c r="G49" s="641"/>
      <c r="H49" s="641"/>
    </row>
    <row r="50" spans="1:8">
      <c r="A50" s="642" t="s">
        <v>728</v>
      </c>
      <c r="B50" s="641"/>
      <c r="C50" s="641"/>
      <c r="D50" s="641"/>
      <c r="E50" s="641"/>
      <c r="F50" s="641"/>
      <c r="G50" s="641"/>
      <c r="H50" s="641"/>
    </row>
    <row r="51" spans="1:8">
      <c r="A51" s="642" t="s">
        <v>729</v>
      </c>
      <c r="B51" s="641"/>
      <c r="C51" s="641"/>
      <c r="D51" s="641"/>
      <c r="E51" s="641"/>
      <c r="F51" s="641"/>
      <c r="G51" s="641"/>
      <c r="H51" s="641"/>
    </row>
    <row r="52" spans="1:8">
      <c r="A52" s="642" t="s">
        <v>730</v>
      </c>
      <c r="B52" s="641"/>
      <c r="C52" s="641"/>
      <c r="D52" s="641"/>
      <c r="E52" s="641"/>
      <c r="F52" s="641"/>
      <c r="G52" s="641"/>
      <c r="H52" s="641"/>
    </row>
    <row r="53" spans="1:8">
      <c r="A53" s="641"/>
      <c r="B53" s="641"/>
      <c r="C53" s="641"/>
      <c r="D53" s="641"/>
      <c r="E53" s="641"/>
      <c r="F53" s="641"/>
      <c r="G53" s="641"/>
      <c r="H53" s="641"/>
    </row>
    <row r="54" spans="1:8">
      <c r="A54" s="642" t="s">
        <v>473</v>
      </c>
      <c r="B54" s="641"/>
      <c r="C54" s="641"/>
      <c r="D54" s="641"/>
      <c r="E54" s="641"/>
      <c r="F54" s="641"/>
      <c r="G54" s="641"/>
      <c r="H54" s="641"/>
    </row>
    <row r="55" spans="1:8">
      <c r="A55" s="641"/>
      <c r="B55" s="641"/>
      <c r="C55" s="641"/>
      <c r="D55" s="641"/>
      <c r="E55" s="641"/>
      <c r="F55" s="641"/>
      <c r="G55" s="641"/>
      <c r="H55" s="641"/>
    </row>
    <row r="56" spans="1:8" ht="15.75">
      <c r="A56" s="643" t="s">
        <v>474</v>
      </c>
      <c r="B56" s="641"/>
      <c r="C56" s="641"/>
      <c r="D56" s="641"/>
      <c r="E56" s="641"/>
      <c r="F56" s="641"/>
      <c r="G56" s="641"/>
      <c r="H56" s="641"/>
    </row>
    <row r="57" spans="1:8">
      <c r="A57" s="641"/>
      <c r="B57" s="641"/>
      <c r="C57" s="641"/>
      <c r="D57" s="641"/>
      <c r="E57" s="641"/>
      <c r="F57" s="641"/>
      <c r="G57" s="641"/>
      <c r="H57" s="641"/>
    </row>
    <row r="58" spans="1:8">
      <c r="A58" s="642" t="s">
        <v>725</v>
      </c>
      <c r="B58" s="641"/>
      <c r="C58" s="641"/>
      <c r="D58" s="641"/>
      <c r="E58" s="641"/>
      <c r="F58" s="641"/>
      <c r="G58" s="641"/>
      <c r="H58" s="641"/>
    </row>
    <row r="59" spans="1:8">
      <c r="A59" s="642" t="s">
        <v>726</v>
      </c>
      <c r="B59" s="641"/>
      <c r="C59" s="641"/>
      <c r="D59" s="641"/>
      <c r="E59" s="641"/>
      <c r="F59" s="641"/>
      <c r="G59" s="641"/>
      <c r="H59" s="641"/>
    </row>
    <row r="60" spans="1:8">
      <c r="A60" s="641"/>
      <c r="B60" s="641"/>
      <c r="C60" s="641"/>
      <c r="D60" s="641"/>
      <c r="E60" s="641"/>
      <c r="F60" s="641"/>
      <c r="G60" s="641"/>
      <c r="H60" s="641"/>
    </row>
    <row r="61" spans="1:8" ht="15.75">
      <c r="A61" s="643" t="s">
        <v>475</v>
      </c>
      <c r="B61" s="641"/>
      <c r="C61" s="641"/>
      <c r="D61" s="641"/>
      <c r="E61" s="641"/>
      <c r="F61" s="641"/>
      <c r="G61" s="641"/>
      <c r="H61" s="641"/>
    </row>
    <row r="62" spans="1:8">
      <c r="A62" s="641"/>
      <c r="B62" s="641"/>
      <c r="C62" s="641"/>
      <c r="D62" s="641"/>
      <c r="E62" s="641"/>
      <c r="F62" s="641"/>
      <c r="G62" s="641"/>
      <c r="H62" s="641"/>
    </row>
    <row r="63" spans="1:8">
      <c r="A63" s="642" t="s">
        <v>723</v>
      </c>
      <c r="B63" s="641"/>
      <c r="C63" s="641"/>
      <c r="D63" s="641"/>
      <c r="E63" s="641"/>
      <c r="F63" s="641"/>
      <c r="G63" s="641"/>
      <c r="H63" s="641"/>
    </row>
    <row r="64" spans="1:8">
      <c r="A64" s="642" t="s">
        <v>724</v>
      </c>
      <c r="B64" s="641"/>
      <c r="C64" s="641"/>
      <c r="D64" s="641"/>
      <c r="E64" s="641"/>
      <c r="F64" s="641"/>
      <c r="G64" s="641"/>
      <c r="H64" s="641"/>
    </row>
    <row r="65" spans="1:8">
      <c r="A65" s="641"/>
      <c r="B65" s="641"/>
      <c r="C65" s="641"/>
      <c r="D65" s="641"/>
      <c r="E65" s="641"/>
      <c r="F65" s="641"/>
      <c r="G65" s="641"/>
      <c r="H65" s="641"/>
    </row>
    <row r="66" spans="1:8">
      <c r="A66" s="642" t="s">
        <v>721</v>
      </c>
      <c r="B66" s="641"/>
      <c r="C66" s="641"/>
      <c r="D66" s="641"/>
      <c r="E66" s="641"/>
      <c r="F66" s="641"/>
      <c r="G66" s="641"/>
      <c r="H66" s="641"/>
    </row>
    <row r="67" spans="1:8">
      <c r="A67" s="642" t="s">
        <v>722</v>
      </c>
      <c r="B67" s="641"/>
      <c r="C67" s="641"/>
      <c r="D67" s="641"/>
      <c r="E67" s="641"/>
      <c r="F67" s="641"/>
      <c r="G67" s="641"/>
      <c r="H67" s="641"/>
    </row>
    <row r="68" spans="1:8">
      <c r="A68" s="641"/>
      <c r="B68" s="641"/>
      <c r="C68" s="641"/>
      <c r="D68" s="641"/>
      <c r="E68" s="641"/>
      <c r="F68" s="641"/>
      <c r="G68" s="641"/>
      <c r="H68" s="641"/>
    </row>
    <row r="69" spans="1:8">
      <c r="A69" s="642" t="s">
        <v>719</v>
      </c>
      <c r="B69" s="641"/>
      <c r="C69" s="641"/>
      <c r="D69" s="641"/>
      <c r="E69" s="641"/>
      <c r="F69" s="641"/>
      <c r="G69" s="641"/>
      <c r="H69" s="641"/>
    </row>
    <row r="70" spans="1:8">
      <c r="A70" s="642" t="s">
        <v>720</v>
      </c>
      <c r="B70" s="641"/>
      <c r="C70" s="641"/>
      <c r="D70" s="641"/>
      <c r="E70" s="641"/>
      <c r="F70" s="641"/>
      <c r="G70" s="641"/>
      <c r="H70" s="641"/>
    </row>
    <row r="71" spans="1:8">
      <c r="A71" s="641"/>
      <c r="B71" s="641"/>
      <c r="C71" s="641"/>
      <c r="D71" s="641"/>
      <c r="E71" s="641"/>
      <c r="F71" s="641"/>
      <c r="G71" s="641"/>
      <c r="H71" s="641"/>
    </row>
    <row r="72" spans="1:8">
      <c r="A72" s="642" t="s">
        <v>476</v>
      </c>
      <c r="B72" s="641"/>
      <c r="C72" s="641"/>
      <c r="D72" s="641"/>
      <c r="E72" s="641"/>
      <c r="F72" s="641"/>
      <c r="G72" s="641"/>
      <c r="H72" s="641"/>
    </row>
    <row r="73" spans="1:8">
      <c r="A73" s="641"/>
      <c r="B73" s="641"/>
      <c r="C73" s="641"/>
      <c r="D73" s="641"/>
      <c r="E73" s="641"/>
      <c r="F73" s="641"/>
      <c r="G73" s="641"/>
      <c r="H73" s="641"/>
    </row>
    <row r="74" spans="1:8">
      <c r="A74" s="642" t="s">
        <v>714</v>
      </c>
      <c r="B74" s="641"/>
      <c r="C74" s="641"/>
      <c r="D74" s="641"/>
      <c r="E74" s="641"/>
      <c r="F74" s="641"/>
      <c r="G74" s="641"/>
      <c r="H74" s="641"/>
    </row>
    <row r="75" spans="1:8">
      <c r="A75" s="642" t="s">
        <v>715</v>
      </c>
      <c r="B75" s="641"/>
      <c r="C75" s="641"/>
      <c r="D75" s="641"/>
      <c r="E75" s="641"/>
      <c r="F75" s="641"/>
      <c r="G75" s="641"/>
      <c r="H75" s="641"/>
    </row>
    <row r="76" spans="1:8">
      <c r="A76" s="642" t="s">
        <v>716</v>
      </c>
      <c r="B76" s="641"/>
      <c r="C76" s="641"/>
      <c r="D76" s="641"/>
      <c r="E76" s="641"/>
      <c r="F76" s="641"/>
      <c r="G76" s="641"/>
      <c r="H76" s="641"/>
    </row>
    <row r="77" spans="1:8">
      <c r="A77" s="642" t="s">
        <v>717</v>
      </c>
      <c r="B77" s="641"/>
      <c r="C77" s="641"/>
      <c r="D77" s="641"/>
      <c r="E77" s="641"/>
      <c r="F77" s="641"/>
      <c r="G77" s="641"/>
      <c r="H77" s="641"/>
    </row>
    <row r="78" spans="1:8">
      <c r="A78" s="642" t="s">
        <v>718</v>
      </c>
      <c r="B78" s="641"/>
      <c r="C78" s="641"/>
      <c r="D78" s="641"/>
      <c r="E78" s="641"/>
      <c r="F78" s="641"/>
      <c r="G78" s="641"/>
      <c r="H78" s="641"/>
    </row>
    <row r="79" spans="1:8">
      <c r="A79" s="642" t="s">
        <v>603</v>
      </c>
      <c r="B79" s="641"/>
      <c r="C79" s="641"/>
      <c r="D79" s="641"/>
      <c r="E79" s="641"/>
      <c r="F79" s="641"/>
      <c r="G79" s="641"/>
      <c r="H79" s="641"/>
    </row>
    <row r="80" spans="1:8">
      <c r="A80" s="641"/>
      <c r="B80" s="641"/>
      <c r="C80" s="641"/>
      <c r="D80" s="641"/>
      <c r="E80" s="641"/>
      <c r="F80" s="641"/>
      <c r="G80" s="641"/>
      <c r="H80" s="641"/>
    </row>
    <row r="81" spans="1:8">
      <c r="A81" s="642" t="s">
        <v>707</v>
      </c>
      <c r="B81" s="641"/>
      <c r="C81" s="641"/>
      <c r="D81" s="641"/>
      <c r="E81" s="641"/>
      <c r="F81" s="641"/>
      <c r="G81" s="641"/>
      <c r="H81" s="641"/>
    </row>
    <row r="82" spans="1:8">
      <c r="A82" s="642" t="s">
        <v>708</v>
      </c>
      <c r="B82" s="641"/>
      <c r="C82" s="641"/>
      <c r="D82" s="641"/>
      <c r="E82" s="641"/>
      <c r="F82" s="641"/>
      <c r="G82" s="641"/>
      <c r="H82" s="641"/>
    </row>
    <row r="83" spans="1:8">
      <c r="A83" s="642" t="s">
        <v>709</v>
      </c>
      <c r="B83" s="641"/>
      <c r="C83" s="641"/>
      <c r="D83" s="641"/>
      <c r="E83" s="641"/>
      <c r="F83" s="641"/>
      <c r="G83" s="641"/>
      <c r="H83" s="641"/>
    </row>
    <row r="84" spans="1:8">
      <c r="A84" s="642" t="s">
        <v>710</v>
      </c>
      <c r="B84" s="641"/>
      <c r="C84" s="641"/>
      <c r="D84" s="641"/>
      <c r="E84" s="641"/>
      <c r="F84" s="641"/>
      <c r="G84" s="641"/>
      <c r="H84" s="641"/>
    </row>
    <row r="85" spans="1:8">
      <c r="A85" s="642" t="s">
        <v>711</v>
      </c>
      <c r="B85" s="641"/>
      <c r="C85" s="641"/>
      <c r="D85" s="641"/>
      <c r="E85" s="641"/>
      <c r="F85" s="641"/>
      <c r="G85" s="641"/>
      <c r="H85" s="641"/>
    </row>
    <row r="86" spans="1:8">
      <c r="A86" s="642" t="s">
        <v>712</v>
      </c>
      <c r="B86" s="641"/>
      <c r="C86" s="641"/>
      <c r="D86" s="641"/>
      <c r="E86" s="641"/>
      <c r="F86" s="641"/>
      <c r="G86" s="641"/>
      <c r="H86" s="641"/>
    </row>
    <row r="87" spans="1:8">
      <c r="A87" s="642" t="s">
        <v>713</v>
      </c>
      <c r="B87" s="641"/>
      <c r="C87" s="641"/>
      <c r="D87" s="641"/>
      <c r="E87" s="641"/>
      <c r="F87" s="641"/>
      <c r="G87" s="641"/>
      <c r="H87" s="641"/>
    </row>
    <row r="88" spans="1:8">
      <c r="A88" s="641"/>
      <c r="B88" s="641"/>
      <c r="C88" s="641"/>
      <c r="D88" s="641"/>
      <c r="E88" s="641"/>
      <c r="F88" s="641"/>
      <c r="G88" s="641"/>
      <c r="H88" s="641"/>
    </row>
    <row r="89" spans="1:8">
      <c r="A89" s="642" t="s">
        <v>705</v>
      </c>
      <c r="B89" s="641"/>
      <c r="C89" s="641"/>
      <c r="D89" s="641"/>
      <c r="E89" s="641"/>
      <c r="F89" s="641"/>
      <c r="G89" s="641"/>
      <c r="H89" s="641"/>
    </row>
    <row r="90" spans="1:8">
      <c r="A90" s="642" t="s">
        <v>706</v>
      </c>
      <c r="B90" s="641"/>
      <c r="C90" s="641"/>
      <c r="D90" s="641"/>
      <c r="E90" s="641"/>
      <c r="F90" s="641"/>
      <c r="G90" s="641"/>
      <c r="H90" s="641"/>
    </row>
    <row r="91" spans="1:8">
      <c r="A91" s="641"/>
      <c r="B91" s="641"/>
      <c r="C91" s="641"/>
      <c r="D91" s="641"/>
      <c r="E91" s="641"/>
      <c r="F91" s="641"/>
      <c r="G91" s="641"/>
      <c r="H91" s="641"/>
    </row>
    <row r="92" spans="1:8" ht="15.75">
      <c r="A92" s="643" t="s">
        <v>477</v>
      </c>
      <c r="B92" s="641"/>
      <c r="C92" s="641"/>
      <c r="D92" s="641"/>
      <c r="E92" s="641"/>
      <c r="F92" s="641"/>
      <c r="G92" s="641"/>
      <c r="H92" s="641"/>
    </row>
    <row r="93" spans="1:8">
      <c r="A93" s="641"/>
      <c r="B93" s="641"/>
      <c r="C93" s="641"/>
      <c r="D93" s="641"/>
      <c r="E93" s="641"/>
      <c r="F93" s="641"/>
      <c r="G93" s="641"/>
      <c r="H93" s="641"/>
    </row>
    <row r="94" spans="1:8">
      <c r="A94" s="642" t="s">
        <v>696</v>
      </c>
      <c r="B94" s="641"/>
      <c r="C94" s="641"/>
      <c r="D94" s="641"/>
      <c r="E94" s="641"/>
      <c r="F94" s="641"/>
      <c r="G94" s="641"/>
      <c r="H94" s="641"/>
    </row>
    <row r="95" spans="1:8">
      <c r="A95" s="642" t="s">
        <v>697</v>
      </c>
      <c r="B95" s="641"/>
      <c r="C95" s="641"/>
      <c r="D95" s="641"/>
      <c r="E95" s="641"/>
      <c r="F95" s="641"/>
      <c r="G95" s="641"/>
      <c r="H95" s="641"/>
    </row>
    <row r="96" spans="1:8">
      <c r="A96" s="642" t="s">
        <v>698</v>
      </c>
      <c r="B96" s="641"/>
      <c r="C96" s="641"/>
      <c r="D96" s="641"/>
      <c r="E96" s="641"/>
      <c r="F96" s="641"/>
      <c r="G96" s="641"/>
      <c r="H96" s="641"/>
    </row>
    <row r="97" spans="1:8">
      <c r="A97" s="642" t="s">
        <v>699</v>
      </c>
      <c r="B97" s="641"/>
      <c r="C97" s="641"/>
      <c r="D97" s="641"/>
      <c r="E97" s="641"/>
      <c r="F97" s="641"/>
      <c r="G97" s="641"/>
      <c r="H97" s="641"/>
    </row>
    <row r="98" spans="1:8">
      <c r="A98" s="642" t="s">
        <v>700</v>
      </c>
      <c r="B98" s="641"/>
      <c r="C98" s="641"/>
      <c r="D98" s="641"/>
      <c r="E98" s="641"/>
      <c r="F98" s="641"/>
      <c r="G98" s="641"/>
      <c r="H98" s="641"/>
    </row>
    <row r="99" spans="1:8">
      <c r="A99" s="642" t="s">
        <v>701</v>
      </c>
      <c r="B99" s="641"/>
      <c r="C99" s="641"/>
      <c r="D99" s="641"/>
      <c r="E99" s="641"/>
      <c r="F99" s="641"/>
      <c r="G99" s="641"/>
      <c r="H99" s="641"/>
    </row>
    <row r="100" spans="1:8">
      <c r="A100" s="642" t="s">
        <v>702</v>
      </c>
      <c r="B100" s="641"/>
      <c r="C100" s="641"/>
      <c r="D100" s="641"/>
      <c r="E100" s="641"/>
      <c r="F100" s="641"/>
      <c r="G100" s="641"/>
      <c r="H100" s="641"/>
    </row>
    <row r="101" spans="1:8">
      <c r="A101" s="642" t="s">
        <v>703</v>
      </c>
      <c r="B101" s="641"/>
      <c r="C101" s="641"/>
      <c r="D101" s="641"/>
      <c r="E101" s="641"/>
      <c r="F101" s="641"/>
      <c r="G101" s="641"/>
      <c r="H101" s="641"/>
    </row>
    <row r="102" spans="1:8">
      <c r="A102" s="642" t="s">
        <v>704</v>
      </c>
      <c r="B102" s="641"/>
      <c r="C102" s="641"/>
      <c r="D102" s="641"/>
      <c r="E102" s="641"/>
      <c r="F102" s="641"/>
      <c r="G102" s="641"/>
      <c r="H102" s="641"/>
    </row>
    <row r="103" spans="1:8">
      <c r="A103" s="641"/>
      <c r="B103" s="641"/>
      <c r="C103" s="641"/>
      <c r="D103" s="641"/>
      <c r="E103" s="641"/>
      <c r="F103" s="641"/>
      <c r="G103" s="641"/>
      <c r="H103" s="641"/>
    </row>
    <row r="104" spans="1:8" ht="15.75">
      <c r="A104" s="644" t="s">
        <v>478</v>
      </c>
      <c r="B104" s="644"/>
      <c r="C104" s="644"/>
      <c r="D104" s="644"/>
      <c r="E104" s="644"/>
      <c r="F104" s="644"/>
      <c r="G104" s="644"/>
      <c r="H104" s="644"/>
    </row>
    <row r="105" spans="1:8">
      <c r="A105" s="645" t="s">
        <v>479</v>
      </c>
      <c r="B105" s="645"/>
      <c r="C105" s="645"/>
      <c r="D105" s="645"/>
      <c r="E105" s="645"/>
      <c r="F105" s="645"/>
      <c r="G105" s="645"/>
      <c r="H105" s="645"/>
    </row>
    <row r="106" spans="1:8">
      <c r="A106" s="646"/>
      <c r="B106" s="646"/>
      <c r="C106" s="646"/>
      <c r="D106" s="646"/>
      <c r="E106" s="646"/>
      <c r="F106" s="646"/>
      <c r="G106" s="646"/>
      <c r="H106" s="646"/>
    </row>
    <row r="107" spans="1:8">
      <c r="A107" s="645" t="s">
        <v>694</v>
      </c>
      <c r="B107" s="645"/>
      <c r="C107" s="645"/>
      <c r="D107" s="645"/>
      <c r="E107" s="645"/>
      <c r="F107" s="645"/>
      <c r="G107" s="645"/>
      <c r="H107" s="645"/>
    </row>
    <row r="108" spans="1:8">
      <c r="A108" s="642" t="s">
        <v>695</v>
      </c>
      <c r="B108" s="642"/>
      <c r="C108" s="642"/>
      <c r="D108" s="642"/>
      <c r="E108" s="642"/>
      <c r="F108" s="642"/>
      <c r="G108" s="642"/>
      <c r="H108" s="642"/>
    </row>
    <row r="109" spans="1:8">
      <c r="A109" s="646"/>
      <c r="B109" s="646"/>
      <c r="C109" s="646"/>
      <c r="D109" s="646"/>
      <c r="E109" s="646"/>
      <c r="F109" s="646"/>
      <c r="G109" s="646"/>
      <c r="H109" s="646"/>
    </row>
    <row r="110" spans="1:8">
      <c r="A110" s="645" t="s">
        <v>687</v>
      </c>
      <c r="B110" s="645"/>
      <c r="C110" s="645"/>
      <c r="D110" s="645"/>
      <c r="E110" s="645"/>
      <c r="F110" s="645"/>
      <c r="G110" s="645"/>
      <c r="H110" s="645"/>
    </row>
    <row r="111" spans="1:8">
      <c r="A111" s="642" t="s">
        <v>688</v>
      </c>
      <c r="B111" s="642"/>
      <c r="C111" s="642"/>
      <c r="D111" s="642"/>
      <c r="E111" s="642"/>
      <c r="F111" s="642"/>
      <c r="G111" s="642"/>
      <c r="H111" s="642"/>
    </row>
    <row r="112" spans="1:8">
      <c r="A112" s="642" t="s">
        <v>689</v>
      </c>
      <c r="B112" s="642"/>
      <c r="C112" s="642"/>
      <c r="D112" s="642"/>
      <c r="E112" s="642"/>
      <c r="F112" s="642"/>
      <c r="G112" s="642"/>
      <c r="H112" s="642"/>
    </row>
    <row r="113" spans="1:8">
      <c r="A113" s="642" t="s">
        <v>690</v>
      </c>
      <c r="B113" s="642"/>
      <c r="C113" s="642"/>
      <c r="D113" s="642"/>
      <c r="E113" s="642"/>
      <c r="F113" s="642"/>
      <c r="G113" s="642"/>
      <c r="H113" s="642"/>
    </row>
    <row r="114" spans="1:8">
      <c r="A114" s="642" t="s">
        <v>691</v>
      </c>
      <c r="B114" s="642"/>
      <c r="C114" s="642"/>
      <c r="D114" s="642"/>
      <c r="E114" s="642"/>
      <c r="F114" s="642"/>
      <c r="G114" s="642"/>
      <c r="H114" s="642"/>
    </row>
    <row r="115" spans="1:8">
      <c r="A115" s="642" t="s">
        <v>692</v>
      </c>
      <c r="B115" s="642"/>
      <c r="C115" s="642"/>
      <c r="D115" s="642"/>
      <c r="E115" s="642"/>
      <c r="F115" s="642"/>
      <c r="G115" s="642"/>
      <c r="H115" s="642"/>
    </row>
    <row r="116" spans="1:8">
      <c r="A116" s="642" t="s">
        <v>693</v>
      </c>
      <c r="B116" s="642"/>
      <c r="C116" s="642"/>
      <c r="D116" s="642"/>
      <c r="E116" s="642"/>
      <c r="F116" s="642"/>
      <c r="G116" s="642"/>
      <c r="H116" s="642"/>
    </row>
    <row r="117" spans="1:8">
      <c r="A117" s="647"/>
      <c r="B117" s="647"/>
      <c r="C117" s="647"/>
      <c r="D117" s="647"/>
      <c r="E117" s="647"/>
      <c r="F117" s="647"/>
      <c r="G117" s="647"/>
      <c r="H117" s="647"/>
    </row>
    <row r="118" spans="1:8">
      <c r="A118" s="648"/>
      <c r="B118" s="649" t="s">
        <v>480</v>
      </c>
      <c r="C118" s="650"/>
      <c r="D118" s="649" t="s">
        <v>481</v>
      </c>
      <c r="E118" s="651"/>
      <c r="F118" s="650"/>
      <c r="G118" s="649" t="s">
        <v>482</v>
      </c>
      <c r="H118" s="650"/>
    </row>
    <row r="119" spans="1:8">
      <c r="A119" s="648" t="s">
        <v>483</v>
      </c>
      <c r="B119" s="648" t="s">
        <v>252</v>
      </c>
      <c r="C119" s="648" t="s">
        <v>484</v>
      </c>
      <c r="D119" s="648" t="s">
        <v>252</v>
      </c>
      <c r="E119" s="648" t="s">
        <v>485</v>
      </c>
      <c r="F119" s="648" t="s">
        <v>486</v>
      </c>
      <c r="G119" s="648" t="s">
        <v>252</v>
      </c>
      <c r="H119" s="648" t="s">
        <v>487</v>
      </c>
    </row>
    <row r="120" spans="1:8">
      <c r="A120" s="648" t="s">
        <v>488</v>
      </c>
      <c r="B120" s="648">
        <v>1189</v>
      </c>
      <c r="C120" s="652">
        <v>0.38</v>
      </c>
      <c r="D120" s="648">
        <v>315</v>
      </c>
      <c r="E120" s="652">
        <v>0.41</v>
      </c>
      <c r="F120" s="652">
        <v>0.26</v>
      </c>
      <c r="G120" s="648">
        <v>555</v>
      </c>
      <c r="H120" s="652">
        <v>0.39</v>
      </c>
    </row>
    <row r="121" spans="1:8">
      <c r="A121" s="648" t="s">
        <v>489</v>
      </c>
      <c r="B121" s="648">
        <v>1355</v>
      </c>
      <c r="C121" s="652">
        <v>0.43</v>
      </c>
      <c r="D121" s="648">
        <v>364</v>
      </c>
      <c r="E121" s="652">
        <v>0.47</v>
      </c>
      <c r="F121" s="652">
        <v>0.27</v>
      </c>
      <c r="G121" s="648">
        <v>644</v>
      </c>
      <c r="H121" s="652">
        <v>0.45</v>
      </c>
    </row>
    <row r="122" spans="1:8">
      <c r="A122" s="648" t="s">
        <v>490</v>
      </c>
      <c r="B122" s="648">
        <v>53</v>
      </c>
      <c r="C122" s="652">
        <v>0.02</v>
      </c>
      <c r="D122" s="648">
        <v>4</v>
      </c>
      <c r="E122" s="652">
        <v>0.01</v>
      </c>
      <c r="F122" s="652">
        <v>0.08</v>
      </c>
      <c r="G122" s="648">
        <v>7</v>
      </c>
      <c r="H122" s="652">
        <v>0</v>
      </c>
    </row>
    <row r="123" spans="1:8">
      <c r="A123" s="648" t="s">
        <v>491</v>
      </c>
      <c r="B123" s="648">
        <v>545</v>
      </c>
      <c r="C123" s="652">
        <v>0.17</v>
      </c>
      <c r="D123" s="648">
        <v>84</v>
      </c>
      <c r="E123" s="652">
        <v>0.11</v>
      </c>
      <c r="F123" s="652">
        <v>0.15</v>
      </c>
      <c r="G123" s="648">
        <v>214</v>
      </c>
      <c r="H123" s="652">
        <v>0.15</v>
      </c>
    </row>
    <row r="124" spans="1:8">
      <c r="A124" s="648" t="s">
        <v>492</v>
      </c>
      <c r="B124" s="653">
        <v>3142</v>
      </c>
      <c r="C124" s="648"/>
      <c r="D124" s="648">
        <v>767</v>
      </c>
      <c r="E124" s="648"/>
      <c r="F124" s="648"/>
      <c r="G124" s="648">
        <v>1420</v>
      </c>
      <c r="H124" s="648"/>
    </row>
    <row r="125" spans="1:8">
      <c r="A125" s="654"/>
      <c r="B125" s="654"/>
      <c r="C125" s="654"/>
      <c r="D125" s="654"/>
      <c r="E125" s="654"/>
      <c r="F125" s="654"/>
      <c r="G125" s="654"/>
      <c r="H125" s="654"/>
    </row>
    <row r="126" spans="1:8">
      <c r="A126" s="645" t="s">
        <v>683</v>
      </c>
      <c r="B126" s="645"/>
      <c r="C126" s="645"/>
      <c r="D126" s="645"/>
      <c r="E126" s="645"/>
      <c r="F126" s="645"/>
      <c r="G126" s="645"/>
      <c r="H126" s="645"/>
    </row>
    <row r="127" spans="1:8">
      <c r="A127" s="642" t="s">
        <v>684</v>
      </c>
      <c r="B127" s="642"/>
      <c r="C127" s="642"/>
      <c r="D127" s="642"/>
      <c r="E127" s="642"/>
      <c r="F127" s="642"/>
      <c r="G127" s="642"/>
      <c r="H127" s="642"/>
    </row>
    <row r="128" spans="1:8">
      <c r="A128" s="642" t="s">
        <v>685</v>
      </c>
      <c r="B128" s="642"/>
      <c r="C128" s="642"/>
      <c r="D128" s="642"/>
      <c r="E128" s="642"/>
      <c r="F128" s="642"/>
      <c r="G128" s="642"/>
      <c r="H128" s="642"/>
    </row>
    <row r="129" spans="1:8">
      <c r="A129" s="642" t="s">
        <v>686</v>
      </c>
      <c r="B129" s="642"/>
      <c r="C129" s="642"/>
      <c r="D129" s="642"/>
      <c r="E129" s="642"/>
      <c r="F129" s="642"/>
      <c r="G129" s="642"/>
      <c r="H129" s="642"/>
    </row>
    <row r="130" spans="1:8">
      <c r="A130" s="641"/>
      <c r="B130" s="641"/>
      <c r="C130" s="641"/>
      <c r="D130" s="641"/>
      <c r="E130" s="641"/>
      <c r="F130" s="641"/>
      <c r="G130" s="641"/>
      <c r="H130" s="641"/>
    </row>
    <row r="131" spans="1:8" ht="15.75">
      <c r="A131" s="643" t="s">
        <v>493</v>
      </c>
      <c r="B131" s="641"/>
      <c r="C131" s="641"/>
      <c r="D131" s="641"/>
      <c r="E131" s="641"/>
      <c r="F131" s="641"/>
      <c r="G131" s="641"/>
      <c r="H131" s="641"/>
    </row>
    <row r="132" spans="1:8">
      <c r="A132" s="641"/>
      <c r="B132" s="641"/>
      <c r="C132" s="641"/>
      <c r="D132" s="641"/>
      <c r="E132" s="641"/>
      <c r="F132" s="641"/>
      <c r="G132" s="641"/>
      <c r="H132" s="641"/>
    </row>
    <row r="133" spans="1:8">
      <c r="A133" s="642" t="s">
        <v>681</v>
      </c>
      <c r="B133" s="641"/>
      <c r="C133" s="641"/>
      <c r="D133" s="641"/>
      <c r="E133" s="641"/>
      <c r="F133" s="641"/>
      <c r="G133" s="641"/>
      <c r="H133" s="641"/>
    </row>
    <row r="134" spans="1:8">
      <c r="A134" s="642" t="s">
        <v>682</v>
      </c>
      <c r="B134" s="641"/>
      <c r="C134" s="641"/>
      <c r="D134" s="641"/>
      <c r="E134" s="641"/>
      <c r="F134" s="641"/>
      <c r="G134" s="641"/>
      <c r="H134" s="641"/>
    </row>
    <row r="135" spans="1:8">
      <c r="A135" s="641"/>
      <c r="B135" s="641"/>
      <c r="C135" s="641"/>
      <c r="D135" s="641"/>
      <c r="E135" s="641"/>
      <c r="F135" s="641"/>
      <c r="G135" s="641"/>
      <c r="H135" s="641"/>
    </row>
    <row r="136" spans="1:8">
      <c r="A136" s="642" t="s">
        <v>678</v>
      </c>
      <c r="B136" s="641"/>
      <c r="C136" s="641"/>
      <c r="D136" s="641"/>
      <c r="E136" s="641"/>
      <c r="F136" s="641"/>
      <c r="G136" s="641"/>
      <c r="H136" s="641"/>
    </row>
    <row r="137" spans="1:8">
      <c r="A137" s="642" t="s">
        <v>679</v>
      </c>
      <c r="B137" s="641"/>
      <c r="C137" s="641"/>
      <c r="D137" s="641"/>
      <c r="E137" s="641"/>
      <c r="F137" s="641"/>
      <c r="G137" s="641"/>
      <c r="H137" s="641"/>
    </row>
    <row r="138" spans="1:8">
      <c r="A138" s="642" t="s">
        <v>680</v>
      </c>
      <c r="B138" s="641"/>
      <c r="C138" s="641"/>
      <c r="D138" s="641"/>
      <c r="E138" s="641"/>
      <c r="F138" s="641"/>
      <c r="G138" s="641"/>
      <c r="H138" s="641"/>
    </row>
    <row r="139" spans="1:8">
      <c r="A139" s="641"/>
      <c r="B139" s="641"/>
      <c r="C139" s="641"/>
      <c r="D139" s="641"/>
      <c r="E139" s="641"/>
      <c r="F139" s="641"/>
      <c r="G139" s="641"/>
      <c r="H139" s="641"/>
    </row>
    <row r="140" spans="1:8">
      <c r="A140" s="642" t="s">
        <v>675</v>
      </c>
      <c r="B140" s="641"/>
      <c r="C140" s="641"/>
      <c r="D140" s="641"/>
      <c r="E140" s="641"/>
      <c r="F140" s="641"/>
      <c r="G140" s="641"/>
      <c r="H140" s="641"/>
    </row>
    <row r="141" spans="1:8">
      <c r="A141" s="642" t="s">
        <v>676</v>
      </c>
      <c r="B141" s="641"/>
      <c r="C141" s="641"/>
      <c r="D141" s="641"/>
      <c r="E141" s="641"/>
      <c r="F141" s="641"/>
      <c r="G141" s="641"/>
      <c r="H141" s="641"/>
    </row>
    <row r="142" spans="1:8">
      <c r="A142" s="642" t="s">
        <v>677</v>
      </c>
      <c r="B142" s="641"/>
      <c r="C142" s="641"/>
      <c r="D142" s="641"/>
      <c r="E142" s="641"/>
      <c r="F142" s="641"/>
      <c r="G142" s="641"/>
      <c r="H142" s="641"/>
    </row>
    <row r="143" spans="1:8">
      <c r="A143" s="641"/>
      <c r="B143" s="641"/>
      <c r="C143" s="641"/>
      <c r="D143" s="641"/>
      <c r="E143" s="641"/>
      <c r="F143" s="641"/>
      <c r="G143" s="641"/>
      <c r="H143" s="641"/>
    </row>
    <row r="144" spans="1:8">
      <c r="A144" s="642" t="s">
        <v>672</v>
      </c>
      <c r="B144" s="641"/>
      <c r="C144" s="641"/>
      <c r="D144" s="641"/>
      <c r="E144" s="641"/>
      <c r="F144" s="641"/>
      <c r="G144" s="641"/>
      <c r="H144" s="641"/>
    </row>
    <row r="145" spans="1:8">
      <c r="A145" s="642" t="s">
        <v>673</v>
      </c>
      <c r="B145" s="641"/>
      <c r="C145" s="641"/>
      <c r="D145" s="641"/>
      <c r="E145" s="641"/>
      <c r="F145" s="641"/>
      <c r="G145" s="641"/>
      <c r="H145" s="641"/>
    </row>
    <row r="146" spans="1:8">
      <c r="A146" s="642" t="s">
        <v>674</v>
      </c>
      <c r="B146" s="641"/>
      <c r="C146" s="641"/>
      <c r="D146" s="641"/>
      <c r="E146" s="641"/>
      <c r="F146" s="641"/>
      <c r="G146" s="641"/>
      <c r="H146" s="641"/>
    </row>
    <row r="147" spans="1:8">
      <c r="A147" s="641"/>
      <c r="B147" s="641"/>
      <c r="C147" s="641"/>
      <c r="D147" s="641"/>
      <c r="E147" s="641"/>
      <c r="F147" s="641"/>
      <c r="G147" s="641"/>
      <c r="H147" s="641"/>
    </row>
    <row r="148" spans="1:8">
      <c r="A148" s="642" t="s">
        <v>670</v>
      </c>
      <c r="B148" s="641"/>
      <c r="C148" s="641"/>
      <c r="D148" s="641"/>
      <c r="E148" s="641"/>
      <c r="F148" s="641"/>
      <c r="G148" s="641"/>
      <c r="H148" s="641"/>
    </row>
    <row r="149" spans="1:8">
      <c r="A149" s="642" t="s">
        <v>671</v>
      </c>
      <c r="B149" s="641"/>
      <c r="C149" s="641"/>
      <c r="D149" s="641"/>
      <c r="E149" s="641"/>
      <c r="F149" s="641"/>
      <c r="G149" s="641"/>
      <c r="H149" s="641"/>
    </row>
    <row r="150" spans="1:8">
      <c r="A150" s="641"/>
      <c r="B150" s="641"/>
      <c r="C150" s="641"/>
      <c r="D150" s="641"/>
      <c r="E150" s="641"/>
      <c r="F150" s="641"/>
      <c r="G150" s="641"/>
      <c r="H150" s="641"/>
    </row>
    <row r="151" spans="1:8" ht="15.75">
      <c r="A151" s="643" t="s">
        <v>494</v>
      </c>
      <c r="B151" s="641"/>
      <c r="C151" s="641"/>
      <c r="D151" s="641"/>
      <c r="E151" s="641"/>
      <c r="F151" s="641"/>
      <c r="G151" s="641"/>
      <c r="H151" s="641"/>
    </row>
    <row r="152" spans="1:8">
      <c r="A152" s="641"/>
      <c r="B152" s="641"/>
      <c r="C152" s="641"/>
      <c r="D152" s="641"/>
      <c r="E152" s="641"/>
      <c r="F152" s="641"/>
      <c r="G152" s="641"/>
      <c r="H152" s="641"/>
    </row>
    <row r="153" spans="1:8">
      <c r="A153" s="642" t="s">
        <v>668</v>
      </c>
      <c r="B153" s="641"/>
      <c r="C153" s="641"/>
      <c r="D153" s="641"/>
      <c r="E153" s="641"/>
      <c r="F153" s="641"/>
      <c r="G153" s="641"/>
      <c r="H153" s="641"/>
    </row>
    <row r="154" spans="1:8">
      <c r="A154" s="642" t="s">
        <v>669</v>
      </c>
      <c r="B154" s="641"/>
      <c r="C154" s="641"/>
      <c r="D154" s="641"/>
      <c r="E154" s="641"/>
      <c r="F154" s="641"/>
      <c r="G154" s="641"/>
      <c r="H154" s="641"/>
    </row>
    <row r="155" spans="1:8">
      <c r="A155" s="641"/>
      <c r="B155" s="641"/>
      <c r="C155" s="641"/>
      <c r="D155" s="641"/>
      <c r="E155" s="641"/>
      <c r="F155" s="641"/>
      <c r="G155" s="641"/>
      <c r="H155" s="641"/>
    </row>
    <row r="156" spans="1:8">
      <c r="A156" s="642" t="s">
        <v>666</v>
      </c>
      <c r="B156" s="641"/>
      <c r="C156" s="641"/>
      <c r="D156" s="641"/>
      <c r="E156" s="641"/>
      <c r="F156" s="641"/>
      <c r="G156" s="641"/>
      <c r="H156" s="641"/>
    </row>
    <row r="157" spans="1:8">
      <c r="A157" s="642" t="s">
        <v>667</v>
      </c>
      <c r="B157" s="641"/>
      <c r="C157" s="641"/>
      <c r="D157" s="641"/>
      <c r="E157" s="641"/>
      <c r="F157" s="641"/>
      <c r="G157" s="641"/>
      <c r="H157" s="641"/>
    </row>
    <row r="158" spans="1:8">
      <c r="A158" s="641"/>
      <c r="B158" s="641"/>
      <c r="C158" s="641"/>
      <c r="D158" s="641"/>
      <c r="E158" s="641"/>
      <c r="F158" s="641"/>
      <c r="G158" s="641"/>
      <c r="H158" s="641"/>
    </row>
    <row r="159" spans="1:8">
      <c r="A159" s="642" t="s">
        <v>664</v>
      </c>
      <c r="B159" s="641"/>
      <c r="C159" s="641"/>
      <c r="D159" s="641"/>
      <c r="E159" s="641"/>
      <c r="F159" s="641"/>
      <c r="G159" s="641"/>
      <c r="H159" s="641"/>
    </row>
    <row r="160" spans="1:8">
      <c r="A160" s="642" t="s">
        <v>665</v>
      </c>
      <c r="B160" s="641"/>
      <c r="C160" s="641"/>
      <c r="D160" s="641"/>
      <c r="E160" s="641"/>
      <c r="F160" s="641"/>
      <c r="G160" s="641"/>
      <c r="H160" s="641"/>
    </row>
    <row r="161" spans="1:8">
      <c r="A161" s="641"/>
      <c r="B161" s="641"/>
      <c r="C161" s="641"/>
      <c r="D161" s="641"/>
      <c r="E161" s="641"/>
      <c r="F161" s="641"/>
      <c r="G161" s="641"/>
      <c r="H161" s="641"/>
    </row>
    <row r="162" spans="1:8">
      <c r="A162" s="642" t="s">
        <v>661</v>
      </c>
      <c r="B162" s="641"/>
      <c r="C162" s="641"/>
      <c r="D162" s="641"/>
      <c r="E162" s="641"/>
      <c r="F162" s="641"/>
      <c r="G162" s="641"/>
      <c r="H162" s="641"/>
    </row>
    <row r="163" spans="1:8">
      <c r="A163" s="642" t="s">
        <v>662</v>
      </c>
      <c r="B163" s="641"/>
      <c r="C163" s="641"/>
      <c r="D163" s="641"/>
      <c r="E163" s="641"/>
      <c r="F163" s="641"/>
      <c r="G163" s="641"/>
      <c r="H163" s="641"/>
    </row>
    <row r="164" spans="1:8">
      <c r="A164" s="642" t="s">
        <v>663</v>
      </c>
      <c r="B164" s="641"/>
      <c r="C164" s="641"/>
      <c r="D164" s="641"/>
      <c r="E164" s="641"/>
      <c r="F164" s="641"/>
      <c r="G164" s="641"/>
      <c r="H164" s="641"/>
    </row>
    <row r="165" spans="1:8">
      <c r="A165" s="641"/>
      <c r="B165" s="641"/>
      <c r="C165" s="641"/>
      <c r="D165" s="641"/>
      <c r="E165" s="641"/>
      <c r="F165" s="641"/>
      <c r="G165" s="641"/>
      <c r="H165" s="641"/>
    </row>
    <row r="166" spans="1:8">
      <c r="A166" s="641"/>
      <c r="B166" s="641"/>
      <c r="C166" s="641"/>
      <c r="D166" s="641"/>
      <c r="E166" s="641"/>
      <c r="F166" s="641"/>
      <c r="G166" s="641"/>
      <c r="H166" s="641"/>
    </row>
    <row r="167" spans="1:8">
      <c r="A167" s="642" t="s">
        <v>495</v>
      </c>
      <c r="B167" s="641"/>
      <c r="C167" s="641"/>
      <c r="D167" s="641"/>
      <c r="E167" s="641"/>
      <c r="F167" s="641"/>
      <c r="G167" s="641"/>
      <c r="H167" s="641"/>
    </row>
    <row r="168" spans="1:8">
      <c r="A168" s="641"/>
      <c r="B168" s="641"/>
      <c r="C168" s="641"/>
      <c r="D168" s="641"/>
      <c r="E168" s="641"/>
      <c r="F168" s="641"/>
      <c r="G168" s="641"/>
      <c r="H168" s="641"/>
    </row>
    <row r="169" spans="1:8" ht="15.75">
      <c r="A169" s="643" t="s">
        <v>496</v>
      </c>
      <c r="B169" s="641"/>
      <c r="C169" s="641"/>
      <c r="D169" s="641"/>
      <c r="E169" s="641"/>
      <c r="F169" s="641"/>
      <c r="G169" s="641"/>
      <c r="H169" s="641"/>
    </row>
    <row r="170" spans="1:8">
      <c r="A170" s="641"/>
      <c r="B170" s="641"/>
      <c r="C170" s="641"/>
      <c r="D170" s="641"/>
      <c r="E170" s="641"/>
      <c r="F170" s="641"/>
      <c r="G170" s="641"/>
      <c r="H170" s="641"/>
    </row>
    <row r="171" spans="1:8">
      <c r="A171" s="641"/>
      <c r="B171" s="641"/>
      <c r="C171" s="641"/>
      <c r="D171" s="641"/>
      <c r="E171" s="641"/>
      <c r="F171" s="641"/>
      <c r="G171" s="641"/>
      <c r="H171" s="641"/>
    </row>
    <row r="172" spans="1:8">
      <c r="A172" s="641"/>
      <c r="B172" s="641"/>
      <c r="C172" s="641"/>
      <c r="D172" s="641"/>
      <c r="E172" s="641"/>
      <c r="F172" s="641"/>
      <c r="G172" s="641"/>
      <c r="H172" s="641"/>
    </row>
    <row r="173" spans="1:8">
      <c r="A173" s="641"/>
      <c r="B173" s="641"/>
      <c r="C173" s="641"/>
      <c r="D173" s="641"/>
      <c r="E173" s="641"/>
      <c r="F173" s="641"/>
      <c r="G173" s="641"/>
      <c r="H173" s="641"/>
    </row>
    <row r="174" spans="1:8">
      <c r="A174" s="641"/>
      <c r="B174" s="641"/>
      <c r="C174" s="641"/>
      <c r="D174" s="641"/>
      <c r="E174" s="641"/>
      <c r="F174" s="641"/>
      <c r="G174" s="641"/>
      <c r="H174" s="641"/>
    </row>
    <row r="175" spans="1:8">
      <c r="A175" s="641"/>
      <c r="B175" s="641"/>
      <c r="C175" s="641"/>
      <c r="D175" s="641"/>
      <c r="E175" s="641"/>
      <c r="F175" s="641"/>
      <c r="G175" s="641"/>
      <c r="H175" s="641"/>
    </row>
    <row r="176" spans="1:8">
      <c r="A176" s="641"/>
      <c r="B176" s="641"/>
      <c r="C176" s="641"/>
      <c r="D176" s="641"/>
      <c r="E176" s="641"/>
      <c r="F176" s="641"/>
      <c r="G176" s="641"/>
      <c r="H176" s="641"/>
    </row>
    <row r="177" spans="1:8">
      <c r="A177" s="641"/>
      <c r="B177" s="641"/>
      <c r="C177" s="641"/>
      <c r="D177" s="641"/>
      <c r="E177" s="641"/>
      <c r="F177" s="641"/>
      <c r="G177" s="641"/>
      <c r="H177" s="641"/>
    </row>
    <row r="178" spans="1:8">
      <c r="A178" s="641"/>
      <c r="B178" s="641"/>
      <c r="C178" s="641"/>
      <c r="D178" s="641"/>
      <c r="E178" s="641"/>
      <c r="F178" s="641"/>
      <c r="G178" s="641"/>
      <c r="H178" s="641"/>
    </row>
    <row r="179" spans="1:8">
      <c r="A179" s="641"/>
      <c r="B179" s="641"/>
      <c r="C179" s="641"/>
      <c r="D179" s="641"/>
      <c r="E179" s="641"/>
      <c r="F179" s="641"/>
      <c r="G179" s="641"/>
      <c r="H179" s="641"/>
    </row>
    <row r="180" spans="1:8">
      <c r="A180" s="641"/>
      <c r="B180" s="641"/>
      <c r="C180" s="641"/>
      <c r="D180" s="641"/>
      <c r="E180" s="641"/>
      <c r="F180" s="641"/>
      <c r="G180" s="641"/>
      <c r="H180" s="641"/>
    </row>
    <row r="181" spans="1:8">
      <c r="A181" s="641"/>
      <c r="B181" s="641"/>
      <c r="C181" s="641"/>
      <c r="D181" s="641"/>
      <c r="E181" s="641"/>
      <c r="F181" s="641"/>
      <c r="G181" s="641"/>
      <c r="H181" s="641"/>
    </row>
    <row r="182" spans="1:8">
      <c r="A182" s="641"/>
      <c r="B182" s="641"/>
      <c r="C182" s="641"/>
      <c r="D182" s="641"/>
      <c r="E182" s="641"/>
      <c r="F182" s="641"/>
      <c r="G182" s="641"/>
      <c r="H182" s="641"/>
    </row>
    <row r="183" spans="1:8">
      <c r="A183" s="641"/>
      <c r="B183" s="641"/>
      <c r="C183" s="641"/>
      <c r="D183" s="641"/>
      <c r="E183" s="641"/>
      <c r="F183" s="641"/>
      <c r="G183" s="641"/>
      <c r="H183" s="641"/>
    </row>
    <row r="184" spans="1:8">
      <c r="A184" s="641"/>
      <c r="B184" s="641"/>
      <c r="C184" s="641"/>
      <c r="D184" s="641"/>
      <c r="E184" s="641"/>
      <c r="F184" s="641"/>
      <c r="G184" s="641"/>
      <c r="H184" s="641"/>
    </row>
    <row r="185" spans="1:8">
      <c r="A185" s="641"/>
      <c r="B185" s="641"/>
      <c r="C185" s="641"/>
      <c r="D185" s="641"/>
      <c r="E185" s="641"/>
      <c r="F185" s="641"/>
      <c r="G185" s="641"/>
      <c r="H185" s="641"/>
    </row>
    <row r="186" spans="1:8">
      <c r="A186" s="641"/>
      <c r="B186" s="641"/>
      <c r="C186" s="641"/>
      <c r="D186" s="641"/>
      <c r="E186" s="641"/>
      <c r="F186" s="641"/>
      <c r="G186" s="641"/>
      <c r="H186" s="641"/>
    </row>
    <row r="187" spans="1:8">
      <c r="A187" s="641"/>
      <c r="B187" s="641"/>
      <c r="C187" s="641"/>
      <c r="D187" s="641"/>
      <c r="E187" s="641"/>
      <c r="F187" s="641"/>
      <c r="G187" s="641"/>
      <c r="H187" s="641"/>
    </row>
    <row r="188" spans="1:8">
      <c r="A188" s="641"/>
      <c r="B188" s="641"/>
      <c r="C188" s="641"/>
      <c r="D188" s="641"/>
      <c r="E188" s="641"/>
      <c r="F188" s="641"/>
      <c r="G188" s="641"/>
      <c r="H188" s="641"/>
    </row>
    <row r="189" spans="1:8">
      <c r="A189" s="641"/>
      <c r="B189" s="641"/>
      <c r="C189" s="641"/>
      <c r="D189" s="641"/>
      <c r="E189" s="641"/>
      <c r="F189" s="641"/>
      <c r="G189" s="641"/>
      <c r="H189" s="641"/>
    </row>
    <row r="190" spans="1:8">
      <c r="A190" s="641"/>
      <c r="B190" s="641"/>
      <c r="C190" s="641"/>
      <c r="D190" s="641"/>
      <c r="E190" s="641"/>
      <c r="F190" s="641"/>
      <c r="G190" s="641"/>
      <c r="H190" s="641"/>
    </row>
    <row r="191" spans="1:8">
      <c r="A191" s="641"/>
      <c r="B191" s="641"/>
      <c r="C191" s="641"/>
      <c r="D191" s="641"/>
      <c r="E191" s="641"/>
      <c r="F191" s="641"/>
      <c r="G191" s="641"/>
      <c r="H191" s="641"/>
    </row>
    <row r="192" spans="1:8">
      <c r="A192" s="641"/>
      <c r="B192" s="641"/>
      <c r="C192" s="641"/>
      <c r="D192" s="641"/>
      <c r="E192" s="641"/>
      <c r="F192" s="641"/>
      <c r="G192" s="641"/>
      <c r="H192" s="641"/>
    </row>
    <row r="193" spans="1:8">
      <c r="A193" s="641"/>
      <c r="B193" s="641"/>
      <c r="C193" s="641"/>
      <c r="D193" s="641"/>
      <c r="E193" s="641"/>
      <c r="F193" s="641"/>
      <c r="G193" s="641"/>
      <c r="H193" s="641"/>
    </row>
    <row r="194" spans="1:8">
      <c r="A194" s="641"/>
      <c r="B194" s="641"/>
      <c r="C194" s="641"/>
      <c r="D194" s="641"/>
      <c r="E194" s="641"/>
      <c r="F194" s="641"/>
      <c r="G194" s="641"/>
      <c r="H194" s="641"/>
    </row>
    <row r="195" spans="1:8">
      <c r="A195" s="641"/>
      <c r="B195" s="641"/>
      <c r="C195" s="641"/>
      <c r="D195" s="641"/>
      <c r="E195" s="641"/>
      <c r="F195" s="641"/>
      <c r="G195" s="641"/>
      <c r="H195" s="641"/>
    </row>
    <row r="196" spans="1:8" ht="15.75">
      <c r="A196" s="643" t="s">
        <v>497</v>
      </c>
      <c r="B196" s="641"/>
      <c r="C196" s="641"/>
      <c r="D196" s="641"/>
      <c r="E196" s="641"/>
      <c r="F196" s="641"/>
      <c r="G196" s="641"/>
      <c r="H196" s="641"/>
    </row>
    <row r="197" spans="1:8">
      <c r="A197" s="641"/>
      <c r="B197" s="641"/>
      <c r="C197" s="641"/>
      <c r="D197" s="641"/>
      <c r="E197" s="641"/>
      <c r="F197" s="641"/>
      <c r="G197" s="641"/>
      <c r="H197" s="641"/>
    </row>
    <row r="198" spans="1:8">
      <c r="A198" s="642" t="s">
        <v>656</v>
      </c>
      <c r="B198" s="641"/>
      <c r="C198" s="641"/>
      <c r="D198" s="641"/>
      <c r="E198" s="641"/>
      <c r="F198" s="641"/>
      <c r="G198" s="641"/>
      <c r="H198" s="641"/>
    </row>
    <row r="199" spans="1:8">
      <c r="A199" s="642" t="s">
        <v>657</v>
      </c>
      <c r="B199" s="641"/>
      <c r="C199" s="641"/>
      <c r="D199" s="641"/>
      <c r="E199" s="641"/>
      <c r="F199" s="641"/>
      <c r="G199" s="641"/>
      <c r="H199" s="641"/>
    </row>
    <row r="200" spans="1:8">
      <c r="A200" s="642" t="s">
        <v>658</v>
      </c>
      <c r="B200" s="641"/>
      <c r="C200" s="641"/>
      <c r="D200" s="641"/>
      <c r="E200" s="641"/>
      <c r="F200" s="641"/>
      <c r="G200" s="641"/>
      <c r="H200" s="641"/>
    </row>
    <row r="201" spans="1:8">
      <c r="A201" s="642" t="s">
        <v>659</v>
      </c>
      <c r="B201" s="641"/>
      <c r="C201" s="641"/>
      <c r="D201" s="641"/>
      <c r="E201" s="641"/>
      <c r="F201" s="641"/>
      <c r="G201" s="641"/>
      <c r="H201" s="641"/>
    </row>
    <row r="202" spans="1:8">
      <c r="A202" s="642" t="s">
        <v>660</v>
      </c>
      <c r="B202" s="641"/>
      <c r="C202" s="641"/>
      <c r="D202" s="641"/>
      <c r="E202" s="641"/>
      <c r="F202" s="641"/>
      <c r="G202" s="641"/>
      <c r="H202" s="641"/>
    </row>
    <row r="203" spans="1:8">
      <c r="A203" s="641"/>
      <c r="B203" s="641"/>
      <c r="C203" s="641"/>
      <c r="D203" s="641"/>
      <c r="E203" s="641"/>
      <c r="F203" s="641"/>
      <c r="G203" s="641"/>
      <c r="H203" s="641"/>
    </row>
    <row r="204" spans="1:8">
      <c r="A204" s="642" t="s">
        <v>653</v>
      </c>
      <c r="B204" s="641"/>
      <c r="C204" s="641"/>
      <c r="D204" s="641"/>
      <c r="E204" s="641"/>
      <c r="F204" s="641"/>
      <c r="G204" s="641"/>
      <c r="H204" s="641"/>
    </row>
    <row r="205" spans="1:8">
      <c r="A205" s="642" t="s">
        <v>654</v>
      </c>
      <c r="B205" s="641"/>
      <c r="C205" s="641"/>
      <c r="D205" s="641"/>
      <c r="E205" s="641"/>
      <c r="F205" s="641"/>
      <c r="G205" s="641"/>
      <c r="H205" s="641"/>
    </row>
    <row r="206" spans="1:8">
      <c r="A206" s="642" t="s">
        <v>655</v>
      </c>
      <c r="B206" s="641"/>
      <c r="C206" s="641"/>
      <c r="D206" s="641"/>
      <c r="E206" s="641"/>
      <c r="F206" s="641"/>
      <c r="G206" s="641"/>
      <c r="H206" s="641"/>
    </row>
    <row r="207" spans="1:8" ht="15.75">
      <c r="A207" s="643" t="s">
        <v>498</v>
      </c>
      <c r="B207" s="641"/>
      <c r="C207" s="641"/>
      <c r="D207" s="641"/>
      <c r="E207" s="641"/>
      <c r="F207" s="641"/>
      <c r="G207" s="641"/>
      <c r="H207" s="641"/>
    </row>
    <row r="208" spans="1:8">
      <c r="A208" s="641"/>
      <c r="B208" s="641"/>
      <c r="C208" s="641"/>
      <c r="D208" s="641"/>
      <c r="E208" s="641"/>
      <c r="F208" s="641"/>
      <c r="G208" s="641"/>
      <c r="H208" s="641"/>
    </row>
    <row r="209" spans="1:8">
      <c r="A209" s="642" t="s">
        <v>646</v>
      </c>
      <c r="B209" s="641"/>
      <c r="C209" s="641"/>
      <c r="D209" s="641"/>
      <c r="E209" s="641"/>
      <c r="F209" s="641"/>
      <c r="G209" s="641"/>
      <c r="H209" s="641"/>
    </row>
    <row r="210" spans="1:8">
      <c r="A210" s="642" t="s">
        <v>647</v>
      </c>
      <c r="B210" s="641"/>
      <c r="C210" s="641"/>
      <c r="D210" s="641"/>
      <c r="E210" s="641"/>
      <c r="F210" s="641"/>
      <c r="G210" s="641"/>
      <c r="H210" s="641"/>
    </row>
    <row r="211" spans="1:8">
      <c r="A211" s="642" t="s">
        <v>648</v>
      </c>
      <c r="B211" s="641"/>
      <c r="C211" s="641"/>
      <c r="D211" s="641"/>
      <c r="E211" s="641"/>
      <c r="F211" s="641"/>
      <c r="G211" s="641"/>
      <c r="H211" s="641"/>
    </row>
    <row r="212" spans="1:8">
      <c r="A212" s="642" t="s">
        <v>649</v>
      </c>
      <c r="B212" s="641"/>
      <c r="C212" s="641"/>
      <c r="D212" s="641"/>
      <c r="E212" s="641"/>
      <c r="F212" s="641"/>
      <c r="G212" s="641"/>
      <c r="H212" s="641"/>
    </row>
    <row r="213" spans="1:8">
      <c r="A213" s="642" t="s">
        <v>650</v>
      </c>
      <c r="B213" s="641"/>
      <c r="C213" s="641"/>
      <c r="D213" s="641"/>
      <c r="E213" s="641"/>
      <c r="F213" s="641"/>
      <c r="G213" s="641"/>
      <c r="H213" s="641"/>
    </row>
    <row r="214" spans="1:8">
      <c r="A214" s="642" t="s">
        <v>651</v>
      </c>
      <c r="B214" s="641"/>
      <c r="C214" s="641"/>
      <c r="D214" s="641"/>
      <c r="E214" s="641"/>
      <c r="F214" s="641"/>
      <c r="G214" s="641"/>
      <c r="H214" s="641"/>
    </row>
    <row r="215" spans="1:8">
      <c r="A215" s="642" t="s">
        <v>652</v>
      </c>
      <c r="B215" s="641"/>
      <c r="C215" s="641"/>
      <c r="D215" s="641"/>
      <c r="E215" s="641"/>
      <c r="F215" s="641"/>
      <c r="G215" s="641"/>
      <c r="H215" s="641"/>
    </row>
    <row r="216" spans="1:8">
      <c r="A216" s="641"/>
      <c r="B216" s="641"/>
      <c r="C216" s="641"/>
      <c r="D216" s="641"/>
      <c r="E216" s="641"/>
      <c r="F216" s="641"/>
      <c r="G216" s="641"/>
      <c r="H216" s="641"/>
    </row>
    <row r="217" spans="1:8">
      <c r="A217" s="642" t="s">
        <v>643</v>
      </c>
      <c r="B217" s="641"/>
      <c r="C217" s="641"/>
      <c r="D217" s="641"/>
      <c r="E217" s="641"/>
      <c r="F217" s="641"/>
      <c r="G217" s="641"/>
      <c r="H217" s="641"/>
    </row>
    <row r="218" spans="1:8">
      <c r="A218" s="642" t="s">
        <v>644</v>
      </c>
      <c r="B218" s="641"/>
      <c r="C218" s="641"/>
      <c r="D218" s="641"/>
      <c r="E218" s="641"/>
      <c r="F218" s="641"/>
      <c r="G218" s="641"/>
      <c r="H218" s="641"/>
    </row>
    <row r="219" spans="1:8">
      <c r="A219" s="642" t="s">
        <v>645</v>
      </c>
      <c r="B219" s="641"/>
      <c r="C219" s="641"/>
      <c r="D219" s="641"/>
      <c r="E219" s="641"/>
      <c r="F219" s="641"/>
      <c r="G219" s="641"/>
      <c r="H219" s="641"/>
    </row>
    <row r="220" spans="1:8">
      <c r="A220" s="641"/>
      <c r="B220" s="641"/>
      <c r="C220" s="641"/>
      <c r="D220" s="641"/>
      <c r="E220" s="641"/>
      <c r="F220" s="641"/>
      <c r="G220" s="641"/>
      <c r="H220" s="641"/>
    </row>
    <row r="221" spans="1:8">
      <c r="A221" s="642" t="s">
        <v>638</v>
      </c>
      <c r="B221" s="641"/>
      <c r="C221" s="641"/>
      <c r="D221" s="641"/>
      <c r="E221" s="641"/>
      <c r="F221" s="641"/>
      <c r="G221" s="641"/>
      <c r="H221" s="641"/>
    </row>
    <row r="222" spans="1:8">
      <c r="A222" s="642" t="s">
        <v>639</v>
      </c>
      <c r="B222" s="641"/>
      <c r="C222" s="641"/>
      <c r="D222" s="641"/>
      <c r="E222" s="641"/>
      <c r="F222" s="641"/>
      <c r="G222" s="641"/>
      <c r="H222" s="641"/>
    </row>
    <row r="223" spans="1:8">
      <c r="A223" s="642" t="s">
        <v>640</v>
      </c>
      <c r="B223" s="641"/>
      <c r="C223" s="641"/>
      <c r="D223" s="641"/>
      <c r="E223" s="641"/>
      <c r="F223" s="641"/>
      <c r="G223" s="641"/>
      <c r="H223" s="641"/>
    </row>
    <row r="224" spans="1:8">
      <c r="A224" s="642" t="s">
        <v>641</v>
      </c>
      <c r="B224" s="641"/>
      <c r="C224" s="641"/>
      <c r="D224" s="641"/>
      <c r="E224" s="641"/>
      <c r="F224" s="641"/>
      <c r="G224" s="641"/>
      <c r="H224" s="641"/>
    </row>
    <row r="225" spans="1:8">
      <c r="A225" s="642" t="s">
        <v>642</v>
      </c>
      <c r="B225" s="641"/>
      <c r="C225" s="641"/>
      <c r="D225" s="641"/>
      <c r="E225" s="641"/>
      <c r="F225" s="641"/>
      <c r="G225" s="641"/>
      <c r="H225" s="641"/>
    </row>
    <row r="226" spans="1:8">
      <c r="A226" s="641"/>
      <c r="B226" s="641"/>
      <c r="C226" s="641"/>
      <c r="D226" s="641"/>
      <c r="E226" s="641"/>
      <c r="F226" s="641"/>
      <c r="G226" s="641"/>
      <c r="H226" s="641"/>
    </row>
    <row r="227" spans="1:8">
      <c r="A227" s="642" t="s">
        <v>632</v>
      </c>
      <c r="B227" s="641"/>
      <c r="C227" s="641"/>
      <c r="D227" s="641"/>
      <c r="E227" s="641"/>
      <c r="F227" s="641"/>
      <c r="G227" s="641"/>
      <c r="H227" s="641"/>
    </row>
    <row r="228" spans="1:8">
      <c r="A228" s="642" t="s">
        <v>633</v>
      </c>
      <c r="B228" s="641"/>
      <c r="C228" s="641"/>
      <c r="D228" s="641"/>
      <c r="E228" s="641"/>
      <c r="F228" s="641"/>
      <c r="G228" s="641"/>
      <c r="H228" s="641"/>
    </row>
    <row r="229" spans="1:8">
      <c r="A229" s="642" t="s">
        <v>634</v>
      </c>
      <c r="B229" s="641"/>
      <c r="C229" s="641"/>
      <c r="D229" s="641"/>
      <c r="E229" s="641"/>
      <c r="F229" s="641"/>
      <c r="G229" s="641"/>
      <c r="H229" s="641"/>
    </row>
    <row r="230" spans="1:8">
      <c r="A230" s="642" t="s">
        <v>635</v>
      </c>
      <c r="B230" s="641"/>
      <c r="C230" s="641"/>
      <c r="D230" s="641"/>
      <c r="E230" s="641"/>
      <c r="F230" s="641"/>
      <c r="G230" s="641"/>
      <c r="H230" s="641"/>
    </row>
    <row r="231" spans="1:8">
      <c r="A231" s="642" t="s">
        <v>636</v>
      </c>
      <c r="B231" s="641"/>
      <c r="C231" s="641"/>
      <c r="D231" s="641"/>
      <c r="E231" s="641"/>
      <c r="F231" s="641"/>
      <c r="G231" s="641"/>
      <c r="H231" s="641"/>
    </row>
    <row r="232" spans="1:8">
      <c r="A232" s="642" t="s">
        <v>637</v>
      </c>
      <c r="B232" s="641"/>
      <c r="C232" s="641"/>
      <c r="D232" s="641"/>
      <c r="E232" s="641"/>
      <c r="F232" s="641"/>
      <c r="G232" s="641"/>
      <c r="H232" s="641"/>
    </row>
    <row r="233" spans="1:8">
      <c r="A233" s="641"/>
      <c r="B233" s="641"/>
      <c r="C233" s="641"/>
      <c r="D233" s="641"/>
      <c r="E233" s="641"/>
      <c r="F233" s="641"/>
      <c r="G233" s="641"/>
      <c r="H233" s="641"/>
    </row>
    <row r="234" spans="1:8">
      <c r="A234" s="642" t="s">
        <v>622</v>
      </c>
      <c r="B234" s="641"/>
      <c r="C234" s="641"/>
      <c r="D234" s="641"/>
      <c r="E234" s="641"/>
      <c r="F234" s="641"/>
      <c r="G234" s="641"/>
      <c r="H234" s="641"/>
    </row>
    <row r="235" spans="1:8">
      <c r="A235" s="642" t="s">
        <v>623</v>
      </c>
      <c r="B235" s="641"/>
      <c r="C235" s="641"/>
      <c r="D235" s="641"/>
      <c r="E235" s="641"/>
      <c r="F235" s="641"/>
      <c r="G235" s="641"/>
      <c r="H235" s="641"/>
    </row>
    <row r="236" spans="1:8">
      <c r="A236" s="642" t="s">
        <v>624</v>
      </c>
      <c r="B236" s="641"/>
      <c r="C236" s="641"/>
      <c r="D236" s="641"/>
      <c r="E236" s="641"/>
      <c r="F236" s="641"/>
      <c r="G236" s="641"/>
      <c r="H236" s="641"/>
    </row>
    <row r="237" spans="1:8">
      <c r="A237" s="642" t="s">
        <v>625</v>
      </c>
      <c r="B237" s="641"/>
      <c r="C237" s="641"/>
      <c r="D237" s="641"/>
      <c r="E237" s="641"/>
      <c r="F237" s="641"/>
      <c r="G237" s="641"/>
      <c r="H237" s="641"/>
    </row>
    <row r="238" spans="1:8">
      <c r="A238" s="642" t="s">
        <v>626</v>
      </c>
      <c r="B238" s="641"/>
      <c r="C238" s="641"/>
      <c r="D238" s="641"/>
      <c r="E238" s="641"/>
      <c r="F238" s="641"/>
      <c r="G238" s="641"/>
      <c r="H238" s="641"/>
    </row>
    <row r="239" spans="1:8">
      <c r="A239" s="642" t="s">
        <v>627</v>
      </c>
      <c r="B239" s="641"/>
      <c r="C239" s="641"/>
      <c r="D239" s="641"/>
      <c r="E239" s="641"/>
      <c r="F239" s="641"/>
      <c r="G239" s="641"/>
      <c r="H239" s="641"/>
    </row>
    <row r="240" spans="1:8">
      <c r="A240" s="642" t="s">
        <v>628</v>
      </c>
      <c r="B240" s="641"/>
      <c r="C240" s="641"/>
      <c r="D240" s="641"/>
      <c r="E240" s="641"/>
      <c r="F240" s="641"/>
      <c r="G240" s="641"/>
      <c r="H240" s="641"/>
    </row>
    <row r="241" spans="1:8">
      <c r="A241" s="642" t="s">
        <v>629</v>
      </c>
      <c r="B241" s="641"/>
      <c r="C241" s="641"/>
      <c r="D241" s="641"/>
      <c r="E241" s="641"/>
      <c r="F241" s="641"/>
      <c r="G241" s="641"/>
      <c r="H241" s="641"/>
    </row>
    <row r="242" spans="1:8">
      <c r="A242" s="642" t="s">
        <v>630</v>
      </c>
      <c r="B242" s="641"/>
      <c r="C242" s="641"/>
      <c r="D242" s="641"/>
      <c r="E242" s="641"/>
      <c r="F242" s="641"/>
      <c r="G242" s="641"/>
      <c r="H242" s="641"/>
    </row>
    <row r="243" spans="1:8">
      <c r="A243" s="642" t="s">
        <v>631</v>
      </c>
      <c r="B243" s="641"/>
      <c r="C243" s="641"/>
      <c r="D243" s="641"/>
      <c r="E243" s="641"/>
      <c r="F243" s="641"/>
      <c r="G243" s="641"/>
      <c r="H243" s="641"/>
    </row>
    <row r="244" spans="1:8">
      <c r="A244" s="641"/>
      <c r="B244" s="641"/>
      <c r="C244" s="641"/>
      <c r="D244" s="641"/>
      <c r="E244" s="641"/>
      <c r="F244" s="641"/>
      <c r="G244" s="641"/>
      <c r="H244" s="641"/>
    </row>
    <row r="245" spans="1:8">
      <c r="A245" s="642" t="s">
        <v>620</v>
      </c>
      <c r="B245" s="641"/>
      <c r="C245" s="641"/>
      <c r="D245" s="641"/>
      <c r="E245" s="641"/>
      <c r="F245" s="641"/>
      <c r="G245" s="641"/>
      <c r="H245" s="641"/>
    </row>
    <row r="246" spans="1:8">
      <c r="A246" s="642" t="s">
        <v>621</v>
      </c>
      <c r="B246" s="641"/>
      <c r="C246" s="641"/>
      <c r="D246" s="641"/>
      <c r="E246" s="641"/>
      <c r="F246" s="641"/>
      <c r="G246" s="641"/>
      <c r="H246" s="641"/>
    </row>
    <row r="247" spans="1:8">
      <c r="A247" s="641"/>
      <c r="B247" s="641"/>
      <c r="C247" s="641"/>
      <c r="D247" s="641"/>
      <c r="E247" s="641"/>
      <c r="F247" s="641"/>
      <c r="G247" s="641"/>
      <c r="H247" s="641"/>
    </row>
    <row r="248" spans="1:8">
      <c r="A248" s="642" t="s">
        <v>604</v>
      </c>
      <c r="B248" s="641"/>
      <c r="C248" s="641"/>
      <c r="D248" s="641"/>
      <c r="E248" s="641"/>
      <c r="F248" s="641"/>
      <c r="G248" s="641"/>
      <c r="H248" s="641"/>
    </row>
    <row r="249" spans="1:8">
      <c r="A249" s="642" t="s">
        <v>605</v>
      </c>
      <c r="B249" s="641"/>
      <c r="C249" s="641"/>
      <c r="D249" s="641"/>
      <c r="E249" s="641"/>
      <c r="F249" s="641"/>
      <c r="G249" s="641"/>
      <c r="H249" s="641"/>
    </row>
    <row r="250" spans="1:8">
      <c r="A250" s="642" t="s">
        <v>606</v>
      </c>
      <c r="B250" s="641"/>
      <c r="C250" s="641"/>
      <c r="D250" s="641"/>
      <c r="E250" s="641"/>
      <c r="F250" s="641"/>
      <c r="G250" s="641"/>
      <c r="H250" s="641"/>
    </row>
    <row r="251" spans="1:8">
      <c r="A251" s="642" t="s">
        <v>607</v>
      </c>
      <c r="B251" s="641"/>
      <c r="C251" s="641"/>
      <c r="D251" s="641"/>
      <c r="E251" s="641"/>
      <c r="F251" s="641"/>
      <c r="G251" s="641"/>
      <c r="H251" s="641"/>
    </row>
    <row r="252" spans="1:8">
      <c r="A252" s="642" t="s">
        <v>608</v>
      </c>
      <c r="B252" s="641"/>
      <c r="C252" s="641"/>
      <c r="D252" s="641"/>
      <c r="E252" s="641"/>
      <c r="F252" s="641"/>
      <c r="G252" s="641"/>
      <c r="H252" s="641"/>
    </row>
    <row r="253" spans="1:8">
      <c r="A253" s="642" t="s">
        <v>609</v>
      </c>
      <c r="B253" s="641"/>
      <c r="C253" s="641"/>
      <c r="D253" s="641"/>
      <c r="E253" s="641"/>
      <c r="F253" s="641"/>
      <c r="G253" s="641"/>
      <c r="H253" s="641"/>
    </row>
    <row r="254" spans="1:8">
      <c r="A254" s="642" t="s">
        <v>610</v>
      </c>
      <c r="B254" s="641"/>
      <c r="C254" s="641"/>
      <c r="D254" s="641"/>
      <c r="E254" s="641"/>
      <c r="F254" s="641"/>
      <c r="G254" s="641"/>
      <c r="H254" s="641"/>
    </row>
    <row r="255" spans="1:8">
      <c r="A255" s="642" t="s">
        <v>611</v>
      </c>
      <c r="B255" s="641"/>
      <c r="C255" s="641"/>
      <c r="D255" s="641"/>
      <c r="E255" s="641"/>
      <c r="F255" s="641"/>
      <c r="G255" s="641"/>
      <c r="H255" s="641"/>
    </row>
    <row r="256" spans="1:8">
      <c r="A256" s="642" t="s">
        <v>612</v>
      </c>
      <c r="B256" s="641"/>
      <c r="C256" s="641"/>
      <c r="D256" s="641"/>
      <c r="E256" s="641"/>
      <c r="F256" s="641"/>
      <c r="G256" s="641"/>
      <c r="H256" s="641"/>
    </row>
    <row r="257" spans="1:8">
      <c r="A257" s="642" t="s">
        <v>613</v>
      </c>
      <c r="B257" s="641"/>
      <c r="C257" s="641"/>
      <c r="D257" s="641"/>
      <c r="E257" s="641"/>
      <c r="F257" s="641"/>
      <c r="G257" s="641"/>
      <c r="H257" s="641"/>
    </row>
    <row r="258" spans="1:8">
      <c r="A258" s="642" t="s">
        <v>614</v>
      </c>
      <c r="B258" s="641"/>
      <c r="C258" s="641"/>
      <c r="D258" s="641"/>
      <c r="E258" s="641"/>
      <c r="F258" s="641"/>
      <c r="G258" s="641"/>
      <c r="H258" s="641"/>
    </row>
    <row r="259" spans="1:8">
      <c r="A259" s="642" t="s">
        <v>615</v>
      </c>
      <c r="B259" s="641"/>
      <c r="C259" s="641"/>
      <c r="D259" s="641"/>
      <c r="E259" s="641"/>
      <c r="F259" s="641"/>
      <c r="G259" s="641"/>
      <c r="H259" s="641"/>
    </row>
    <row r="260" spans="1:8">
      <c r="A260" s="642" t="s">
        <v>616</v>
      </c>
      <c r="B260" s="641"/>
      <c r="C260" s="641"/>
      <c r="D260" s="641"/>
      <c r="E260" s="641"/>
      <c r="F260" s="641"/>
      <c r="G260" s="641"/>
      <c r="H260" s="641"/>
    </row>
    <row r="261" spans="1:8">
      <c r="A261" s="642" t="s">
        <v>617</v>
      </c>
      <c r="B261" s="641"/>
      <c r="C261" s="641"/>
      <c r="D261" s="641"/>
      <c r="E261" s="641"/>
      <c r="F261" s="641"/>
      <c r="G261" s="641"/>
      <c r="H261" s="641"/>
    </row>
    <row r="262" spans="1:8">
      <c r="A262" s="642" t="s">
        <v>618</v>
      </c>
      <c r="B262" s="641"/>
      <c r="C262" s="641"/>
      <c r="D262" s="641"/>
      <c r="E262" s="641"/>
      <c r="F262" s="641"/>
      <c r="G262" s="641"/>
      <c r="H262" s="641"/>
    </row>
    <row r="263" spans="1:8">
      <c r="A263" s="642" t="s">
        <v>619</v>
      </c>
      <c r="B263" s="641"/>
      <c r="C263" s="641"/>
      <c r="D263" s="641"/>
      <c r="E263" s="641"/>
      <c r="F263" s="641"/>
      <c r="G263" s="641"/>
      <c r="H263" s="641"/>
    </row>
    <row r="264" spans="1:8">
      <c r="A264" s="641"/>
      <c r="B264" s="641"/>
      <c r="C264" s="641"/>
      <c r="D264" s="641"/>
      <c r="E264" s="641"/>
      <c r="F264" s="641"/>
      <c r="G264" s="641"/>
      <c r="H264" s="641"/>
    </row>
    <row r="265" spans="1:8">
      <c r="A265" s="642" t="s">
        <v>597</v>
      </c>
      <c r="B265" s="641"/>
      <c r="C265" s="641"/>
      <c r="D265" s="641"/>
      <c r="E265" s="641"/>
      <c r="F265" s="641"/>
      <c r="G265" s="641"/>
      <c r="H265" s="641"/>
    </row>
    <row r="266" spans="1:8">
      <c r="A266" s="642" t="s">
        <v>598</v>
      </c>
      <c r="B266" s="641"/>
      <c r="C266" s="641"/>
      <c r="D266" s="641"/>
      <c r="E266" s="641"/>
      <c r="F266" s="641"/>
      <c r="G266" s="641"/>
      <c r="H266" s="641"/>
    </row>
    <row r="267" spans="1:8">
      <c r="A267" s="642" t="s">
        <v>599</v>
      </c>
      <c r="B267" s="641"/>
      <c r="C267" s="641"/>
      <c r="D267" s="641"/>
      <c r="E267" s="641"/>
      <c r="F267" s="641"/>
      <c r="G267" s="641"/>
      <c r="H267" s="641"/>
    </row>
    <row r="268" spans="1:8">
      <c r="A268" s="642" t="s">
        <v>600</v>
      </c>
      <c r="B268" s="641"/>
      <c r="C268" s="641"/>
      <c r="D268" s="641"/>
      <c r="E268" s="641"/>
      <c r="F268" s="641"/>
      <c r="G268" s="641"/>
      <c r="H268" s="641"/>
    </row>
    <row r="269" spans="1:8">
      <c r="A269" s="642" t="s">
        <v>601</v>
      </c>
      <c r="B269" s="641"/>
      <c r="C269" s="641"/>
      <c r="D269" s="641"/>
      <c r="E269" s="641"/>
      <c r="F269" s="641"/>
      <c r="G269" s="641"/>
      <c r="H269" s="641"/>
    </row>
    <row r="270" spans="1:8">
      <c r="A270" s="642" t="s">
        <v>602</v>
      </c>
      <c r="B270" s="641"/>
      <c r="C270" s="641"/>
      <c r="D270" s="641"/>
      <c r="E270" s="641"/>
      <c r="F270" s="641"/>
      <c r="G270" s="641"/>
      <c r="H270" s="641"/>
    </row>
    <row r="271" spans="1:8">
      <c r="A271" s="642" t="s">
        <v>603</v>
      </c>
      <c r="B271" s="641"/>
      <c r="C271" s="641"/>
      <c r="D271" s="641"/>
      <c r="E271" s="641"/>
      <c r="F271" s="641"/>
      <c r="G271" s="641"/>
      <c r="H271" s="641"/>
    </row>
    <row r="272" spans="1:8">
      <c r="A272" s="641"/>
      <c r="B272" s="641"/>
      <c r="C272" s="641"/>
      <c r="D272" s="641"/>
      <c r="E272" s="641"/>
      <c r="F272" s="641"/>
      <c r="G272" s="641"/>
      <c r="H272" s="641"/>
    </row>
    <row r="273" spans="1:8">
      <c r="A273" s="642" t="s">
        <v>588</v>
      </c>
      <c r="B273" s="641"/>
      <c r="C273" s="641"/>
      <c r="D273" s="641"/>
      <c r="E273" s="641"/>
      <c r="F273" s="641"/>
      <c r="G273" s="641"/>
      <c r="H273" s="641"/>
    </row>
    <row r="274" spans="1:8">
      <c r="A274" s="642" t="s">
        <v>589</v>
      </c>
      <c r="B274" s="641"/>
      <c r="C274" s="641"/>
      <c r="D274" s="641"/>
      <c r="E274" s="641"/>
      <c r="F274" s="641"/>
      <c r="G274" s="641"/>
      <c r="H274" s="641"/>
    </row>
    <row r="275" spans="1:8">
      <c r="A275" s="642" t="s">
        <v>590</v>
      </c>
      <c r="B275" s="641"/>
      <c r="C275" s="641"/>
      <c r="D275" s="641"/>
      <c r="E275" s="641"/>
      <c r="F275" s="641"/>
      <c r="G275" s="641"/>
      <c r="H275" s="641"/>
    </row>
    <row r="276" spans="1:8">
      <c r="A276" s="642" t="s">
        <v>591</v>
      </c>
      <c r="B276" s="641"/>
      <c r="C276" s="641"/>
      <c r="D276" s="641"/>
      <c r="E276" s="641"/>
      <c r="F276" s="641"/>
      <c r="G276" s="641"/>
      <c r="H276" s="641"/>
    </row>
    <row r="277" spans="1:8">
      <c r="A277" s="642" t="s">
        <v>592</v>
      </c>
      <c r="B277" s="641"/>
      <c r="C277" s="641"/>
      <c r="D277" s="641"/>
      <c r="E277" s="641"/>
      <c r="F277" s="641"/>
      <c r="G277" s="641"/>
      <c r="H277" s="641"/>
    </row>
    <row r="278" spans="1:8">
      <c r="A278" s="642" t="s">
        <v>593</v>
      </c>
      <c r="B278" s="641"/>
      <c r="C278" s="641"/>
      <c r="D278" s="641"/>
      <c r="E278" s="641"/>
      <c r="F278" s="641"/>
      <c r="G278" s="641"/>
      <c r="H278" s="641"/>
    </row>
    <row r="279" spans="1:8">
      <c r="A279" s="642" t="s">
        <v>594</v>
      </c>
      <c r="B279" s="641"/>
      <c r="C279" s="641"/>
      <c r="D279" s="641"/>
      <c r="E279" s="641"/>
      <c r="F279" s="641"/>
      <c r="G279" s="641"/>
      <c r="H279" s="641"/>
    </row>
    <row r="280" spans="1:8">
      <c r="A280" s="642" t="s">
        <v>595</v>
      </c>
      <c r="B280" s="641"/>
      <c r="C280" s="641"/>
      <c r="D280" s="641"/>
      <c r="E280" s="641"/>
      <c r="F280" s="641"/>
      <c r="G280" s="641"/>
      <c r="H280" s="641"/>
    </row>
    <row r="281" spans="1:8">
      <c r="A281" s="642" t="s">
        <v>596</v>
      </c>
      <c r="B281" s="641"/>
      <c r="C281" s="641"/>
      <c r="D281" s="641"/>
      <c r="E281" s="641"/>
      <c r="F281" s="641"/>
      <c r="G281" s="641"/>
      <c r="H281" s="641"/>
    </row>
    <row r="282" spans="1:8">
      <c r="A282" s="641"/>
      <c r="B282" s="641"/>
      <c r="C282" s="641"/>
      <c r="D282" s="641"/>
      <c r="E282" s="641"/>
      <c r="F282" s="641"/>
      <c r="G282" s="641"/>
      <c r="H282" s="641"/>
    </row>
    <row r="283" spans="1:8">
      <c r="A283" s="642" t="s">
        <v>581</v>
      </c>
      <c r="B283" s="641"/>
      <c r="C283" s="641"/>
      <c r="D283" s="641"/>
      <c r="E283" s="641"/>
      <c r="F283" s="641"/>
      <c r="G283" s="641"/>
      <c r="H283" s="641"/>
    </row>
    <row r="284" spans="1:8">
      <c r="A284" s="642" t="s">
        <v>582</v>
      </c>
      <c r="B284" s="641"/>
      <c r="C284" s="641"/>
      <c r="D284" s="641"/>
      <c r="E284" s="641"/>
      <c r="F284" s="641"/>
      <c r="G284" s="641"/>
      <c r="H284" s="641"/>
    </row>
    <row r="285" spans="1:8">
      <c r="A285" s="642" t="s">
        <v>583</v>
      </c>
      <c r="B285" s="641"/>
      <c r="C285" s="641"/>
      <c r="D285" s="641"/>
      <c r="E285" s="641"/>
      <c r="F285" s="641"/>
      <c r="G285" s="641"/>
      <c r="H285" s="641"/>
    </row>
    <row r="286" spans="1:8">
      <c r="A286" s="642" t="s">
        <v>584</v>
      </c>
      <c r="B286" s="641"/>
      <c r="C286" s="641"/>
      <c r="D286" s="641"/>
      <c r="E286" s="641"/>
      <c r="F286" s="641"/>
      <c r="G286" s="641"/>
      <c r="H286" s="641"/>
    </row>
    <row r="287" spans="1:8">
      <c r="A287" s="642" t="s">
        <v>585</v>
      </c>
      <c r="B287" s="641"/>
      <c r="C287" s="641"/>
      <c r="D287" s="641"/>
      <c r="E287" s="641"/>
      <c r="F287" s="641"/>
      <c r="G287" s="641"/>
      <c r="H287" s="641"/>
    </row>
    <row r="288" spans="1:8">
      <c r="A288" s="642" t="s">
        <v>586</v>
      </c>
      <c r="B288" s="641"/>
      <c r="C288" s="641"/>
      <c r="D288" s="641"/>
      <c r="E288" s="641"/>
      <c r="F288" s="641"/>
      <c r="G288" s="641"/>
      <c r="H288" s="641"/>
    </row>
    <row r="289" spans="1:8">
      <c r="A289" s="642" t="s">
        <v>587</v>
      </c>
      <c r="B289" s="641"/>
      <c r="C289" s="641"/>
      <c r="D289" s="641"/>
      <c r="E289" s="641"/>
      <c r="F289" s="641"/>
      <c r="G289" s="641"/>
      <c r="H289" s="641"/>
    </row>
    <row r="290" spans="1:8">
      <c r="A290" s="641"/>
      <c r="B290" s="641"/>
      <c r="C290" s="641"/>
      <c r="D290" s="641"/>
      <c r="E290" s="641"/>
      <c r="F290" s="641"/>
      <c r="G290" s="641"/>
      <c r="H290" s="641"/>
    </row>
    <row r="291" spans="1:8">
      <c r="A291" s="642" t="s">
        <v>578</v>
      </c>
      <c r="B291" s="641"/>
      <c r="C291" s="641"/>
      <c r="D291" s="641"/>
      <c r="E291" s="641"/>
      <c r="F291" s="641"/>
      <c r="G291" s="641"/>
      <c r="H291" s="641"/>
    </row>
    <row r="292" spans="1:8">
      <c r="A292" s="642" t="s">
        <v>579</v>
      </c>
      <c r="B292" s="641"/>
      <c r="C292" s="641"/>
      <c r="D292" s="641"/>
      <c r="E292" s="641"/>
      <c r="F292" s="641"/>
      <c r="G292" s="641"/>
      <c r="H292" s="641"/>
    </row>
    <row r="293" spans="1:8">
      <c r="A293" s="642" t="s">
        <v>580</v>
      </c>
      <c r="B293" s="641"/>
      <c r="C293" s="641"/>
      <c r="D293" s="641"/>
      <c r="E293" s="641"/>
      <c r="F293" s="641"/>
      <c r="G293" s="641"/>
      <c r="H293" s="641"/>
    </row>
    <row r="294" spans="1:8">
      <c r="A294" s="641"/>
      <c r="B294" s="641"/>
      <c r="C294" s="641"/>
      <c r="D294" s="641"/>
      <c r="E294" s="641"/>
      <c r="F294" s="641"/>
      <c r="G294" s="641"/>
      <c r="H294" s="641"/>
    </row>
    <row r="295" spans="1:8">
      <c r="A295" s="642" t="s">
        <v>576</v>
      </c>
      <c r="B295" s="641"/>
      <c r="C295" s="641"/>
      <c r="D295" s="641"/>
      <c r="E295" s="641"/>
      <c r="F295" s="641"/>
      <c r="G295" s="641"/>
      <c r="H295" s="641"/>
    </row>
    <row r="296" spans="1:8">
      <c r="A296" s="642" t="s">
        <v>577</v>
      </c>
      <c r="B296" s="641"/>
      <c r="C296" s="641"/>
      <c r="D296" s="641"/>
      <c r="E296" s="641"/>
      <c r="F296" s="641"/>
      <c r="G296" s="641"/>
      <c r="H296" s="641"/>
    </row>
    <row r="297" spans="1:8">
      <c r="A297" s="641"/>
      <c r="B297" s="641"/>
      <c r="C297" s="641"/>
      <c r="D297" s="641"/>
      <c r="E297" s="641"/>
      <c r="F297" s="641"/>
      <c r="G297" s="641"/>
      <c r="H297" s="641"/>
    </row>
    <row r="298" spans="1:8">
      <c r="A298" s="642" t="s">
        <v>563</v>
      </c>
      <c r="B298" s="641"/>
      <c r="C298" s="641"/>
      <c r="D298" s="641"/>
      <c r="E298" s="641"/>
      <c r="F298" s="641"/>
      <c r="G298" s="641"/>
      <c r="H298" s="641"/>
    </row>
    <row r="299" spans="1:8">
      <c r="A299" s="642" t="s">
        <v>564</v>
      </c>
      <c r="B299" s="641"/>
      <c r="C299" s="641"/>
      <c r="D299" s="641"/>
      <c r="E299" s="641"/>
      <c r="F299" s="641"/>
      <c r="G299" s="641"/>
      <c r="H299" s="641"/>
    </row>
    <row r="300" spans="1:8">
      <c r="A300" s="642" t="s">
        <v>565</v>
      </c>
      <c r="B300" s="641"/>
      <c r="C300" s="641"/>
      <c r="D300" s="641"/>
      <c r="E300" s="641"/>
      <c r="F300" s="641"/>
      <c r="G300" s="641"/>
      <c r="H300" s="641"/>
    </row>
    <row r="301" spans="1:8">
      <c r="A301" s="642" t="s">
        <v>566</v>
      </c>
      <c r="B301" s="641"/>
      <c r="C301" s="641"/>
      <c r="D301" s="641"/>
      <c r="E301" s="641"/>
      <c r="F301" s="641"/>
      <c r="G301" s="641"/>
      <c r="H301" s="641"/>
    </row>
    <row r="302" spans="1:8">
      <c r="A302" s="642" t="s">
        <v>567</v>
      </c>
      <c r="B302" s="641"/>
      <c r="C302" s="641"/>
      <c r="D302" s="641"/>
      <c r="E302" s="641"/>
      <c r="F302" s="641"/>
      <c r="G302" s="641"/>
      <c r="H302" s="641"/>
    </row>
    <row r="303" spans="1:8">
      <c r="A303" s="642" t="s">
        <v>568</v>
      </c>
      <c r="B303" s="641"/>
      <c r="C303" s="641"/>
      <c r="D303" s="641"/>
      <c r="E303" s="641"/>
      <c r="F303" s="641"/>
      <c r="G303" s="641"/>
      <c r="H303" s="641"/>
    </row>
    <row r="304" spans="1:8">
      <c r="A304" s="642" t="s">
        <v>569</v>
      </c>
      <c r="B304" s="641"/>
      <c r="C304" s="641"/>
      <c r="D304" s="641"/>
      <c r="E304" s="641"/>
      <c r="F304" s="641"/>
      <c r="G304" s="641"/>
      <c r="H304" s="641"/>
    </row>
    <row r="305" spans="1:8">
      <c r="A305" s="642" t="s">
        <v>570</v>
      </c>
      <c r="B305" s="641"/>
      <c r="C305" s="641"/>
      <c r="D305" s="641"/>
      <c r="E305" s="641"/>
      <c r="F305" s="641"/>
      <c r="G305" s="641"/>
      <c r="H305" s="641"/>
    </row>
    <row r="306" spans="1:8">
      <c r="A306" s="642" t="s">
        <v>571</v>
      </c>
      <c r="B306" s="641"/>
      <c r="C306" s="641"/>
      <c r="D306" s="641"/>
      <c r="E306" s="641"/>
      <c r="F306" s="641"/>
      <c r="G306" s="641"/>
      <c r="H306" s="641"/>
    </row>
    <row r="307" spans="1:8">
      <c r="A307" s="642" t="s">
        <v>572</v>
      </c>
      <c r="B307" s="641"/>
      <c r="C307" s="641"/>
      <c r="D307" s="641"/>
      <c r="E307" s="641"/>
      <c r="F307" s="641"/>
      <c r="G307" s="641"/>
      <c r="H307" s="641"/>
    </row>
    <row r="308" spans="1:8">
      <c r="A308" s="642" t="s">
        <v>573</v>
      </c>
      <c r="B308" s="641"/>
      <c r="C308" s="641"/>
      <c r="D308" s="641"/>
      <c r="E308" s="641"/>
      <c r="F308" s="641"/>
      <c r="G308" s="641"/>
      <c r="H308" s="641"/>
    </row>
    <row r="309" spans="1:8">
      <c r="A309" s="642" t="s">
        <v>574</v>
      </c>
      <c r="B309" s="641"/>
      <c r="C309" s="641"/>
      <c r="D309" s="641"/>
      <c r="E309" s="641"/>
      <c r="F309" s="641"/>
      <c r="G309" s="641"/>
      <c r="H309" s="641"/>
    </row>
    <row r="310" spans="1:8">
      <c r="A310" s="642" t="s">
        <v>575</v>
      </c>
      <c r="B310" s="641"/>
      <c r="C310" s="641"/>
      <c r="D310" s="641"/>
      <c r="E310" s="641"/>
      <c r="F310" s="641"/>
      <c r="G310" s="641"/>
      <c r="H310" s="641"/>
    </row>
    <row r="311" spans="1:8">
      <c r="A311" s="641"/>
      <c r="B311" s="641"/>
      <c r="C311" s="641"/>
      <c r="D311" s="641"/>
      <c r="E311" s="641"/>
      <c r="F311" s="641"/>
      <c r="G311" s="641"/>
      <c r="H311" s="641"/>
    </row>
    <row r="312" spans="1:8">
      <c r="A312" s="642" t="s">
        <v>555</v>
      </c>
      <c r="B312" s="641"/>
      <c r="C312" s="641"/>
      <c r="D312" s="641"/>
      <c r="E312" s="641"/>
      <c r="F312" s="641"/>
      <c r="G312" s="641"/>
      <c r="H312" s="641"/>
    </row>
    <row r="313" spans="1:8">
      <c r="A313" s="642" t="s">
        <v>556</v>
      </c>
      <c r="B313" s="641"/>
      <c r="C313" s="641"/>
      <c r="D313" s="641"/>
      <c r="E313" s="641"/>
      <c r="F313" s="641"/>
      <c r="G313" s="641"/>
      <c r="H313" s="641"/>
    </row>
    <row r="314" spans="1:8">
      <c r="A314" s="642" t="s">
        <v>557</v>
      </c>
      <c r="B314" s="641"/>
      <c r="C314" s="641"/>
      <c r="D314" s="641"/>
      <c r="E314" s="641"/>
      <c r="F314" s="641"/>
      <c r="G314" s="641"/>
      <c r="H314" s="641"/>
    </row>
    <row r="315" spans="1:8">
      <c r="A315" s="642" t="s">
        <v>558</v>
      </c>
      <c r="B315" s="641"/>
      <c r="C315" s="641"/>
      <c r="D315" s="641"/>
      <c r="E315" s="641"/>
      <c r="F315" s="641"/>
      <c r="G315" s="641"/>
      <c r="H315" s="641"/>
    </row>
    <row r="316" spans="1:8">
      <c r="A316" s="642" t="s">
        <v>559</v>
      </c>
      <c r="B316" s="641"/>
      <c r="C316" s="641"/>
      <c r="D316" s="641"/>
      <c r="E316" s="641"/>
      <c r="F316" s="641"/>
      <c r="G316" s="641"/>
      <c r="H316" s="641"/>
    </row>
    <row r="317" spans="1:8">
      <c r="A317" s="642" t="s">
        <v>560</v>
      </c>
      <c r="B317" s="641"/>
      <c r="C317" s="641"/>
      <c r="D317" s="641"/>
      <c r="E317" s="641"/>
      <c r="F317" s="641"/>
      <c r="G317" s="641"/>
      <c r="H317" s="641"/>
    </row>
    <row r="318" spans="1:8">
      <c r="A318" s="642" t="s">
        <v>561</v>
      </c>
      <c r="B318" s="641"/>
      <c r="C318" s="641"/>
      <c r="D318" s="641"/>
      <c r="E318" s="641"/>
      <c r="F318" s="641"/>
      <c r="G318" s="641"/>
      <c r="H318" s="641"/>
    </row>
    <row r="319" spans="1:8">
      <c r="A319" s="642" t="s">
        <v>562</v>
      </c>
      <c r="B319" s="641"/>
      <c r="C319" s="641"/>
      <c r="D319" s="641"/>
      <c r="E319" s="641"/>
      <c r="F319" s="641"/>
      <c r="G319" s="641"/>
      <c r="H319" s="641"/>
    </row>
    <row r="320" spans="1:8">
      <c r="A320" s="641"/>
      <c r="B320" s="641"/>
      <c r="C320" s="641"/>
      <c r="D320" s="641"/>
      <c r="E320" s="641"/>
      <c r="F320" s="641"/>
      <c r="G320" s="641"/>
      <c r="H320" s="641"/>
    </row>
    <row r="321" spans="1:8">
      <c r="A321" s="642" t="s">
        <v>520</v>
      </c>
      <c r="B321" s="641"/>
      <c r="C321" s="641"/>
      <c r="D321" s="641"/>
      <c r="E321" s="641"/>
      <c r="F321" s="641"/>
      <c r="G321" s="641"/>
      <c r="H321" s="641"/>
    </row>
    <row r="322" spans="1:8">
      <c r="A322" s="642" t="s">
        <v>521</v>
      </c>
      <c r="B322" s="641"/>
      <c r="C322" s="641"/>
      <c r="D322" s="641"/>
      <c r="E322" s="641"/>
      <c r="F322" s="641"/>
      <c r="G322" s="641"/>
      <c r="H322" s="641"/>
    </row>
    <row r="323" spans="1:8">
      <c r="A323" s="642" t="s">
        <v>522</v>
      </c>
      <c r="B323" s="641"/>
      <c r="C323" s="641"/>
      <c r="D323" s="641"/>
      <c r="E323" s="641"/>
      <c r="F323" s="641"/>
      <c r="G323" s="641"/>
      <c r="H323" s="641"/>
    </row>
    <row r="324" spans="1:8">
      <c r="A324" s="642" t="s">
        <v>523</v>
      </c>
      <c r="B324" s="641"/>
      <c r="C324" s="641"/>
      <c r="D324" s="641"/>
      <c r="E324" s="641"/>
      <c r="F324" s="641"/>
      <c r="G324" s="641"/>
      <c r="H324" s="641"/>
    </row>
    <row r="325" spans="1:8">
      <c r="A325" s="642" t="s">
        <v>524</v>
      </c>
      <c r="B325" s="641"/>
      <c r="C325" s="641"/>
      <c r="D325" s="641"/>
      <c r="E325" s="641"/>
      <c r="F325" s="641"/>
      <c r="G325" s="641"/>
      <c r="H325" s="641"/>
    </row>
    <row r="326" spans="1:8">
      <c r="A326" s="642" t="s">
        <v>525</v>
      </c>
      <c r="B326" s="641"/>
      <c r="C326" s="641"/>
      <c r="D326" s="641"/>
      <c r="E326" s="641"/>
      <c r="F326" s="641"/>
      <c r="G326" s="641"/>
      <c r="H326" s="641"/>
    </row>
    <row r="327" spans="1:8">
      <c r="A327" s="642" t="s">
        <v>526</v>
      </c>
      <c r="B327" s="641"/>
      <c r="C327" s="641"/>
      <c r="D327" s="641"/>
      <c r="E327" s="641"/>
      <c r="F327" s="641"/>
      <c r="G327" s="641"/>
      <c r="H327" s="641"/>
    </row>
    <row r="328" spans="1:8">
      <c r="A328" s="642" t="s">
        <v>527</v>
      </c>
      <c r="B328" s="641"/>
      <c r="C328" s="641"/>
      <c r="D328" s="641"/>
      <c r="E328" s="641"/>
      <c r="F328" s="641"/>
      <c r="G328" s="641"/>
      <c r="H328" s="641"/>
    </row>
    <row r="329" spans="1:8">
      <c r="A329" s="642" t="s">
        <v>528</v>
      </c>
      <c r="B329" s="641"/>
      <c r="C329" s="641"/>
      <c r="D329" s="641"/>
      <c r="E329" s="641"/>
      <c r="F329" s="641"/>
      <c r="G329" s="641"/>
      <c r="H329" s="641"/>
    </row>
    <row r="330" spans="1:8">
      <c r="A330" s="642" t="s">
        <v>529</v>
      </c>
      <c r="B330" s="641"/>
      <c r="C330" s="641"/>
      <c r="D330" s="641"/>
      <c r="E330" s="641"/>
      <c r="F330" s="641"/>
      <c r="G330" s="641"/>
      <c r="H330" s="641"/>
    </row>
    <row r="331" spans="1:8">
      <c r="A331" s="642" t="s">
        <v>530</v>
      </c>
      <c r="B331" s="641"/>
      <c r="C331" s="641"/>
      <c r="D331" s="641"/>
      <c r="E331" s="641"/>
      <c r="F331" s="641"/>
      <c r="G331" s="641"/>
      <c r="H331" s="641"/>
    </row>
    <row r="332" spans="1:8">
      <c r="A332" s="642" t="s">
        <v>531</v>
      </c>
      <c r="B332" s="641"/>
      <c r="C332" s="641"/>
      <c r="D332" s="641"/>
      <c r="E332" s="641"/>
      <c r="F332" s="641"/>
      <c r="G332" s="641"/>
      <c r="H332" s="641"/>
    </row>
    <row r="333" spans="1:8">
      <c r="A333" s="642" t="s">
        <v>532</v>
      </c>
      <c r="B333" s="641"/>
      <c r="C333" s="641"/>
      <c r="D333" s="641"/>
      <c r="E333" s="641"/>
      <c r="F333" s="641"/>
      <c r="G333" s="641"/>
      <c r="H333" s="641"/>
    </row>
    <row r="334" spans="1:8">
      <c r="A334" s="642" t="s">
        <v>533</v>
      </c>
      <c r="B334" s="641"/>
      <c r="C334" s="641"/>
      <c r="D334" s="641"/>
      <c r="E334" s="641"/>
      <c r="F334" s="641"/>
      <c r="G334" s="641"/>
      <c r="H334" s="641"/>
    </row>
    <row r="335" spans="1:8">
      <c r="A335" s="642" t="s">
        <v>534</v>
      </c>
      <c r="B335" s="641"/>
      <c r="C335" s="641"/>
      <c r="D335" s="641"/>
      <c r="E335" s="641"/>
      <c r="F335" s="641"/>
      <c r="G335" s="641"/>
      <c r="H335" s="641"/>
    </row>
    <row r="336" spans="1:8">
      <c r="A336" s="642" t="s">
        <v>535</v>
      </c>
      <c r="B336" s="641"/>
      <c r="C336" s="641"/>
      <c r="D336" s="641"/>
      <c r="E336" s="641"/>
      <c r="F336" s="641"/>
      <c r="G336" s="641"/>
      <c r="H336" s="641"/>
    </row>
    <row r="337" spans="1:8">
      <c r="A337" s="642" t="s">
        <v>536</v>
      </c>
      <c r="B337" s="641"/>
      <c r="C337" s="641"/>
      <c r="D337" s="641"/>
      <c r="E337" s="641"/>
      <c r="F337" s="641"/>
      <c r="G337" s="641"/>
      <c r="H337" s="641"/>
    </row>
    <row r="338" spans="1:8">
      <c r="A338" s="642" t="s">
        <v>537</v>
      </c>
      <c r="B338" s="641"/>
      <c r="C338" s="641"/>
      <c r="D338" s="641"/>
      <c r="E338" s="641"/>
      <c r="F338" s="641"/>
      <c r="G338" s="641"/>
      <c r="H338" s="641"/>
    </row>
    <row r="339" spans="1:8">
      <c r="A339" s="642" t="s">
        <v>538</v>
      </c>
      <c r="B339" s="641"/>
      <c r="C339" s="641"/>
      <c r="D339" s="641"/>
      <c r="E339" s="641"/>
      <c r="F339" s="641"/>
      <c r="G339" s="641"/>
      <c r="H339" s="641"/>
    </row>
    <row r="340" spans="1:8">
      <c r="A340" s="642" t="s">
        <v>539</v>
      </c>
      <c r="B340" s="641"/>
      <c r="C340" s="641"/>
      <c r="D340" s="641"/>
      <c r="E340" s="641"/>
      <c r="F340" s="641"/>
      <c r="G340" s="641"/>
      <c r="H340" s="641"/>
    </row>
    <row r="341" spans="1:8">
      <c r="A341" s="642" t="s">
        <v>540</v>
      </c>
      <c r="B341" s="641"/>
      <c r="C341" s="641"/>
      <c r="D341" s="641"/>
      <c r="E341" s="641"/>
      <c r="F341" s="641"/>
      <c r="G341" s="641"/>
      <c r="H341" s="641"/>
    </row>
    <row r="342" spans="1:8">
      <c r="A342" s="642" t="s">
        <v>541</v>
      </c>
      <c r="B342" s="641"/>
      <c r="C342" s="641"/>
      <c r="D342" s="641"/>
      <c r="E342" s="641"/>
      <c r="F342" s="641"/>
      <c r="G342" s="641"/>
      <c r="H342" s="641"/>
    </row>
    <row r="343" spans="1:8">
      <c r="A343" s="642" t="s">
        <v>542</v>
      </c>
      <c r="B343" s="641"/>
      <c r="C343" s="641"/>
      <c r="D343" s="641"/>
      <c r="E343" s="641"/>
      <c r="F343" s="641"/>
      <c r="G343" s="641"/>
      <c r="H343" s="641"/>
    </row>
    <row r="344" spans="1:8">
      <c r="A344" s="642" t="s">
        <v>543</v>
      </c>
      <c r="B344" s="641"/>
      <c r="C344" s="641"/>
      <c r="D344" s="641"/>
      <c r="E344" s="641"/>
      <c r="F344" s="641"/>
      <c r="G344" s="641"/>
      <c r="H344" s="641"/>
    </row>
    <row r="345" spans="1:8">
      <c r="A345" s="642" t="s">
        <v>544</v>
      </c>
      <c r="B345" s="641"/>
      <c r="C345" s="641"/>
      <c r="D345" s="641"/>
      <c r="E345" s="641"/>
      <c r="F345" s="641"/>
      <c r="G345" s="641"/>
      <c r="H345" s="641"/>
    </row>
    <row r="346" spans="1:8">
      <c r="A346" s="642" t="s">
        <v>545</v>
      </c>
      <c r="B346" s="641"/>
      <c r="C346" s="641"/>
      <c r="D346" s="641"/>
      <c r="E346" s="641"/>
      <c r="F346" s="641"/>
      <c r="G346" s="641"/>
      <c r="H346" s="641"/>
    </row>
    <row r="347" spans="1:8">
      <c r="A347" s="642" t="s">
        <v>546</v>
      </c>
      <c r="B347" s="641"/>
      <c r="C347" s="641"/>
      <c r="D347" s="641"/>
      <c r="E347" s="641"/>
      <c r="F347" s="641"/>
      <c r="G347" s="641"/>
      <c r="H347" s="641"/>
    </row>
    <row r="348" spans="1:8">
      <c r="A348" s="642" t="s">
        <v>547</v>
      </c>
      <c r="B348" s="641"/>
      <c r="C348" s="641"/>
      <c r="D348" s="641"/>
      <c r="E348" s="641"/>
      <c r="F348" s="641"/>
      <c r="G348" s="641"/>
      <c r="H348" s="641"/>
    </row>
    <row r="349" spans="1:8">
      <c r="A349" s="642" t="s">
        <v>548</v>
      </c>
      <c r="B349" s="641"/>
      <c r="C349" s="641"/>
      <c r="D349" s="641"/>
      <c r="E349" s="641"/>
      <c r="F349" s="641"/>
      <c r="G349" s="641"/>
      <c r="H349" s="641"/>
    </row>
    <row r="350" spans="1:8">
      <c r="A350" s="642" t="s">
        <v>549</v>
      </c>
      <c r="B350" s="641"/>
      <c r="C350" s="641"/>
      <c r="D350" s="641"/>
      <c r="E350" s="641"/>
      <c r="F350" s="641"/>
      <c r="G350" s="641"/>
      <c r="H350" s="641"/>
    </row>
    <row r="351" spans="1:8">
      <c r="A351" s="642" t="s">
        <v>550</v>
      </c>
      <c r="B351" s="641"/>
      <c r="C351" s="641"/>
      <c r="D351" s="641"/>
      <c r="E351" s="641"/>
      <c r="F351" s="641"/>
      <c r="G351" s="641"/>
      <c r="H351" s="641"/>
    </row>
    <row r="352" spans="1:8">
      <c r="A352" s="642" t="s">
        <v>551</v>
      </c>
      <c r="B352" s="641"/>
      <c r="C352" s="641"/>
      <c r="D352" s="641"/>
      <c r="E352" s="641"/>
      <c r="F352" s="641"/>
      <c r="G352" s="641"/>
      <c r="H352" s="641"/>
    </row>
    <row r="353" spans="1:8">
      <c r="A353" s="642" t="s">
        <v>552</v>
      </c>
      <c r="B353" s="641"/>
      <c r="C353" s="641"/>
      <c r="D353" s="641"/>
      <c r="E353" s="641"/>
      <c r="F353" s="641"/>
      <c r="G353" s="641"/>
      <c r="H353" s="641"/>
    </row>
    <row r="354" spans="1:8">
      <c r="A354" s="642" t="s">
        <v>553</v>
      </c>
      <c r="B354" s="641"/>
      <c r="C354" s="641"/>
      <c r="D354" s="641"/>
      <c r="E354" s="641"/>
      <c r="F354" s="641"/>
      <c r="G354" s="641"/>
      <c r="H354" s="641"/>
    </row>
    <row r="355" spans="1:8">
      <c r="A355" s="642" t="s">
        <v>554</v>
      </c>
      <c r="B355" s="641"/>
      <c r="C355" s="641"/>
      <c r="D355" s="641"/>
      <c r="E355" s="641"/>
      <c r="F355" s="641"/>
      <c r="G355" s="641"/>
      <c r="H355" s="641"/>
    </row>
    <row r="356" spans="1:8">
      <c r="A356" s="641"/>
      <c r="B356" s="641"/>
      <c r="C356" s="641"/>
      <c r="D356" s="641"/>
      <c r="E356" s="641"/>
      <c r="F356" s="641"/>
      <c r="G356" s="641"/>
      <c r="H356" s="641"/>
    </row>
    <row r="357" spans="1:8">
      <c r="A357" s="642" t="s">
        <v>512</v>
      </c>
      <c r="B357" s="641"/>
      <c r="C357" s="641"/>
      <c r="D357" s="641"/>
      <c r="E357" s="641"/>
      <c r="F357" s="641"/>
      <c r="G357" s="641"/>
      <c r="H357" s="641"/>
    </row>
    <row r="358" spans="1:8">
      <c r="A358" s="642" t="s">
        <v>516</v>
      </c>
      <c r="B358" s="641"/>
      <c r="C358" s="641"/>
      <c r="D358" s="641"/>
      <c r="E358" s="641"/>
      <c r="F358" s="641"/>
      <c r="G358" s="641"/>
      <c r="H358" s="641"/>
    </row>
    <row r="359" spans="1:8">
      <c r="A359" s="642" t="s">
        <v>517</v>
      </c>
      <c r="B359" s="641"/>
      <c r="C359" s="641"/>
      <c r="D359" s="641"/>
      <c r="E359" s="641"/>
      <c r="F359" s="641"/>
      <c r="G359" s="641"/>
      <c r="H359" s="641"/>
    </row>
    <row r="360" spans="1:8">
      <c r="A360" s="642" t="s">
        <v>518</v>
      </c>
      <c r="B360" s="641"/>
      <c r="C360" s="641"/>
      <c r="D360" s="641"/>
      <c r="E360" s="641"/>
      <c r="F360" s="641"/>
      <c r="G360" s="641"/>
      <c r="H360" s="641"/>
    </row>
    <row r="361" spans="1:8">
      <c r="A361" s="642" t="s">
        <v>519</v>
      </c>
      <c r="B361" s="641"/>
      <c r="C361" s="641"/>
      <c r="D361" s="641"/>
      <c r="E361" s="641"/>
      <c r="F361" s="641"/>
      <c r="G361" s="641"/>
      <c r="H361" s="641"/>
    </row>
    <row r="362" spans="1:8">
      <c r="A362" s="641"/>
      <c r="B362" s="641"/>
      <c r="C362" s="641"/>
      <c r="D362" s="641"/>
      <c r="E362" s="641"/>
      <c r="F362" s="641"/>
      <c r="G362" s="641"/>
      <c r="H362" s="641"/>
    </row>
    <row r="363" spans="1:8">
      <c r="A363" s="642" t="s">
        <v>512</v>
      </c>
      <c r="B363" s="641"/>
      <c r="C363" s="641"/>
      <c r="D363" s="641"/>
      <c r="E363" s="641"/>
      <c r="F363" s="641"/>
      <c r="G363" s="641"/>
      <c r="H363" s="641"/>
    </row>
    <row r="364" spans="1:8">
      <c r="A364" s="642" t="s">
        <v>513</v>
      </c>
      <c r="B364" s="641"/>
      <c r="C364" s="641"/>
      <c r="D364" s="641"/>
      <c r="E364" s="641"/>
      <c r="F364" s="641"/>
      <c r="G364" s="641"/>
      <c r="H364" s="641"/>
    </row>
    <row r="365" spans="1:8">
      <c r="A365" s="642" t="s">
        <v>514</v>
      </c>
      <c r="B365" s="641"/>
      <c r="C365" s="641"/>
      <c r="D365" s="641"/>
      <c r="E365" s="641"/>
      <c r="F365" s="641"/>
      <c r="G365" s="641"/>
      <c r="H365" s="641"/>
    </row>
    <row r="366" spans="1:8">
      <c r="A366" s="642" t="s">
        <v>515</v>
      </c>
      <c r="B366" s="641"/>
      <c r="C366" s="641"/>
      <c r="D366" s="641"/>
      <c r="E366" s="641"/>
      <c r="F366" s="641"/>
      <c r="G366" s="641"/>
      <c r="H366" s="641"/>
    </row>
    <row r="367" spans="1:8">
      <c r="A367" s="641"/>
      <c r="B367" s="641"/>
      <c r="C367" s="641"/>
      <c r="D367" s="641"/>
      <c r="E367" s="641"/>
      <c r="F367" s="641"/>
      <c r="G367" s="641"/>
      <c r="H367" s="641"/>
    </row>
    <row r="368" spans="1:8">
      <c r="A368" s="642" t="s">
        <v>506</v>
      </c>
      <c r="B368" s="641"/>
      <c r="C368" s="641"/>
      <c r="D368" s="641"/>
      <c r="E368" s="641"/>
      <c r="F368" s="641"/>
      <c r="G368" s="641"/>
      <c r="H368" s="641"/>
    </row>
    <row r="369" spans="1:8">
      <c r="A369" s="642" t="s">
        <v>507</v>
      </c>
      <c r="B369" s="641"/>
      <c r="C369" s="641"/>
      <c r="D369" s="641"/>
      <c r="E369" s="641"/>
      <c r="F369" s="641"/>
      <c r="G369" s="641"/>
      <c r="H369" s="641"/>
    </row>
    <row r="370" spans="1:8">
      <c r="A370" s="642" t="s">
        <v>508</v>
      </c>
      <c r="B370" s="641"/>
      <c r="C370" s="641"/>
      <c r="D370" s="641"/>
      <c r="E370" s="641"/>
      <c r="F370" s="641"/>
      <c r="G370" s="641"/>
      <c r="H370" s="641"/>
    </row>
    <row r="371" spans="1:8">
      <c r="A371" s="642" t="s">
        <v>509</v>
      </c>
      <c r="B371" s="641"/>
      <c r="C371" s="641"/>
      <c r="D371" s="641"/>
      <c r="E371" s="641"/>
      <c r="F371" s="641"/>
      <c r="G371" s="641"/>
      <c r="H371" s="641"/>
    </row>
    <row r="372" spans="1:8">
      <c r="A372" s="642" t="s">
        <v>510</v>
      </c>
      <c r="B372" s="641"/>
      <c r="C372" s="641"/>
      <c r="D372" s="641"/>
      <c r="E372" s="641"/>
      <c r="F372" s="641"/>
      <c r="G372" s="641"/>
      <c r="H372" s="641"/>
    </row>
    <row r="373" spans="1:8">
      <c r="A373" s="642" t="s">
        <v>511</v>
      </c>
      <c r="B373" s="641"/>
      <c r="C373" s="641"/>
      <c r="D373" s="641"/>
      <c r="E373" s="641"/>
      <c r="F373" s="641"/>
      <c r="G373" s="641"/>
      <c r="H373" s="641"/>
    </row>
    <row r="374" spans="1:8">
      <c r="A374" s="641"/>
      <c r="B374" s="641"/>
      <c r="C374" s="641"/>
      <c r="D374" s="641"/>
      <c r="E374" s="641"/>
      <c r="F374" s="641"/>
      <c r="G374" s="641"/>
      <c r="H374" s="641"/>
    </row>
    <row r="375" spans="1:8">
      <c r="A375" s="642" t="s">
        <v>501</v>
      </c>
      <c r="B375" s="641"/>
      <c r="C375" s="641"/>
      <c r="D375" s="641"/>
      <c r="E375" s="641"/>
      <c r="F375" s="641"/>
      <c r="G375" s="641"/>
      <c r="H375" s="641"/>
    </row>
    <row r="376" spans="1:8">
      <c r="A376" s="642" t="s">
        <v>502</v>
      </c>
      <c r="B376" s="641"/>
      <c r="C376" s="641"/>
      <c r="D376" s="641"/>
      <c r="E376" s="641"/>
      <c r="F376" s="641"/>
      <c r="G376" s="641"/>
      <c r="H376" s="641"/>
    </row>
    <row r="377" spans="1:8">
      <c r="A377" s="642" t="s">
        <v>503</v>
      </c>
      <c r="B377" s="641"/>
      <c r="C377" s="641"/>
      <c r="D377" s="641"/>
      <c r="E377" s="641"/>
      <c r="F377" s="641"/>
      <c r="G377" s="641"/>
      <c r="H377" s="641"/>
    </row>
    <row r="378" spans="1:8">
      <c r="A378" s="642" t="s">
        <v>504</v>
      </c>
      <c r="B378" s="641"/>
      <c r="C378" s="641"/>
      <c r="D378" s="641"/>
      <c r="E378" s="641"/>
      <c r="F378" s="641"/>
      <c r="G378" s="641"/>
      <c r="H378" s="641"/>
    </row>
    <row r="379" spans="1:8">
      <c r="A379" s="642" t="s">
        <v>505</v>
      </c>
      <c r="B379" s="641"/>
      <c r="C379" s="641"/>
      <c r="D379" s="641"/>
      <c r="E379" s="641"/>
      <c r="F379" s="641"/>
      <c r="G379" s="641"/>
      <c r="H379" s="641"/>
    </row>
    <row r="380" spans="1:8">
      <c r="A380" s="641"/>
      <c r="B380" s="641"/>
      <c r="C380" s="641"/>
      <c r="D380" s="641"/>
      <c r="E380" s="641"/>
      <c r="F380" s="641"/>
      <c r="G380" s="641"/>
      <c r="H380" s="641"/>
    </row>
    <row r="381" spans="1:8">
      <c r="A381" s="642" t="s">
        <v>499</v>
      </c>
      <c r="B381" s="641"/>
      <c r="C381" s="641"/>
      <c r="D381" s="641"/>
      <c r="E381" s="641"/>
      <c r="F381" s="641"/>
      <c r="G381" s="641"/>
      <c r="H381" s="641"/>
    </row>
    <row r="382" spans="1:8">
      <c r="A382" s="642" t="s">
        <v>500</v>
      </c>
      <c r="B382" s="641"/>
      <c r="C382" s="641"/>
      <c r="D382" s="641"/>
      <c r="E382" s="641"/>
      <c r="F382" s="641"/>
      <c r="G382" s="641"/>
      <c r="H382" s="641"/>
    </row>
    <row r="384" spans="1:8">
      <c r="A384" s="637" t="s">
        <v>750</v>
      </c>
    </row>
  </sheetData>
  <mergeCells count="12">
    <mergeCell ref="A125:H125"/>
    <mergeCell ref="A126:H126"/>
    <mergeCell ref="B118:C118"/>
    <mergeCell ref="D118:F118"/>
    <mergeCell ref="G118:H118"/>
    <mergeCell ref="A104:H104"/>
    <mergeCell ref="A105:H105"/>
    <mergeCell ref="A106:H106"/>
    <mergeCell ref="A107:H107"/>
    <mergeCell ref="A109:H109"/>
    <mergeCell ref="A110:H110"/>
    <mergeCell ref="A117:H117"/>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S32"/>
  <sheetViews>
    <sheetView zoomScaleNormal="100" workbookViewId="0">
      <selection activeCell="C30" sqref="C30"/>
    </sheetView>
  </sheetViews>
  <sheetFormatPr defaultRowHeight="12.75"/>
  <cols>
    <col min="1" max="1" width="4" style="1" customWidth="1"/>
    <col min="2" max="2" width="31.140625" style="1" bestFit="1" customWidth="1"/>
    <col min="3" max="3" width="9.140625" style="1"/>
    <col min="4" max="6" width="0" style="1" hidden="1" customWidth="1"/>
    <col min="7" max="19" width="9.140625" style="1"/>
    <col min="20" max="20" width="9.7109375" style="1" customWidth="1"/>
    <col min="21" max="256" width="9.140625" style="1"/>
    <col min="257" max="257" width="4" style="1" customWidth="1"/>
    <col min="258" max="258" width="22.5703125" style="1" bestFit="1" customWidth="1"/>
    <col min="259" max="512" width="9.140625" style="1"/>
    <col min="513" max="513" width="4" style="1" customWidth="1"/>
    <col min="514" max="514" width="22.5703125" style="1" bestFit="1" customWidth="1"/>
    <col min="515" max="768" width="9.140625" style="1"/>
    <col min="769" max="769" width="4" style="1" customWidth="1"/>
    <col min="770" max="770" width="22.5703125" style="1" bestFit="1" customWidth="1"/>
    <col min="771" max="1024" width="9.140625" style="1"/>
    <col min="1025" max="1025" width="4" style="1" customWidth="1"/>
    <col min="1026" max="1026" width="22.5703125" style="1" bestFit="1" customWidth="1"/>
    <col min="1027" max="1280" width="9.140625" style="1"/>
    <col min="1281" max="1281" width="4" style="1" customWidth="1"/>
    <col min="1282" max="1282" width="22.5703125" style="1" bestFit="1" customWidth="1"/>
    <col min="1283" max="1536" width="9.140625" style="1"/>
    <col min="1537" max="1537" width="4" style="1" customWidth="1"/>
    <col min="1538" max="1538" width="22.5703125" style="1" bestFit="1" customWidth="1"/>
    <col min="1539" max="1792" width="9.140625" style="1"/>
    <col min="1793" max="1793" width="4" style="1" customWidth="1"/>
    <col min="1794" max="1794" width="22.5703125" style="1" bestFit="1" customWidth="1"/>
    <col min="1795" max="2048" width="9.140625" style="1"/>
    <col min="2049" max="2049" width="4" style="1" customWidth="1"/>
    <col min="2050" max="2050" width="22.5703125" style="1" bestFit="1" customWidth="1"/>
    <col min="2051" max="2304" width="9.140625" style="1"/>
    <col min="2305" max="2305" width="4" style="1" customWidth="1"/>
    <col min="2306" max="2306" width="22.5703125" style="1" bestFit="1" customWidth="1"/>
    <col min="2307" max="2560" width="9.140625" style="1"/>
    <col min="2561" max="2561" width="4" style="1" customWidth="1"/>
    <col min="2562" max="2562" width="22.5703125" style="1" bestFit="1" customWidth="1"/>
    <col min="2563" max="2816" width="9.140625" style="1"/>
    <col min="2817" max="2817" width="4" style="1" customWidth="1"/>
    <col min="2818" max="2818" width="22.5703125" style="1" bestFit="1" customWidth="1"/>
    <col min="2819" max="3072" width="9.140625" style="1"/>
    <col min="3073" max="3073" width="4" style="1" customWidth="1"/>
    <col min="3074" max="3074" width="22.5703125" style="1" bestFit="1" customWidth="1"/>
    <col min="3075" max="3328" width="9.140625" style="1"/>
    <col min="3329" max="3329" width="4" style="1" customWidth="1"/>
    <col min="3330" max="3330" width="22.5703125" style="1" bestFit="1" customWidth="1"/>
    <col min="3331" max="3584" width="9.140625" style="1"/>
    <col min="3585" max="3585" width="4" style="1" customWidth="1"/>
    <col min="3586" max="3586" width="22.5703125" style="1" bestFit="1" customWidth="1"/>
    <col min="3587" max="3840" width="9.140625" style="1"/>
    <col min="3841" max="3841" width="4" style="1" customWidth="1"/>
    <col min="3842" max="3842" width="22.5703125" style="1" bestFit="1" customWidth="1"/>
    <col min="3843" max="4096" width="9.140625" style="1"/>
    <col min="4097" max="4097" width="4" style="1" customWidth="1"/>
    <col min="4098" max="4098" width="22.5703125" style="1" bestFit="1" customWidth="1"/>
    <col min="4099" max="4352" width="9.140625" style="1"/>
    <col min="4353" max="4353" width="4" style="1" customWidth="1"/>
    <col min="4354" max="4354" width="22.5703125" style="1" bestFit="1" customWidth="1"/>
    <col min="4355" max="4608" width="9.140625" style="1"/>
    <col min="4609" max="4609" width="4" style="1" customWidth="1"/>
    <col min="4610" max="4610" width="22.5703125" style="1" bestFit="1" customWidth="1"/>
    <col min="4611" max="4864" width="9.140625" style="1"/>
    <col min="4865" max="4865" width="4" style="1" customWidth="1"/>
    <col min="4866" max="4866" width="22.5703125" style="1" bestFit="1" customWidth="1"/>
    <col min="4867" max="5120" width="9.140625" style="1"/>
    <col min="5121" max="5121" width="4" style="1" customWidth="1"/>
    <col min="5122" max="5122" width="22.5703125" style="1" bestFit="1" customWidth="1"/>
    <col min="5123" max="5376" width="9.140625" style="1"/>
    <col min="5377" max="5377" width="4" style="1" customWidth="1"/>
    <col min="5378" max="5378" width="22.5703125" style="1" bestFit="1" customWidth="1"/>
    <col min="5379" max="5632" width="9.140625" style="1"/>
    <col min="5633" max="5633" width="4" style="1" customWidth="1"/>
    <col min="5634" max="5634" width="22.5703125" style="1" bestFit="1" customWidth="1"/>
    <col min="5635" max="5888" width="9.140625" style="1"/>
    <col min="5889" max="5889" width="4" style="1" customWidth="1"/>
    <col min="5890" max="5890" width="22.5703125" style="1" bestFit="1" customWidth="1"/>
    <col min="5891" max="6144" width="9.140625" style="1"/>
    <col min="6145" max="6145" width="4" style="1" customWidth="1"/>
    <col min="6146" max="6146" width="22.5703125" style="1" bestFit="1" customWidth="1"/>
    <col min="6147" max="6400" width="9.140625" style="1"/>
    <col min="6401" max="6401" width="4" style="1" customWidth="1"/>
    <col min="6402" max="6402" width="22.5703125" style="1" bestFit="1" customWidth="1"/>
    <col min="6403" max="6656" width="9.140625" style="1"/>
    <col min="6657" max="6657" width="4" style="1" customWidth="1"/>
    <col min="6658" max="6658" width="22.5703125" style="1" bestFit="1" customWidth="1"/>
    <col min="6659" max="6912" width="9.140625" style="1"/>
    <col min="6913" max="6913" width="4" style="1" customWidth="1"/>
    <col min="6914" max="6914" width="22.5703125" style="1" bestFit="1" customWidth="1"/>
    <col min="6915" max="7168" width="9.140625" style="1"/>
    <col min="7169" max="7169" width="4" style="1" customWidth="1"/>
    <col min="7170" max="7170" width="22.5703125" style="1" bestFit="1" customWidth="1"/>
    <col min="7171" max="7424" width="9.140625" style="1"/>
    <col min="7425" max="7425" width="4" style="1" customWidth="1"/>
    <col min="7426" max="7426" width="22.5703125" style="1" bestFit="1" customWidth="1"/>
    <col min="7427" max="7680" width="9.140625" style="1"/>
    <col min="7681" max="7681" width="4" style="1" customWidth="1"/>
    <col min="7682" max="7682" width="22.5703125" style="1" bestFit="1" customWidth="1"/>
    <col min="7683" max="7936" width="9.140625" style="1"/>
    <col min="7937" max="7937" width="4" style="1" customWidth="1"/>
    <col min="7938" max="7938" width="22.5703125" style="1" bestFit="1" customWidth="1"/>
    <col min="7939" max="8192" width="9.140625" style="1"/>
    <col min="8193" max="8193" width="4" style="1" customWidth="1"/>
    <col min="8194" max="8194" width="22.5703125" style="1" bestFit="1" customWidth="1"/>
    <col min="8195" max="8448" width="9.140625" style="1"/>
    <col min="8449" max="8449" width="4" style="1" customWidth="1"/>
    <col min="8450" max="8450" width="22.5703125" style="1" bestFit="1" customWidth="1"/>
    <col min="8451" max="8704" width="9.140625" style="1"/>
    <col min="8705" max="8705" width="4" style="1" customWidth="1"/>
    <col min="8706" max="8706" width="22.5703125" style="1" bestFit="1" customWidth="1"/>
    <col min="8707" max="8960" width="9.140625" style="1"/>
    <col min="8961" max="8961" width="4" style="1" customWidth="1"/>
    <col min="8962" max="8962" width="22.5703125" style="1" bestFit="1" customWidth="1"/>
    <col min="8963" max="9216" width="9.140625" style="1"/>
    <col min="9217" max="9217" width="4" style="1" customWidth="1"/>
    <col min="9218" max="9218" width="22.5703125" style="1" bestFit="1" customWidth="1"/>
    <col min="9219" max="9472" width="9.140625" style="1"/>
    <col min="9473" max="9473" width="4" style="1" customWidth="1"/>
    <col min="9474" max="9474" width="22.5703125" style="1" bestFit="1" customWidth="1"/>
    <col min="9475" max="9728" width="9.140625" style="1"/>
    <col min="9729" max="9729" width="4" style="1" customWidth="1"/>
    <col min="9730" max="9730" width="22.5703125" style="1" bestFit="1" customWidth="1"/>
    <col min="9731" max="9984" width="9.140625" style="1"/>
    <col min="9985" max="9985" width="4" style="1" customWidth="1"/>
    <col min="9986" max="9986" width="22.5703125" style="1" bestFit="1" customWidth="1"/>
    <col min="9987" max="10240" width="9.140625" style="1"/>
    <col min="10241" max="10241" width="4" style="1" customWidth="1"/>
    <col min="10242" max="10242" width="22.5703125" style="1" bestFit="1" customWidth="1"/>
    <col min="10243" max="10496" width="9.140625" style="1"/>
    <col min="10497" max="10497" width="4" style="1" customWidth="1"/>
    <col min="10498" max="10498" width="22.5703125" style="1" bestFit="1" customWidth="1"/>
    <col min="10499" max="10752" width="9.140625" style="1"/>
    <col min="10753" max="10753" width="4" style="1" customWidth="1"/>
    <col min="10754" max="10754" width="22.5703125" style="1" bestFit="1" customWidth="1"/>
    <col min="10755" max="11008" width="9.140625" style="1"/>
    <col min="11009" max="11009" width="4" style="1" customWidth="1"/>
    <col min="11010" max="11010" width="22.5703125" style="1" bestFit="1" customWidth="1"/>
    <col min="11011" max="11264" width="9.140625" style="1"/>
    <col min="11265" max="11265" width="4" style="1" customWidth="1"/>
    <col min="11266" max="11266" width="22.5703125" style="1" bestFit="1" customWidth="1"/>
    <col min="11267" max="11520" width="9.140625" style="1"/>
    <col min="11521" max="11521" width="4" style="1" customWidth="1"/>
    <col min="11522" max="11522" width="22.5703125" style="1" bestFit="1" customWidth="1"/>
    <col min="11523" max="11776" width="9.140625" style="1"/>
    <col min="11777" max="11777" width="4" style="1" customWidth="1"/>
    <col min="11778" max="11778" width="22.5703125" style="1" bestFit="1" customWidth="1"/>
    <col min="11779" max="12032" width="9.140625" style="1"/>
    <col min="12033" max="12033" width="4" style="1" customWidth="1"/>
    <col min="12034" max="12034" width="22.5703125" style="1" bestFit="1" customWidth="1"/>
    <col min="12035" max="12288" width="9.140625" style="1"/>
    <col min="12289" max="12289" width="4" style="1" customWidth="1"/>
    <col min="12290" max="12290" width="22.5703125" style="1" bestFit="1" customWidth="1"/>
    <col min="12291" max="12544" width="9.140625" style="1"/>
    <col min="12545" max="12545" width="4" style="1" customWidth="1"/>
    <col min="12546" max="12546" width="22.5703125" style="1" bestFit="1" customWidth="1"/>
    <col min="12547" max="12800" width="9.140625" style="1"/>
    <col min="12801" max="12801" width="4" style="1" customWidth="1"/>
    <col min="12802" max="12802" width="22.5703125" style="1" bestFit="1" customWidth="1"/>
    <col min="12803" max="13056" width="9.140625" style="1"/>
    <col min="13057" max="13057" width="4" style="1" customWidth="1"/>
    <col min="13058" max="13058" width="22.5703125" style="1" bestFit="1" customWidth="1"/>
    <col min="13059" max="13312" width="9.140625" style="1"/>
    <col min="13313" max="13313" width="4" style="1" customWidth="1"/>
    <col min="13314" max="13314" width="22.5703125" style="1" bestFit="1" customWidth="1"/>
    <col min="13315" max="13568" width="9.140625" style="1"/>
    <col min="13569" max="13569" width="4" style="1" customWidth="1"/>
    <col min="13570" max="13570" width="22.5703125" style="1" bestFit="1" customWidth="1"/>
    <col min="13571" max="13824" width="9.140625" style="1"/>
    <col min="13825" max="13825" width="4" style="1" customWidth="1"/>
    <col min="13826" max="13826" width="22.5703125" style="1" bestFit="1" customWidth="1"/>
    <col min="13827" max="14080" width="9.140625" style="1"/>
    <col min="14081" max="14081" width="4" style="1" customWidth="1"/>
    <col min="14082" max="14082" width="22.5703125" style="1" bestFit="1" customWidth="1"/>
    <col min="14083" max="14336" width="9.140625" style="1"/>
    <col min="14337" max="14337" width="4" style="1" customWidth="1"/>
    <col min="14338" max="14338" width="22.5703125" style="1" bestFit="1" customWidth="1"/>
    <col min="14339" max="14592" width="9.140625" style="1"/>
    <col min="14593" max="14593" width="4" style="1" customWidth="1"/>
    <col min="14594" max="14594" width="22.5703125" style="1" bestFit="1" customWidth="1"/>
    <col min="14595" max="14848" width="9.140625" style="1"/>
    <col min="14849" max="14849" width="4" style="1" customWidth="1"/>
    <col min="14850" max="14850" width="22.5703125" style="1" bestFit="1" customWidth="1"/>
    <col min="14851" max="15104" width="9.140625" style="1"/>
    <col min="15105" max="15105" width="4" style="1" customWidth="1"/>
    <col min="15106" max="15106" width="22.5703125" style="1" bestFit="1" customWidth="1"/>
    <col min="15107" max="15360" width="9.140625" style="1"/>
    <col min="15361" max="15361" width="4" style="1" customWidth="1"/>
    <col min="15362" max="15362" width="22.5703125" style="1" bestFit="1" customWidth="1"/>
    <col min="15363" max="15616" width="9.140625" style="1"/>
    <col min="15617" max="15617" width="4" style="1" customWidth="1"/>
    <col min="15618" max="15618" width="22.5703125" style="1" bestFit="1" customWidth="1"/>
    <col min="15619" max="15872" width="9.140625" style="1"/>
    <col min="15873" max="15873" width="4" style="1" customWidth="1"/>
    <col min="15874" max="15874" width="22.5703125" style="1" bestFit="1" customWidth="1"/>
    <col min="15875" max="16128" width="9.140625" style="1"/>
    <col min="16129" max="16129" width="4" style="1" customWidth="1"/>
    <col min="16130" max="16130" width="22.5703125" style="1" bestFit="1" customWidth="1"/>
    <col min="16131" max="16384" width="9.140625" style="1"/>
  </cols>
  <sheetData>
    <row r="1" spans="1:19">
      <c r="A1" s="4"/>
      <c r="B1" s="4"/>
      <c r="C1" s="363"/>
      <c r="D1" s="363"/>
      <c r="E1" s="363"/>
      <c r="F1" s="363"/>
      <c r="G1" s="363"/>
      <c r="H1" s="363"/>
      <c r="I1" s="363"/>
      <c r="J1" s="363"/>
      <c r="K1" s="363"/>
      <c r="L1" s="363"/>
      <c r="M1" s="363"/>
      <c r="N1" s="363"/>
      <c r="O1" s="363"/>
      <c r="P1" s="363"/>
      <c r="Q1" s="363"/>
      <c r="R1" s="363"/>
      <c r="S1" s="363"/>
    </row>
    <row r="2" spans="1:19">
      <c r="A2" s="5"/>
      <c r="B2" s="5"/>
      <c r="C2" s="363"/>
      <c r="D2" s="363"/>
      <c r="E2" s="363"/>
      <c r="F2" s="363"/>
      <c r="G2" s="363"/>
      <c r="H2" s="363"/>
      <c r="I2" s="363"/>
      <c r="J2" s="363"/>
      <c r="K2" s="363"/>
      <c r="L2" s="363"/>
      <c r="M2" s="363"/>
      <c r="N2" s="363"/>
      <c r="O2" s="363"/>
      <c r="P2" s="363"/>
      <c r="Q2" s="363"/>
      <c r="R2" s="363"/>
      <c r="S2" s="363"/>
    </row>
    <row r="3" spans="1:19">
      <c r="A3" s="5"/>
      <c r="B3" s="5"/>
      <c r="C3" s="363"/>
      <c r="D3" s="363"/>
      <c r="E3" s="363"/>
      <c r="F3" s="363"/>
      <c r="G3" s="363"/>
      <c r="H3" s="363"/>
      <c r="I3" s="363"/>
      <c r="J3" s="363"/>
      <c r="K3" s="363"/>
      <c r="L3" s="363"/>
      <c r="M3" s="363"/>
      <c r="N3" s="363"/>
      <c r="O3" s="363"/>
      <c r="P3" s="363"/>
      <c r="Q3" s="363"/>
      <c r="R3" s="363"/>
      <c r="S3" s="363"/>
    </row>
    <row r="4" spans="1:19" ht="12.75" customHeight="1">
      <c r="A4" s="5"/>
      <c r="B4" s="633" t="s">
        <v>25</v>
      </c>
      <c r="C4" s="160"/>
      <c r="D4" s="162"/>
      <c r="E4" s="161"/>
      <c r="F4" s="161"/>
      <c r="G4" s="161"/>
      <c r="H4" s="161"/>
      <c r="I4" s="161"/>
      <c r="J4" s="162"/>
      <c r="K4" s="162"/>
      <c r="L4" s="162"/>
      <c r="M4" s="161"/>
      <c r="N4" s="161"/>
      <c r="O4" s="161"/>
      <c r="P4" s="162"/>
      <c r="Q4" s="161"/>
      <c r="R4" s="162"/>
      <c r="S4" s="163" t="s">
        <v>79</v>
      </c>
    </row>
    <row r="5" spans="1:19" ht="12.75" customHeight="1">
      <c r="A5" s="5"/>
      <c r="B5" s="634"/>
      <c r="C5" s="364"/>
      <c r="D5" s="365"/>
      <c r="E5" s="365">
        <f>2016</f>
        <v>2016</v>
      </c>
      <c r="F5" s="365">
        <f t="shared" ref="F5:S5" si="0">E5+1</f>
        <v>2017</v>
      </c>
      <c r="G5" s="365">
        <f t="shared" si="0"/>
        <v>2018</v>
      </c>
      <c r="H5" s="365">
        <f t="shared" si="0"/>
        <v>2019</v>
      </c>
      <c r="I5" s="365">
        <f t="shared" si="0"/>
        <v>2020</v>
      </c>
      <c r="J5" s="365">
        <f t="shared" si="0"/>
        <v>2021</v>
      </c>
      <c r="K5" s="365">
        <f t="shared" si="0"/>
        <v>2022</v>
      </c>
      <c r="L5" s="365">
        <f t="shared" si="0"/>
        <v>2023</v>
      </c>
      <c r="M5" s="365">
        <f t="shared" si="0"/>
        <v>2024</v>
      </c>
      <c r="N5" s="365">
        <f t="shared" si="0"/>
        <v>2025</v>
      </c>
      <c r="O5" s="365">
        <f t="shared" si="0"/>
        <v>2026</v>
      </c>
      <c r="P5" s="365">
        <f t="shared" si="0"/>
        <v>2027</v>
      </c>
      <c r="Q5" s="365">
        <f t="shared" si="0"/>
        <v>2028</v>
      </c>
      <c r="R5" s="365">
        <f t="shared" si="0"/>
        <v>2029</v>
      </c>
      <c r="S5" s="365">
        <f t="shared" si="0"/>
        <v>2030</v>
      </c>
    </row>
    <row r="6" spans="1:19">
      <c r="A6" s="5"/>
      <c r="B6" s="366" t="s">
        <v>327</v>
      </c>
      <c r="C6" s="363"/>
      <c r="D6" s="367"/>
      <c r="E6" s="552">
        <f>IS!V28</f>
        <v>-191.422</v>
      </c>
      <c r="F6" s="552">
        <f>IS!AA28</f>
        <v>-86.673000000000016</v>
      </c>
      <c r="G6" s="552">
        <f>IS!AF28</f>
        <v>-28.601887890499214</v>
      </c>
      <c r="H6" s="552">
        <f>IS!AK28</f>
        <v>59.016110528541446</v>
      </c>
      <c r="I6" s="552">
        <f>IS!AP28</f>
        <v>127.54578571466024</v>
      </c>
      <c r="J6" s="552">
        <f>IS!AU28</f>
        <v>251.20618755760387</v>
      </c>
      <c r="K6" s="552">
        <f>IS!AZ28</f>
        <v>526.29942909218028</v>
      </c>
      <c r="L6" s="553">
        <f>IS!BE28</f>
        <v>647.04847489793156</v>
      </c>
      <c r="M6" s="553">
        <f>IS!BJ28</f>
        <v>850.41218935821473</v>
      </c>
      <c r="N6" s="553">
        <f>IS!BO28</f>
        <v>865.79303436861767</v>
      </c>
      <c r="O6" s="553">
        <f>N6*(1+O7)</f>
        <v>865.79303436861767</v>
      </c>
      <c r="P6" s="553">
        <f>O6*(1+P7)</f>
        <v>865.79303436861767</v>
      </c>
      <c r="Q6" s="553">
        <f>P6*(1+Q7)</f>
        <v>865.79303436861767</v>
      </c>
      <c r="R6" s="553">
        <f>Q6*(1+R7)</f>
        <v>865.79303436861767</v>
      </c>
      <c r="S6" s="554"/>
    </row>
    <row r="7" spans="1:19">
      <c r="A7" s="5"/>
      <c r="B7" s="368" t="s">
        <v>80</v>
      </c>
      <c r="C7" s="363"/>
      <c r="D7" s="363"/>
      <c r="E7" s="555"/>
      <c r="F7" s="555" t="str">
        <f>IF(E6&lt;0,"NM",F6/E6-1)</f>
        <v>NM</v>
      </c>
      <c r="G7" s="555" t="str">
        <f>IF(F6&lt;0,"NM",G6/F6-1)</f>
        <v>NM</v>
      </c>
      <c r="H7" s="555" t="str">
        <f>IF(G6&lt;0,"NM",H6/G6-1)</f>
        <v>NM</v>
      </c>
      <c r="I7" s="555">
        <f>IF(H6&lt;0,"NM",I6/H6-1)</f>
        <v>1.1612028405866628</v>
      </c>
      <c r="J7" s="555">
        <f t="shared" ref="J7:L7" si="1">IF(I6&lt;0,"NM",J6/I6-1)</f>
        <v>0.96953734025827543</v>
      </c>
      <c r="K7" s="555">
        <f t="shared" si="1"/>
        <v>1.0950894331434213</v>
      </c>
      <c r="L7" s="555">
        <f t="shared" si="1"/>
        <v>0.22943031880926168</v>
      </c>
      <c r="M7" s="555">
        <f>L7/2.2</f>
        <v>0.1042865085496644</v>
      </c>
      <c r="N7" s="556">
        <f>M7/2.2</f>
        <v>4.7402958431665629E-2</v>
      </c>
      <c r="O7" s="556">
        <v>0</v>
      </c>
      <c r="P7" s="556">
        <v>0</v>
      </c>
      <c r="Q7" s="556">
        <v>0</v>
      </c>
      <c r="R7" s="556">
        <v>0</v>
      </c>
      <c r="S7" s="557"/>
    </row>
    <row r="8" spans="1:19">
      <c r="A8" s="5"/>
      <c r="B8" s="368"/>
      <c r="C8" s="363"/>
      <c r="D8" s="363"/>
      <c r="E8" s="555"/>
      <c r="F8" s="555"/>
      <c r="G8" s="555"/>
      <c r="H8" s="555"/>
      <c r="I8" s="555"/>
      <c r="J8" s="558"/>
      <c r="K8" s="558"/>
      <c r="L8" s="558"/>
      <c r="M8" s="555"/>
      <c r="N8" s="555"/>
      <c r="O8" s="558"/>
      <c r="P8" s="558"/>
      <c r="Q8" s="558"/>
      <c r="R8" s="559"/>
      <c r="S8" s="557"/>
    </row>
    <row r="9" spans="1:19">
      <c r="A9" s="5"/>
      <c r="B9" s="366" t="s">
        <v>81</v>
      </c>
      <c r="C9" s="363"/>
      <c r="D9" s="367"/>
      <c r="E9" s="552">
        <f>BS!G51</f>
        <v>0</v>
      </c>
      <c r="F9" s="552">
        <f>BS!H51</f>
        <v>0</v>
      </c>
      <c r="G9" s="552">
        <f>BS!I51</f>
        <v>0</v>
      </c>
      <c r="H9" s="552">
        <f>BS!J51</f>
        <v>0</v>
      </c>
      <c r="I9" s="552">
        <f>BS!K51</f>
        <v>0</v>
      </c>
      <c r="J9" s="552">
        <f>BS!L51</f>
        <v>0</v>
      </c>
      <c r="K9" s="552">
        <f>BS!M51</f>
        <v>0</v>
      </c>
      <c r="L9" s="552">
        <f>BS!N51</f>
        <v>136.50737807612688</v>
      </c>
      <c r="M9" s="552">
        <f>BS!O51</f>
        <v>301.973479359576</v>
      </c>
      <c r="N9" s="552">
        <f>BS!P51</f>
        <v>307.62757155522633</v>
      </c>
      <c r="O9" s="553">
        <f t="shared" ref="O9:R9" si="2">O6*O10</f>
        <v>303.02756202901617</v>
      </c>
      <c r="P9" s="553">
        <f t="shared" si="2"/>
        <v>303.02756202901617</v>
      </c>
      <c r="Q9" s="553">
        <f t="shared" si="2"/>
        <v>303.02756202901617</v>
      </c>
      <c r="R9" s="553">
        <f t="shared" si="2"/>
        <v>303.02756202901617</v>
      </c>
      <c r="S9" s="557"/>
    </row>
    <row r="10" spans="1:19">
      <c r="A10" s="5"/>
      <c r="B10" s="368" t="s">
        <v>82</v>
      </c>
      <c r="C10" s="363"/>
      <c r="D10" s="363"/>
      <c r="E10" s="555">
        <v>0</v>
      </c>
      <c r="F10" s="555">
        <v>0</v>
      </c>
      <c r="G10" s="555">
        <f t="shared" ref="G10:L10" si="3">G9/G6</f>
        <v>0</v>
      </c>
      <c r="H10" s="555">
        <f t="shared" si="3"/>
        <v>0</v>
      </c>
      <c r="I10" s="555">
        <f t="shared" si="3"/>
        <v>0</v>
      </c>
      <c r="J10" s="555">
        <f t="shared" si="3"/>
        <v>0</v>
      </c>
      <c r="K10" s="555">
        <f t="shared" si="3"/>
        <v>0</v>
      </c>
      <c r="L10" s="555">
        <f t="shared" si="3"/>
        <v>0.21096932203983665</v>
      </c>
      <c r="M10" s="555">
        <v>0.35</v>
      </c>
      <c r="N10" s="555">
        <f t="shared" ref="N10:R10" si="4">M10</f>
        <v>0.35</v>
      </c>
      <c r="O10" s="555">
        <f t="shared" si="4"/>
        <v>0.35</v>
      </c>
      <c r="P10" s="555">
        <f t="shared" si="4"/>
        <v>0.35</v>
      </c>
      <c r="Q10" s="555">
        <f t="shared" si="4"/>
        <v>0.35</v>
      </c>
      <c r="R10" s="555">
        <f t="shared" si="4"/>
        <v>0.35</v>
      </c>
      <c r="S10" s="557"/>
    </row>
    <row r="11" spans="1:19">
      <c r="A11" s="5"/>
      <c r="B11" s="366" t="s">
        <v>83</v>
      </c>
      <c r="C11" s="363"/>
      <c r="D11" s="367"/>
      <c r="E11" s="552">
        <f t="shared" ref="E11:N11" si="5">E6-E9</f>
        <v>-191.422</v>
      </c>
      <c r="F11" s="552">
        <f t="shared" si="5"/>
        <v>-86.673000000000016</v>
      </c>
      <c r="G11" s="552">
        <f t="shared" si="5"/>
        <v>-28.601887890499214</v>
      </c>
      <c r="H11" s="552">
        <f t="shared" si="5"/>
        <v>59.016110528541446</v>
      </c>
      <c r="I11" s="552">
        <f t="shared" si="5"/>
        <v>127.54578571466024</v>
      </c>
      <c r="J11" s="552">
        <f t="shared" si="5"/>
        <v>251.20618755760387</v>
      </c>
      <c r="K11" s="552">
        <f t="shared" si="5"/>
        <v>526.29942909218028</v>
      </c>
      <c r="L11" s="552">
        <f t="shared" si="5"/>
        <v>510.54109682180467</v>
      </c>
      <c r="M11" s="552">
        <f t="shared" si="5"/>
        <v>548.43870999863873</v>
      </c>
      <c r="N11" s="552">
        <f t="shared" si="5"/>
        <v>558.16546281339129</v>
      </c>
      <c r="O11" s="552">
        <f t="shared" ref="O11:R11" si="6">O6-O9</f>
        <v>562.7654723396015</v>
      </c>
      <c r="P11" s="552">
        <f t="shared" si="6"/>
        <v>562.7654723396015</v>
      </c>
      <c r="Q11" s="552">
        <f t="shared" si="6"/>
        <v>562.7654723396015</v>
      </c>
      <c r="R11" s="552">
        <f t="shared" si="6"/>
        <v>562.7654723396015</v>
      </c>
      <c r="S11" s="557"/>
    </row>
    <row r="12" spans="1:19">
      <c r="A12" s="5"/>
      <c r="B12" s="366" t="s">
        <v>84</v>
      </c>
      <c r="C12" s="363"/>
      <c r="D12" s="367"/>
      <c r="E12" s="552">
        <f>CF!F8</f>
        <v>5.6909999999999998</v>
      </c>
      <c r="F12" s="552">
        <f>CF!G8</f>
        <v>8.0920000000000005</v>
      </c>
      <c r="G12" s="552">
        <f>CF!H8</f>
        <v>6.8701668555264899</v>
      </c>
      <c r="H12" s="552">
        <f>CF!I8</f>
        <v>8.0596183878939147</v>
      </c>
      <c r="I12" s="552">
        <f>CF!J8</f>
        <v>8.5378455852323576</v>
      </c>
      <c r="J12" s="552">
        <f>CF!K8</f>
        <v>8.703782220078855</v>
      </c>
      <c r="K12" s="552">
        <f>CF!L8</f>
        <v>11.111497016306588</v>
      </c>
      <c r="L12" s="552">
        <f>CF!M8</f>
        <v>13.721742715739817</v>
      </c>
      <c r="M12" s="552">
        <f>CF!N8</f>
        <v>14.740525816589747</v>
      </c>
      <c r="N12" s="552">
        <f>CF!O8</f>
        <v>12.591108094375803</v>
      </c>
      <c r="O12" s="553">
        <f t="shared" ref="O12:R13" si="7">N12*1.1</f>
        <v>13.850218903813385</v>
      </c>
      <c r="P12" s="553">
        <f t="shared" si="7"/>
        <v>15.235240794194725</v>
      </c>
      <c r="Q12" s="553">
        <f t="shared" si="7"/>
        <v>16.758764873614201</v>
      </c>
      <c r="R12" s="553">
        <f t="shared" si="7"/>
        <v>18.434641360975622</v>
      </c>
      <c r="S12" s="557"/>
    </row>
    <row r="13" spans="1:19">
      <c r="A13" s="5"/>
      <c r="B13" s="366" t="s">
        <v>85</v>
      </c>
      <c r="C13" s="363"/>
      <c r="D13" s="367"/>
      <c r="E13" s="552">
        <f>(BS!F7+BS!F9+BS!F10+BS!G21+BS!G22+BS!G24+BS!G25)-(BS!G7+BS!G9+BS!G10+BS!F21+BS!F22+BS!F24+BS!F25)</f>
        <v>-12.13000000000001</v>
      </c>
      <c r="F13" s="552">
        <f>(BS!G7+BS!G9+BS!G10+BS!H21+BS!H22+BS!H24+BS!H25)-(BS!H7+BS!H9+BS!H10+BS!G21+BS!G22+BS!G24+BS!G25)</f>
        <v>-87.805000000000007</v>
      </c>
      <c r="G13" s="552">
        <f>(BS!H7+BS!H9+BS!H10+BS!I21+BS!I22+BS!I24+BS!I25)-(BS!I7+BS!I9+BS!I10+BS!H21+BS!H22+BS!H24+BS!H25)</f>
        <v>71.364113473179373</v>
      </c>
      <c r="H13" s="552">
        <f>(BS!I7+BS!I9+BS!I10+BS!J21+BS!J22+BS!J24+BS!J25)-(BS!J7+BS!J9+BS!J10+BS!I21+BS!I22+BS!I24+BS!I25)</f>
        <v>-10.425569148554075</v>
      </c>
      <c r="I13" s="552">
        <f>(BS!J7+BS!J9+BS!J10+BS!K21+BS!K22+BS!K24+BS!K25)-(BS!K7+BS!K9+BS!K10+BS!J21+BS!J22+BS!J24+BS!J25)</f>
        <v>-7.0068719325427082</v>
      </c>
      <c r="J13" s="552">
        <f>(BS!K7+BS!K9+BS!K10+BS!L21+BS!L22+BS!L24+BS!L25)-(BS!L7+BS!L9+BS!L10+BS!K21+BS!K22+BS!K24+BS!K25)</f>
        <v>-6.4329612267048333</v>
      </c>
      <c r="K13" s="552">
        <f>(BS!L7+BS!L9+BS!L10+BS!M21+BS!M22+BS!M24+BS!M25)-(BS!M7+BS!M9+BS!M10+BS!L21+BS!L22+BS!L24+BS!L25)</f>
        <v>-19.671283825945522</v>
      </c>
      <c r="L13" s="552">
        <f>(BS!M7+BS!M9+BS!M10+BS!N21+BS!N22+BS!N24+BS!N25)-(BS!N7+BS!N9+BS!N10+BS!M21+BS!M22+BS!M24+BS!M25)</f>
        <v>-7.4040641631553399</v>
      </c>
      <c r="M13" s="552">
        <f>(BS!N7+BS!N9+BS!N10+BS!O21+BS!O22+BS!O24+BS!O25)-(BS!O7+BS!O9+BS!O10+BS!N21+BS!N22+BS!N24+BS!N25)</f>
        <v>-17.874864214870485</v>
      </c>
      <c r="N13" s="552">
        <f>(BS!O7+BS!O9+BS!O10+BS!P21+BS!P22+BS!P24+BS!P25)-(BS!P7+BS!P9+BS!P10+BS!O21+BS!O22+BS!O24+BS!O25)</f>
        <v>-4.5988839444283087</v>
      </c>
      <c r="O13" s="553">
        <f t="shared" si="7"/>
        <v>-5.0587723388711403</v>
      </c>
      <c r="P13" s="553">
        <f t="shared" si="7"/>
        <v>-5.5646495727582552</v>
      </c>
      <c r="Q13" s="553">
        <f t="shared" si="7"/>
        <v>-6.121114530034081</v>
      </c>
      <c r="R13" s="553">
        <f t="shared" si="7"/>
        <v>-6.7332259830374896</v>
      </c>
      <c r="S13" s="557"/>
    </row>
    <row r="14" spans="1:19">
      <c r="A14" s="5"/>
      <c r="B14" s="366" t="s">
        <v>86</v>
      </c>
      <c r="C14" s="363"/>
      <c r="D14" s="367"/>
      <c r="E14" s="552">
        <f>CF!F20</f>
        <v>-5.3410000000000002</v>
      </c>
      <c r="F14" s="552">
        <f>CF!G20</f>
        <v>-12</v>
      </c>
      <c r="G14" s="552">
        <f>CF!H20</f>
        <v>-13.304965510529792</v>
      </c>
      <c r="H14" s="552">
        <f>CF!I20</f>
        <v>-13.656702296818695</v>
      </c>
      <c r="I14" s="552">
        <f>CF!J20</f>
        <v>-14.720724528283341</v>
      </c>
      <c r="J14" s="552">
        <f>CF!K20</f>
        <v>-15.262515495218109</v>
      </c>
      <c r="K14" s="552">
        <f>CF!L20</f>
        <v>-16.728131531525431</v>
      </c>
      <c r="L14" s="552">
        <f>CF!M20</f>
        <v>-19.115871478784296</v>
      </c>
      <c r="M14" s="552">
        <f>CF!N20</f>
        <v>-22.064284342364019</v>
      </c>
      <c r="N14" s="552">
        <f>CF!O20</f>
        <v>-22.139557229817729</v>
      </c>
      <c r="O14" s="553">
        <f t="shared" ref="O14:R14" si="8">(1+(N14/M14-1))*(1+N14)</f>
        <v>-21.211675386359346</v>
      </c>
      <c r="P14" s="553">
        <f t="shared" si="8"/>
        <v>-19.36459220297845</v>
      </c>
      <c r="Q14" s="553">
        <f t="shared" si="8"/>
        <v>-16.76542906240055</v>
      </c>
      <c r="R14" s="553">
        <f t="shared" si="8"/>
        <v>-13.649354441005503</v>
      </c>
      <c r="S14" s="557"/>
    </row>
    <row r="15" spans="1:19">
      <c r="A15" s="5"/>
      <c r="B15" s="366" t="s">
        <v>87</v>
      </c>
      <c r="C15" s="363"/>
      <c r="D15" s="367"/>
      <c r="E15" s="560">
        <f t="shared" ref="E15:R15" si="9">SUM(E11:E14)</f>
        <v>-203.202</v>
      </c>
      <c r="F15" s="560">
        <f t="shared" si="9"/>
        <v>-178.38600000000002</v>
      </c>
      <c r="G15" s="560">
        <f t="shared" si="9"/>
        <v>36.327426927676861</v>
      </c>
      <c r="H15" s="560">
        <f t="shared" si="9"/>
        <v>42.993457471062598</v>
      </c>
      <c r="I15" s="560">
        <f t="shared" si="9"/>
        <v>114.35603483906655</v>
      </c>
      <c r="J15" s="560">
        <f t="shared" si="9"/>
        <v>238.21449305575976</v>
      </c>
      <c r="K15" s="560">
        <f t="shared" si="9"/>
        <v>501.01151075101592</v>
      </c>
      <c r="L15" s="560">
        <f t="shared" si="9"/>
        <v>497.7429038956048</v>
      </c>
      <c r="M15" s="560">
        <f t="shared" si="9"/>
        <v>523.24008725799399</v>
      </c>
      <c r="N15" s="560">
        <f t="shared" si="9"/>
        <v>544.01812973352116</v>
      </c>
      <c r="O15" s="560">
        <f t="shared" si="9"/>
        <v>550.34524351818436</v>
      </c>
      <c r="P15" s="560">
        <f t="shared" si="9"/>
        <v>553.07147135805951</v>
      </c>
      <c r="Q15" s="560">
        <f t="shared" si="9"/>
        <v>556.63769362078096</v>
      </c>
      <c r="R15" s="560">
        <f t="shared" si="9"/>
        <v>560.81753327653416</v>
      </c>
      <c r="S15" s="561">
        <f>R15*(1+C25)/(C24-C25)</f>
        <v>7150.4235492758107</v>
      </c>
    </row>
    <row r="16" spans="1:19">
      <c r="A16" s="6"/>
      <c r="B16" s="368" t="s">
        <v>11</v>
      </c>
      <c r="C16" s="369"/>
      <c r="D16" s="369"/>
      <c r="E16" s="562"/>
      <c r="F16" s="563">
        <f>F15/E15-1</f>
        <v>-0.12212478223639522</v>
      </c>
      <c r="G16" s="563">
        <f t="shared" ref="G16:S16" si="10">G15/F15-1</f>
        <v>-1.2036450558209548</v>
      </c>
      <c r="H16" s="563">
        <f t="shared" si="10"/>
        <v>0.18349856037579904</v>
      </c>
      <c r="I16" s="563">
        <f t="shared" si="10"/>
        <v>1.6598473713363395</v>
      </c>
      <c r="J16" s="563">
        <f t="shared" si="10"/>
        <v>1.0830950757517908</v>
      </c>
      <c r="K16" s="563">
        <f t="shared" si="10"/>
        <v>1.1031949161621424</v>
      </c>
      <c r="L16" s="563">
        <f t="shared" si="10"/>
        <v>-6.5240154872120426E-3</v>
      </c>
      <c r="M16" s="563">
        <f t="shared" si="10"/>
        <v>5.122560896967987E-2</v>
      </c>
      <c r="N16" s="563">
        <f t="shared" si="10"/>
        <v>3.9710341354794121E-2</v>
      </c>
      <c r="O16" s="563">
        <f t="shared" si="10"/>
        <v>1.1630336267951957E-2</v>
      </c>
      <c r="P16" s="563">
        <f t="shared" si="10"/>
        <v>4.9536683963091743E-3</v>
      </c>
      <c r="Q16" s="563">
        <f t="shared" si="10"/>
        <v>6.4480314885246859E-3</v>
      </c>
      <c r="R16" s="563">
        <f t="shared" si="10"/>
        <v>7.5090848206207372E-3</v>
      </c>
      <c r="S16" s="564">
        <f t="shared" si="10"/>
        <v>11.75</v>
      </c>
    </row>
    <row r="17" spans="1:19" ht="13.5" thickBot="1">
      <c r="A17" s="5"/>
      <c r="B17" s="370" t="s">
        <v>88</v>
      </c>
      <c r="C17" s="371"/>
      <c r="D17" s="372"/>
      <c r="E17" s="565">
        <f t="shared" ref="E17:S17" si="11">E15/(1+$C$24)^(E5-$C$26)</f>
        <v>-257.87526723470415</v>
      </c>
      <c r="F17" s="565">
        <f t="shared" si="11"/>
        <v>-205.80209670864878</v>
      </c>
      <c r="G17" s="565">
        <f t="shared" si="11"/>
        <v>38.100526793002118</v>
      </c>
      <c r="H17" s="565">
        <f t="shared" si="11"/>
        <v>40.992653280979596</v>
      </c>
      <c r="I17" s="565">
        <f t="shared" si="11"/>
        <v>99.122000975923214</v>
      </c>
      <c r="J17" s="565">
        <f t="shared" si="11"/>
        <v>187.70959284691804</v>
      </c>
      <c r="K17" s="565">
        <f t="shared" si="11"/>
        <v>358.89987399136697</v>
      </c>
      <c r="L17" s="565">
        <f t="shared" si="11"/>
        <v>324.1440051409898</v>
      </c>
      <c r="M17" s="565">
        <f t="shared" si="11"/>
        <v>309.7713447256437</v>
      </c>
      <c r="N17" s="565">
        <f t="shared" si="11"/>
        <v>292.79315506057503</v>
      </c>
      <c r="O17" s="565">
        <f t="shared" si="11"/>
        <v>269.27130719171282</v>
      </c>
      <c r="P17" s="565">
        <f t="shared" si="11"/>
        <v>246.00471632380115</v>
      </c>
      <c r="Q17" s="565">
        <f t="shared" si="11"/>
        <v>225.08269316452964</v>
      </c>
      <c r="R17" s="565">
        <f t="shared" si="11"/>
        <v>206.15714381741441</v>
      </c>
      <c r="S17" s="565">
        <f t="shared" si="11"/>
        <v>2389.5487124291212</v>
      </c>
    </row>
    <row r="18" spans="1:19" ht="13.5" thickTop="1">
      <c r="A18" s="5"/>
      <c r="B18" s="5"/>
      <c r="C18" s="363"/>
      <c r="D18" s="363"/>
      <c r="E18" s="363"/>
      <c r="F18" s="363"/>
      <c r="G18" s="363"/>
      <c r="H18" s="363"/>
      <c r="I18" s="363"/>
      <c r="J18" s="363"/>
      <c r="K18" s="363"/>
      <c r="L18" s="363"/>
      <c r="M18" s="363"/>
      <c r="N18" s="363"/>
      <c r="O18" s="363"/>
      <c r="P18" s="363"/>
      <c r="Q18" s="363"/>
      <c r="R18" s="363"/>
      <c r="S18" s="363"/>
    </row>
    <row r="19" spans="1:19">
      <c r="A19" s="5"/>
      <c r="B19" s="7" t="s">
        <v>89</v>
      </c>
      <c r="C19" s="373">
        <f>SUM(H17:S17)+G17*0.5</f>
        <v>4968.5474623454766</v>
      </c>
      <c r="D19" s="363"/>
      <c r="E19" s="374"/>
      <c r="F19" s="374"/>
      <c r="G19" s="374"/>
      <c r="H19" s="374"/>
      <c r="I19" s="374"/>
      <c r="J19" s="374"/>
      <c r="K19" s="374"/>
      <c r="L19" s="374"/>
      <c r="M19" s="374"/>
      <c r="N19" s="374"/>
      <c r="O19" s="374"/>
      <c r="P19" s="374"/>
      <c r="Q19" s="374"/>
      <c r="R19" s="374"/>
      <c r="S19" s="374"/>
    </row>
    <row r="20" spans="1:19">
      <c r="A20" s="5"/>
      <c r="B20" s="5" t="s">
        <v>61</v>
      </c>
      <c r="C20" s="373">
        <f>BS!I5+BS!I6+BS!I14-BS!I23-BS!I29</f>
        <v>700.89957807206474</v>
      </c>
      <c r="D20" s="363"/>
      <c r="E20" s="375"/>
      <c r="F20" s="375"/>
      <c r="G20" s="375"/>
      <c r="H20" s="375"/>
      <c r="I20" s="375"/>
      <c r="J20" s="375"/>
      <c r="K20" s="375"/>
      <c r="L20" s="375"/>
      <c r="M20" s="375"/>
      <c r="N20" s="375"/>
      <c r="O20" s="375"/>
      <c r="P20" s="375"/>
      <c r="Q20" s="375"/>
      <c r="R20" s="375"/>
      <c r="S20" s="375"/>
    </row>
    <row r="21" spans="1:19">
      <c r="A21" s="5"/>
      <c r="B21" s="376" t="s">
        <v>62</v>
      </c>
      <c r="C21" s="377">
        <f>C19+C20</f>
        <v>5669.4470404175408</v>
      </c>
      <c r="D21" s="363"/>
      <c r="E21" s="363"/>
      <c r="F21" s="363"/>
      <c r="G21" s="363"/>
      <c r="H21" s="363"/>
      <c r="I21" s="363"/>
      <c r="J21" s="363"/>
      <c r="K21" s="363"/>
      <c r="L21" s="363"/>
      <c r="M21" s="363"/>
      <c r="N21" s="363"/>
      <c r="O21" s="363"/>
      <c r="P21" s="363"/>
      <c r="Q21" s="363"/>
      <c r="R21" s="363"/>
      <c r="S21" s="363"/>
    </row>
    <row r="22" spans="1:19">
      <c r="A22" s="5"/>
      <c r="B22" s="376" t="s">
        <v>90</v>
      </c>
      <c r="C22" s="377">
        <f>C21/C27</f>
        <v>87.254973257737518</v>
      </c>
      <c r="D22" s="363"/>
      <c r="E22" s="363"/>
      <c r="F22" s="363"/>
      <c r="G22" s="363"/>
      <c r="H22" s="363"/>
      <c r="I22" s="363"/>
      <c r="J22" s="363"/>
      <c r="K22" s="363"/>
      <c r="L22" s="363"/>
      <c r="M22" s="363"/>
      <c r="N22" s="363"/>
      <c r="O22" s="363"/>
      <c r="P22" s="363"/>
      <c r="Q22" s="363"/>
      <c r="R22" s="363"/>
      <c r="S22" s="363"/>
    </row>
    <row r="23" spans="1:19">
      <c r="A23" s="5"/>
      <c r="B23" s="5"/>
      <c r="C23" s="363"/>
      <c r="D23" s="363"/>
      <c r="E23" s="363"/>
      <c r="F23" s="363"/>
      <c r="G23" s="363"/>
      <c r="H23" s="363"/>
      <c r="I23" s="363"/>
      <c r="J23" s="363"/>
      <c r="K23" s="363"/>
      <c r="L23" s="363"/>
      <c r="M23" s="363"/>
      <c r="N23" s="363"/>
      <c r="O23" s="363"/>
      <c r="P23" s="363"/>
      <c r="Q23" s="363"/>
      <c r="R23" s="363"/>
      <c r="S23" s="363"/>
    </row>
    <row r="24" spans="1:19">
      <c r="A24" s="5"/>
      <c r="B24" s="5" t="s">
        <v>59</v>
      </c>
      <c r="C24" s="378">
        <v>0.1</v>
      </c>
      <c r="D24" s="363"/>
      <c r="E24" s="363"/>
      <c r="F24" s="363"/>
      <c r="G24" s="363"/>
      <c r="H24" s="363"/>
      <c r="I24" s="363"/>
      <c r="J24" s="363"/>
      <c r="K24" s="363"/>
      <c r="L24" s="363"/>
      <c r="M24" s="363"/>
      <c r="N24" s="363"/>
      <c r="O24" s="363"/>
      <c r="P24" s="363"/>
      <c r="Q24" s="363"/>
      <c r="R24" s="363"/>
      <c r="S24" s="363"/>
    </row>
    <row r="25" spans="1:19">
      <c r="A25" s="5"/>
      <c r="B25" s="5" t="s">
        <v>60</v>
      </c>
      <c r="C25" s="379">
        <v>0.02</v>
      </c>
      <c r="D25" s="363"/>
      <c r="E25" s="363"/>
      <c r="F25" s="363"/>
      <c r="G25" s="363"/>
      <c r="H25" s="363"/>
      <c r="I25" s="363"/>
      <c r="J25" s="363"/>
      <c r="K25" s="363"/>
      <c r="L25" s="363"/>
      <c r="M25" s="363"/>
      <c r="N25" s="363"/>
      <c r="O25" s="363"/>
      <c r="P25" s="363"/>
      <c r="Q25" s="363"/>
      <c r="R25" s="363"/>
      <c r="S25" s="363"/>
    </row>
    <row r="26" spans="1:19">
      <c r="A26" s="5"/>
      <c r="B26" s="5" t="s">
        <v>91</v>
      </c>
      <c r="C26" s="374">
        <v>2018.5</v>
      </c>
      <c r="D26" s="363"/>
      <c r="E26" s="363"/>
      <c r="F26" s="363"/>
      <c r="G26" s="363"/>
      <c r="H26" s="363"/>
      <c r="I26" s="363"/>
      <c r="J26" s="363"/>
      <c r="K26" s="363"/>
      <c r="L26" s="363"/>
      <c r="M26" s="363"/>
      <c r="N26" s="363"/>
      <c r="O26" s="363"/>
      <c r="P26" s="363"/>
      <c r="Q26" s="363"/>
      <c r="R26" s="363"/>
      <c r="S26" s="363"/>
    </row>
    <row r="27" spans="1:19">
      <c r="A27" s="5"/>
      <c r="B27" s="5" t="s">
        <v>92</v>
      </c>
      <c r="C27" s="380">
        <f>IS!AF41</f>
        <v>64.975632089999991</v>
      </c>
      <c r="D27" s="363"/>
      <c r="E27" s="363"/>
      <c r="F27" s="363"/>
      <c r="G27" s="363"/>
      <c r="H27" s="363"/>
      <c r="I27" s="363"/>
      <c r="J27" s="363"/>
      <c r="K27" s="363"/>
      <c r="L27" s="363"/>
      <c r="M27" s="363"/>
      <c r="N27" s="363"/>
      <c r="O27" s="363"/>
      <c r="P27" s="363"/>
      <c r="Q27" s="363"/>
      <c r="R27" s="363"/>
      <c r="S27" s="363"/>
    </row>
    <row r="28" spans="1:19">
      <c r="A28" s="5"/>
      <c r="B28" s="5"/>
      <c r="C28" s="363"/>
      <c r="D28" s="363"/>
      <c r="E28" s="363"/>
      <c r="F28" s="363"/>
      <c r="G28" s="363"/>
      <c r="H28" s="363"/>
      <c r="I28" s="363"/>
      <c r="J28" s="363"/>
      <c r="K28" s="363"/>
      <c r="L28" s="363"/>
      <c r="M28" s="363"/>
      <c r="N28" s="363"/>
      <c r="O28" s="363"/>
      <c r="P28" s="363"/>
      <c r="Q28" s="363"/>
      <c r="R28" s="363"/>
      <c r="S28" s="363"/>
    </row>
    <row r="29" spans="1:19" ht="13.5" thickBot="1">
      <c r="A29" s="5"/>
      <c r="B29" s="7" t="s">
        <v>93</v>
      </c>
      <c r="C29" s="363"/>
      <c r="D29" s="363"/>
      <c r="E29" s="363"/>
      <c r="F29" s="363"/>
      <c r="G29" s="363"/>
      <c r="H29" s="363"/>
      <c r="I29" s="363"/>
      <c r="J29" s="363"/>
      <c r="K29" s="363"/>
      <c r="L29" s="363"/>
      <c r="M29" s="363"/>
      <c r="N29" s="363"/>
      <c r="O29" s="363"/>
      <c r="P29" s="363"/>
      <c r="Q29" s="363"/>
      <c r="R29" s="363"/>
      <c r="S29" s="363"/>
    </row>
    <row r="30" spans="1:19" ht="13.5" thickBot="1">
      <c r="A30" s="8">
        <v>1</v>
      </c>
      <c r="B30" s="9" t="s">
        <v>94</v>
      </c>
      <c r="C30" s="391">
        <v>2</v>
      </c>
      <c r="G30" s="584" t="s">
        <v>95</v>
      </c>
      <c r="H30" s="585"/>
      <c r="I30" s="363"/>
      <c r="J30" s="363"/>
      <c r="K30" s="363"/>
      <c r="L30" s="363"/>
      <c r="M30" s="363"/>
      <c r="N30" s="363"/>
      <c r="O30" s="363"/>
      <c r="P30" s="363"/>
      <c r="Q30" s="363"/>
      <c r="R30" s="363"/>
      <c r="S30" s="363"/>
    </row>
    <row r="31" spans="1:19">
      <c r="A31" s="8">
        <v>2</v>
      </c>
      <c r="B31" s="10"/>
      <c r="C31" s="11"/>
      <c r="G31" s="586" t="s">
        <v>96</v>
      </c>
      <c r="H31" s="587"/>
      <c r="I31" s="363"/>
      <c r="J31" s="363"/>
      <c r="K31" s="363"/>
      <c r="L31" s="363"/>
      <c r="M31" s="363"/>
      <c r="N31" s="363"/>
      <c r="O31" s="363"/>
      <c r="P31" s="363"/>
      <c r="Q31" s="363"/>
      <c r="R31" s="363"/>
      <c r="S31" s="363"/>
    </row>
    <row r="32" spans="1:19" ht="13.5" thickBot="1">
      <c r="A32" s="8">
        <v>3</v>
      </c>
      <c r="B32" s="12"/>
      <c r="C32" s="13"/>
      <c r="G32" s="588" t="s">
        <v>97</v>
      </c>
      <c r="H32" s="589"/>
      <c r="I32" s="363"/>
      <c r="J32" s="363"/>
      <c r="K32" s="363"/>
      <c r="L32" s="363"/>
      <c r="M32" s="363"/>
      <c r="N32" s="363"/>
      <c r="O32" s="363"/>
      <c r="P32" s="363"/>
      <c r="Q32" s="363"/>
      <c r="R32" s="363"/>
      <c r="S32" s="363"/>
    </row>
  </sheetData>
  <mergeCells count="1">
    <mergeCell ref="B4:B5"/>
  </mergeCells>
  <dataValidations count="1">
    <dataValidation type="list" allowBlank="1" showInputMessage="1" showErrorMessage="1" sqref="C30 WVK983070 WLO983070 WBS983070 VRW983070 VIA983070 UYE983070 UOI983070 UEM983070 TUQ983070 TKU983070 TAY983070 SRC983070 SHG983070 RXK983070 RNO983070 RDS983070 QTW983070 QKA983070 QAE983070 PQI983070 PGM983070 OWQ983070 OMU983070 OCY983070 NTC983070 NJG983070 MZK983070 MPO983070 MFS983070 LVW983070 LMA983070 LCE983070 KSI983070 KIM983070 JYQ983070 JOU983070 JEY983070 IVC983070 ILG983070 IBK983070 HRO983070 HHS983070 GXW983070 GOA983070 GEE983070 FUI983070 FKM983070 FAQ983070 EQU983070 EGY983070 DXC983070 DNG983070 DDK983070 CTO983070 CJS983070 BZW983070 BQA983070 BGE983070 AWI983070 AMM983070 ACQ983070 SU983070 IY983070 C983070 WVK917534 WLO917534 WBS917534 VRW917534 VIA917534 UYE917534 UOI917534 UEM917534 TUQ917534 TKU917534 TAY917534 SRC917534 SHG917534 RXK917534 RNO917534 RDS917534 QTW917534 QKA917534 QAE917534 PQI917534 PGM917534 OWQ917534 OMU917534 OCY917534 NTC917534 NJG917534 MZK917534 MPO917534 MFS917534 LVW917534 LMA917534 LCE917534 KSI917534 KIM917534 JYQ917534 JOU917534 JEY917534 IVC917534 ILG917534 IBK917534 HRO917534 HHS917534 GXW917534 GOA917534 GEE917534 FUI917534 FKM917534 FAQ917534 EQU917534 EGY917534 DXC917534 DNG917534 DDK917534 CTO917534 CJS917534 BZW917534 BQA917534 BGE917534 AWI917534 AMM917534 ACQ917534 SU917534 IY917534 C917534 WVK851998 WLO851998 WBS851998 VRW851998 VIA851998 UYE851998 UOI851998 UEM851998 TUQ851998 TKU851998 TAY851998 SRC851998 SHG851998 RXK851998 RNO851998 RDS851998 QTW851998 QKA851998 QAE851998 PQI851998 PGM851998 OWQ851998 OMU851998 OCY851998 NTC851998 NJG851998 MZK851998 MPO851998 MFS851998 LVW851998 LMA851998 LCE851998 KSI851998 KIM851998 JYQ851998 JOU851998 JEY851998 IVC851998 ILG851998 IBK851998 HRO851998 HHS851998 GXW851998 GOA851998 GEE851998 FUI851998 FKM851998 FAQ851998 EQU851998 EGY851998 DXC851998 DNG851998 DDK851998 CTO851998 CJS851998 BZW851998 BQA851998 BGE851998 AWI851998 AMM851998 ACQ851998 SU851998 IY851998 C851998 WVK786462 WLO786462 WBS786462 VRW786462 VIA786462 UYE786462 UOI786462 UEM786462 TUQ786462 TKU786462 TAY786462 SRC786462 SHG786462 RXK786462 RNO786462 RDS786462 QTW786462 QKA786462 QAE786462 PQI786462 PGM786462 OWQ786462 OMU786462 OCY786462 NTC786462 NJG786462 MZK786462 MPO786462 MFS786462 LVW786462 LMA786462 LCE786462 KSI786462 KIM786462 JYQ786462 JOU786462 JEY786462 IVC786462 ILG786462 IBK786462 HRO786462 HHS786462 GXW786462 GOA786462 GEE786462 FUI786462 FKM786462 FAQ786462 EQU786462 EGY786462 DXC786462 DNG786462 DDK786462 CTO786462 CJS786462 BZW786462 BQA786462 BGE786462 AWI786462 AMM786462 ACQ786462 SU786462 IY786462 C786462 WVK720926 WLO720926 WBS720926 VRW720926 VIA720926 UYE720926 UOI720926 UEM720926 TUQ720926 TKU720926 TAY720926 SRC720926 SHG720926 RXK720926 RNO720926 RDS720926 QTW720926 QKA720926 QAE720926 PQI720926 PGM720926 OWQ720926 OMU720926 OCY720926 NTC720926 NJG720926 MZK720926 MPO720926 MFS720926 LVW720926 LMA720926 LCE720926 KSI720926 KIM720926 JYQ720926 JOU720926 JEY720926 IVC720926 ILG720926 IBK720926 HRO720926 HHS720926 GXW720926 GOA720926 GEE720926 FUI720926 FKM720926 FAQ720926 EQU720926 EGY720926 DXC720926 DNG720926 DDK720926 CTO720926 CJS720926 BZW720926 BQA720926 BGE720926 AWI720926 AMM720926 ACQ720926 SU720926 IY720926 C720926 WVK655390 WLO655390 WBS655390 VRW655390 VIA655390 UYE655390 UOI655390 UEM655390 TUQ655390 TKU655390 TAY655390 SRC655390 SHG655390 RXK655390 RNO655390 RDS655390 QTW655390 QKA655390 QAE655390 PQI655390 PGM655390 OWQ655390 OMU655390 OCY655390 NTC655390 NJG655390 MZK655390 MPO655390 MFS655390 LVW655390 LMA655390 LCE655390 KSI655390 KIM655390 JYQ655390 JOU655390 JEY655390 IVC655390 ILG655390 IBK655390 HRO655390 HHS655390 GXW655390 GOA655390 GEE655390 FUI655390 FKM655390 FAQ655390 EQU655390 EGY655390 DXC655390 DNG655390 DDK655390 CTO655390 CJS655390 BZW655390 BQA655390 BGE655390 AWI655390 AMM655390 ACQ655390 SU655390 IY655390 C655390 WVK589854 WLO589854 WBS589854 VRW589854 VIA589854 UYE589854 UOI589854 UEM589854 TUQ589854 TKU589854 TAY589854 SRC589854 SHG589854 RXK589854 RNO589854 RDS589854 QTW589854 QKA589854 QAE589854 PQI589854 PGM589854 OWQ589854 OMU589854 OCY589854 NTC589854 NJG589854 MZK589854 MPO589854 MFS589854 LVW589854 LMA589854 LCE589854 KSI589854 KIM589854 JYQ589854 JOU589854 JEY589854 IVC589854 ILG589854 IBK589854 HRO589854 HHS589854 GXW589854 GOA589854 GEE589854 FUI589854 FKM589854 FAQ589854 EQU589854 EGY589854 DXC589854 DNG589854 DDK589854 CTO589854 CJS589854 BZW589854 BQA589854 BGE589854 AWI589854 AMM589854 ACQ589854 SU589854 IY589854 C589854 WVK524318 WLO524318 WBS524318 VRW524318 VIA524318 UYE524318 UOI524318 UEM524318 TUQ524318 TKU524318 TAY524318 SRC524318 SHG524318 RXK524318 RNO524318 RDS524318 QTW524318 QKA524318 QAE524318 PQI524318 PGM524318 OWQ524318 OMU524318 OCY524318 NTC524318 NJG524318 MZK524318 MPO524318 MFS524318 LVW524318 LMA524318 LCE524318 KSI524318 KIM524318 JYQ524318 JOU524318 JEY524318 IVC524318 ILG524318 IBK524318 HRO524318 HHS524318 GXW524318 GOA524318 GEE524318 FUI524318 FKM524318 FAQ524318 EQU524318 EGY524318 DXC524318 DNG524318 DDK524318 CTO524318 CJS524318 BZW524318 BQA524318 BGE524318 AWI524318 AMM524318 ACQ524318 SU524318 IY524318 C524318 WVK458782 WLO458782 WBS458782 VRW458782 VIA458782 UYE458782 UOI458782 UEM458782 TUQ458782 TKU458782 TAY458782 SRC458782 SHG458782 RXK458782 RNO458782 RDS458782 QTW458782 QKA458782 QAE458782 PQI458782 PGM458782 OWQ458782 OMU458782 OCY458782 NTC458782 NJG458782 MZK458782 MPO458782 MFS458782 LVW458782 LMA458782 LCE458782 KSI458782 KIM458782 JYQ458782 JOU458782 JEY458782 IVC458782 ILG458782 IBK458782 HRO458782 HHS458782 GXW458782 GOA458782 GEE458782 FUI458782 FKM458782 FAQ458782 EQU458782 EGY458782 DXC458782 DNG458782 DDK458782 CTO458782 CJS458782 BZW458782 BQA458782 BGE458782 AWI458782 AMM458782 ACQ458782 SU458782 IY458782 C458782 WVK393246 WLO393246 WBS393246 VRW393246 VIA393246 UYE393246 UOI393246 UEM393246 TUQ393246 TKU393246 TAY393246 SRC393246 SHG393246 RXK393246 RNO393246 RDS393246 QTW393246 QKA393246 QAE393246 PQI393246 PGM393246 OWQ393246 OMU393246 OCY393246 NTC393246 NJG393246 MZK393246 MPO393246 MFS393246 LVW393246 LMA393246 LCE393246 KSI393246 KIM393246 JYQ393246 JOU393246 JEY393246 IVC393246 ILG393246 IBK393246 HRO393246 HHS393246 GXW393246 GOA393246 GEE393246 FUI393246 FKM393246 FAQ393246 EQU393246 EGY393246 DXC393246 DNG393246 DDK393246 CTO393246 CJS393246 BZW393246 BQA393246 BGE393246 AWI393246 AMM393246 ACQ393246 SU393246 IY393246 C393246 WVK327710 WLO327710 WBS327710 VRW327710 VIA327710 UYE327710 UOI327710 UEM327710 TUQ327710 TKU327710 TAY327710 SRC327710 SHG327710 RXK327710 RNO327710 RDS327710 QTW327710 QKA327710 QAE327710 PQI327710 PGM327710 OWQ327710 OMU327710 OCY327710 NTC327710 NJG327710 MZK327710 MPO327710 MFS327710 LVW327710 LMA327710 LCE327710 KSI327710 KIM327710 JYQ327710 JOU327710 JEY327710 IVC327710 ILG327710 IBK327710 HRO327710 HHS327710 GXW327710 GOA327710 GEE327710 FUI327710 FKM327710 FAQ327710 EQU327710 EGY327710 DXC327710 DNG327710 DDK327710 CTO327710 CJS327710 BZW327710 BQA327710 BGE327710 AWI327710 AMM327710 ACQ327710 SU327710 IY327710 C327710 WVK262174 WLO262174 WBS262174 VRW262174 VIA262174 UYE262174 UOI262174 UEM262174 TUQ262174 TKU262174 TAY262174 SRC262174 SHG262174 RXK262174 RNO262174 RDS262174 QTW262174 QKA262174 QAE262174 PQI262174 PGM262174 OWQ262174 OMU262174 OCY262174 NTC262174 NJG262174 MZK262174 MPO262174 MFS262174 LVW262174 LMA262174 LCE262174 KSI262174 KIM262174 JYQ262174 JOU262174 JEY262174 IVC262174 ILG262174 IBK262174 HRO262174 HHS262174 GXW262174 GOA262174 GEE262174 FUI262174 FKM262174 FAQ262174 EQU262174 EGY262174 DXC262174 DNG262174 DDK262174 CTO262174 CJS262174 BZW262174 BQA262174 BGE262174 AWI262174 AMM262174 ACQ262174 SU262174 IY262174 C262174 WVK196638 WLO196638 WBS196638 VRW196638 VIA196638 UYE196638 UOI196638 UEM196638 TUQ196638 TKU196638 TAY196638 SRC196638 SHG196638 RXK196638 RNO196638 RDS196638 QTW196638 QKA196638 QAE196638 PQI196638 PGM196638 OWQ196638 OMU196638 OCY196638 NTC196638 NJG196638 MZK196638 MPO196638 MFS196638 LVW196638 LMA196638 LCE196638 KSI196638 KIM196638 JYQ196638 JOU196638 JEY196638 IVC196638 ILG196638 IBK196638 HRO196638 HHS196638 GXW196638 GOA196638 GEE196638 FUI196638 FKM196638 FAQ196638 EQU196638 EGY196638 DXC196638 DNG196638 DDK196638 CTO196638 CJS196638 BZW196638 BQA196638 BGE196638 AWI196638 AMM196638 ACQ196638 SU196638 IY196638 C196638 WVK131102 WLO131102 WBS131102 VRW131102 VIA131102 UYE131102 UOI131102 UEM131102 TUQ131102 TKU131102 TAY131102 SRC131102 SHG131102 RXK131102 RNO131102 RDS131102 QTW131102 QKA131102 QAE131102 PQI131102 PGM131102 OWQ131102 OMU131102 OCY131102 NTC131102 NJG131102 MZK131102 MPO131102 MFS131102 LVW131102 LMA131102 LCE131102 KSI131102 KIM131102 JYQ131102 JOU131102 JEY131102 IVC131102 ILG131102 IBK131102 HRO131102 HHS131102 GXW131102 GOA131102 GEE131102 FUI131102 FKM131102 FAQ131102 EQU131102 EGY131102 DXC131102 DNG131102 DDK131102 CTO131102 CJS131102 BZW131102 BQA131102 BGE131102 AWI131102 AMM131102 ACQ131102 SU131102 IY131102 C131102 WVK65566 WLO65566 WBS65566 VRW65566 VIA65566 UYE65566 UOI65566 UEM65566 TUQ65566 TKU65566 TAY65566 SRC65566 SHG65566 RXK65566 RNO65566 RDS65566 QTW65566 QKA65566 QAE65566 PQI65566 PGM65566 OWQ65566 OMU65566 OCY65566 NTC65566 NJG65566 MZK65566 MPO65566 MFS65566 LVW65566 LMA65566 LCE65566 KSI65566 KIM65566 JYQ65566 JOU65566 JEY65566 IVC65566 ILG65566 IBK65566 HRO65566 HHS65566 GXW65566 GOA65566 GEE65566 FUI65566 FKM65566 FAQ65566 EQU65566 EGY65566 DXC65566 DNG65566 DDK65566 CTO65566 CJS65566 BZW65566 BQA65566 BGE65566 AWI65566 AMM65566 ACQ65566 SU65566 IY65566 C65566 WVK30 WLO30 WBS30 VRW30 VIA30 UYE30 UOI30 UEM30 TUQ30 TKU30 TAY30 SRC30 SHG30 RXK30 RNO30 RDS30 QTW30 QKA30 QAE30 PQI30 PGM30 OWQ30 OMU30 OCY30 NTC30 NJG30 MZK30 MPO30 MFS30 LVW30 LMA30 LCE30 KSI30 KIM30 JYQ30 JOU30 JEY30 IVC30 ILG30 IBK30 HRO30 HHS30 GXW30 GOA30 GEE30 FUI30 FKM30 FAQ30 EQU30 EGY30 DXC30 DNG30 DDK30 CTO30 CJS30 BZW30 BQA30 BGE30 AWI30 AMM30 ACQ30 SU30 IY30">
      <formula1>$A$30:$A$32</formula1>
    </dataValidation>
  </dataValidations>
  <pageMargins left="0" right="0" top="0" bottom="0" header="0" footer="0"/>
  <pageSetup paperSize="5"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B1:CC153"/>
  <sheetViews>
    <sheetView showGridLines="0" topLeftCell="A2" zoomScale="85" zoomScaleNormal="85" workbookViewId="0">
      <pane xSplit="2" ySplit="3" topLeftCell="G5" activePane="bottomRight" state="frozen"/>
      <selection activeCell="V17" sqref="V17"/>
      <selection pane="topRight" activeCell="V17" sqref="V17"/>
      <selection pane="bottomLeft" activeCell="V17" sqref="V17"/>
      <selection pane="bottomRight" activeCell="B4" sqref="B4:BO42"/>
    </sheetView>
  </sheetViews>
  <sheetFormatPr defaultRowHeight="14.25" customHeight="1" outlineLevelRow="1" outlineLevelCol="1"/>
  <cols>
    <col min="1" max="1" width="1.85546875" style="101" customWidth="1"/>
    <col min="2" max="2" width="51.140625" style="129" customWidth="1"/>
    <col min="3" max="6" width="9.7109375" style="100" hidden="1" customWidth="1" outlineLevel="1"/>
    <col min="7" max="7" width="9.7109375" style="100" customWidth="1" collapsed="1"/>
    <col min="8" max="11" width="9.7109375" style="100" hidden="1" customWidth="1" outlineLevel="1"/>
    <col min="12" max="12" width="9.7109375" style="100" customWidth="1" collapsed="1"/>
    <col min="13" max="16" width="9.7109375" style="100" hidden="1" customWidth="1" outlineLevel="1"/>
    <col min="17" max="17" width="9.7109375" style="294" customWidth="1" collapsed="1"/>
    <col min="18" max="21" width="9.7109375" style="100" hidden="1" customWidth="1" outlineLevel="1"/>
    <col min="22" max="22" width="9.7109375" style="294" customWidth="1" collapsed="1"/>
    <col min="23" max="26" width="9.7109375" style="100" hidden="1" customWidth="1" outlineLevel="1"/>
    <col min="27" max="27" width="9.7109375" style="294" customWidth="1" collapsed="1"/>
    <col min="28" max="31" width="9.7109375" style="100" customWidth="1" outlineLevel="1"/>
    <col min="32" max="32" width="9.7109375" style="294" customWidth="1"/>
    <col min="33" max="36" width="9.7109375" style="100" hidden="1" customWidth="1" outlineLevel="1"/>
    <col min="37" max="37" width="9.7109375" style="294" customWidth="1" collapsed="1"/>
    <col min="38" max="41" width="9.7109375" style="100" hidden="1" customWidth="1" outlineLevel="1"/>
    <col min="42" max="42" width="9.7109375" style="294" customWidth="1" collapsed="1"/>
    <col min="43" max="46" width="9.7109375" style="100" hidden="1" customWidth="1" outlineLevel="1"/>
    <col min="47" max="47" width="9.7109375" style="294" customWidth="1" collapsed="1"/>
    <col min="48" max="51" width="9.7109375" style="100" hidden="1" customWidth="1" outlineLevel="1"/>
    <col min="52" max="52" width="9.7109375" style="294" customWidth="1" collapsed="1"/>
    <col min="53" max="56" width="9.7109375" style="100" hidden="1" customWidth="1" outlineLevel="1"/>
    <col min="57" max="57" width="9.7109375" style="294" customWidth="1" collapsed="1"/>
    <col min="58" max="61" width="9.7109375" style="100" hidden="1" customWidth="1" outlineLevel="1"/>
    <col min="62" max="62" width="9.7109375" style="294" customWidth="1" collapsed="1"/>
    <col min="63" max="66" width="9.7109375" style="100" hidden="1" customWidth="1" outlineLevel="1"/>
    <col min="67" max="67" width="9.7109375" style="294" customWidth="1" collapsed="1"/>
    <col min="68" max="70" width="9.140625" style="101" customWidth="1"/>
    <col min="71" max="72" width="9.140625" style="101"/>
    <col min="73" max="73" width="63.140625" bestFit="1" customWidth="1"/>
    <col min="79" max="16384" width="9.140625" style="101"/>
  </cols>
  <sheetData>
    <row r="1" spans="2:81" ht="14.25" customHeight="1">
      <c r="B1" s="99" t="s">
        <v>63</v>
      </c>
      <c r="C1" s="101"/>
      <c r="D1" s="101"/>
      <c r="E1" s="101"/>
      <c r="F1" s="101"/>
      <c r="G1" s="101"/>
      <c r="H1" s="101"/>
      <c r="I1" s="101"/>
      <c r="J1" s="101"/>
      <c r="K1" s="101"/>
      <c r="L1" s="101"/>
      <c r="M1" s="101"/>
      <c r="N1" s="101"/>
      <c r="O1" s="101"/>
      <c r="P1" s="101"/>
      <c r="Q1" s="293"/>
      <c r="R1" s="101"/>
      <c r="S1" s="101"/>
      <c r="T1" s="101"/>
      <c r="U1" s="101"/>
      <c r="V1" s="293"/>
      <c r="W1" s="101"/>
      <c r="X1" s="101"/>
      <c r="Y1" s="101"/>
      <c r="Z1" s="101"/>
      <c r="AA1" s="293"/>
      <c r="AB1" s="101"/>
      <c r="AC1" s="101"/>
      <c r="AD1" s="101"/>
      <c r="AE1" s="101"/>
      <c r="AF1" s="293"/>
      <c r="AG1" s="101"/>
      <c r="AH1" s="101"/>
      <c r="AI1" s="101"/>
      <c r="AJ1" s="101"/>
      <c r="AK1" s="293"/>
      <c r="AL1" s="101"/>
      <c r="AM1" s="101"/>
      <c r="AN1" s="101"/>
      <c r="AO1" s="101"/>
      <c r="AP1" s="293"/>
      <c r="AQ1" s="101"/>
      <c r="AR1" s="101"/>
      <c r="AS1" s="101"/>
      <c r="AT1" s="101"/>
      <c r="AU1" s="293"/>
      <c r="AV1" s="101"/>
      <c r="AW1" s="101"/>
      <c r="AX1" s="101"/>
      <c r="AY1" s="101"/>
      <c r="AZ1" s="293"/>
      <c r="BA1" s="101"/>
      <c r="BB1" s="101"/>
      <c r="BC1" s="101"/>
      <c r="BD1" s="101"/>
      <c r="BE1" s="293"/>
      <c r="BF1" s="101"/>
      <c r="BG1" s="101"/>
      <c r="BH1" s="101"/>
      <c r="BI1" s="101"/>
      <c r="BJ1" s="293"/>
      <c r="BK1" s="101"/>
      <c r="BL1" s="101"/>
      <c r="BM1" s="101"/>
      <c r="BN1" s="101"/>
      <c r="BO1" s="293"/>
    </row>
    <row r="2" spans="2:81" ht="14.25" customHeight="1" thickBot="1">
      <c r="B2" s="102"/>
      <c r="CC2" s="575" t="s">
        <v>301</v>
      </c>
    </row>
    <row r="3" spans="2:81" s="103" customFormat="1" ht="14.25" hidden="1" customHeight="1" outlineLevel="1" thickBot="1">
      <c r="B3" s="168"/>
      <c r="G3" s="103" t="s">
        <v>0</v>
      </c>
      <c r="L3" s="103" t="s">
        <v>1</v>
      </c>
      <c r="Q3" s="295" t="s">
        <v>2</v>
      </c>
      <c r="V3" s="295" t="s">
        <v>3</v>
      </c>
      <c r="AA3" s="295" t="s">
        <v>388</v>
      </c>
      <c r="AF3" s="295" t="s">
        <v>389</v>
      </c>
      <c r="AK3" s="295" t="s">
        <v>390</v>
      </c>
      <c r="AP3" s="295" t="s">
        <v>391</v>
      </c>
      <c r="AU3" s="295" t="s">
        <v>69</v>
      </c>
      <c r="AZ3" s="295" t="s">
        <v>242</v>
      </c>
      <c r="BE3" s="295" t="s">
        <v>243</v>
      </c>
      <c r="BJ3" s="295" t="s">
        <v>244</v>
      </c>
      <c r="BO3" s="295" t="s">
        <v>245</v>
      </c>
      <c r="BU3"/>
      <c r="BV3"/>
      <c r="BW3"/>
      <c r="BX3"/>
      <c r="BY3"/>
      <c r="BZ3"/>
      <c r="CC3" s="576" t="str">
        <f>_xll.TR($CC$2,"TR.NetIncome.currency","Null=-")</f>
        <v>USD</v>
      </c>
    </row>
    <row r="4" spans="2:81" ht="14.25" customHeight="1" collapsed="1">
      <c r="B4" s="262" t="s">
        <v>268</v>
      </c>
      <c r="C4" s="164" t="s">
        <v>77</v>
      </c>
      <c r="D4" s="164" t="s">
        <v>74</v>
      </c>
      <c r="E4" s="164" t="s">
        <v>75</v>
      </c>
      <c r="F4" s="164" t="s">
        <v>76</v>
      </c>
      <c r="G4" s="104">
        <v>2013</v>
      </c>
      <c r="H4" s="164" t="s">
        <v>78</v>
      </c>
      <c r="I4" s="164" t="s">
        <v>98</v>
      </c>
      <c r="J4" s="164" t="s">
        <v>99</v>
      </c>
      <c r="K4" s="164" t="s">
        <v>100</v>
      </c>
      <c r="L4" s="104">
        <v>2014</v>
      </c>
      <c r="M4" s="164" t="s">
        <v>101</v>
      </c>
      <c r="N4" s="164" t="s">
        <v>102</v>
      </c>
      <c r="O4" s="164" t="s">
        <v>238</v>
      </c>
      <c r="P4" s="164" t="s">
        <v>239</v>
      </c>
      <c r="Q4" s="296">
        <v>2015</v>
      </c>
      <c r="R4" s="164" t="s">
        <v>241</v>
      </c>
      <c r="S4" s="164" t="s">
        <v>256</v>
      </c>
      <c r="T4" s="164" t="s">
        <v>350</v>
      </c>
      <c r="U4" s="164" t="s">
        <v>361</v>
      </c>
      <c r="V4" s="296">
        <v>2016</v>
      </c>
      <c r="W4" s="164" t="s">
        <v>358</v>
      </c>
      <c r="X4" s="164" t="s">
        <v>328</v>
      </c>
      <c r="Y4" s="164" t="s">
        <v>359</v>
      </c>
      <c r="Z4" s="164" t="s">
        <v>360</v>
      </c>
      <c r="AA4" s="296">
        <v>2017</v>
      </c>
      <c r="AB4" s="164" t="s">
        <v>368</v>
      </c>
      <c r="AC4" s="164" t="s">
        <v>103</v>
      </c>
      <c r="AD4" s="164" t="s">
        <v>104</v>
      </c>
      <c r="AE4" s="164" t="s">
        <v>105</v>
      </c>
      <c r="AF4" s="296" t="s">
        <v>4</v>
      </c>
      <c r="AG4" s="164" t="s">
        <v>106</v>
      </c>
      <c r="AH4" s="164" t="s">
        <v>107</v>
      </c>
      <c r="AI4" s="164" t="s">
        <v>108</v>
      </c>
      <c r="AJ4" s="164" t="s">
        <v>109</v>
      </c>
      <c r="AK4" s="296" t="s">
        <v>5</v>
      </c>
      <c r="AL4" s="164" t="s">
        <v>110</v>
      </c>
      <c r="AM4" s="164" t="s">
        <v>111</v>
      </c>
      <c r="AN4" s="164" t="s">
        <v>112</v>
      </c>
      <c r="AO4" s="164" t="s">
        <v>113</v>
      </c>
      <c r="AP4" s="296" t="s">
        <v>6</v>
      </c>
      <c r="AQ4" s="164" t="s">
        <v>125</v>
      </c>
      <c r="AR4" s="164" t="s">
        <v>126</v>
      </c>
      <c r="AS4" s="164" t="s">
        <v>127</v>
      </c>
      <c r="AT4" s="164" t="s">
        <v>128</v>
      </c>
      <c r="AU4" s="296" t="s">
        <v>58</v>
      </c>
      <c r="AV4" s="164" t="s">
        <v>125</v>
      </c>
      <c r="AW4" s="164" t="s">
        <v>126</v>
      </c>
      <c r="AX4" s="164" t="s">
        <v>127</v>
      </c>
      <c r="AY4" s="164" t="s">
        <v>128</v>
      </c>
      <c r="AZ4" s="296" t="s">
        <v>222</v>
      </c>
      <c r="BA4" s="164" t="s">
        <v>218</v>
      </c>
      <c r="BB4" s="164" t="s">
        <v>219</v>
      </c>
      <c r="BC4" s="164" t="s">
        <v>220</v>
      </c>
      <c r="BD4" s="164" t="s">
        <v>221</v>
      </c>
      <c r="BE4" s="296" t="s">
        <v>223</v>
      </c>
      <c r="BF4" s="164" t="s">
        <v>228</v>
      </c>
      <c r="BG4" s="164" t="s">
        <v>229</v>
      </c>
      <c r="BH4" s="164" t="s">
        <v>230</v>
      </c>
      <c r="BI4" s="164" t="s">
        <v>231</v>
      </c>
      <c r="BJ4" s="296" t="s">
        <v>232</v>
      </c>
      <c r="BK4" s="164" t="s">
        <v>234</v>
      </c>
      <c r="BL4" s="164" t="s">
        <v>235</v>
      </c>
      <c r="BM4" s="164" t="s">
        <v>236</v>
      </c>
      <c r="BN4" s="164" t="s">
        <v>237</v>
      </c>
      <c r="BO4" s="296" t="s">
        <v>233</v>
      </c>
      <c r="CC4" s="575" t="s">
        <v>67</v>
      </c>
    </row>
    <row r="5" spans="2:81" ht="14.25" customHeight="1">
      <c r="B5" s="270" t="s">
        <v>267</v>
      </c>
      <c r="C5" s="165"/>
      <c r="D5" s="165"/>
      <c r="E5" s="165"/>
      <c r="F5" s="165"/>
      <c r="G5" s="105"/>
      <c r="H5" s="165"/>
      <c r="I5" s="165"/>
      <c r="J5" s="165"/>
      <c r="K5" s="165"/>
      <c r="L5" s="105"/>
      <c r="M5" s="165"/>
      <c r="N5" s="165"/>
      <c r="O5" s="165"/>
      <c r="P5" s="165"/>
      <c r="Q5" s="297"/>
      <c r="R5" s="165"/>
      <c r="S5" s="165"/>
      <c r="T5" s="165"/>
      <c r="U5" s="165"/>
      <c r="V5" s="297"/>
      <c r="W5" s="165"/>
      <c r="X5" s="165"/>
      <c r="Y5" s="165"/>
      <c r="Z5" s="165"/>
      <c r="AA5" s="297"/>
      <c r="AB5" s="165"/>
      <c r="AC5" s="165"/>
      <c r="AD5" s="165"/>
      <c r="AE5" s="165"/>
      <c r="AF5" s="297"/>
      <c r="AG5" s="165"/>
      <c r="AH5" s="165"/>
      <c r="AI5" s="165"/>
      <c r="AJ5" s="165"/>
      <c r="AK5" s="297"/>
      <c r="AL5" s="165"/>
      <c r="AM5" s="165"/>
      <c r="AN5" s="165"/>
      <c r="AO5" s="165"/>
      <c r="AP5" s="297"/>
      <c r="AQ5" s="165"/>
      <c r="AR5" s="165"/>
      <c r="AS5" s="165"/>
      <c r="AT5" s="165"/>
      <c r="AU5" s="297"/>
      <c r="AV5" s="165"/>
      <c r="AW5" s="165"/>
      <c r="AX5" s="165"/>
      <c r="AY5" s="165"/>
      <c r="AZ5" s="297"/>
      <c r="BA5" s="165"/>
      <c r="BB5" s="165"/>
      <c r="BC5" s="165"/>
      <c r="BD5" s="165"/>
      <c r="BE5" s="297"/>
      <c r="BF5" s="165"/>
      <c r="BG5" s="165"/>
      <c r="BH5" s="165"/>
      <c r="BI5" s="165"/>
      <c r="BJ5" s="297"/>
      <c r="BK5" s="165"/>
      <c r="BL5" s="165"/>
      <c r="BM5" s="165"/>
      <c r="BN5" s="165"/>
      <c r="BO5" s="297"/>
    </row>
    <row r="6" spans="2:81" ht="15" customHeight="1">
      <c r="B6" s="263" t="s">
        <v>7</v>
      </c>
      <c r="C6" s="252"/>
      <c r="D6" s="252"/>
      <c r="E6" s="252"/>
      <c r="F6" s="165"/>
      <c r="G6" s="166"/>
      <c r="H6" s="252"/>
      <c r="I6" s="252"/>
      <c r="J6" s="252"/>
      <c r="K6" s="165"/>
      <c r="L6" s="166"/>
      <c r="M6" s="252"/>
      <c r="N6" s="252"/>
      <c r="O6" s="252"/>
      <c r="P6" s="165"/>
      <c r="Q6" s="166"/>
      <c r="R6" s="252"/>
      <c r="S6" s="252"/>
      <c r="T6" s="252"/>
      <c r="U6" s="165"/>
      <c r="V6" s="166"/>
      <c r="W6" s="252"/>
      <c r="X6" s="252"/>
      <c r="Y6" s="252"/>
      <c r="Z6" s="165"/>
      <c r="AA6" s="166"/>
      <c r="AB6" s="252"/>
      <c r="AC6" s="252"/>
      <c r="AD6" s="252"/>
      <c r="AE6" s="165"/>
      <c r="AF6" s="166"/>
      <c r="AG6" s="252"/>
      <c r="AH6" s="252"/>
      <c r="AI6" s="252"/>
      <c r="AJ6" s="165"/>
      <c r="AK6" s="166"/>
      <c r="AL6" s="252"/>
      <c r="AM6" s="252"/>
      <c r="AN6" s="252"/>
      <c r="AO6" s="165"/>
      <c r="AP6" s="166"/>
      <c r="AQ6" s="252"/>
      <c r="AR6" s="252"/>
      <c r="AS6" s="252"/>
      <c r="AT6" s="165"/>
      <c r="AU6" s="166"/>
      <c r="AV6" s="252"/>
      <c r="AW6" s="252"/>
      <c r="AX6" s="252"/>
      <c r="AY6" s="165"/>
      <c r="AZ6" s="166"/>
      <c r="BA6" s="252"/>
      <c r="BB6" s="252"/>
      <c r="BC6" s="252"/>
      <c r="BD6" s="165"/>
      <c r="BE6" s="166"/>
      <c r="BF6" s="252"/>
      <c r="BG6" s="252"/>
      <c r="BH6" s="252"/>
      <c r="BI6" s="165"/>
      <c r="BJ6" s="166"/>
      <c r="BK6" s="252"/>
      <c r="BL6" s="252"/>
      <c r="BM6" s="252"/>
      <c r="BN6" s="165"/>
      <c r="BO6" s="166"/>
    </row>
    <row r="7" spans="2:81" ht="15" customHeight="1">
      <c r="B7" s="114" t="s">
        <v>227</v>
      </c>
      <c r="C7" s="106">
        <v>0</v>
      </c>
      <c r="D7" s="106">
        <v>0</v>
      </c>
      <c r="E7" s="106">
        <v>0</v>
      </c>
      <c r="F7" s="106">
        <v>0</v>
      </c>
      <c r="G7" s="107">
        <f t="shared" ref="G7" si="0">SUM(C7:F7)</f>
        <v>0</v>
      </c>
      <c r="H7" s="106">
        <v>0</v>
      </c>
      <c r="I7" s="106">
        <v>0</v>
      </c>
      <c r="J7" s="106">
        <v>0</v>
      </c>
      <c r="K7" s="106">
        <v>0</v>
      </c>
      <c r="L7" s="107">
        <f t="shared" ref="L7" si="1">SUM(H7:K7)</f>
        <v>0</v>
      </c>
      <c r="M7" s="106">
        <v>0</v>
      </c>
      <c r="N7" s="106">
        <v>0</v>
      </c>
      <c r="O7" s="106">
        <v>0</v>
      </c>
      <c r="P7" s="106">
        <v>0</v>
      </c>
      <c r="Q7" s="107">
        <f t="shared" ref="Q7" si="2">SUM(M7:P7)</f>
        <v>0</v>
      </c>
      <c r="R7" s="106">
        <v>0</v>
      </c>
      <c r="S7" s="106">
        <v>0</v>
      </c>
      <c r="T7" s="106">
        <v>0</v>
      </c>
      <c r="U7" s="106">
        <v>5.4210000000000003</v>
      </c>
      <c r="V7" s="107">
        <f>U7+T7+S7+R7</f>
        <v>5.4210000000000003</v>
      </c>
      <c r="W7" s="106">
        <v>16.341999999999999</v>
      </c>
      <c r="X7" s="106">
        <v>35.011000000000003</v>
      </c>
      <c r="Y7" s="106">
        <v>45.954000000000001</v>
      </c>
      <c r="Z7" s="106">
        <f>AA7-W7-X7-Y7</f>
        <v>57.277000000000022</v>
      </c>
      <c r="AA7" s="107">
        <f>AA8</f>
        <v>154.584</v>
      </c>
      <c r="AB7" s="106">
        <f>DMD!O443</f>
        <v>60.662578706371669</v>
      </c>
      <c r="AC7" s="106">
        <f>DMD!P443</f>
        <v>67.128666285255605</v>
      </c>
      <c r="AD7" s="106">
        <f>DMD!Q443</f>
        <v>77.859227719972822</v>
      </c>
      <c r="AE7" s="106">
        <f>DMD!R443</f>
        <v>90.015427522395285</v>
      </c>
      <c r="AF7" s="107">
        <f>DMD!S443</f>
        <v>295.66590023399539</v>
      </c>
      <c r="AG7" s="106"/>
      <c r="AH7" s="106"/>
      <c r="AI7" s="106"/>
      <c r="AJ7" s="106"/>
      <c r="AK7" s="107">
        <f>DMD!T443+'DMD Gene Therapy'!T101</f>
        <v>455.2234098939565</v>
      </c>
      <c r="AL7" s="106"/>
      <c r="AM7" s="106"/>
      <c r="AN7" s="106"/>
      <c r="AO7" s="106"/>
      <c r="AP7" s="107">
        <f>DMD!U443+'DMD Gene Therapy'!U101</f>
        <v>588.82898113133365</v>
      </c>
      <c r="AQ7" s="106"/>
      <c r="AR7" s="106"/>
      <c r="AS7" s="106"/>
      <c r="AT7" s="106"/>
      <c r="AU7" s="107">
        <f>DMD!V443+'DMD Gene Therapy'!V101</f>
        <v>763.12577476090541</v>
      </c>
      <c r="AV7" s="106"/>
      <c r="AW7" s="106"/>
      <c r="AX7" s="106"/>
      <c r="AY7" s="106"/>
      <c r="AZ7" s="107">
        <f>DMD!W443+'DMD Gene Therapy'!W101</f>
        <v>1115.208768768362</v>
      </c>
      <c r="BA7" s="106"/>
      <c r="BB7" s="106"/>
      <c r="BC7" s="106"/>
      <c r="BD7" s="106"/>
      <c r="BE7" s="107">
        <f>DMD!X443+'DMD Gene Therapy'!X101</f>
        <v>1274.3914319189532</v>
      </c>
      <c r="BF7" s="106"/>
      <c r="BG7" s="106"/>
      <c r="BH7" s="106"/>
      <c r="BI7" s="106"/>
      <c r="BJ7" s="107">
        <f>DMD!Y443+'DMD Gene Therapy'!Y101</f>
        <v>1470.9522894909346</v>
      </c>
      <c r="BK7" s="106"/>
      <c r="BL7" s="106"/>
      <c r="BM7" s="106"/>
      <c r="BN7" s="106"/>
      <c r="BO7" s="107">
        <f>DMD!Z443+'DMD Gene Therapy'!Z101</f>
        <v>1475.9704819878486</v>
      </c>
    </row>
    <row r="8" spans="2:81" ht="15" customHeight="1">
      <c r="B8" s="566" t="s">
        <v>453</v>
      </c>
      <c r="C8" s="106"/>
      <c r="D8" s="106"/>
      <c r="E8" s="106"/>
      <c r="F8" s="106"/>
      <c r="G8" s="107"/>
      <c r="H8" s="106"/>
      <c r="I8" s="106"/>
      <c r="J8" s="106"/>
      <c r="K8" s="106"/>
      <c r="L8" s="107"/>
      <c r="M8" s="106"/>
      <c r="N8" s="106"/>
      <c r="O8" s="106"/>
      <c r="P8" s="106"/>
      <c r="Q8" s="107"/>
      <c r="R8" s="106"/>
      <c r="S8" s="106"/>
      <c r="T8" s="106"/>
      <c r="U8" s="106">
        <f>U7</f>
        <v>5.4210000000000003</v>
      </c>
      <c r="V8" s="107">
        <f>U8</f>
        <v>5.4210000000000003</v>
      </c>
      <c r="W8" s="106">
        <v>16.341999999999999</v>
      </c>
      <c r="X8" s="106">
        <v>35.011000000000003</v>
      </c>
      <c r="Y8" s="106">
        <v>45.954000000000001</v>
      </c>
      <c r="Z8" s="106">
        <v>57.277000000000001</v>
      </c>
      <c r="AA8" s="107">
        <f>SUM(W8:Z8)</f>
        <v>154.584</v>
      </c>
      <c r="AB8" s="106">
        <f>DMD!O443</f>
        <v>60.662578706371669</v>
      </c>
      <c r="AC8" s="106">
        <f>DMD!P443</f>
        <v>67.128666285255605</v>
      </c>
      <c r="AD8" s="106">
        <f>DMD!Q443</f>
        <v>77.859227719972822</v>
      </c>
      <c r="AE8" s="106">
        <f>DMD!R443</f>
        <v>90.015427522395285</v>
      </c>
      <c r="AF8" s="107">
        <f>DMD!S443</f>
        <v>295.66590023399539</v>
      </c>
      <c r="AG8" s="106"/>
      <c r="AH8" s="106"/>
      <c r="AI8" s="106"/>
      <c r="AJ8" s="106"/>
      <c r="AK8" s="107">
        <f>DMD!T443</f>
        <v>455.2234098939565</v>
      </c>
      <c r="AL8" s="106"/>
      <c r="AM8" s="106"/>
      <c r="AN8" s="106"/>
      <c r="AO8" s="106"/>
      <c r="AP8" s="107">
        <f>DMD!U443</f>
        <v>588.82898113133365</v>
      </c>
      <c r="AQ8" s="106"/>
      <c r="AR8" s="106"/>
      <c r="AS8" s="106"/>
      <c r="AT8" s="106"/>
      <c r="AU8" s="107">
        <f>DMD!V443</f>
        <v>763.12577476090541</v>
      </c>
      <c r="AV8" s="106"/>
      <c r="AW8" s="106"/>
      <c r="AX8" s="106"/>
      <c r="AY8" s="106"/>
      <c r="AZ8" s="107">
        <f>DMD!W443</f>
        <v>915.29225320509647</v>
      </c>
      <c r="BA8" s="106"/>
      <c r="BB8" s="106"/>
      <c r="BC8" s="106"/>
      <c r="BD8" s="106"/>
      <c r="BE8" s="107">
        <f>DMD!X443</f>
        <v>594.93996458331276</v>
      </c>
      <c r="BF8" s="106"/>
      <c r="BG8" s="106"/>
      <c r="BH8" s="106"/>
      <c r="BI8" s="106"/>
      <c r="BJ8" s="107">
        <f>DMD!Y443</f>
        <v>386.71097697915332</v>
      </c>
      <c r="BK8" s="106"/>
      <c r="BL8" s="106"/>
      <c r="BM8" s="106"/>
      <c r="BN8" s="106"/>
      <c r="BO8" s="107">
        <f>DMD!Z443</f>
        <v>251.36213503644967</v>
      </c>
    </row>
    <row r="9" spans="2:81" ht="15" customHeight="1">
      <c r="B9" s="566" t="s">
        <v>374</v>
      </c>
      <c r="C9" s="106"/>
      <c r="D9" s="106"/>
      <c r="E9" s="106"/>
      <c r="F9" s="106"/>
      <c r="G9" s="107"/>
      <c r="H9" s="106"/>
      <c r="I9" s="106"/>
      <c r="J9" s="106"/>
      <c r="K9" s="106"/>
      <c r="L9" s="107"/>
      <c r="M9" s="106"/>
      <c r="N9" s="106"/>
      <c r="O9" s="106"/>
      <c r="P9" s="106"/>
      <c r="Q9" s="107"/>
      <c r="R9" s="106"/>
      <c r="S9" s="106"/>
      <c r="T9" s="106"/>
      <c r="U9" s="106">
        <v>0</v>
      </c>
      <c r="V9" s="107">
        <f>U9</f>
        <v>0</v>
      </c>
      <c r="W9" s="106">
        <v>0</v>
      </c>
      <c r="X9" s="106">
        <v>0</v>
      </c>
      <c r="Y9" s="106">
        <v>0</v>
      </c>
      <c r="Z9" s="106">
        <v>0</v>
      </c>
      <c r="AA9" s="107">
        <v>0</v>
      </c>
      <c r="AB9" s="106">
        <v>0</v>
      </c>
      <c r="AC9" s="106">
        <v>0</v>
      </c>
      <c r="AD9" s="106">
        <v>0</v>
      </c>
      <c r="AE9" s="106">
        <v>0</v>
      </c>
      <c r="AF9" s="107">
        <v>0</v>
      </c>
      <c r="AG9" s="106"/>
      <c r="AH9" s="106"/>
      <c r="AI9" s="106"/>
      <c r="AJ9" s="106"/>
      <c r="AK9" s="107">
        <f>AK7-AK8</f>
        <v>0</v>
      </c>
      <c r="AL9" s="106"/>
      <c r="AM9" s="106"/>
      <c r="AN9" s="106"/>
      <c r="AO9" s="106"/>
      <c r="AP9" s="107">
        <f>AP7-AP8</f>
        <v>0</v>
      </c>
      <c r="AQ9" s="106"/>
      <c r="AR9" s="106"/>
      <c r="AS9" s="106"/>
      <c r="AT9" s="106"/>
      <c r="AU9" s="107">
        <f>AU7-AU8</f>
        <v>0</v>
      </c>
      <c r="AV9" s="106"/>
      <c r="AW9" s="106"/>
      <c r="AX9" s="106"/>
      <c r="AY9" s="106"/>
      <c r="AZ9" s="107">
        <f>AZ7-AZ8</f>
        <v>199.91651556326553</v>
      </c>
      <c r="BA9" s="106"/>
      <c r="BB9" s="106"/>
      <c r="BC9" s="106"/>
      <c r="BD9" s="106"/>
      <c r="BE9" s="107">
        <f>BE7-BE8</f>
        <v>679.45146733564047</v>
      </c>
      <c r="BF9" s="106"/>
      <c r="BG9" s="106"/>
      <c r="BH9" s="106"/>
      <c r="BI9" s="106"/>
      <c r="BJ9" s="107">
        <f>BJ7-BJ8</f>
        <v>1084.2413125117814</v>
      </c>
      <c r="BK9" s="106"/>
      <c r="BL9" s="106"/>
      <c r="BM9" s="106"/>
      <c r="BN9" s="106"/>
      <c r="BO9" s="107">
        <f>BO7-BO8</f>
        <v>1224.608346951399</v>
      </c>
    </row>
    <row r="10" spans="2:81" ht="15" customHeight="1">
      <c r="B10" s="114" t="s">
        <v>269</v>
      </c>
      <c r="C10" s="106">
        <v>4.4740000000000002</v>
      </c>
      <c r="D10" s="106">
        <v>2.9510000000000001</v>
      </c>
      <c r="E10" s="106">
        <v>4.1680000000000001</v>
      </c>
      <c r="F10" s="106">
        <v>2.6259999999999999</v>
      </c>
      <c r="G10" s="107">
        <f>SUM(C10:F10)</f>
        <v>14.218999999999999</v>
      </c>
      <c r="H10" s="106">
        <v>6.0880000000000001</v>
      </c>
      <c r="I10" s="106">
        <v>2.5830000000000002</v>
      </c>
      <c r="J10" s="106">
        <v>1.0589999999999999</v>
      </c>
      <c r="K10" s="106">
        <v>2.7E-2</v>
      </c>
      <c r="L10" s="107">
        <f>SUM(H10:K10)</f>
        <v>9.7569999999999979</v>
      </c>
      <c r="M10" s="106">
        <v>0</v>
      </c>
      <c r="N10" s="106">
        <v>0</v>
      </c>
      <c r="O10" s="106">
        <v>0</v>
      </c>
      <c r="P10" s="106">
        <v>1.2529999999999999</v>
      </c>
      <c r="Q10" s="107">
        <f t="shared" ref="Q10" si="3">SUM(M10:P10)</f>
        <v>1.2529999999999999</v>
      </c>
      <c r="R10" s="106">
        <v>0</v>
      </c>
      <c r="S10" s="106">
        <v>0</v>
      </c>
      <c r="T10" s="106">
        <v>0</v>
      </c>
      <c r="U10" s="106">
        <v>0</v>
      </c>
      <c r="V10" s="107">
        <f>U10+T10+S10+R10</f>
        <v>0</v>
      </c>
      <c r="W10" s="106">
        <v>0</v>
      </c>
      <c r="X10" s="106">
        <v>0</v>
      </c>
      <c r="Y10" s="106">
        <v>0</v>
      </c>
      <c r="Z10" s="106">
        <v>0</v>
      </c>
      <c r="AA10" s="107">
        <v>0</v>
      </c>
      <c r="AB10" s="106">
        <v>0</v>
      </c>
      <c r="AC10" s="106">
        <v>0</v>
      </c>
      <c r="AD10" s="106">
        <v>0</v>
      </c>
      <c r="AE10" s="106">
        <v>0</v>
      </c>
      <c r="AF10" s="107">
        <v>0</v>
      </c>
      <c r="AG10" s="106"/>
      <c r="AH10" s="106"/>
      <c r="AI10" s="106"/>
      <c r="AJ10" s="106"/>
      <c r="AK10" s="107">
        <v>0</v>
      </c>
      <c r="AL10" s="106"/>
      <c r="AM10" s="106"/>
      <c r="AN10" s="106"/>
      <c r="AO10" s="106"/>
      <c r="AP10" s="107">
        <v>0</v>
      </c>
      <c r="AQ10" s="106"/>
      <c r="AR10" s="106"/>
      <c r="AS10" s="106"/>
      <c r="AT10" s="106"/>
      <c r="AU10" s="107">
        <v>0</v>
      </c>
      <c r="AV10" s="106"/>
      <c r="AW10" s="106"/>
      <c r="AX10" s="106"/>
      <c r="AY10" s="106"/>
      <c r="AZ10" s="107">
        <v>0</v>
      </c>
      <c r="BA10" s="106"/>
      <c r="BB10" s="106"/>
      <c r="BC10" s="106"/>
      <c r="BD10" s="106"/>
      <c r="BE10" s="107">
        <v>0</v>
      </c>
      <c r="BF10" s="106"/>
      <c r="BG10" s="106"/>
      <c r="BH10" s="106"/>
      <c r="BI10" s="106"/>
      <c r="BJ10" s="107">
        <v>0</v>
      </c>
      <c r="BK10" s="106"/>
      <c r="BL10" s="106"/>
      <c r="BM10" s="106"/>
      <c r="BN10" s="106"/>
      <c r="BO10" s="107">
        <v>0</v>
      </c>
    </row>
    <row r="11" spans="2:81" s="110" customFormat="1" ht="15" customHeight="1" thickBot="1">
      <c r="B11" s="169" t="s">
        <v>8</v>
      </c>
      <c r="C11" s="392">
        <f t="shared" ref="C11:AF11" si="4">C7+C10</f>
        <v>4.4740000000000002</v>
      </c>
      <c r="D11" s="392">
        <f t="shared" si="4"/>
        <v>2.9510000000000001</v>
      </c>
      <c r="E11" s="392">
        <f t="shared" si="4"/>
        <v>4.1680000000000001</v>
      </c>
      <c r="F11" s="392">
        <f t="shared" si="4"/>
        <v>2.6259999999999999</v>
      </c>
      <c r="G11" s="108">
        <f t="shared" si="4"/>
        <v>14.218999999999999</v>
      </c>
      <c r="H11" s="392">
        <f t="shared" si="4"/>
        <v>6.0880000000000001</v>
      </c>
      <c r="I11" s="392">
        <f t="shared" si="4"/>
        <v>2.5830000000000002</v>
      </c>
      <c r="J11" s="392">
        <f t="shared" si="4"/>
        <v>1.0589999999999999</v>
      </c>
      <c r="K11" s="392">
        <f t="shared" si="4"/>
        <v>2.7E-2</v>
      </c>
      <c r="L11" s="108">
        <f t="shared" si="4"/>
        <v>9.7569999999999979</v>
      </c>
      <c r="M11" s="392">
        <f t="shared" si="4"/>
        <v>0</v>
      </c>
      <c r="N11" s="392">
        <f t="shared" si="4"/>
        <v>0</v>
      </c>
      <c r="O11" s="392">
        <f t="shared" si="4"/>
        <v>0</v>
      </c>
      <c r="P11" s="392">
        <f t="shared" si="4"/>
        <v>1.2529999999999999</v>
      </c>
      <c r="Q11" s="570">
        <f t="shared" si="4"/>
        <v>1.2529999999999999</v>
      </c>
      <c r="R11" s="571">
        <f t="shared" si="4"/>
        <v>0</v>
      </c>
      <c r="S11" s="571">
        <f t="shared" si="4"/>
        <v>0</v>
      </c>
      <c r="T11" s="571">
        <f t="shared" si="4"/>
        <v>0</v>
      </c>
      <c r="U11" s="571">
        <f t="shared" si="4"/>
        <v>5.4210000000000003</v>
      </c>
      <c r="V11" s="570">
        <f t="shared" si="4"/>
        <v>5.4210000000000003</v>
      </c>
      <c r="W11" s="571">
        <f t="shared" si="4"/>
        <v>16.341999999999999</v>
      </c>
      <c r="X11" s="571">
        <f t="shared" si="4"/>
        <v>35.011000000000003</v>
      </c>
      <c r="Y11" s="571">
        <f t="shared" si="4"/>
        <v>45.954000000000001</v>
      </c>
      <c r="Z11" s="571">
        <f t="shared" si="4"/>
        <v>57.277000000000022</v>
      </c>
      <c r="AA11" s="570">
        <f t="shared" si="4"/>
        <v>154.584</v>
      </c>
      <c r="AB11" s="571">
        <f t="shared" si="4"/>
        <v>60.662578706371669</v>
      </c>
      <c r="AC11" s="571">
        <f t="shared" si="4"/>
        <v>67.128666285255605</v>
      </c>
      <c r="AD11" s="571">
        <f t="shared" si="4"/>
        <v>77.859227719972822</v>
      </c>
      <c r="AE11" s="571">
        <f t="shared" si="4"/>
        <v>90.015427522395285</v>
      </c>
      <c r="AF11" s="570">
        <f t="shared" si="4"/>
        <v>295.66590023399539</v>
      </c>
      <c r="AG11" s="571"/>
      <c r="AH11" s="571"/>
      <c r="AI11" s="571"/>
      <c r="AJ11" s="571"/>
      <c r="AK11" s="570">
        <f>AK7+AK10</f>
        <v>455.2234098939565</v>
      </c>
      <c r="AL11" s="570">
        <f t="shared" ref="AL11:BO11" si="5">AL7+AL10</f>
        <v>0</v>
      </c>
      <c r="AM11" s="570">
        <f t="shared" si="5"/>
        <v>0</v>
      </c>
      <c r="AN11" s="570">
        <f t="shared" si="5"/>
        <v>0</v>
      </c>
      <c r="AO11" s="570">
        <f t="shared" si="5"/>
        <v>0</v>
      </c>
      <c r="AP11" s="570">
        <f t="shared" si="5"/>
        <v>588.82898113133365</v>
      </c>
      <c r="AQ11" s="570">
        <f t="shared" si="5"/>
        <v>0</v>
      </c>
      <c r="AR11" s="570">
        <f t="shared" si="5"/>
        <v>0</v>
      </c>
      <c r="AS11" s="570">
        <f t="shared" si="5"/>
        <v>0</v>
      </c>
      <c r="AT11" s="570">
        <f t="shared" si="5"/>
        <v>0</v>
      </c>
      <c r="AU11" s="570">
        <f t="shared" si="5"/>
        <v>763.12577476090541</v>
      </c>
      <c r="AV11" s="570">
        <f t="shared" si="5"/>
        <v>0</v>
      </c>
      <c r="AW11" s="570">
        <f t="shared" si="5"/>
        <v>0</v>
      </c>
      <c r="AX11" s="570">
        <f t="shared" si="5"/>
        <v>0</v>
      </c>
      <c r="AY11" s="570">
        <f t="shared" si="5"/>
        <v>0</v>
      </c>
      <c r="AZ11" s="570">
        <f t="shared" si="5"/>
        <v>1115.208768768362</v>
      </c>
      <c r="BA11" s="570">
        <f t="shared" si="5"/>
        <v>0</v>
      </c>
      <c r="BB11" s="570">
        <f t="shared" si="5"/>
        <v>0</v>
      </c>
      <c r="BC11" s="570">
        <f t="shared" si="5"/>
        <v>0</v>
      </c>
      <c r="BD11" s="570">
        <f t="shared" si="5"/>
        <v>0</v>
      </c>
      <c r="BE11" s="570">
        <f t="shared" si="5"/>
        <v>1274.3914319189532</v>
      </c>
      <c r="BF11" s="570">
        <f t="shared" si="5"/>
        <v>0</v>
      </c>
      <c r="BG11" s="570">
        <f t="shared" si="5"/>
        <v>0</v>
      </c>
      <c r="BH11" s="570">
        <f t="shared" si="5"/>
        <v>0</v>
      </c>
      <c r="BI11" s="570">
        <f t="shared" si="5"/>
        <v>0</v>
      </c>
      <c r="BJ11" s="570">
        <f t="shared" si="5"/>
        <v>1470.9522894909346</v>
      </c>
      <c r="BK11" s="570">
        <f t="shared" si="5"/>
        <v>0</v>
      </c>
      <c r="BL11" s="570">
        <f t="shared" si="5"/>
        <v>0</v>
      </c>
      <c r="BM11" s="570">
        <f t="shared" si="5"/>
        <v>0</v>
      </c>
      <c r="BN11" s="570">
        <f t="shared" si="5"/>
        <v>0</v>
      </c>
      <c r="BO11" s="572">
        <f t="shared" si="5"/>
        <v>1475.9704819878486</v>
      </c>
      <c r="BQ11" s="101"/>
      <c r="BR11" s="101"/>
      <c r="BS11" s="101"/>
      <c r="BU11"/>
      <c r="BV11"/>
      <c r="BW11"/>
      <c r="BX11"/>
      <c r="BY11"/>
      <c r="BZ11"/>
    </row>
    <row r="12" spans="2:81" s="110" customFormat="1" ht="15" hidden="1" customHeight="1" thickBot="1">
      <c r="B12" s="569" t="s">
        <v>375</v>
      </c>
      <c r="C12" s="569"/>
      <c r="D12" s="569"/>
      <c r="E12" s="569"/>
      <c r="F12" s="569"/>
      <c r="G12" s="569"/>
      <c r="H12" s="569"/>
      <c r="I12" s="569"/>
      <c r="J12" s="569"/>
      <c r="K12" s="569"/>
      <c r="L12" s="569"/>
      <c r="M12" s="569"/>
      <c r="N12" s="569"/>
      <c r="O12" s="569"/>
      <c r="P12" s="569"/>
      <c r="Q12" s="569"/>
      <c r="R12" s="569"/>
      <c r="S12" s="569"/>
      <c r="T12" s="569"/>
      <c r="U12" s="569"/>
      <c r="V12" s="569"/>
      <c r="W12" s="569"/>
      <c r="X12" s="569">
        <f>_xll.TR($CC$2,"TR.RevenueMean","Period=#1 Curn=#2 Scale=6 Null=-",,LEFT(X4,1)&amp;"CQ20"&amp;MID(X4,3,2),$CC$3)</f>
        <v>22.375</v>
      </c>
      <c r="Y12" s="569">
        <f>_xll.TR($CC$2,"TR.RevenueMean","Period=#1 Curn=#2 Scale=6 Null=-",,LEFT(Y4,1)&amp;"CQ20"&amp;MID(Y4,3,2),$CC$3)</f>
        <v>40.771129999999999</v>
      </c>
      <c r="Z12" s="569">
        <f>_xll.TR($CC$2,"TR.RevenueMean","Period=#1 Curn=#2 Scale=6 Null=-",,LEFT(Z4,1)&amp;"CQ20"&amp;MID(Z4,3,2),$CC$3)</f>
        <v>56.48019</v>
      </c>
      <c r="AA12" s="569">
        <f>_xll.TR($CC$2,"Avail(TR.RevenueMean(Methodology=WeightedAnnual),TR.RevenueMean(Methodology=InterimSum))","Period=#1 Curn=#2 Scale=6 Null=-",,"CY"&amp;LEFT(AA4,4),$CC$3)</f>
        <v>153.72783000000001</v>
      </c>
      <c r="AB12" s="569"/>
      <c r="AC12" s="569"/>
      <c r="AD12" s="569"/>
      <c r="AE12" s="569"/>
      <c r="AF12" s="569">
        <f>_xll.TR($CC$2,"Avail(TR.RevenueMean(Methodology=WeightedAnnual),TR.RevenueMean(Methodology=InterimSum))","Period=#1 Curn=#2 Scale=6 Null=-",,"CY"&amp;LEFT(AF4,4),$CC$3)</f>
        <v>304.00078000000002</v>
      </c>
      <c r="AG12" s="569"/>
      <c r="AH12" s="569"/>
      <c r="AI12" s="569"/>
      <c r="AJ12" s="569"/>
      <c r="AK12" s="569">
        <f>_xll.TR($CC$2,"Avail(TR.RevenueMean(Methodology=WeightedAnnual),TR.RevenueMean(Methodology=InterimSum))","Period=#1 Curn=#2 Scale=6 Null=-",,"CY"&amp;LEFT(AK4,4),$CC$3)</f>
        <v>480.57328000000001</v>
      </c>
      <c r="AL12" s="569"/>
      <c r="AM12" s="569"/>
      <c r="AN12" s="569"/>
      <c r="AO12" s="569"/>
      <c r="AP12" s="569">
        <f>_xll.TR($CC$2,"Avail(TR.RevenueMean(Methodology=WeightedAnnual),TR.RevenueMean(Methodology=InterimSum))","Period=#1 Curn=#2 Scale=6 Null=-",,"CY"&amp;LEFT(AP4,4),$CC$3)</f>
        <v>727.66774999999996</v>
      </c>
      <c r="AQ12" s="569" t="str">
        <f>_xll.TR($CC$2,"TR.RevenueMean","Period=#1 Curn=#2 Scale=6 Null=-",,LEFT(AQ4,1)&amp;"CQ20"&amp;MID(AQ4,3,2),$CC$3)</f>
        <v>-</v>
      </c>
      <c r="AR12" s="569" t="str">
        <f>_xll.TR($CC$2,"TR.RevenueMean","Period=#1 Curn=#2 Scale=6 Null=-",,LEFT(AR4,1)&amp;"CQ20"&amp;MID(AR4,3,2),$CC$3)</f>
        <v>-</v>
      </c>
      <c r="AS12" s="569" t="str">
        <f>_xll.TR($CC$2,"TR.RevenueMean","Period=#1 Curn=#2 Scale=6 Null=-",,LEFT(AS4,1)&amp;"CQ20"&amp;MID(AS4,3,2),$CC$3)</f>
        <v>-</v>
      </c>
      <c r="AT12" s="569" t="str">
        <f>_xll.TR($CC$2,"TR.RevenueMean","Period=#1 Curn=#2 Scale=6 Null=-",,LEFT(AT4,1)&amp;"CQ20"&amp;MID(AT4,3,2),$CC$3)</f>
        <v>-</v>
      </c>
      <c r="AU12" s="569"/>
      <c r="AV12" s="569"/>
      <c r="AW12" s="569"/>
      <c r="AX12" s="569"/>
      <c r="AY12" s="569"/>
      <c r="AZ12" s="569"/>
      <c r="BA12" s="569"/>
      <c r="BB12" s="569"/>
      <c r="BC12" s="569"/>
      <c r="BD12" s="569"/>
      <c r="BE12" s="569"/>
      <c r="BF12" s="569"/>
      <c r="BG12" s="569"/>
      <c r="BH12" s="569"/>
      <c r="BI12" s="569"/>
      <c r="BJ12" s="569"/>
      <c r="BK12" s="569"/>
      <c r="BL12" s="569"/>
      <c r="BM12" s="569"/>
      <c r="BN12" s="569"/>
      <c r="BO12" s="569"/>
      <c r="BQ12" s="292"/>
      <c r="BR12" s="292"/>
      <c r="BS12" s="292"/>
      <c r="BU12"/>
      <c r="BV12"/>
      <c r="BW12"/>
      <c r="BX12"/>
      <c r="BY12"/>
      <c r="BZ12"/>
    </row>
    <row r="13" spans="2:81" ht="15" customHeight="1" collapsed="1" thickBot="1">
      <c r="B13" s="111"/>
      <c r="C13" s="112"/>
      <c r="D13" s="112"/>
      <c r="E13" s="112"/>
      <c r="F13" s="112"/>
      <c r="G13" s="113"/>
      <c r="H13" s="112"/>
      <c r="I13" s="112"/>
      <c r="J13" s="112"/>
      <c r="K13" s="112"/>
      <c r="L13" s="113"/>
      <c r="M13" s="112"/>
      <c r="N13" s="112"/>
      <c r="O13" s="112"/>
      <c r="P13" s="112"/>
      <c r="Q13" s="113"/>
      <c r="R13" s="112"/>
      <c r="S13" s="112"/>
      <c r="T13" s="112"/>
      <c r="U13" s="112"/>
      <c r="V13" s="113"/>
      <c r="W13" s="545"/>
      <c r="X13" s="545"/>
      <c r="Y13" s="545"/>
      <c r="Z13" s="545"/>
      <c r="AA13" s="583"/>
      <c r="AB13" s="112"/>
      <c r="AC13" s="112"/>
      <c r="AD13" s="581" t="s">
        <v>394</v>
      </c>
      <c r="AE13" s="581"/>
      <c r="AF13" s="582" t="s">
        <v>395</v>
      </c>
      <c r="AG13" s="112"/>
      <c r="AH13" s="112"/>
      <c r="AI13" s="112"/>
      <c r="AJ13" s="112"/>
      <c r="AK13" s="113"/>
      <c r="AL13" s="112"/>
      <c r="AM13" s="112"/>
      <c r="AN13" s="112"/>
      <c r="AO13" s="112"/>
      <c r="AP13" s="113"/>
      <c r="AQ13" s="112"/>
      <c r="AR13" s="112"/>
      <c r="AS13" s="112"/>
      <c r="AT13" s="112"/>
      <c r="AU13" s="113"/>
      <c r="AV13" s="112"/>
      <c r="AW13" s="112"/>
      <c r="AX13" s="112"/>
      <c r="AY13" s="112"/>
      <c r="AZ13" s="113"/>
      <c r="BA13" s="112"/>
      <c r="BB13" s="112"/>
      <c r="BC13" s="112"/>
      <c r="BD13" s="112"/>
      <c r="BE13" s="113"/>
      <c r="BF13" s="112"/>
      <c r="BG13" s="112"/>
      <c r="BH13" s="112"/>
      <c r="BI13" s="112"/>
      <c r="BJ13" s="113"/>
      <c r="BK13" s="112"/>
      <c r="BL13" s="112"/>
      <c r="BM13" s="112"/>
      <c r="BN13" s="112"/>
      <c r="BO13" s="113"/>
    </row>
    <row r="14" spans="2:81" s="630" customFormat="1" ht="15" customHeight="1" outlineLevel="1">
      <c r="B14" s="629" t="s">
        <v>375</v>
      </c>
      <c r="C14" s="629"/>
      <c r="D14" s="629"/>
      <c r="E14" s="629"/>
      <c r="F14" s="629"/>
      <c r="G14" s="629"/>
      <c r="H14" s="629"/>
      <c r="I14" s="629"/>
      <c r="J14" s="629"/>
      <c r="K14" s="629"/>
      <c r="L14" s="629"/>
      <c r="M14" s="629"/>
      <c r="N14" s="629"/>
      <c r="O14" s="629"/>
      <c r="P14" s="629"/>
      <c r="Q14" s="629"/>
      <c r="R14" s="629"/>
      <c r="S14" s="629"/>
      <c r="T14" s="629"/>
      <c r="U14" s="629"/>
      <c r="V14" s="629"/>
      <c r="W14" s="629"/>
      <c r="X14" s="629"/>
      <c r="Y14" s="629"/>
      <c r="Z14" s="629"/>
      <c r="AA14" s="629"/>
      <c r="AB14" s="629">
        <f>_xll.TR($CC$2,"TR.RevenueMean","Period=#1 Curn=#2 Scale=6 Null=BLANK",,LEFT(AB$4,1)&amp;"CQ20"&amp;MID(AB$4,3,2),$CC$4)</f>
        <v>64.571929999999995</v>
      </c>
      <c r="AC14" s="629">
        <f>_xll.TR($CC$2,"TR.RevenueMean","Period=#1 Curn=#2 Scale=6 Null=BLANK",,LEFT(AC$4,1)&amp;"CQ20"&amp;MID(AC$4,3,2),$CC$4)</f>
        <v>72.487799999999993</v>
      </c>
      <c r="AD14" s="629">
        <f>_xll.TR($CC$2,"TR.RevenueMean","Period=#1 Curn=#2 Scale=6 Null=BLANK",,LEFT(AD$4,1)&amp;"CQ20"&amp;MID(AD$4,3,2),$CC$4)</f>
        <v>79.688670000000002</v>
      </c>
      <c r="AE14" s="629">
        <f>_xll.TR($CC$2,"TR.RevenueMean","Period=#1 Curn=#2 Scale=6 Null=BLANK",,LEFT(AE$4,1)&amp;"CQ20"&amp;MID(AE$4,3,2),$CC$4)</f>
        <v>89.61</v>
      </c>
      <c r="AF14" s="629">
        <f>_xll.TR($CC$2,"Avail(TR.RevenueMean(Methodology=WeightedAnnual),TR.RevenueMean(Methodology=InterimSum))","Period=#1 Curn=#2 Scale=6 Null=-+",,"CY"&amp;LEFT(AF4,4),$CC$4)</f>
        <v>304.00078000000002</v>
      </c>
      <c r="AG14" s="629"/>
      <c r="AH14" s="629"/>
      <c r="AI14" s="629"/>
      <c r="AJ14" s="629"/>
      <c r="AK14" s="629">
        <f>_xll.TR($CC$2,"Avail(TR.RevenueMean(Methodology=WeightedAnnual),TR.RevenueMean(Methodology=InterimSum))","Period=#1 Curn=#2 Scale=6 Null=-+",,"CY"&amp;LEFT(AK4,4),$CC$4)</f>
        <v>480.57328000000001</v>
      </c>
      <c r="AL14" s="629"/>
      <c r="AM14" s="629"/>
      <c r="AN14" s="629"/>
      <c r="AO14" s="629"/>
      <c r="AP14" s="631"/>
      <c r="AQ14" s="629"/>
      <c r="AR14" s="629"/>
      <c r="AS14" s="629"/>
      <c r="AT14" s="629"/>
      <c r="AU14" s="631"/>
      <c r="AV14" s="629"/>
      <c r="AW14" s="629"/>
      <c r="AX14" s="629"/>
      <c r="AY14" s="629"/>
      <c r="AZ14" s="629"/>
      <c r="BA14" s="629"/>
      <c r="BB14" s="629"/>
      <c r="BC14" s="629"/>
      <c r="BD14" s="629"/>
      <c r="BE14" s="629"/>
      <c r="BF14" s="629"/>
      <c r="BG14" s="629"/>
      <c r="BH14" s="629"/>
      <c r="BI14" s="629"/>
      <c r="BJ14" s="629"/>
      <c r="BK14" s="629"/>
      <c r="BL14" s="629"/>
      <c r="BM14" s="629"/>
      <c r="BN14" s="629"/>
      <c r="BO14" s="629"/>
      <c r="BU14"/>
      <c r="BV14"/>
      <c r="BW14"/>
      <c r="BX14"/>
      <c r="BY14"/>
      <c r="BZ14"/>
    </row>
    <row r="15" spans="2:81" ht="15" customHeight="1">
      <c r="B15" s="251" t="s">
        <v>114</v>
      </c>
      <c r="C15" s="106"/>
      <c r="D15" s="106"/>
      <c r="E15" s="106"/>
      <c r="F15" s="106"/>
      <c r="G15" s="107"/>
      <c r="H15" s="106"/>
      <c r="I15" s="106"/>
      <c r="J15" s="106"/>
      <c r="K15" s="106"/>
      <c r="L15" s="107"/>
      <c r="M15" s="106"/>
      <c r="N15" s="106"/>
      <c r="O15" s="106"/>
      <c r="P15" s="106"/>
      <c r="Q15" s="107"/>
      <c r="R15" s="106"/>
      <c r="S15" s="106"/>
      <c r="T15" s="106"/>
      <c r="U15" s="106"/>
      <c r="V15" s="107"/>
      <c r="W15" s="106"/>
      <c r="X15" s="106"/>
      <c r="Y15" s="106"/>
      <c r="Z15" s="106"/>
      <c r="AA15" s="107"/>
      <c r="AB15" s="106"/>
      <c r="AC15" s="106"/>
      <c r="AD15" s="106"/>
      <c r="AE15" s="106"/>
      <c r="AF15" s="107"/>
      <c r="AG15" s="106"/>
      <c r="AH15" s="106"/>
      <c r="AI15" s="106"/>
      <c r="AJ15" s="106"/>
      <c r="AK15" s="107"/>
      <c r="AL15" s="106"/>
      <c r="AM15" s="106"/>
      <c r="AN15" s="106"/>
      <c r="AO15" s="106"/>
      <c r="AP15" s="107"/>
      <c r="AQ15" s="106"/>
      <c r="AR15" s="106"/>
      <c r="AS15" s="106"/>
      <c r="AT15" s="106"/>
      <c r="AU15" s="107"/>
      <c r="AV15" s="106"/>
      <c r="AW15" s="106"/>
      <c r="AX15" s="106"/>
      <c r="AY15" s="106"/>
      <c r="AZ15" s="107"/>
      <c r="BA15" s="106"/>
      <c r="BB15" s="106"/>
      <c r="BC15" s="106"/>
      <c r="BD15" s="106"/>
      <c r="BE15" s="107"/>
      <c r="BF15" s="106"/>
      <c r="BG15" s="106"/>
      <c r="BH15" s="106"/>
      <c r="BI15" s="106"/>
      <c r="BJ15" s="107"/>
      <c r="BK15" s="106"/>
      <c r="BL15" s="106"/>
      <c r="BM15" s="106"/>
      <c r="BN15" s="106"/>
      <c r="BO15" s="107"/>
    </row>
    <row r="16" spans="2:81" ht="15" customHeight="1">
      <c r="B16" s="114" t="s">
        <v>115</v>
      </c>
      <c r="C16" s="275">
        <v>0</v>
      </c>
      <c r="D16" s="275">
        <v>0</v>
      </c>
      <c r="E16" s="275">
        <v>0</v>
      </c>
      <c r="F16" s="275">
        <v>0</v>
      </c>
      <c r="G16" s="306">
        <f t="shared" ref="G16" si="6">SUM(C16:F16)</f>
        <v>0</v>
      </c>
      <c r="H16" s="307">
        <v>0</v>
      </c>
      <c r="I16" s="307">
        <v>0</v>
      </c>
      <c r="J16" s="307">
        <v>0</v>
      </c>
      <c r="K16" s="307">
        <v>0</v>
      </c>
      <c r="L16" s="306">
        <f t="shared" ref="L16" si="7">SUM(H16:K16)</f>
        <v>0</v>
      </c>
      <c r="M16" s="308">
        <v>0</v>
      </c>
      <c r="N16" s="308">
        <v>0</v>
      </c>
      <c r="O16" s="308">
        <v>0</v>
      </c>
      <c r="P16" s="308">
        <v>0</v>
      </c>
      <c r="Q16" s="107">
        <f t="shared" ref="Q16" si="8">SUM(M16:P16)</f>
        <v>0</v>
      </c>
      <c r="R16" s="106">
        <v>0</v>
      </c>
      <c r="S16" s="106">
        <v>0</v>
      </c>
      <c r="T16" s="106">
        <f>T11*T17</f>
        <v>0</v>
      </c>
      <c r="U16" s="106">
        <v>0.13</v>
      </c>
      <c r="V16" s="107">
        <f>U16+T16+S16+R16</f>
        <v>0.13</v>
      </c>
      <c r="W16" s="106">
        <v>0.252</v>
      </c>
      <c r="X16" s="106">
        <v>0.53400000000000003</v>
      </c>
      <c r="Y16" s="106">
        <v>3.0779999999999998</v>
      </c>
      <c r="Z16" s="106">
        <v>3.5459999999999998</v>
      </c>
      <c r="AA16" s="107">
        <v>7.3529999999999998</v>
      </c>
      <c r="AB16" s="106">
        <f>(AB11*AB17)+DMD!O367</f>
        <v>9.0993868059557528</v>
      </c>
      <c r="AC16" s="106">
        <f>(AC11*AC17)+DMD!P367</f>
        <v>10.069299942788341</v>
      </c>
      <c r="AD16" s="106">
        <f>(AD11*AD17)+DMD!Q367</f>
        <v>11.453529495569942</v>
      </c>
      <c r="AE16" s="106">
        <f>(AE11*AE17)+DMD!R367</f>
        <v>12.960771880180515</v>
      </c>
      <c r="AF16" s="107">
        <f>(AF11*AF17)+DMD!S367</f>
        <v>43.582988124494555</v>
      </c>
      <c r="AG16" s="106"/>
      <c r="AH16" s="106"/>
      <c r="AI16" s="106"/>
      <c r="AJ16" s="106"/>
      <c r="AK16" s="107">
        <f>(AK11*AK17)+DMD!T367</f>
        <v>81.578399365415009</v>
      </c>
      <c r="AL16" s="106"/>
      <c r="AM16" s="106"/>
      <c r="AN16" s="106"/>
      <c r="AO16" s="106"/>
      <c r="AP16" s="107">
        <f>(AP11*AP17)+DMD!U367</f>
        <v>121.94836841667336</v>
      </c>
      <c r="AQ16" s="106"/>
      <c r="AR16" s="106"/>
      <c r="AS16" s="106"/>
      <c r="AT16" s="106"/>
      <c r="AU16" s="107">
        <f>(AU11*AU17)+DMD!V367</f>
        <v>159.16542442830144</v>
      </c>
      <c r="AV16" s="106"/>
      <c r="AW16" s="106"/>
      <c r="AX16" s="106"/>
      <c r="AY16" s="106"/>
      <c r="AZ16" s="107">
        <f>(AZ11*AZ17)+DMD!W367</f>
        <v>223.60799576255658</v>
      </c>
      <c r="BA16" s="106"/>
      <c r="BB16" s="106"/>
      <c r="BC16" s="106"/>
      <c r="BD16" s="106"/>
      <c r="BE16" s="107">
        <f>(BE11*BE17)+DMD!X367</f>
        <v>254.38533233959222</v>
      </c>
      <c r="BF16" s="106"/>
      <c r="BG16" s="106"/>
      <c r="BH16" s="106"/>
      <c r="BI16" s="106"/>
      <c r="BJ16" s="107">
        <f>(BJ11*BJ17)+DMD!Y367</f>
        <v>239.75693145674163</v>
      </c>
      <c r="BK16" s="106"/>
      <c r="BL16" s="106"/>
      <c r="BM16" s="106"/>
      <c r="BN16" s="106"/>
      <c r="BO16" s="107">
        <f>(BO11*BO17)+DMD!Z367</f>
        <v>221.39557229817729</v>
      </c>
    </row>
    <row r="17" spans="2:78" s="292" customFormat="1" ht="15" hidden="1" customHeight="1" outlineLevel="1">
      <c r="B17" s="286" t="s">
        <v>216</v>
      </c>
      <c r="C17" s="287"/>
      <c r="D17" s="287"/>
      <c r="E17" s="287"/>
      <c r="F17" s="287"/>
      <c r="G17" s="288"/>
      <c r="H17" s="289"/>
      <c r="I17" s="289"/>
      <c r="J17" s="289"/>
      <c r="K17" s="289"/>
      <c r="L17" s="288"/>
      <c r="M17" s="289"/>
      <c r="N17" s="289"/>
      <c r="O17" s="289"/>
      <c r="P17" s="289"/>
      <c r="Q17" s="288"/>
      <c r="R17" s="289"/>
      <c r="S17" s="289"/>
      <c r="T17" s="289"/>
      <c r="U17" s="289"/>
      <c r="V17" s="290">
        <f t="shared" ref="V17:AA17" si="9">V16/V11</f>
        <v>2.3980815347721823E-2</v>
      </c>
      <c r="W17" s="289">
        <f t="shared" si="9"/>
        <v>1.5420389181250766E-2</v>
      </c>
      <c r="X17" s="289">
        <f t="shared" si="9"/>
        <v>1.525234926166062E-2</v>
      </c>
      <c r="Y17" s="289">
        <f t="shared" si="9"/>
        <v>6.6980023501762631E-2</v>
      </c>
      <c r="Z17" s="289">
        <f t="shared" si="9"/>
        <v>6.1909667056584641E-2</v>
      </c>
      <c r="AA17" s="290">
        <f t="shared" si="9"/>
        <v>4.7566371681415927E-2</v>
      </c>
      <c r="AB17" s="289">
        <f>AF17</f>
        <v>0.1</v>
      </c>
      <c r="AC17" s="289">
        <f>AB17</f>
        <v>0.1</v>
      </c>
      <c r="AD17" s="289">
        <f t="shared" ref="AD17:AE17" si="10">AC17</f>
        <v>0.1</v>
      </c>
      <c r="AE17" s="289">
        <f t="shared" si="10"/>
        <v>0.1</v>
      </c>
      <c r="AF17" s="290">
        <v>0.1</v>
      </c>
      <c r="AG17" s="289"/>
      <c r="AH17" s="289"/>
      <c r="AI17" s="289"/>
      <c r="AJ17" s="289"/>
      <c r="AK17" s="290">
        <v>0.125</v>
      </c>
      <c r="AL17" s="289"/>
      <c r="AM17" s="289"/>
      <c r="AN17" s="289"/>
      <c r="AO17" s="289"/>
      <c r="AP17" s="290">
        <v>0.15</v>
      </c>
      <c r="AQ17" s="289"/>
      <c r="AR17" s="289"/>
      <c r="AS17" s="289"/>
      <c r="AT17" s="289"/>
      <c r="AU17" s="290">
        <v>0.15</v>
      </c>
      <c r="AV17" s="289"/>
      <c r="AW17" s="289"/>
      <c r="AX17" s="289"/>
      <c r="AY17" s="289"/>
      <c r="AZ17" s="290">
        <v>0.15</v>
      </c>
      <c r="BA17" s="289"/>
      <c r="BB17" s="289"/>
      <c r="BC17" s="289"/>
      <c r="BD17" s="289"/>
      <c r="BE17" s="290">
        <v>0.15</v>
      </c>
      <c r="BF17" s="289"/>
      <c r="BG17" s="289"/>
      <c r="BH17" s="289"/>
      <c r="BI17" s="289"/>
      <c r="BJ17" s="290">
        <v>0.15</v>
      </c>
      <c r="BK17" s="289"/>
      <c r="BL17" s="289"/>
      <c r="BM17" s="289"/>
      <c r="BN17" s="289"/>
      <c r="BO17" s="290">
        <v>0.15</v>
      </c>
      <c r="BP17" s="291"/>
      <c r="BQ17" s="101"/>
      <c r="BR17" s="101"/>
      <c r="BS17" s="101"/>
      <c r="BU17"/>
      <c r="BV17"/>
      <c r="BW17"/>
      <c r="BX17"/>
      <c r="BY17"/>
      <c r="BZ17"/>
    </row>
    <row r="18" spans="2:78" ht="15" customHeight="1" collapsed="1">
      <c r="B18" s="111"/>
      <c r="C18" s="112"/>
      <c r="D18" s="112"/>
      <c r="E18" s="112"/>
      <c r="F18" s="112"/>
      <c r="G18" s="113"/>
      <c r="H18" s="112"/>
      <c r="I18" s="112"/>
      <c r="J18" s="112"/>
      <c r="K18" s="112"/>
      <c r="L18" s="113"/>
      <c r="M18" s="112"/>
      <c r="N18" s="112"/>
      <c r="O18" s="112"/>
      <c r="P18" s="112"/>
      <c r="Q18" s="113"/>
      <c r="R18" s="112"/>
      <c r="S18" s="112"/>
      <c r="T18" s="112"/>
      <c r="U18" s="112"/>
      <c r="V18" s="113"/>
      <c r="W18" s="545"/>
      <c r="X18" s="545"/>
      <c r="Y18" s="545"/>
      <c r="Z18" s="545"/>
      <c r="AA18" s="546"/>
      <c r="AB18" s="112"/>
      <c r="AC18" s="112"/>
      <c r="AD18" s="112"/>
      <c r="AE18" s="112"/>
      <c r="AF18" s="113"/>
      <c r="AG18" s="112"/>
      <c r="AH18" s="112"/>
      <c r="AI18" s="112"/>
      <c r="AJ18" s="112"/>
      <c r="AK18" s="113"/>
      <c r="AL18" s="112"/>
      <c r="AM18" s="112"/>
      <c r="AN18" s="112"/>
      <c r="AO18" s="112"/>
      <c r="AP18" s="113"/>
      <c r="AQ18" s="112"/>
      <c r="AR18" s="112"/>
      <c r="AS18" s="112"/>
      <c r="AT18" s="112"/>
      <c r="AU18" s="113"/>
      <c r="AV18" s="112"/>
      <c r="AW18" s="112"/>
      <c r="AX18" s="112"/>
      <c r="AY18" s="112"/>
      <c r="AZ18" s="113"/>
      <c r="BA18" s="112"/>
      <c r="BB18" s="112"/>
      <c r="BC18" s="112"/>
      <c r="BD18" s="112"/>
      <c r="BE18" s="113"/>
      <c r="BF18" s="112"/>
      <c r="BG18" s="112"/>
      <c r="BH18" s="112"/>
      <c r="BI18" s="112"/>
      <c r="BJ18" s="113"/>
      <c r="BK18" s="112"/>
      <c r="BL18" s="112"/>
      <c r="BM18" s="112"/>
      <c r="BN18" s="112"/>
      <c r="BO18" s="113"/>
    </row>
    <row r="19" spans="2:78" ht="15" hidden="1" customHeight="1" outlineLevel="1">
      <c r="B19" s="258" t="s">
        <v>64</v>
      </c>
      <c r="C19" s="106">
        <f>+C22</f>
        <v>12.968000000000002</v>
      </c>
      <c r="D19" s="106">
        <f t="shared" ref="D19:F19" si="11">+D22</f>
        <v>12.182</v>
      </c>
      <c r="E19" s="106">
        <f t="shared" si="11"/>
        <v>19.878</v>
      </c>
      <c r="F19" s="106">
        <f t="shared" si="11"/>
        <v>23.580000000000002</v>
      </c>
      <c r="G19" s="107">
        <f t="shared" ref="G19:G21" si="12">SUM(C19:F19)</f>
        <v>68.608000000000004</v>
      </c>
      <c r="H19" s="106">
        <f>+H22</f>
        <v>19.023999999999997</v>
      </c>
      <c r="I19" s="106">
        <f t="shared" ref="I19:K19" si="13">+I22</f>
        <v>18.294</v>
      </c>
      <c r="J19" s="106">
        <f t="shared" si="13"/>
        <v>20.184000000000001</v>
      </c>
      <c r="K19" s="106">
        <f t="shared" si="13"/>
        <v>28.446000000000002</v>
      </c>
      <c r="L19" s="107">
        <f t="shared" ref="L19:L21" si="14">SUM(H19:K19)</f>
        <v>85.947999999999993</v>
      </c>
      <c r="M19" s="106">
        <f>+M22</f>
        <v>36.719000000000001</v>
      </c>
      <c r="N19" s="106">
        <f t="shared" ref="N19:P19" si="15">+N22</f>
        <v>26.617999999999999</v>
      </c>
      <c r="O19" s="106">
        <f t="shared" si="15"/>
        <v>34.042000000000002</v>
      </c>
      <c r="P19" s="106">
        <f t="shared" si="15"/>
        <v>38.611999999999995</v>
      </c>
      <c r="Q19" s="107">
        <f t="shared" ref="Q19:Q21" si="16">SUM(M19:P19)</f>
        <v>135.99099999999999</v>
      </c>
      <c r="R19" s="106">
        <f>+R22</f>
        <v>35.875999999999998</v>
      </c>
      <c r="S19" s="106">
        <f t="shared" ref="S19" si="17">+S22</f>
        <v>41.433</v>
      </c>
      <c r="T19" s="106">
        <f>T80</f>
        <v>30.904999999999998</v>
      </c>
      <c r="U19" s="106">
        <f t="shared" ref="U19:U21" si="18">U80</f>
        <v>27.762</v>
      </c>
      <c r="V19" s="306">
        <f t="shared" ref="V19:V26" si="19">U19+T19+S19+R19</f>
        <v>135.976</v>
      </c>
      <c r="W19" s="106">
        <f t="shared" ref="W19:Z21" si="20">W20</f>
        <v>27.175000000000001</v>
      </c>
      <c r="X19" s="106">
        <f t="shared" si="20"/>
        <v>34.609000000000002</v>
      </c>
      <c r="Y19" s="106">
        <f t="shared" si="20"/>
        <v>32.417000000000002</v>
      </c>
      <c r="Z19" s="106">
        <f t="shared" si="20"/>
        <v>41.776000000000003</v>
      </c>
      <c r="AA19" s="107">
        <f t="shared" ref="AA19:AA25" si="21">Z19+Y19+X19+W19</f>
        <v>135.97700000000003</v>
      </c>
      <c r="AB19" s="106"/>
      <c r="AC19" s="106"/>
      <c r="AD19" s="106"/>
      <c r="AE19" s="106"/>
      <c r="AF19" s="107">
        <f t="shared" ref="AF19:AF21" si="22">AF80</f>
        <v>176.77010000000004</v>
      </c>
      <c r="AG19" s="106"/>
      <c r="AH19" s="106"/>
      <c r="AI19" s="106"/>
      <c r="AJ19" s="106"/>
      <c r="AK19" s="107">
        <f t="shared" ref="AK19:AK21" si="23">AK80</f>
        <v>203.28561500000004</v>
      </c>
      <c r="AL19" s="106"/>
      <c r="AM19" s="106"/>
      <c r="AN19" s="106"/>
      <c r="AO19" s="106"/>
      <c r="AP19" s="107">
        <f t="shared" ref="AP19:AP21" si="24">AP80</f>
        <v>213.44989575000005</v>
      </c>
      <c r="AQ19" s="106"/>
      <c r="AR19" s="106"/>
      <c r="AS19" s="106"/>
      <c r="AT19" s="106"/>
      <c r="AU19" s="107">
        <f t="shared" ref="AU19:AU21" si="25">AU80</f>
        <v>224.12239053750005</v>
      </c>
      <c r="AV19" s="106"/>
      <c r="AW19" s="106"/>
      <c r="AX19" s="106"/>
      <c r="AY19" s="106"/>
      <c r="AZ19" s="107">
        <f t="shared" ref="AZ19:AZ21" si="26">AZ80</f>
        <v>233.08728615900006</v>
      </c>
      <c r="BA19" s="106"/>
      <c r="BB19" s="106"/>
      <c r="BC19" s="106"/>
      <c r="BD19" s="106"/>
      <c r="BE19" s="107">
        <f t="shared" ref="BE19:BE21" si="27">BE80</f>
        <v>237.74903188218008</v>
      </c>
      <c r="BF19" s="106"/>
      <c r="BG19" s="106"/>
      <c r="BH19" s="106"/>
      <c r="BI19" s="106"/>
      <c r="BJ19" s="107">
        <f t="shared" ref="BJ19:BJ21" si="28">BJ80</f>
        <v>240.12652220100188</v>
      </c>
      <c r="BK19" s="106"/>
      <c r="BL19" s="106"/>
      <c r="BM19" s="106"/>
      <c r="BN19" s="106"/>
      <c r="BO19" s="107">
        <f t="shared" ref="BO19:BO21" si="29">BO80</f>
        <v>240.12652220100188</v>
      </c>
    </row>
    <row r="20" spans="2:78" ht="15" hidden="1" customHeight="1" outlineLevel="1">
      <c r="B20" s="258" t="s">
        <v>65</v>
      </c>
      <c r="C20" s="106">
        <f>+C22</f>
        <v>12.968000000000002</v>
      </c>
      <c r="D20" s="106">
        <f t="shared" ref="D20:F20" si="30">+D22</f>
        <v>12.182</v>
      </c>
      <c r="E20" s="106">
        <f t="shared" si="30"/>
        <v>19.878</v>
      </c>
      <c r="F20" s="106">
        <f t="shared" si="30"/>
        <v>23.580000000000002</v>
      </c>
      <c r="G20" s="107">
        <f t="shared" si="12"/>
        <v>68.608000000000004</v>
      </c>
      <c r="H20" s="106">
        <f>+H22</f>
        <v>19.023999999999997</v>
      </c>
      <c r="I20" s="106">
        <f t="shared" ref="I20:K20" si="31">+I22</f>
        <v>18.294</v>
      </c>
      <c r="J20" s="106">
        <f t="shared" si="31"/>
        <v>20.184000000000001</v>
      </c>
      <c r="K20" s="106">
        <f t="shared" si="31"/>
        <v>28.446000000000002</v>
      </c>
      <c r="L20" s="107">
        <f t="shared" si="14"/>
        <v>85.947999999999993</v>
      </c>
      <c r="M20" s="106">
        <f>+M22</f>
        <v>36.719000000000001</v>
      </c>
      <c r="N20" s="106">
        <f t="shared" ref="N20:P20" si="32">+N22</f>
        <v>26.617999999999999</v>
      </c>
      <c r="O20" s="106">
        <f t="shared" si="32"/>
        <v>34.042000000000002</v>
      </c>
      <c r="P20" s="106">
        <f t="shared" si="32"/>
        <v>38.611999999999995</v>
      </c>
      <c r="Q20" s="107">
        <f t="shared" si="16"/>
        <v>135.99099999999999</v>
      </c>
      <c r="R20" s="106">
        <f>+R22</f>
        <v>35.875999999999998</v>
      </c>
      <c r="S20" s="106">
        <f t="shared" ref="S20" si="33">+S22</f>
        <v>41.433</v>
      </c>
      <c r="T20" s="106">
        <f>T81</f>
        <v>30.904999999999998</v>
      </c>
      <c r="U20" s="106">
        <f t="shared" si="18"/>
        <v>27.762</v>
      </c>
      <c r="V20" s="306">
        <f t="shared" si="19"/>
        <v>135.976</v>
      </c>
      <c r="W20" s="106">
        <f t="shared" si="20"/>
        <v>27.175000000000001</v>
      </c>
      <c r="X20" s="106">
        <f t="shared" si="20"/>
        <v>34.609000000000002</v>
      </c>
      <c r="Y20" s="106">
        <f t="shared" si="20"/>
        <v>32.417000000000002</v>
      </c>
      <c r="Z20" s="106">
        <f t="shared" si="20"/>
        <v>41.776000000000003</v>
      </c>
      <c r="AA20" s="107">
        <f t="shared" si="21"/>
        <v>135.97700000000003</v>
      </c>
      <c r="AB20" s="106"/>
      <c r="AC20" s="106"/>
      <c r="AD20" s="106"/>
      <c r="AE20" s="106"/>
      <c r="AF20" s="107">
        <f t="shared" si="22"/>
        <v>163.17240000000004</v>
      </c>
      <c r="AG20" s="106"/>
      <c r="AH20" s="106"/>
      <c r="AI20" s="106"/>
      <c r="AJ20" s="106"/>
      <c r="AK20" s="107">
        <f t="shared" si="23"/>
        <v>179.48964000000007</v>
      </c>
      <c r="AL20" s="106"/>
      <c r="AM20" s="106"/>
      <c r="AN20" s="106"/>
      <c r="AO20" s="106"/>
      <c r="AP20" s="107">
        <f t="shared" si="24"/>
        <v>197.43860400000008</v>
      </c>
      <c r="AQ20" s="106"/>
      <c r="AR20" s="106"/>
      <c r="AS20" s="106"/>
      <c r="AT20" s="106"/>
      <c r="AU20" s="107">
        <f t="shared" si="25"/>
        <v>207.31053420000009</v>
      </c>
      <c r="AV20" s="106"/>
      <c r="AW20" s="106"/>
      <c r="AX20" s="106"/>
      <c r="AY20" s="106"/>
      <c r="AZ20" s="107">
        <f t="shared" si="26"/>
        <v>217.6760609100001</v>
      </c>
      <c r="BA20" s="106"/>
      <c r="BB20" s="106"/>
      <c r="BC20" s="106"/>
      <c r="BD20" s="106"/>
      <c r="BE20" s="107">
        <f t="shared" si="27"/>
        <v>223.11796243275009</v>
      </c>
      <c r="BF20" s="106"/>
      <c r="BG20" s="106"/>
      <c r="BH20" s="106"/>
      <c r="BI20" s="106"/>
      <c r="BJ20" s="107">
        <f t="shared" si="28"/>
        <v>228.69591149356881</v>
      </c>
      <c r="BK20" s="106"/>
      <c r="BL20" s="106"/>
      <c r="BM20" s="106"/>
      <c r="BN20" s="106"/>
      <c r="BO20" s="107">
        <f t="shared" si="29"/>
        <v>234.41330928090801</v>
      </c>
    </row>
    <row r="21" spans="2:78" ht="15" hidden="1" customHeight="1" outlineLevel="1">
      <c r="B21" s="258" t="s">
        <v>66</v>
      </c>
      <c r="C21" s="106">
        <f>+C22</f>
        <v>12.968000000000002</v>
      </c>
      <c r="D21" s="106">
        <f t="shared" ref="D21:F21" si="34">+D22</f>
        <v>12.182</v>
      </c>
      <c r="E21" s="106">
        <f t="shared" si="34"/>
        <v>19.878</v>
      </c>
      <c r="F21" s="106">
        <f t="shared" si="34"/>
        <v>23.580000000000002</v>
      </c>
      <c r="G21" s="107">
        <f t="shared" si="12"/>
        <v>68.608000000000004</v>
      </c>
      <c r="H21" s="106">
        <f>+H22</f>
        <v>19.023999999999997</v>
      </c>
      <c r="I21" s="106">
        <f t="shared" ref="I21" si="35">+I22</f>
        <v>18.294</v>
      </c>
      <c r="J21" s="106">
        <f t="shared" ref="J21" si="36">+J22</f>
        <v>20.184000000000001</v>
      </c>
      <c r="K21" s="106">
        <f t="shared" ref="K21" si="37">+K22</f>
        <v>28.446000000000002</v>
      </c>
      <c r="L21" s="107">
        <f t="shared" si="14"/>
        <v>85.947999999999993</v>
      </c>
      <c r="M21" s="106">
        <f>+M22</f>
        <v>36.719000000000001</v>
      </c>
      <c r="N21" s="106">
        <f t="shared" ref="N21" si="38">+N22</f>
        <v>26.617999999999999</v>
      </c>
      <c r="O21" s="106">
        <f t="shared" ref="O21" si="39">+O22</f>
        <v>34.042000000000002</v>
      </c>
      <c r="P21" s="106">
        <f t="shared" ref="P21" si="40">+P22</f>
        <v>38.611999999999995</v>
      </c>
      <c r="Q21" s="107">
        <f t="shared" si="16"/>
        <v>135.99099999999999</v>
      </c>
      <c r="R21" s="106">
        <f>+R22</f>
        <v>35.875999999999998</v>
      </c>
      <c r="S21" s="106">
        <f t="shared" ref="S21" si="41">+S22</f>
        <v>41.433</v>
      </c>
      <c r="T21" s="106">
        <f>T82</f>
        <v>30.904999999999998</v>
      </c>
      <c r="U21" s="106">
        <f t="shared" si="18"/>
        <v>27.762</v>
      </c>
      <c r="V21" s="306">
        <f t="shared" si="19"/>
        <v>135.976</v>
      </c>
      <c r="W21" s="106">
        <f t="shared" si="20"/>
        <v>27.175000000000001</v>
      </c>
      <c r="X21" s="106">
        <f t="shared" si="20"/>
        <v>34.609000000000002</v>
      </c>
      <c r="Y21" s="106">
        <f t="shared" si="20"/>
        <v>32.417000000000002</v>
      </c>
      <c r="Z21" s="106">
        <f t="shared" si="20"/>
        <v>41.776000000000003</v>
      </c>
      <c r="AA21" s="107">
        <f t="shared" si="21"/>
        <v>135.97700000000003</v>
      </c>
      <c r="AB21" s="106"/>
      <c r="AC21" s="106"/>
      <c r="AD21" s="106"/>
      <c r="AE21" s="106"/>
      <c r="AF21" s="107">
        <f t="shared" si="22"/>
        <v>146.85516000000004</v>
      </c>
      <c r="AG21" s="106"/>
      <c r="AH21" s="106"/>
      <c r="AI21" s="106"/>
      <c r="AJ21" s="106"/>
      <c r="AK21" s="107">
        <f t="shared" si="23"/>
        <v>149.79226320000004</v>
      </c>
      <c r="AL21" s="106"/>
      <c r="AM21" s="106"/>
      <c r="AN21" s="106"/>
      <c r="AO21" s="106"/>
      <c r="AP21" s="107">
        <f t="shared" si="24"/>
        <v>134.81303688000003</v>
      </c>
      <c r="AQ21" s="106"/>
      <c r="AR21" s="106"/>
      <c r="AS21" s="106"/>
      <c r="AT21" s="106"/>
      <c r="AU21" s="107">
        <f t="shared" si="25"/>
        <v>114.59108134800002</v>
      </c>
      <c r="AV21" s="106"/>
      <c r="AW21" s="106"/>
      <c r="AX21" s="106"/>
      <c r="AY21" s="106"/>
      <c r="AZ21" s="107">
        <f t="shared" si="26"/>
        <v>97.40241914580001</v>
      </c>
      <c r="BA21" s="106"/>
      <c r="BB21" s="106"/>
      <c r="BC21" s="106"/>
      <c r="BD21" s="106"/>
      <c r="BE21" s="107">
        <f t="shared" si="27"/>
        <v>82.792056273930001</v>
      </c>
      <c r="BF21" s="106"/>
      <c r="BG21" s="106"/>
      <c r="BH21" s="106"/>
      <c r="BI21" s="106"/>
      <c r="BJ21" s="107">
        <f t="shared" si="28"/>
        <v>70.373247832840505</v>
      </c>
      <c r="BK21" s="106"/>
      <c r="BL21" s="106"/>
      <c r="BM21" s="106"/>
      <c r="BN21" s="106"/>
      <c r="BO21" s="107">
        <f t="shared" si="29"/>
        <v>59.817260657914424</v>
      </c>
    </row>
    <row r="22" spans="2:78" ht="15" customHeight="1" collapsed="1">
      <c r="B22" s="114" t="s">
        <v>10</v>
      </c>
      <c r="C22" s="106">
        <f>13.762+C58+C63</f>
        <v>12.968000000000002</v>
      </c>
      <c r="D22" s="106">
        <f>12.984+D58+D63</f>
        <v>12.182</v>
      </c>
      <c r="E22" s="106">
        <f>21.087+E58+E63</f>
        <v>19.878</v>
      </c>
      <c r="F22" s="106">
        <f>25.076+F58+F63</f>
        <v>23.580000000000002</v>
      </c>
      <c r="G22" s="107">
        <f t="shared" ref="G22:G26" si="42">SUM(C22:F22)</f>
        <v>68.608000000000004</v>
      </c>
      <c r="H22" s="106">
        <f>20.906+H58+H63</f>
        <v>19.023999999999997</v>
      </c>
      <c r="I22" s="106">
        <f>20.641+I58+I63</f>
        <v>18.294</v>
      </c>
      <c r="J22" s="106">
        <f>21.852+J58+J63</f>
        <v>20.184000000000001</v>
      </c>
      <c r="K22" s="106">
        <f>30.832+K58+K63</f>
        <v>28.446000000000002</v>
      </c>
      <c r="L22" s="107">
        <f t="shared" ref="L22:L26" si="43">SUM(H22:K22)</f>
        <v>85.947999999999993</v>
      </c>
      <c r="M22" s="106">
        <f>39.165+M58+M63</f>
        <v>36.719000000000001</v>
      </c>
      <c r="N22" s="106">
        <f>29.18+N58+N63</f>
        <v>26.617999999999999</v>
      </c>
      <c r="O22" s="106">
        <f>36.673+O58+O63</f>
        <v>34.042000000000002</v>
      </c>
      <c r="P22" s="106">
        <f>41.376+P58+P63</f>
        <v>38.611999999999995</v>
      </c>
      <c r="Q22" s="107">
        <f t="shared" ref="Q22:Q26" si="44">SUM(M22:P22)</f>
        <v>135.99099999999999</v>
      </c>
      <c r="R22" s="106">
        <f>38.826+R58+R63+R68</f>
        <v>35.875999999999998</v>
      </c>
      <c r="S22" s="106">
        <f>44.348+S58+S63+S68</f>
        <v>41.433</v>
      </c>
      <c r="T22" s="106">
        <f>34.349+T58+T63+T68</f>
        <v>30.904999999999998</v>
      </c>
      <c r="U22" s="106">
        <f>70.749+U58+U63+U68</f>
        <v>27.762</v>
      </c>
      <c r="V22" s="306">
        <f t="shared" si="19"/>
        <v>135.976</v>
      </c>
      <c r="W22" s="106">
        <f>29.119+W58+W63</f>
        <v>27.175000000000001</v>
      </c>
      <c r="X22" s="106">
        <f>58.908+X58+X63</f>
        <v>34.609000000000002</v>
      </c>
      <c r="Y22" s="106">
        <f>34.239+Y58+Y63</f>
        <v>32.417000000000002</v>
      </c>
      <c r="Z22" s="106">
        <f>44.441+Z58+Z63</f>
        <v>41.776000000000003</v>
      </c>
      <c r="AA22" s="107">
        <f>166.707+AA58+AA63</f>
        <v>135.977</v>
      </c>
      <c r="AB22" s="106">
        <v>40</v>
      </c>
      <c r="AC22" s="106">
        <f>AF22*0.24</f>
        <v>39.161376000000011</v>
      </c>
      <c r="AD22" s="106">
        <f>AF22*0.26</f>
        <v>42.424824000000008</v>
      </c>
      <c r="AE22" s="106">
        <f>AF22-SUM(AB22:AD22)</f>
        <v>41.586200000000019</v>
      </c>
      <c r="AF22" s="107">
        <f>CHOOSE($B$77,AF19,AF20,AF21)</f>
        <v>163.17240000000004</v>
      </c>
      <c r="AG22" s="106"/>
      <c r="AH22" s="106"/>
      <c r="AI22" s="106"/>
      <c r="AJ22" s="106"/>
      <c r="AK22" s="107">
        <f>CHOOSE($B$77,AK19,AK20,AK21)</f>
        <v>179.48964000000007</v>
      </c>
      <c r="AL22" s="106"/>
      <c r="AM22" s="106"/>
      <c r="AN22" s="106"/>
      <c r="AO22" s="106"/>
      <c r="AP22" s="107">
        <f>CHOOSE($B$77,AP19,AP20,AP21)</f>
        <v>197.43860400000008</v>
      </c>
      <c r="AQ22" s="106"/>
      <c r="AR22" s="106"/>
      <c r="AS22" s="106"/>
      <c r="AT22" s="106"/>
      <c r="AU22" s="107">
        <f>CHOOSE($B$77,AU19,AU20,AU21)</f>
        <v>207.31053420000009</v>
      </c>
      <c r="AV22" s="106"/>
      <c r="AW22" s="106"/>
      <c r="AX22" s="106"/>
      <c r="AY22" s="106"/>
      <c r="AZ22" s="107">
        <f>CHOOSE($B$77,AZ19,AZ20,AZ21)</f>
        <v>217.6760609100001</v>
      </c>
      <c r="BA22" s="106"/>
      <c r="BB22" s="106"/>
      <c r="BC22" s="106"/>
      <c r="BD22" s="106"/>
      <c r="BE22" s="107">
        <f>CHOOSE($B$77,BE19,BE20,BE21)</f>
        <v>223.11796243275009</v>
      </c>
      <c r="BF22" s="106"/>
      <c r="BG22" s="106"/>
      <c r="BH22" s="106"/>
      <c r="BI22" s="106"/>
      <c r="BJ22" s="107">
        <f>CHOOSE($B$77,BJ19,BJ20,BJ21)</f>
        <v>228.69591149356881</v>
      </c>
      <c r="BK22" s="106"/>
      <c r="BL22" s="106"/>
      <c r="BM22" s="106"/>
      <c r="BN22" s="106"/>
      <c r="BO22" s="107">
        <f>CHOOSE($B$77,BO19,BO20,BO21)</f>
        <v>234.41330928090801</v>
      </c>
    </row>
    <row r="23" spans="2:78" ht="15" hidden="1" customHeight="1" outlineLevel="1">
      <c r="B23" s="258" t="s">
        <v>64</v>
      </c>
      <c r="C23" s="106">
        <f>+C26</f>
        <v>4.7879999999999994</v>
      </c>
      <c r="D23" s="106">
        <f t="shared" ref="D23:F23" si="45">+D26</f>
        <v>5.3289999999999997</v>
      </c>
      <c r="E23" s="106">
        <f t="shared" si="45"/>
        <v>5.6819999999999995</v>
      </c>
      <c r="F23" s="106">
        <f t="shared" si="45"/>
        <v>8.2049999999999983</v>
      </c>
      <c r="G23" s="107">
        <f t="shared" si="42"/>
        <v>24.003999999999998</v>
      </c>
      <c r="H23" s="106">
        <f>+H26</f>
        <v>7.8340000000000014</v>
      </c>
      <c r="I23" s="106">
        <f t="shared" ref="I23:K23" si="46">+I26</f>
        <v>8.9710000000000001</v>
      </c>
      <c r="J23" s="106">
        <f t="shared" si="46"/>
        <v>9.9009999999999998</v>
      </c>
      <c r="K23" s="106">
        <f t="shared" si="46"/>
        <v>10.532999999999999</v>
      </c>
      <c r="L23" s="107">
        <f t="shared" si="43"/>
        <v>37.238999999999997</v>
      </c>
      <c r="M23" s="106">
        <f>+M26</f>
        <v>10.986999999999998</v>
      </c>
      <c r="N23" s="106">
        <f t="shared" ref="N23:P23" si="47">+N26</f>
        <v>9.5589999999999993</v>
      </c>
      <c r="O23" s="106">
        <f t="shared" si="47"/>
        <v>12.038</v>
      </c>
      <c r="P23" s="106">
        <f t="shared" si="47"/>
        <v>20.745000000000001</v>
      </c>
      <c r="Q23" s="107">
        <f t="shared" si="44"/>
        <v>53.329000000000008</v>
      </c>
      <c r="R23" s="106">
        <f>+R26</f>
        <v>16.604000000000003</v>
      </c>
      <c r="S23" s="106">
        <f t="shared" ref="S23:T23" si="48">+S26</f>
        <v>13.210999999999999</v>
      </c>
      <c r="T23" s="106">
        <f t="shared" si="48"/>
        <v>14.791</v>
      </c>
      <c r="U23" s="106">
        <f t="shared" ref="U23" si="49">+U26</f>
        <v>16.131</v>
      </c>
      <c r="V23" s="306">
        <f t="shared" si="19"/>
        <v>60.736999999999995</v>
      </c>
      <c r="W23" s="106">
        <f t="shared" ref="W23:Z25" si="50">W24</f>
        <v>22.212</v>
      </c>
      <c r="X23" s="106">
        <f t="shared" si="50"/>
        <v>25.379000000000005</v>
      </c>
      <c r="Y23" s="106">
        <f t="shared" si="50"/>
        <v>23.062999999999999</v>
      </c>
      <c r="Z23" s="106">
        <f t="shared" si="50"/>
        <v>27.273</v>
      </c>
      <c r="AA23" s="107">
        <f t="shared" si="21"/>
        <v>97.927000000000007</v>
      </c>
      <c r="AB23" s="106"/>
      <c r="AC23" s="106"/>
      <c r="AD23" s="106"/>
      <c r="AE23" s="106"/>
      <c r="AF23" s="107">
        <f>AF88</f>
        <v>129.753275</v>
      </c>
      <c r="AG23" s="106"/>
      <c r="AH23" s="106"/>
      <c r="AI23" s="106"/>
      <c r="AJ23" s="106"/>
      <c r="AK23" s="107">
        <f>AK88</f>
        <v>142.72860250000002</v>
      </c>
      <c r="AL23" s="106"/>
      <c r="AM23" s="106"/>
      <c r="AN23" s="106"/>
      <c r="AO23" s="106"/>
      <c r="AP23" s="107">
        <f>AP88</f>
        <v>155.57417672500003</v>
      </c>
      <c r="AQ23" s="106"/>
      <c r="AR23" s="106"/>
      <c r="AS23" s="106"/>
      <c r="AT23" s="106"/>
      <c r="AU23" s="107">
        <f>AU88</f>
        <v>163.35288556125005</v>
      </c>
      <c r="AV23" s="106"/>
      <c r="AW23" s="106"/>
      <c r="AX23" s="106"/>
      <c r="AY23" s="106"/>
      <c r="AZ23" s="107">
        <f>AZ88</f>
        <v>168.25347212808757</v>
      </c>
      <c r="BA23" s="106"/>
      <c r="BB23" s="106"/>
      <c r="BC23" s="106"/>
      <c r="BD23" s="106"/>
      <c r="BE23" s="107">
        <f>BE88</f>
        <v>169.93600684936845</v>
      </c>
      <c r="BF23" s="106"/>
      <c r="BG23" s="106"/>
      <c r="BH23" s="106"/>
      <c r="BI23" s="106"/>
      <c r="BJ23" s="107">
        <f>BJ88</f>
        <v>170.78568688361528</v>
      </c>
      <c r="BK23" s="106"/>
      <c r="BL23" s="106"/>
      <c r="BM23" s="106"/>
      <c r="BN23" s="106"/>
      <c r="BO23" s="107">
        <f>BO88</f>
        <v>171.63961531803335</v>
      </c>
    </row>
    <row r="24" spans="2:78" ht="15" hidden="1" customHeight="1" outlineLevel="1">
      <c r="B24" s="258" t="s">
        <v>65</v>
      </c>
      <c r="C24" s="106">
        <f>+C26</f>
        <v>4.7879999999999994</v>
      </c>
      <c r="D24" s="106">
        <f t="shared" ref="D24:F24" si="51">+D26</f>
        <v>5.3289999999999997</v>
      </c>
      <c r="E24" s="106">
        <f t="shared" si="51"/>
        <v>5.6819999999999995</v>
      </c>
      <c r="F24" s="106">
        <f t="shared" si="51"/>
        <v>8.2049999999999983</v>
      </c>
      <c r="G24" s="107">
        <f t="shared" si="42"/>
        <v>24.003999999999998</v>
      </c>
      <c r="H24" s="106">
        <f>+H26</f>
        <v>7.8340000000000014</v>
      </c>
      <c r="I24" s="106">
        <f t="shared" ref="I24:K24" si="52">+I26</f>
        <v>8.9710000000000001</v>
      </c>
      <c r="J24" s="106">
        <f t="shared" si="52"/>
        <v>9.9009999999999998</v>
      </c>
      <c r="K24" s="106">
        <f t="shared" si="52"/>
        <v>10.532999999999999</v>
      </c>
      <c r="L24" s="107">
        <f t="shared" si="43"/>
        <v>37.238999999999997</v>
      </c>
      <c r="M24" s="106">
        <f>+M26</f>
        <v>10.986999999999998</v>
      </c>
      <c r="N24" s="106">
        <f t="shared" ref="N24:P24" si="53">+N26</f>
        <v>9.5589999999999993</v>
      </c>
      <c r="O24" s="106">
        <f t="shared" si="53"/>
        <v>12.038</v>
      </c>
      <c r="P24" s="106">
        <f t="shared" si="53"/>
        <v>20.745000000000001</v>
      </c>
      <c r="Q24" s="107">
        <f t="shared" si="44"/>
        <v>53.329000000000008</v>
      </c>
      <c r="R24" s="106">
        <f>+R26</f>
        <v>16.604000000000003</v>
      </c>
      <c r="S24" s="106">
        <f t="shared" ref="S24:T24" si="54">+S26</f>
        <v>13.210999999999999</v>
      </c>
      <c r="T24" s="106">
        <f t="shared" si="54"/>
        <v>14.791</v>
      </c>
      <c r="U24" s="106">
        <f t="shared" ref="U24" si="55">+U26</f>
        <v>16.131</v>
      </c>
      <c r="V24" s="306">
        <f t="shared" si="19"/>
        <v>60.736999999999995</v>
      </c>
      <c r="W24" s="106">
        <f t="shared" si="50"/>
        <v>22.212</v>
      </c>
      <c r="X24" s="106">
        <f t="shared" si="50"/>
        <v>25.379000000000005</v>
      </c>
      <c r="Y24" s="106">
        <f t="shared" si="50"/>
        <v>23.062999999999999</v>
      </c>
      <c r="Z24" s="106">
        <f t="shared" si="50"/>
        <v>27.273</v>
      </c>
      <c r="AA24" s="107">
        <f t="shared" si="21"/>
        <v>97.927000000000007</v>
      </c>
      <c r="AB24" s="106"/>
      <c r="AC24" s="106"/>
      <c r="AD24" s="106"/>
      <c r="AE24" s="106"/>
      <c r="AF24" s="107">
        <f>AF89</f>
        <v>117.5124</v>
      </c>
      <c r="AG24" s="106"/>
      <c r="AH24" s="106"/>
      <c r="AI24" s="106"/>
      <c r="AJ24" s="106"/>
      <c r="AK24" s="107">
        <f>AK89</f>
        <v>135.13925999999998</v>
      </c>
      <c r="AL24" s="106"/>
      <c r="AM24" s="106"/>
      <c r="AN24" s="106"/>
      <c r="AO24" s="106"/>
      <c r="AP24" s="107">
        <f>AP89</f>
        <v>141.89622299999999</v>
      </c>
      <c r="AQ24" s="106"/>
      <c r="AR24" s="106"/>
      <c r="AS24" s="106"/>
      <c r="AT24" s="106"/>
      <c r="AU24" s="107">
        <f>AU89</f>
        <v>145.44362857499999</v>
      </c>
      <c r="AV24" s="106"/>
      <c r="AW24" s="106"/>
      <c r="AX24" s="106"/>
      <c r="AY24" s="106"/>
      <c r="AZ24" s="107">
        <f>AZ89</f>
        <v>147.62528300362499</v>
      </c>
      <c r="BA24" s="106"/>
      <c r="BB24" s="106"/>
      <c r="BC24" s="106"/>
      <c r="BD24" s="106"/>
      <c r="BE24" s="107">
        <f>BE89</f>
        <v>149.83966224867936</v>
      </c>
      <c r="BF24" s="106"/>
      <c r="BG24" s="106"/>
      <c r="BH24" s="106"/>
      <c r="BI24" s="106"/>
      <c r="BJ24" s="107">
        <f>BJ89</f>
        <v>152.08725718240953</v>
      </c>
      <c r="BK24" s="106"/>
      <c r="BL24" s="106"/>
      <c r="BM24" s="106"/>
      <c r="BN24" s="106"/>
      <c r="BO24" s="107">
        <f>BO89</f>
        <v>154.36856604014565</v>
      </c>
    </row>
    <row r="25" spans="2:78" ht="15" hidden="1" customHeight="1" outlineLevel="1">
      <c r="B25" s="258" t="s">
        <v>66</v>
      </c>
      <c r="C25" s="106">
        <f>+C26</f>
        <v>4.7879999999999994</v>
      </c>
      <c r="D25" s="106">
        <f t="shared" ref="D25:F25" si="56">+D26</f>
        <v>5.3289999999999997</v>
      </c>
      <c r="E25" s="106">
        <f t="shared" si="56"/>
        <v>5.6819999999999995</v>
      </c>
      <c r="F25" s="106">
        <f t="shared" si="56"/>
        <v>8.2049999999999983</v>
      </c>
      <c r="G25" s="107">
        <f t="shared" si="42"/>
        <v>24.003999999999998</v>
      </c>
      <c r="H25" s="106">
        <f>+H26</f>
        <v>7.8340000000000014</v>
      </c>
      <c r="I25" s="106">
        <f t="shared" ref="I25" si="57">+I26</f>
        <v>8.9710000000000001</v>
      </c>
      <c r="J25" s="106">
        <f t="shared" ref="J25" si="58">+J26</f>
        <v>9.9009999999999998</v>
      </c>
      <c r="K25" s="106">
        <f t="shared" ref="K25" si="59">+K26</f>
        <v>10.532999999999999</v>
      </c>
      <c r="L25" s="107">
        <f t="shared" si="43"/>
        <v>37.238999999999997</v>
      </c>
      <c r="M25" s="106">
        <f>+M26</f>
        <v>10.986999999999998</v>
      </c>
      <c r="N25" s="106">
        <f t="shared" ref="N25" si="60">+N26</f>
        <v>9.5589999999999993</v>
      </c>
      <c r="O25" s="106">
        <f t="shared" ref="O25" si="61">+O26</f>
        <v>12.038</v>
      </c>
      <c r="P25" s="106">
        <f t="shared" ref="P25" si="62">+P26</f>
        <v>20.745000000000001</v>
      </c>
      <c r="Q25" s="107">
        <f t="shared" si="44"/>
        <v>53.329000000000008</v>
      </c>
      <c r="R25" s="106">
        <f>+R26</f>
        <v>16.604000000000003</v>
      </c>
      <c r="S25" s="106">
        <f t="shared" ref="S25:U25" si="63">+S26</f>
        <v>13.210999999999999</v>
      </c>
      <c r="T25" s="106">
        <f t="shared" si="63"/>
        <v>14.791</v>
      </c>
      <c r="U25" s="106">
        <f t="shared" si="63"/>
        <v>16.131</v>
      </c>
      <c r="V25" s="306">
        <f t="shared" si="19"/>
        <v>60.736999999999995</v>
      </c>
      <c r="W25" s="106">
        <f t="shared" si="50"/>
        <v>22.212</v>
      </c>
      <c r="X25" s="106">
        <f t="shared" si="50"/>
        <v>25.379000000000005</v>
      </c>
      <c r="Y25" s="106">
        <f t="shared" si="50"/>
        <v>23.062999999999999</v>
      </c>
      <c r="Z25" s="106">
        <f t="shared" si="50"/>
        <v>27.273</v>
      </c>
      <c r="AA25" s="107">
        <f t="shared" si="21"/>
        <v>97.927000000000007</v>
      </c>
      <c r="AB25" s="106"/>
      <c r="AC25" s="106"/>
      <c r="AD25" s="106"/>
      <c r="AE25" s="106"/>
      <c r="AF25" s="107">
        <f>AF90</f>
        <v>103.80262000000002</v>
      </c>
      <c r="AG25" s="106"/>
      <c r="AH25" s="106"/>
      <c r="AI25" s="106"/>
      <c r="AJ25" s="106"/>
      <c r="AK25" s="107">
        <f>AK90</f>
        <v>105.3596593</v>
      </c>
      <c r="AL25" s="106"/>
      <c r="AM25" s="106"/>
      <c r="AN25" s="106"/>
      <c r="AO25" s="106"/>
      <c r="AP25" s="107">
        <f>AP90</f>
        <v>94.823693370000001</v>
      </c>
      <c r="AQ25" s="106"/>
      <c r="AR25" s="106"/>
      <c r="AS25" s="106"/>
      <c r="AT25" s="106"/>
      <c r="AU25" s="107">
        <f>AU90</f>
        <v>85.341324033000006</v>
      </c>
      <c r="AV25" s="106"/>
      <c r="AW25" s="106"/>
      <c r="AX25" s="106"/>
      <c r="AY25" s="106"/>
      <c r="AZ25" s="107">
        <f>AZ90</f>
        <v>76.807191629700014</v>
      </c>
      <c r="BA25" s="106"/>
      <c r="BB25" s="106"/>
      <c r="BC25" s="106"/>
      <c r="BD25" s="106"/>
      <c r="BE25" s="107">
        <f>BE90</f>
        <v>69.126472466730021</v>
      </c>
      <c r="BF25" s="106"/>
      <c r="BG25" s="106"/>
      <c r="BH25" s="106"/>
      <c r="BI25" s="106"/>
      <c r="BJ25" s="107">
        <f>BJ90</f>
        <v>62.213825220057018</v>
      </c>
      <c r="BK25" s="106"/>
      <c r="BL25" s="106"/>
      <c r="BM25" s="106"/>
      <c r="BN25" s="106"/>
      <c r="BO25" s="107">
        <f>BO90</f>
        <v>55.99244269805132</v>
      </c>
    </row>
    <row r="26" spans="2:78" ht="15" customHeight="1" collapsed="1">
      <c r="B26" s="114" t="s">
        <v>12</v>
      </c>
      <c r="C26" s="106">
        <f>6.127+C59+C64</f>
        <v>4.7879999999999994</v>
      </c>
      <c r="D26" s="106">
        <f>7.054+D59+D64</f>
        <v>5.3289999999999997</v>
      </c>
      <c r="E26" s="106">
        <f>8.014+E59+E64</f>
        <v>5.6819999999999995</v>
      </c>
      <c r="F26" s="106">
        <f>10.399+F59+F64</f>
        <v>8.2049999999999983</v>
      </c>
      <c r="G26" s="107">
        <f t="shared" si="42"/>
        <v>24.003999999999998</v>
      </c>
      <c r="H26" s="106">
        <f>10.303+H59+H64</f>
        <v>7.8340000000000014</v>
      </c>
      <c r="I26" s="106">
        <f>12.213+I59+I64</f>
        <v>8.9710000000000001</v>
      </c>
      <c r="J26" s="106">
        <f>12.882+J59+J64</f>
        <v>9.9009999999999998</v>
      </c>
      <c r="K26" s="106">
        <f>13.917+K59+K64</f>
        <v>10.532999999999999</v>
      </c>
      <c r="L26" s="107">
        <f t="shared" si="43"/>
        <v>37.238999999999997</v>
      </c>
      <c r="M26" s="106">
        <f>22.697+M59+M64</f>
        <v>10.986999999999998</v>
      </c>
      <c r="N26" s="106">
        <f>12.927+N59+N64</f>
        <v>9.5589999999999993</v>
      </c>
      <c r="O26" s="106">
        <f>15.09+O59+O63</f>
        <v>12.038</v>
      </c>
      <c r="P26" s="106">
        <f>24.329+P59+P64</f>
        <v>20.745000000000001</v>
      </c>
      <c r="Q26" s="107">
        <f t="shared" si="44"/>
        <v>53.329000000000008</v>
      </c>
      <c r="R26" s="106">
        <f>20.876+R59+R64</f>
        <v>16.604000000000003</v>
      </c>
      <c r="S26" s="106">
        <f>17.752+S59+S64</f>
        <v>13.210999999999999</v>
      </c>
      <c r="T26" s="106">
        <f>22.184+T59+T64</f>
        <v>14.791</v>
      </c>
      <c r="U26" s="106">
        <f>22.937+U59+U64</f>
        <v>16.131</v>
      </c>
      <c r="V26" s="306">
        <f t="shared" si="19"/>
        <v>60.736999999999995</v>
      </c>
      <c r="W26" s="106">
        <f>26.216+W59+W64</f>
        <v>22.212</v>
      </c>
      <c r="X26" s="106">
        <f>36.069+X59+X64</f>
        <v>25.379000000000005</v>
      </c>
      <c r="Y26" s="106">
        <f>28.176+Y59+Y64</f>
        <v>23.062999999999999</v>
      </c>
      <c r="Z26" s="106">
        <f>32.221+Z59+Z64</f>
        <v>27.273</v>
      </c>
      <c r="AA26" s="107">
        <f>122.682+AA59+AA64</f>
        <v>97.927000000000007</v>
      </c>
      <c r="AB26" s="106">
        <f>AF26*0.24</f>
        <v>28.202976</v>
      </c>
      <c r="AC26" s="106">
        <f>AF26*0.25</f>
        <v>29.3781</v>
      </c>
      <c r="AD26" s="106">
        <f>AF26*0.25</f>
        <v>29.3781</v>
      </c>
      <c r="AE26" s="106">
        <f>AF26-SUM(AB26:AD26)</f>
        <v>30.553224</v>
      </c>
      <c r="AF26" s="107">
        <f>CHOOSE($B$77,AF23,AF24,AF25)</f>
        <v>117.5124</v>
      </c>
      <c r="AG26" s="106"/>
      <c r="AH26" s="106"/>
      <c r="AI26" s="106"/>
      <c r="AJ26" s="106"/>
      <c r="AK26" s="107">
        <f>CHOOSE($B$77,AK23,AK24,AK25)</f>
        <v>135.13925999999998</v>
      </c>
      <c r="AL26" s="106"/>
      <c r="AM26" s="106"/>
      <c r="AN26" s="106"/>
      <c r="AO26" s="106"/>
      <c r="AP26" s="107">
        <f>CHOOSE($B$77,AP23,AP24,AP25)</f>
        <v>141.89622299999999</v>
      </c>
      <c r="AQ26" s="106"/>
      <c r="AR26" s="106"/>
      <c r="AS26" s="106"/>
      <c r="AT26" s="106"/>
      <c r="AU26" s="107">
        <f>CHOOSE($B$77,AU23,AU24,AU25)</f>
        <v>145.44362857499999</v>
      </c>
      <c r="AV26" s="106"/>
      <c r="AW26" s="106"/>
      <c r="AX26" s="106"/>
      <c r="AY26" s="106"/>
      <c r="AZ26" s="107">
        <f>CHOOSE($B$77,AZ23,AZ24,AZ25)</f>
        <v>147.62528300362499</v>
      </c>
      <c r="BA26" s="106"/>
      <c r="BB26" s="106"/>
      <c r="BC26" s="106"/>
      <c r="BD26" s="106"/>
      <c r="BE26" s="107">
        <f>CHOOSE($B$77,BE23,BE24,BE25)</f>
        <v>149.83966224867936</v>
      </c>
      <c r="BF26" s="106"/>
      <c r="BG26" s="106"/>
      <c r="BH26" s="106"/>
      <c r="BI26" s="106"/>
      <c r="BJ26" s="107">
        <f>CHOOSE($B$77,BJ23,BJ24,BJ25)</f>
        <v>152.08725718240953</v>
      </c>
      <c r="BK26" s="106"/>
      <c r="BL26" s="106"/>
      <c r="BM26" s="106"/>
      <c r="BN26" s="106"/>
      <c r="BO26" s="107">
        <f>CHOOSE($B$77,BO23,BO24,BO25)</f>
        <v>154.36856604014565</v>
      </c>
    </row>
    <row r="27" spans="2:78" ht="15" customHeight="1">
      <c r="B27" s="114"/>
      <c r="C27" s="167"/>
      <c r="D27" s="167"/>
      <c r="E27" s="167"/>
      <c r="F27" s="167"/>
      <c r="G27" s="250"/>
      <c r="H27" s="167"/>
      <c r="I27" s="167"/>
      <c r="J27" s="167"/>
      <c r="K27" s="167"/>
      <c r="L27" s="250"/>
      <c r="M27" s="167"/>
      <c r="N27" s="167"/>
      <c r="O27" s="167"/>
      <c r="P27" s="167"/>
      <c r="Q27" s="250"/>
      <c r="R27" s="167"/>
      <c r="S27" s="167"/>
      <c r="T27" s="167"/>
      <c r="U27" s="167"/>
      <c r="V27" s="250"/>
      <c r="W27" s="167"/>
      <c r="X27" s="167"/>
      <c r="Y27" s="167"/>
      <c r="Z27" s="167"/>
      <c r="AA27" s="250"/>
      <c r="AB27" s="167"/>
      <c r="AC27" s="167"/>
      <c r="AD27" s="167"/>
      <c r="AE27" s="167"/>
      <c r="AF27" s="250"/>
      <c r="AG27" s="167"/>
      <c r="AH27" s="167"/>
      <c r="AI27" s="167"/>
      <c r="AJ27" s="167"/>
      <c r="AK27" s="250"/>
      <c r="AL27" s="167"/>
      <c r="AM27" s="167"/>
      <c r="AN27" s="167"/>
      <c r="AO27" s="167"/>
      <c r="AP27" s="250"/>
      <c r="AQ27" s="167"/>
      <c r="AR27" s="167"/>
      <c r="AS27" s="167"/>
      <c r="AT27" s="167"/>
      <c r="AU27" s="250"/>
      <c r="AV27" s="167"/>
      <c r="AW27" s="167"/>
      <c r="AX27" s="167"/>
      <c r="AY27" s="167"/>
      <c r="AZ27" s="250"/>
      <c r="BA27" s="167"/>
      <c r="BB27" s="167"/>
      <c r="BC27" s="167"/>
      <c r="BD27" s="167"/>
      <c r="BE27" s="250"/>
      <c r="BF27" s="167"/>
      <c r="BG27" s="167"/>
      <c r="BH27" s="167"/>
      <c r="BI27" s="167"/>
      <c r="BJ27" s="250"/>
      <c r="BK27" s="167"/>
      <c r="BL27" s="167"/>
      <c r="BM27" s="167"/>
      <c r="BN27" s="167"/>
      <c r="BO27" s="250"/>
    </row>
    <row r="28" spans="2:78" s="110" customFormat="1" ht="15" customHeight="1">
      <c r="B28" s="169" t="s">
        <v>116</v>
      </c>
      <c r="C28" s="392">
        <f t="shared" ref="C28:W28" si="64">C11-C16-C22-C26</f>
        <v>-13.282</v>
      </c>
      <c r="D28" s="392">
        <f t="shared" si="64"/>
        <v>-14.559999999999999</v>
      </c>
      <c r="E28" s="392">
        <f t="shared" si="64"/>
        <v>-21.391999999999999</v>
      </c>
      <c r="F28" s="392">
        <f t="shared" si="64"/>
        <v>-29.158999999999999</v>
      </c>
      <c r="G28" s="108">
        <f t="shared" si="64"/>
        <v>-78.393000000000001</v>
      </c>
      <c r="H28" s="392">
        <f t="shared" si="64"/>
        <v>-20.769999999999996</v>
      </c>
      <c r="I28" s="392">
        <f t="shared" si="64"/>
        <v>-24.682000000000002</v>
      </c>
      <c r="J28" s="392">
        <f t="shared" si="64"/>
        <v>-29.026</v>
      </c>
      <c r="K28" s="392">
        <f t="shared" si="64"/>
        <v>-38.951999999999998</v>
      </c>
      <c r="L28" s="108">
        <f t="shared" si="64"/>
        <v>-113.43</v>
      </c>
      <c r="M28" s="392">
        <f t="shared" si="64"/>
        <v>-47.706000000000003</v>
      </c>
      <c r="N28" s="392">
        <f t="shared" si="64"/>
        <v>-36.177</v>
      </c>
      <c r="O28" s="392">
        <f t="shared" si="64"/>
        <v>-46.08</v>
      </c>
      <c r="P28" s="392">
        <f t="shared" si="64"/>
        <v>-58.103999999999999</v>
      </c>
      <c r="Q28" s="108">
        <f t="shared" si="64"/>
        <v>-188.06700000000001</v>
      </c>
      <c r="R28" s="392">
        <f t="shared" si="64"/>
        <v>-52.480000000000004</v>
      </c>
      <c r="S28" s="392">
        <f t="shared" si="64"/>
        <v>-54.643999999999998</v>
      </c>
      <c r="T28" s="392">
        <f t="shared" si="64"/>
        <v>-45.695999999999998</v>
      </c>
      <c r="U28" s="392">
        <f t="shared" si="64"/>
        <v>-38.602000000000004</v>
      </c>
      <c r="V28" s="108">
        <f t="shared" si="64"/>
        <v>-191.422</v>
      </c>
      <c r="W28" s="544">
        <f t="shared" si="64"/>
        <v>-33.296999999999997</v>
      </c>
      <c r="X28" s="544">
        <f>X11-X16-X22-X26-X27</f>
        <v>-25.511000000000003</v>
      </c>
      <c r="Y28" s="544">
        <f t="shared" ref="Y28:AF28" si="65">Y11-Y16-Y22-Y26</f>
        <v>-12.604000000000003</v>
      </c>
      <c r="Z28" s="544">
        <f t="shared" si="65"/>
        <v>-15.31799999999998</v>
      </c>
      <c r="AA28" s="543">
        <f t="shared" si="65"/>
        <v>-86.673000000000016</v>
      </c>
      <c r="AB28" s="392">
        <f t="shared" si="65"/>
        <v>-16.639784099584084</v>
      </c>
      <c r="AC28" s="392">
        <f t="shared" si="65"/>
        <v>-11.480109657532747</v>
      </c>
      <c r="AD28" s="392">
        <f t="shared" si="65"/>
        <v>-5.3972257755971249</v>
      </c>
      <c r="AE28" s="392">
        <f t="shared" si="65"/>
        <v>4.9152316422147493</v>
      </c>
      <c r="AF28" s="108">
        <f t="shared" si="65"/>
        <v>-28.601887890499214</v>
      </c>
      <c r="AG28" s="392"/>
      <c r="AH28" s="392"/>
      <c r="AI28" s="392"/>
      <c r="AJ28" s="392"/>
      <c r="AK28" s="108">
        <f>AK11-AK16-AK22-AK26</f>
        <v>59.016110528541446</v>
      </c>
      <c r="AL28" s="392"/>
      <c r="AM28" s="392"/>
      <c r="AN28" s="392"/>
      <c r="AO28" s="392"/>
      <c r="AP28" s="108">
        <f>AP11-AP16-AP22-AP26</f>
        <v>127.54578571466024</v>
      </c>
      <c r="AQ28" s="392"/>
      <c r="AR28" s="392"/>
      <c r="AS28" s="392"/>
      <c r="AT28" s="392"/>
      <c r="AU28" s="108">
        <f>AU11-AU16-AU22-AU26</f>
        <v>251.20618755760387</v>
      </c>
      <c r="AV28" s="392"/>
      <c r="AW28" s="392"/>
      <c r="AX28" s="392"/>
      <c r="AY28" s="392"/>
      <c r="AZ28" s="108">
        <f>AZ11-AZ16-AZ22-AZ26</f>
        <v>526.29942909218028</v>
      </c>
      <c r="BA28" s="392"/>
      <c r="BB28" s="392"/>
      <c r="BC28" s="392"/>
      <c r="BD28" s="392"/>
      <c r="BE28" s="108">
        <f>BE11-BE16-BE22-BE26</f>
        <v>647.04847489793156</v>
      </c>
      <c r="BF28" s="392"/>
      <c r="BG28" s="392"/>
      <c r="BH28" s="392"/>
      <c r="BI28" s="392"/>
      <c r="BJ28" s="108">
        <f>BJ11-BJ16-BJ22-BJ26</f>
        <v>850.41218935821473</v>
      </c>
      <c r="BK28" s="392"/>
      <c r="BL28" s="392"/>
      <c r="BM28" s="392"/>
      <c r="BN28" s="392"/>
      <c r="BO28" s="109">
        <f>BO11-BO16-BO22-BO26</f>
        <v>865.79303436861767</v>
      </c>
      <c r="BU28"/>
      <c r="BV28"/>
      <c r="BW28"/>
      <c r="BX28"/>
      <c r="BY28"/>
      <c r="BZ28"/>
    </row>
    <row r="29" spans="2:78" s="110" customFormat="1" ht="7.5" customHeight="1">
      <c r="B29" s="254"/>
      <c r="C29" s="115"/>
      <c r="D29" s="115"/>
      <c r="E29" s="115"/>
      <c r="F29" s="115"/>
      <c r="G29" s="116"/>
      <c r="H29" s="115"/>
      <c r="I29" s="115"/>
      <c r="J29" s="115"/>
      <c r="K29" s="115"/>
      <c r="L29" s="116"/>
      <c r="M29" s="115"/>
      <c r="N29" s="115"/>
      <c r="O29" s="115"/>
      <c r="P29" s="115"/>
      <c r="Q29" s="116"/>
      <c r="R29" s="115"/>
      <c r="S29" s="115"/>
      <c r="T29" s="115"/>
      <c r="U29" s="115"/>
      <c r="V29" s="116"/>
      <c r="W29" s="115"/>
      <c r="X29" s="115"/>
      <c r="Y29" s="115"/>
      <c r="Z29" s="115"/>
      <c r="AA29" s="116"/>
      <c r="AB29" s="115"/>
      <c r="AC29" s="115"/>
      <c r="AD29" s="115"/>
      <c r="AE29" s="115"/>
      <c r="AF29" s="116"/>
      <c r="AG29" s="115"/>
      <c r="AH29" s="115"/>
      <c r="AI29" s="115"/>
      <c r="AJ29" s="115"/>
      <c r="AK29" s="116"/>
      <c r="AL29" s="115"/>
      <c r="AM29" s="115"/>
      <c r="AN29" s="115"/>
      <c r="AO29" s="115"/>
      <c r="AP29" s="116"/>
      <c r="AQ29" s="115"/>
      <c r="AR29" s="115"/>
      <c r="AS29" s="115"/>
      <c r="AT29" s="115"/>
      <c r="AU29" s="116"/>
      <c r="AV29" s="115"/>
      <c r="AW29" s="115"/>
      <c r="AX29" s="115"/>
      <c r="AY29" s="115"/>
      <c r="AZ29" s="116"/>
      <c r="BA29" s="115"/>
      <c r="BB29" s="115"/>
      <c r="BC29" s="115"/>
      <c r="BD29" s="115"/>
      <c r="BE29" s="116"/>
      <c r="BF29" s="115"/>
      <c r="BG29" s="115"/>
      <c r="BH29" s="115"/>
      <c r="BI29" s="115"/>
      <c r="BJ29" s="116"/>
      <c r="BK29" s="115"/>
      <c r="BL29" s="115"/>
      <c r="BM29" s="115"/>
      <c r="BN29" s="115"/>
      <c r="BO29" s="116"/>
      <c r="BU29"/>
      <c r="BV29"/>
      <c r="BW29"/>
      <c r="BX29"/>
      <c r="BY29"/>
      <c r="BZ29"/>
    </row>
    <row r="30" spans="2:78" s="110" customFormat="1" ht="15" customHeight="1">
      <c r="B30" s="254" t="s">
        <v>13</v>
      </c>
      <c r="C30" s="115"/>
      <c r="D30" s="115"/>
      <c r="E30" s="115"/>
      <c r="F30" s="115"/>
      <c r="G30" s="116"/>
      <c r="H30" s="115"/>
      <c r="I30" s="115"/>
      <c r="J30" s="115"/>
      <c r="K30" s="115"/>
      <c r="L30" s="116"/>
      <c r="M30" s="115"/>
      <c r="N30" s="115"/>
      <c r="O30" s="115"/>
      <c r="P30" s="115"/>
      <c r="Q30" s="116"/>
      <c r="R30" s="115"/>
      <c r="S30" s="115"/>
      <c r="T30" s="115"/>
      <c r="U30" s="115"/>
      <c r="V30" s="116"/>
      <c r="W30" s="115"/>
      <c r="X30" s="115"/>
      <c r="Y30" s="115"/>
      <c r="Z30" s="115"/>
      <c r="AA30" s="116"/>
      <c r="AB30" s="115"/>
      <c r="AC30" s="115"/>
      <c r="AD30" s="115"/>
      <c r="AE30" s="115"/>
      <c r="AF30" s="116"/>
      <c r="AG30" s="115"/>
      <c r="AH30" s="115"/>
      <c r="AI30" s="115"/>
      <c r="AJ30" s="115"/>
      <c r="AK30" s="116"/>
      <c r="AL30" s="115"/>
      <c r="AM30" s="115"/>
      <c r="AN30" s="115"/>
      <c r="AO30" s="115"/>
      <c r="AP30" s="116"/>
      <c r="AQ30" s="115"/>
      <c r="AR30" s="115"/>
      <c r="AS30" s="115"/>
      <c r="AT30" s="115"/>
      <c r="AU30" s="116"/>
      <c r="AV30" s="115"/>
      <c r="AW30" s="115"/>
      <c r="AX30" s="115"/>
      <c r="AY30" s="115"/>
      <c r="AZ30" s="116"/>
      <c r="BA30" s="115"/>
      <c r="BB30" s="115"/>
      <c r="BC30" s="115"/>
      <c r="BD30" s="115"/>
      <c r="BE30" s="116"/>
      <c r="BF30" s="115"/>
      <c r="BG30" s="115"/>
      <c r="BH30" s="115"/>
      <c r="BI30" s="115"/>
      <c r="BJ30" s="116"/>
      <c r="BK30" s="115"/>
      <c r="BL30" s="115"/>
      <c r="BM30" s="115"/>
      <c r="BN30" s="115"/>
      <c r="BO30" s="116"/>
      <c r="BU30"/>
      <c r="BV30"/>
      <c r="BW30"/>
      <c r="BX30"/>
      <c r="BY30"/>
      <c r="BZ30"/>
    </row>
    <row r="31" spans="2:78" ht="15" customHeight="1">
      <c r="B31" s="117" t="s">
        <v>264</v>
      </c>
      <c r="C31" s="106">
        <v>0.23699999999999999</v>
      </c>
      <c r="D31" s="106">
        <v>-1.9E-2</v>
      </c>
      <c r="E31" s="106">
        <v>6.3E-2</v>
      </c>
      <c r="F31" s="106">
        <v>4.4999999999999998E-2</v>
      </c>
      <c r="G31" s="107">
        <f>SUM(C31:F31)</f>
        <v>0.32600000000000001</v>
      </c>
      <c r="H31" s="106">
        <v>9.9000000000000005E-2</v>
      </c>
      <c r="I31" s="106">
        <v>0.18099999999999999</v>
      </c>
      <c r="J31" s="106">
        <v>0.193</v>
      </c>
      <c r="K31" s="106">
        <v>0.30599999999999999</v>
      </c>
      <c r="L31" s="107">
        <f>SUM(H31:K31)</f>
        <v>0.77900000000000003</v>
      </c>
      <c r="M31" s="106">
        <v>0.30299999999999999</v>
      </c>
      <c r="N31" s="106">
        <v>0.25600000000000001</v>
      </c>
      <c r="O31" s="106">
        <v>-0.17599999999999999</v>
      </c>
      <c r="P31" s="106">
        <v>-0.22900000000000001</v>
      </c>
      <c r="Q31" s="107">
        <f t="shared" ref="Q31:Q34" si="66">SUM(M31:P31)</f>
        <v>0.15399999999999994</v>
      </c>
      <c r="R31" s="106">
        <v>-6.8000000000000005E-2</v>
      </c>
      <c r="S31" s="106">
        <v>-0.20100000000000001</v>
      </c>
      <c r="T31" s="106">
        <v>-0.20899999999999999</v>
      </c>
      <c r="U31" s="106">
        <v>-5.7000000000000002E-2</v>
      </c>
      <c r="V31" s="306">
        <f>U31+T31+S31+R31</f>
        <v>-0.53500000000000003</v>
      </c>
      <c r="W31" s="106">
        <v>0.33500000000000002</v>
      </c>
      <c r="X31" s="106">
        <v>0.184</v>
      </c>
      <c r="Y31" s="106">
        <v>0.184</v>
      </c>
      <c r="Z31" s="106">
        <v>-2.6930000000000001</v>
      </c>
      <c r="AA31" s="107">
        <v>-1.99</v>
      </c>
      <c r="AB31" s="106">
        <f>AF31/4</f>
        <v>-2.0327450000000002</v>
      </c>
      <c r="AC31" s="106">
        <f>AF31/4</f>
        <v>-2.0327450000000002</v>
      </c>
      <c r="AD31" s="106">
        <f>AF31/4</f>
        <v>-2.0327450000000002</v>
      </c>
      <c r="AE31" s="106">
        <f>AF31-SUM(AB31:AD31)</f>
        <v>-2.0327450000000002</v>
      </c>
      <c r="AF31" s="107">
        <f>AF98-AF111</f>
        <v>-8.130980000000001</v>
      </c>
      <c r="AG31" s="106"/>
      <c r="AH31" s="106"/>
      <c r="AI31" s="106"/>
      <c r="AJ31" s="106"/>
      <c r="AK31" s="107">
        <f>AK98-AK111</f>
        <v>-7.8665271096396765</v>
      </c>
      <c r="AL31" s="106"/>
      <c r="AM31" s="106"/>
      <c r="AN31" s="106"/>
      <c r="AO31" s="106"/>
      <c r="AP31" s="107">
        <f>AP98-AP111</f>
        <v>-7.6767045187705625</v>
      </c>
      <c r="AQ31" s="106"/>
      <c r="AR31" s="106"/>
      <c r="AS31" s="106"/>
      <c r="AT31" s="106"/>
      <c r="AU31" s="107">
        <f>AU98-AU111</f>
        <v>-5.14531718408195</v>
      </c>
      <c r="AV31" s="106"/>
      <c r="AW31" s="106"/>
      <c r="AX31" s="106"/>
      <c r="AY31" s="106"/>
      <c r="AZ31" s="107">
        <f>AZ98-AZ111</f>
        <v>-4.1723411852264807</v>
      </c>
      <c r="BA31" s="106"/>
      <c r="BB31" s="106"/>
      <c r="BC31" s="106"/>
      <c r="BD31" s="106"/>
      <c r="BE31" s="107">
        <f>BE98-BE111</f>
        <v>-1.680149685193614</v>
      </c>
      <c r="BF31" s="106"/>
      <c r="BG31" s="106"/>
      <c r="BH31" s="106"/>
      <c r="BI31" s="106"/>
      <c r="BJ31" s="107">
        <f>BJ98-BJ111</f>
        <v>12.364180240573905</v>
      </c>
      <c r="BK31" s="106"/>
      <c r="BL31" s="106"/>
      <c r="BM31" s="106"/>
      <c r="BN31" s="106"/>
      <c r="BO31" s="107">
        <f>BO98-BO111</f>
        <v>13.137884360600431</v>
      </c>
    </row>
    <row r="32" spans="2:78" ht="15" customHeight="1">
      <c r="B32" s="111" t="s">
        <v>263</v>
      </c>
      <c r="C32" s="106">
        <f>-26.906-C70</f>
        <v>0</v>
      </c>
      <c r="D32" s="106">
        <f>-1.945-D70</f>
        <v>0</v>
      </c>
      <c r="E32" s="106">
        <f>-17.16-E70</f>
        <v>0</v>
      </c>
      <c r="F32" s="106">
        <f>-23.984+F70</f>
        <v>0</v>
      </c>
      <c r="G32" s="107">
        <f>SUM(C32:F32)</f>
        <v>0</v>
      </c>
      <c r="H32" s="106">
        <f>-3.251-H70</f>
        <v>0</v>
      </c>
      <c r="I32" s="106">
        <f>-3.784-I70</f>
        <v>0</v>
      </c>
      <c r="J32" s="106">
        <f>-4.256+J70</f>
        <v>0</v>
      </c>
      <c r="K32" s="277">
        <f>0+K70</f>
        <v>0</v>
      </c>
      <c r="L32" s="276">
        <f>SUM(H32:K32)</f>
        <v>0</v>
      </c>
      <c r="M32" s="277">
        <f t="shared" ref="M32:R32" si="67">0+M70</f>
        <v>0</v>
      </c>
      <c r="N32" s="277">
        <f t="shared" si="67"/>
        <v>0</v>
      </c>
      <c r="O32" s="106">
        <f t="shared" si="67"/>
        <v>0</v>
      </c>
      <c r="P32" s="106">
        <f t="shared" si="67"/>
        <v>0</v>
      </c>
      <c r="Q32" s="107">
        <f t="shared" si="66"/>
        <v>0</v>
      </c>
      <c r="R32" s="118">
        <f t="shared" si="67"/>
        <v>0</v>
      </c>
      <c r="S32" s="118">
        <f>0+S70</f>
        <v>0</v>
      </c>
      <c r="T32" s="106">
        <f>T97</f>
        <v>0</v>
      </c>
      <c r="U32" s="106">
        <v>0</v>
      </c>
      <c r="V32" s="107">
        <f>U32+T32+S32+R32</f>
        <v>0</v>
      </c>
      <c r="W32" s="106">
        <v>0</v>
      </c>
      <c r="X32" s="106">
        <v>0</v>
      </c>
      <c r="Y32" s="106">
        <v>0</v>
      </c>
      <c r="Z32" s="106">
        <v>0</v>
      </c>
      <c r="AA32" s="107">
        <v>0</v>
      </c>
      <c r="AB32" s="277">
        <f>AF32/4</f>
        <v>1.25E-3</v>
      </c>
      <c r="AC32" s="277">
        <f>AF32/4</f>
        <v>1.25E-3</v>
      </c>
      <c r="AD32" s="106">
        <f>AF32/4</f>
        <v>1.25E-3</v>
      </c>
      <c r="AE32" s="106">
        <f>AF32-SUM(AB32:AD32)</f>
        <v>1.2500000000000002E-3</v>
      </c>
      <c r="AF32" s="107">
        <f>AF97</f>
        <v>5.0000000000000001E-3</v>
      </c>
      <c r="AG32" s="277"/>
      <c r="AH32" s="277"/>
      <c r="AI32" s="106"/>
      <c r="AJ32" s="106"/>
      <c r="AK32" s="107">
        <f>AK97</f>
        <v>5.0000000000000001E-3</v>
      </c>
      <c r="AL32" s="277"/>
      <c r="AM32" s="277"/>
      <c r="AN32" s="106"/>
      <c r="AO32" s="106"/>
      <c r="AP32" s="107">
        <f>AP97</f>
        <v>5.0000000000000001E-3</v>
      </c>
      <c r="AQ32" s="277"/>
      <c r="AR32" s="277"/>
      <c r="AS32" s="106"/>
      <c r="AT32" s="106"/>
      <c r="AU32" s="107">
        <f>AU97</f>
        <v>5.0000000000000001E-3</v>
      </c>
      <c r="AV32" s="277"/>
      <c r="AW32" s="277"/>
      <c r="AX32" s="106"/>
      <c r="AY32" s="106"/>
      <c r="AZ32" s="107">
        <f>AZ97</f>
        <v>5.0000000000000001E-3</v>
      </c>
      <c r="BA32" s="277"/>
      <c r="BB32" s="277"/>
      <c r="BC32" s="106"/>
      <c r="BD32" s="106"/>
      <c r="BE32" s="107">
        <f>BE97</f>
        <v>5.0000000000000001E-3</v>
      </c>
      <c r="BF32" s="277"/>
      <c r="BG32" s="277"/>
      <c r="BH32" s="106"/>
      <c r="BI32" s="106"/>
      <c r="BJ32" s="107">
        <f>BJ97</f>
        <v>5.0000000000000001E-3</v>
      </c>
      <c r="BK32" s="277"/>
      <c r="BL32" s="277"/>
      <c r="BM32" s="106"/>
      <c r="BN32" s="106"/>
      <c r="BO32" s="107">
        <f>BO97</f>
        <v>5.0000000000000001E-3</v>
      </c>
    </row>
    <row r="33" spans="2:78" s="110" customFormat="1" ht="15" customHeight="1">
      <c r="B33" s="169" t="s">
        <v>14</v>
      </c>
      <c r="C33" s="392">
        <f>C28+C31+C32</f>
        <v>-13.045</v>
      </c>
      <c r="D33" s="392">
        <f>D28+D31+D32</f>
        <v>-14.578999999999999</v>
      </c>
      <c r="E33" s="392">
        <f t="shared" ref="E33:K33" si="68">E28+E31+E32</f>
        <v>-21.329000000000001</v>
      </c>
      <c r="F33" s="392">
        <f t="shared" si="68"/>
        <v>-29.113999999999997</v>
      </c>
      <c r="G33" s="108">
        <f t="shared" si="68"/>
        <v>-78.067000000000007</v>
      </c>
      <c r="H33" s="392">
        <f t="shared" si="68"/>
        <v>-20.670999999999996</v>
      </c>
      <c r="I33" s="392">
        <f t="shared" si="68"/>
        <v>-24.501000000000001</v>
      </c>
      <c r="J33" s="392">
        <f t="shared" si="68"/>
        <v>-28.832999999999998</v>
      </c>
      <c r="K33" s="392">
        <f t="shared" si="68"/>
        <v>-38.646000000000001</v>
      </c>
      <c r="L33" s="108">
        <f t="shared" ref="L33" si="69">L28+L31+L32</f>
        <v>-112.65100000000001</v>
      </c>
      <c r="M33" s="392">
        <f>M28+M31+M32</f>
        <v>-47.403000000000006</v>
      </c>
      <c r="N33" s="392">
        <f>N28+N31+N32</f>
        <v>-35.920999999999999</v>
      </c>
      <c r="O33" s="392">
        <f t="shared" ref="O33:AE33" si="70">O28+O31+O32</f>
        <v>-46.256</v>
      </c>
      <c r="P33" s="392">
        <f t="shared" si="70"/>
        <v>-58.332999999999998</v>
      </c>
      <c r="Q33" s="108">
        <f t="shared" si="70"/>
        <v>-187.91300000000001</v>
      </c>
      <c r="R33" s="392">
        <f t="shared" si="70"/>
        <v>-52.548000000000002</v>
      </c>
      <c r="S33" s="392">
        <f t="shared" si="70"/>
        <v>-54.844999999999999</v>
      </c>
      <c r="T33" s="392">
        <f t="shared" si="70"/>
        <v>-45.905000000000001</v>
      </c>
      <c r="U33" s="392">
        <f t="shared" si="70"/>
        <v>-38.659000000000006</v>
      </c>
      <c r="V33" s="108">
        <f t="shared" si="70"/>
        <v>-191.95699999999999</v>
      </c>
      <c r="W33" s="544">
        <f t="shared" si="70"/>
        <v>-32.961999999999996</v>
      </c>
      <c r="X33" s="544">
        <f t="shared" si="70"/>
        <v>-25.327000000000002</v>
      </c>
      <c r="Y33" s="544">
        <f t="shared" si="70"/>
        <v>-12.420000000000003</v>
      </c>
      <c r="Z33" s="544">
        <f t="shared" si="70"/>
        <v>-18.010999999999981</v>
      </c>
      <c r="AA33" s="543">
        <f t="shared" ref="AA33" si="71">AA28+AA31+AA32</f>
        <v>-88.663000000000011</v>
      </c>
      <c r="AB33" s="392">
        <f t="shared" si="70"/>
        <v>-18.671279099584083</v>
      </c>
      <c r="AC33" s="392">
        <f t="shared" si="70"/>
        <v>-13.511604657532747</v>
      </c>
      <c r="AD33" s="392">
        <f t="shared" si="70"/>
        <v>-7.4287207755971254</v>
      </c>
      <c r="AE33" s="392">
        <f t="shared" si="70"/>
        <v>2.8837366422147492</v>
      </c>
      <c r="AF33" s="108">
        <f t="shared" ref="AF33" si="72">AF28+AF31+AF32</f>
        <v>-36.727867890499212</v>
      </c>
      <c r="AG33" s="392"/>
      <c r="AH33" s="392"/>
      <c r="AI33" s="392"/>
      <c r="AJ33" s="392"/>
      <c r="AK33" s="108">
        <f t="shared" ref="AK33" si="73">AK28+AK31+AK32</f>
        <v>51.154583418901773</v>
      </c>
      <c r="AL33" s="392"/>
      <c r="AM33" s="392"/>
      <c r="AN33" s="392"/>
      <c r="AO33" s="392"/>
      <c r="AP33" s="108">
        <f t="shared" ref="AP33" si="74">AP28+AP31+AP32</f>
        <v>119.87408119588967</v>
      </c>
      <c r="AQ33" s="392"/>
      <c r="AR33" s="392"/>
      <c r="AS33" s="392"/>
      <c r="AT33" s="392"/>
      <c r="AU33" s="108">
        <f t="shared" ref="AU33" si="75">AU28+AU31+AU32</f>
        <v>246.0658703735219</v>
      </c>
      <c r="AV33" s="392"/>
      <c r="AW33" s="392"/>
      <c r="AX33" s="392"/>
      <c r="AY33" s="392"/>
      <c r="AZ33" s="108">
        <f t="shared" ref="AZ33" si="76">AZ28+AZ31+AZ32</f>
        <v>522.13208790695376</v>
      </c>
      <c r="BA33" s="392"/>
      <c r="BB33" s="392"/>
      <c r="BC33" s="392"/>
      <c r="BD33" s="392"/>
      <c r="BE33" s="108">
        <f t="shared" ref="BE33" si="77">BE28+BE31+BE32</f>
        <v>645.37332521273788</v>
      </c>
      <c r="BF33" s="392"/>
      <c r="BG33" s="392"/>
      <c r="BH33" s="392"/>
      <c r="BI33" s="392"/>
      <c r="BJ33" s="108">
        <f t="shared" ref="BJ33" si="78">BJ28+BJ31+BJ32</f>
        <v>862.78136959878861</v>
      </c>
      <c r="BK33" s="392"/>
      <c r="BL33" s="392"/>
      <c r="BM33" s="392"/>
      <c r="BN33" s="392"/>
      <c r="BO33" s="109">
        <f t="shared" ref="BO33" si="79">BO28+BO31+BO32</f>
        <v>878.93591872921809</v>
      </c>
      <c r="BU33"/>
      <c r="BV33"/>
      <c r="BW33"/>
      <c r="BX33"/>
      <c r="BY33"/>
      <c r="BZ33"/>
    </row>
    <row r="34" spans="2:78" s="110" customFormat="1" ht="15" customHeight="1">
      <c r="B34" s="117" t="s">
        <v>123</v>
      </c>
      <c r="C34" s="275">
        <v>0</v>
      </c>
      <c r="D34" s="275">
        <v>0</v>
      </c>
      <c r="E34" s="275">
        <v>0</v>
      </c>
      <c r="F34" s="275">
        <v>0</v>
      </c>
      <c r="G34" s="276">
        <f t="shared" ref="G34" si="80">SUM(C34:F34)</f>
        <v>0</v>
      </c>
      <c r="H34" s="275">
        <v>0</v>
      </c>
      <c r="I34" s="275">
        <v>0</v>
      </c>
      <c r="J34" s="275">
        <v>0</v>
      </c>
      <c r="K34" s="275">
        <v>0</v>
      </c>
      <c r="L34" s="276">
        <f t="shared" ref="L34" si="81">SUM(H34:K34)</f>
        <v>0</v>
      </c>
      <c r="M34" s="275">
        <v>0</v>
      </c>
      <c r="N34" s="275">
        <v>0</v>
      </c>
      <c r="O34" s="118">
        <v>0</v>
      </c>
      <c r="P34" s="118">
        <v>0</v>
      </c>
      <c r="Q34" s="107">
        <f t="shared" si="66"/>
        <v>0</v>
      </c>
      <c r="R34" s="118">
        <v>0</v>
      </c>
      <c r="S34" s="118">
        <v>0</v>
      </c>
      <c r="T34" s="118">
        <f>T121</f>
        <v>0</v>
      </c>
      <c r="U34" s="118">
        <v>0</v>
      </c>
      <c r="V34" s="107">
        <f>U34+T34+S34+R34</f>
        <v>0</v>
      </c>
      <c r="W34" s="547">
        <v>0</v>
      </c>
      <c r="X34" s="547">
        <v>0</v>
      </c>
      <c r="Y34" s="118">
        <v>0</v>
      </c>
      <c r="Z34" s="118">
        <v>0</v>
      </c>
      <c r="AA34" s="119">
        <f>AA121</f>
        <v>0</v>
      </c>
      <c r="AB34" s="547">
        <v>0</v>
      </c>
      <c r="AC34" s="547">
        <v>0</v>
      </c>
      <c r="AD34" s="118">
        <v>0</v>
      </c>
      <c r="AE34" s="118">
        <v>0</v>
      </c>
      <c r="AF34" s="119">
        <f>AF121</f>
        <v>0</v>
      </c>
      <c r="AG34" s="275"/>
      <c r="AH34" s="275"/>
      <c r="AI34" s="118"/>
      <c r="AJ34" s="118"/>
      <c r="AK34" s="119">
        <f>AK121</f>
        <v>0</v>
      </c>
      <c r="AL34" s="275"/>
      <c r="AM34" s="275"/>
      <c r="AN34" s="118"/>
      <c r="AO34" s="118"/>
      <c r="AP34" s="119">
        <f>AP121</f>
        <v>0</v>
      </c>
      <c r="AQ34" s="275"/>
      <c r="AR34" s="275"/>
      <c r="AS34" s="118"/>
      <c r="AT34" s="118"/>
      <c r="AU34" s="119">
        <f>AU121</f>
        <v>0</v>
      </c>
      <c r="AV34" s="275"/>
      <c r="AW34" s="275"/>
      <c r="AX34" s="118"/>
      <c r="AY34" s="118"/>
      <c r="AZ34" s="119">
        <f>AZ121</f>
        <v>0</v>
      </c>
      <c r="BA34" s="275"/>
      <c r="BB34" s="275"/>
      <c r="BC34" s="118"/>
      <c r="BD34" s="118"/>
      <c r="BE34" s="119">
        <f>BE121</f>
        <v>136.50737807612688</v>
      </c>
      <c r="BF34" s="275"/>
      <c r="BG34" s="275"/>
      <c r="BH34" s="118"/>
      <c r="BI34" s="118"/>
      <c r="BJ34" s="119">
        <f>BJ121</f>
        <v>301.973479359576</v>
      </c>
      <c r="BK34" s="275"/>
      <c r="BL34" s="275"/>
      <c r="BM34" s="118"/>
      <c r="BN34" s="118"/>
      <c r="BO34" s="119">
        <f>BO121</f>
        <v>307.62757155522633</v>
      </c>
      <c r="BU34"/>
      <c r="BV34"/>
      <c r="BW34"/>
      <c r="BX34"/>
      <c r="BY34"/>
      <c r="BZ34"/>
    </row>
    <row r="35" spans="2:78" s="110" customFormat="1" ht="15" customHeight="1">
      <c r="B35" s="257" t="s">
        <v>15</v>
      </c>
      <c r="C35" s="121" t="str">
        <f t="shared" ref="C35:F35" si="82">IF(C33&lt;0,"NM",C34/C33)</f>
        <v>NM</v>
      </c>
      <c r="D35" s="121" t="str">
        <f t="shared" si="82"/>
        <v>NM</v>
      </c>
      <c r="E35" s="121" t="str">
        <f t="shared" si="82"/>
        <v>NM</v>
      </c>
      <c r="F35" s="121" t="str">
        <f t="shared" si="82"/>
        <v>NM</v>
      </c>
      <c r="G35" s="120" t="str">
        <f>IF(G33&lt;0,"NM",G34/G33)</f>
        <v>NM</v>
      </c>
      <c r="H35" s="121" t="str">
        <f t="shared" ref="H35:K35" si="83">IF(H33&lt;0,"NM",H34/H33)</f>
        <v>NM</v>
      </c>
      <c r="I35" s="121" t="str">
        <f t="shared" si="83"/>
        <v>NM</v>
      </c>
      <c r="J35" s="121" t="str">
        <f t="shared" si="83"/>
        <v>NM</v>
      </c>
      <c r="K35" s="121" t="str">
        <f t="shared" si="83"/>
        <v>NM</v>
      </c>
      <c r="L35" s="120" t="str">
        <f>IF(L33&lt;0,"NM",L34/L33)</f>
        <v>NM</v>
      </c>
      <c r="M35" s="121" t="str">
        <f t="shared" ref="M35:AE35" si="84">IF(M33&lt;0,"NM",M34/M33)</f>
        <v>NM</v>
      </c>
      <c r="N35" s="121" t="str">
        <f t="shared" si="84"/>
        <v>NM</v>
      </c>
      <c r="O35" s="121" t="str">
        <f t="shared" si="84"/>
        <v>NM</v>
      </c>
      <c r="P35" s="121" t="str">
        <f t="shared" si="84"/>
        <v>NM</v>
      </c>
      <c r="Q35" s="120" t="str">
        <f>IF(Q33&lt;0,"NM",Q34/Q33)</f>
        <v>NM</v>
      </c>
      <c r="R35" s="121" t="str">
        <f t="shared" si="84"/>
        <v>NM</v>
      </c>
      <c r="S35" s="121" t="str">
        <f t="shared" si="84"/>
        <v>NM</v>
      </c>
      <c r="T35" s="121" t="str">
        <f t="shared" si="84"/>
        <v>NM</v>
      </c>
      <c r="U35" s="121" t="str">
        <f t="shared" si="84"/>
        <v>NM</v>
      </c>
      <c r="V35" s="120" t="str">
        <f t="shared" ref="V35" si="85">IF(V33&lt;0,"NM",V34/V33)</f>
        <v>NM</v>
      </c>
      <c r="W35" s="121" t="str">
        <f t="shared" si="84"/>
        <v>NM</v>
      </c>
      <c r="X35" s="121" t="str">
        <f t="shared" si="84"/>
        <v>NM</v>
      </c>
      <c r="Y35" s="121" t="str">
        <f t="shared" si="84"/>
        <v>NM</v>
      </c>
      <c r="Z35" s="121" t="str">
        <f t="shared" si="84"/>
        <v>NM</v>
      </c>
      <c r="AA35" s="120" t="str">
        <f t="shared" ref="AA35" si="86">IF(AA33&lt;0,"NM",AA34/AA33)</f>
        <v>NM</v>
      </c>
      <c r="AB35" s="121" t="str">
        <f t="shared" si="84"/>
        <v>NM</v>
      </c>
      <c r="AC35" s="121" t="str">
        <f>IF(AC33&lt;0,"NM",AC34/AC33)</f>
        <v>NM</v>
      </c>
      <c r="AD35" s="121" t="str">
        <f t="shared" si="84"/>
        <v>NM</v>
      </c>
      <c r="AE35" s="121">
        <f t="shared" si="84"/>
        <v>0</v>
      </c>
      <c r="AF35" s="120" t="str">
        <f t="shared" ref="AF35" si="87">IF(AF33&lt;0,"NM",AF34/AF33)</f>
        <v>NM</v>
      </c>
      <c r="AG35" s="121"/>
      <c r="AH35" s="121"/>
      <c r="AI35" s="121"/>
      <c r="AJ35" s="121"/>
      <c r="AK35" s="120">
        <f t="shared" ref="AK35" si="88">IF(AK33&lt;0,"NM",AK34/AK33)</f>
        <v>0</v>
      </c>
      <c r="AL35" s="121"/>
      <c r="AM35" s="121"/>
      <c r="AN35" s="121"/>
      <c r="AO35" s="121"/>
      <c r="AP35" s="120">
        <f t="shared" ref="AP35" si="89">IF(AP33&lt;0,"NM",AP34/AP33)</f>
        <v>0</v>
      </c>
      <c r="AQ35" s="121"/>
      <c r="AR35" s="121"/>
      <c r="AS35" s="121"/>
      <c r="AT35" s="121"/>
      <c r="AU35" s="120">
        <f t="shared" ref="AU35" si="90">IF(AU33&lt;0,"NM",AU34/AU33)</f>
        <v>0</v>
      </c>
      <c r="AV35" s="121"/>
      <c r="AW35" s="121"/>
      <c r="AX35" s="121"/>
      <c r="AY35" s="121"/>
      <c r="AZ35" s="120">
        <f t="shared" ref="AZ35" si="91">IF(AZ33&lt;0,"NM",AZ34/AZ33)</f>
        <v>0</v>
      </c>
      <c r="BA35" s="121"/>
      <c r="BB35" s="121"/>
      <c r="BC35" s="121"/>
      <c r="BD35" s="121"/>
      <c r="BE35" s="120">
        <f t="shared" ref="BE35" si="92">IF(BE33&lt;0,"NM",BE34/BE33)</f>
        <v>0.21151692011926465</v>
      </c>
      <c r="BF35" s="121"/>
      <c r="BG35" s="121"/>
      <c r="BH35" s="121"/>
      <c r="BI35" s="121"/>
      <c r="BJ35" s="120">
        <f t="shared" ref="BJ35" si="93">IF(BJ33&lt;0,"NM",BJ34/BJ33)</f>
        <v>0.35</v>
      </c>
      <c r="BK35" s="121"/>
      <c r="BL35" s="121"/>
      <c r="BM35" s="121"/>
      <c r="BN35" s="121"/>
      <c r="BO35" s="120">
        <f t="shared" ref="BO35" si="94">IF(BO33&lt;0,"NM",BO34/BO33)</f>
        <v>0.35</v>
      </c>
      <c r="BU35"/>
      <c r="BV35"/>
      <c r="BW35"/>
      <c r="BX35"/>
      <c r="BY35"/>
      <c r="BZ35"/>
    </row>
    <row r="36" spans="2:78" s="110" customFormat="1" ht="15" customHeight="1">
      <c r="B36" s="169" t="s">
        <v>253</v>
      </c>
      <c r="C36" s="392">
        <f>C33-C34</f>
        <v>-13.045</v>
      </c>
      <c r="D36" s="392">
        <f>D33-D34</f>
        <v>-14.578999999999999</v>
      </c>
      <c r="E36" s="392">
        <f t="shared" ref="E36:G36" si="95">E33-E34</f>
        <v>-21.329000000000001</v>
      </c>
      <c r="F36" s="392">
        <f t="shared" si="95"/>
        <v>-29.113999999999997</v>
      </c>
      <c r="G36" s="108">
        <f t="shared" si="95"/>
        <v>-78.067000000000007</v>
      </c>
      <c r="H36" s="392">
        <f>H33-H34</f>
        <v>-20.670999999999996</v>
      </c>
      <c r="I36" s="392">
        <f>I33-I34</f>
        <v>-24.501000000000001</v>
      </c>
      <c r="J36" s="392">
        <f t="shared" ref="J36:L36" si="96">J33-J34</f>
        <v>-28.832999999999998</v>
      </c>
      <c r="K36" s="392">
        <f t="shared" si="96"/>
        <v>-38.646000000000001</v>
      </c>
      <c r="L36" s="108">
        <f t="shared" si="96"/>
        <v>-112.65100000000001</v>
      </c>
      <c r="M36" s="392">
        <f>M33-M34</f>
        <v>-47.403000000000006</v>
      </c>
      <c r="N36" s="392">
        <f>N33-N34</f>
        <v>-35.920999999999999</v>
      </c>
      <c r="O36" s="392">
        <f t="shared" ref="O36:P36" si="97">O33-O34</f>
        <v>-46.256</v>
      </c>
      <c r="P36" s="392">
        <f t="shared" si="97"/>
        <v>-58.332999999999998</v>
      </c>
      <c r="Q36" s="108">
        <f t="shared" ref="Q36" si="98">Q33-Q34</f>
        <v>-187.91300000000001</v>
      </c>
      <c r="R36" s="392">
        <f>R33-R34</f>
        <v>-52.548000000000002</v>
      </c>
      <c r="S36" s="392">
        <f>S33-S34</f>
        <v>-54.844999999999999</v>
      </c>
      <c r="T36" s="392">
        <f>T33-T34</f>
        <v>-45.905000000000001</v>
      </c>
      <c r="U36" s="392">
        <f>U33-U34</f>
        <v>-38.659000000000006</v>
      </c>
      <c r="V36" s="108">
        <f>V33-V34</f>
        <v>-191.95699999999999</v>
      </c>
      <c r="W36" s="544">
        <f t="shared" ref="W36:AE36" si="99">W33-W34</f>
        <v>-32.961999999999996</v>
      </c>
      <c r="X36" s="544">
        <f t="shared" si="99"/>
        <v>-25.327000000000002</v>
      </c>
      <c r="Y36" s="544">
        <f t="shared" si="99"/>
        <v>-12.420000000000003</v>
      </c>
      <c r="Z36" s="544">
        <f t="shared" si="99"/>
        <v>-18.010999999999981</v>
      </c>
      <c r="AA36" s="543">
        <f>AA33-AA34</f>
        <v>-88.663000000000011</v>
      </c>
      <c r="AB36" s="392">
        <f t="shared" si="99"/>
        <v>-18.671279099584083</v>
      </c>
      <c r="AC36" s="392">
        <f t="shared" si="99"/>
        <v>-13.511604657532747</v>
      </c>
      <c r="AD36" s="392">
        <f t="shared" si="99"/>
        <v>-7.4287207755971254</v>
      </c>
      <c r="AE36" s="392">
        <f t="shared" si="99"/>
        <v>2.8837366422147492</v>
      </c>
      <c r="AF36" s="108">
        <f>AF33-AF34</f>
        <v>-36.727867890499212</v>
      </c>
      <c r="AG36" s="392"/>
      <c r="AH36" s="392"/>
      <c r="AI36" s="392"/>
      <c r="AJ36" s="392"/>
      <c r="AK36" s="108">
        <f>AK33-AK34</f>
        <v>51.154583418901773</v>
      </c>
      <c r="AL36" s="392"/>
      <c r="AM36" s="392"/>
      <c r="AN36" s="392"/>
      <c r="AO36" s="392"/>
      <c r="AP36" s="108">
        <f>AP33-AP34</f>
        <v>119.87408119588967</v>
      </c>
      <c r="AQ36" s="392"/>
      <c r="AR36" s="392"/>
      <c r="AS36" s="392"/>
      <c r="AT36" s="392"/>
      <c r="AU36" s="108">
        <f>AU33-AU34</f>
        <v>246.0658703735219</v>
      </c>
      <c r="AV36" s="392"/>
      <c r="AW36" s="392"/>
      <c r="AX36" s="392"/>
      <c r="AY36" s="392"/>
      <c r="AZ36" s="108">
        <f>AZ33-AZ34</f>
        <v>522.13208790695376</v>
      </c>
      <c r="BA36" s="392"/>
      <c r="BB36" s="392"/>
      <c r="BC36" s="392"/>
      <c r="BD36" s="392"/>
      <c r="BE36" s="108">
        <f>BE33-BE34</f>
        <v>508.865947136611</v>
      </c>
      <c r="BF36" s="392"/>
      <c r="BG36" s="392"/>
      <c r="BH36" s="392"/>
      <c r="BI36" s="392"/>
      <c r="BJ36" s="108">
        <f>BJ33-BJ34</f>
        <v>560.80789023921261</v>
      </c>
      <c r="BK36" s="392"/>
      <c r="BL36" s="392"/>
      <c r="BM36" s="392"/>
      <c r="BN36" s="392"/>
      <c r="BO36" s="109">
        <f>BO33-BO34</f>
        <v>571.30834717399171</v>
      </c>
      <c r="BU36"/>
      <c r="BV36"/>
      <c r="BW36"/>
      <c r="BX36"/>
      <c r="BY36"/>
      <c r="BZ36"/>
    </row>
    <row r="37" spans="2:78" ht="15" customHeight="1">
      <c r="B37" s="114"/>
      <c r="C37" s="122"/>
      <c r="D37" s="122"/>
      <c r="E37" s="122"/>
      <c r="F37" s="122"/>
      <c r="G37" s="107"/>
      <c r="H37" s="122"/>
      <c r="I37" s="122"/>
      <c r="J37" s="122"/>
      <c r="K37" s="122"/>
      <c r="L37" s="107"/>
      <c r="M37" s="122"/>
      <c r="N37" s="122"/>
      <c r="O37" s="122"/>
      <c r="P37" s="122"/>
      <c r="Q37" s="107"/>
      <c r="R37" s="122"/>
      <c r="S37" s="122"/>
      <c r="T37" s="122"/>
      <c r="U37" s="122"/>
      <c r="V37" s="107"/>
      <c r="W37" s="122"/>
      <c r="X37" s="122"/>
      <c r="Y37" s="122"/>
      <c r="Z37" s="122"/>
      <c r="AA37" s="107"/>
      <c r="AB37" s="122"/>
      <c r="AC37" s="122"/>
      <c r="AD37" s="122"/>
      <c r="AE37" s="122"/>
      <c r="AF37" s="107"/>
      <c r="AG37" s="122"/>
      <c r="AH37" s="122"/>
      <c r="AI37" s="122"/>
      <c r="AJ37" s="122"/>
      <c r="AK37" s="107"/>
      <c r="AL37" s="122"/>
      <c r="AM37" s="122"/>
      <c r="AN37" s="122"/>
      <c r="AO37" s="122"/>
      <c r="AP37" s="107"/>
      <c r="AQ37" s="122"/>
      <c r="AR37" s="122"/>
      <c r="AS37" s="122"/>
      <c r="AT37" s="122"/>
      <c r="AU37" s="107"/>
      <c r="AV37" s="122"/>
      <c r="AW37" s="122"/>
      <c r="AX37" s="122"/>
      <c r="AY37" s="122"/>
      <c r="AZ37" s="107"/>
      <c r="BA37" s="122"/>
      <c r="BB37" s="122"/>
      <c r="BC37" s="122"/>
      <c r="BD37" s="122"/>
      <c r="BE37" s="107"/>
      <c r="BF37" s="122"/>
      <c r="BG37" s="122"/>
      <c r="BH37" s="122"/>
      <c r="BI37" s="122"/>
      <c r="BJ37" s="107"/>
      <c r="BK37" s="122"/>
      <c r="BL37" s="122"/>
      <c r="BM37" s="122"/>
      <c r="BN37" s="122"/>
      <c r="BO37" s="107"/>
    </row>
    <row r="38" spans="2:78" s="110" customFormat="1" ht="15" customHeight="1">
      <c r="B38" s="123" t="s">
        <v>254</v>
      </c>
      <c r="C38" s="393">
        <f t="shared" ref="C38:S38" si="100">C36/C41</f>
        <v>-0.4100524942633515</v>
      </c>
      <c r="D38" s="393">
        <f t="shared" si="100"/>
        <v>-0.45582166083041514</v>
      </c>
      <c r="E38" s="393" t="e">
        <f t="shared" si="100"/>
        <v>#DIV/0!</v>
      </c>
      <c r="F38" s="393">
        <f t="shared" si="100"/>
        <v>-0.77439089264815408</v>
      </c>
      <c r="G38" s="124">
        <f t="shared" si="100"/>
        <v>-2.3062629246676516</v>
      </c>
      <c r="H38" s="393">
        <f t="shared" si="100"/>
        <v>-0.54654821395521003</v>
      </c>
      <c r="I38" s="393">
        <f t="shared" si="100"/>
        <v>-0.61464552706838593</v>
      </c>
      <c r="J38" s="393">
        <f t="shared" si="100"/>
        <v>-0.7021136706764719</v>
      </c>
      <c r="K38" s="393">
        <f t="shared" si="100"/>
        <v>-0.93564787914003489</v>
      </c>
      <c r="L38" s="124">
        <f t="shared" si="100"/>
        <v>-2.8144456103532702</v>
      </c>
      <c r="M38" s="393">
        <f t="shared" si="100"/>
        <v>-1.1471057980834385</v>
      </c>
      <c r="N38" s="393">
        <f t="shared" si="100"/>
        <v>-0.86855913146504826</v>
      </c>
      <c r="O38" s="393">
        <f t="shared" si="100"/>
        <v>-1.1128593768795862</v>
      </c>
      <c r="P38" s="393">
        <f t="shared" si="100"/>
        <v>-1.2996969832003922</v>
      </c>
      <c r="Q38" s="124">
        <f t="shared" si="100"/>
        <v>-4.4434381650508401</v>
      </c>
      <c r="R38" s="393">
        <f t="shared" si="100"/>
        <v>-1.1499223143751232</v>
      </c>
      <c r="S38" s="393">
        <f t="shared" si="100"/>
        <v>-1.1882271378122495</v>
      </c>
      <c r="T38" s="393">
        <f t="shared" ref="T38:V38" si="101">T36/T41</f>
        <v>-0.95132009781572524</v>
      </c>
      <c r="U38" s="393">
        <f t="shared" si="101"/>
        <v>-0.70779399110199759</v>
      </c>
      <c r="V38" s="124">
        <f t="shared" si="101"/>
        <v>-3.9418650019508386</v>
      </c>
      <c r="W38" s="393">
        <f t="shared" ref="W38:AE38" si="102">W36/W41</f>
        <v>-0.60094804010938918</v>
      </c>
      <c r="X38" s="393">
        <f t="shared" si="102"/>
        <v>-0.46069193830034927</v>
      </c>
      <c r="Y38" s="393">
        <f t="shared" si="102"/>
        <v>-0.20185931608373431</v>
      </c>
      <c r="Z38" s="393">
        <f t="shared" si="102"/>
        <v>-0.27996818830177511</v>
      </c>
      <c r="AA38" s="124">
        <f t="shared" ref="AA38" si="103">AA36/AA41</f>
        <v>-1.5074126967934989</v>
      </c>
      <c r="AB38" s="393">
        <f t="shared" si="102"/>
        <v>-0.287358175657635</v>
      </c>
      <c r="AC38" s="393">
        <f t="shared" si="102"/>
        <v>-0.20794879900232993</v>
      </c>
      <c r="AD38" s="393">
        <f t="shared" si="102"/>
        <v>-0.11433087353898071</v>
      </c>
      <c r="AE38" s="393">
        <f t="shared" si="102"/>
        <v>4.4381817451508376E-2</v>
      </c>
      <c r="AF38" s="124">
        <f t="shared" ref="AF38" si="104">AF36/AF41</f>
        <v>-0.56525603074743735</v>
      </c>
      <c r="AG38" s="393"/>
      <c r="AH38" s="393"/>
      <c r="AI38" s="393"/>
      <c r="AJ38" s="393"/>
      <c r="AK38" s="124">
        <f t="shared" ref="AK38" si="105">AK36/AK41</f>
        <v>0.77949380045734407</v>
      </c>
      <c r="AL38" s="393"/>
      <c r="AM38" s="393"/>
      <c r="AN38" s="393"/>
      <c r="AO38" s="393"/>
      <c r="AP38" s="124">
        <f t="shared" ref="AP38" si="106">AP36/AP41</f>
        <v>1.8085562916855515</v>
      </c>
      <c r="AQ38" s="393"/>
      <c r="AR38" s="393"/>
      <c r="AS38" s="393"/>
      <c r="AT38" s="393"/>
      <c r="AU38" s="124">
        <f t="shared" ref="AU38" si="107">AU36/AU41</f>
        <v>3.6756719687616237</v>
      </c>
      <c r="AV38" s="393"/>
      <c r="AW38" s="393"/>
      <c r="AX38" s="393"/>
      <c r="AY38" s="393"/>
      <c r="AZ38" s="124">
        <f t="shared" ref="AZ38" si="108">AZ36/AZ41</f>
        <v>7.7222592156910954</v>
      </c>
      <c r="BA38" s="393"/>
      <c r="BB38" s="393"/>
      <c r="BC38" s="393"/>
      <c r="BD38" s="393"/>
      <c r="BE38" s="124">
        <f t="shared" ref="BE38" si="109">BE36/BE41</f>
        <v>7.4515394882400923</v>
      </c>
      <c r="BF38" s="393"/>
      <c r="BG38" s="393"/>
      <c r="BH38" s="393"/>
      <c r="BI38" s="393"/>
      <c r="BJ38" s="124">
        <f t="shared" ref="BJ38" si="110">BJ36/BJ41</f>
        <v>8.13083896068974</v>
      </c>
      <c r="BK38" s="393"/>
      <c r="BL38" s="393"/>
      <c r="BM38" s="393"/>
      <c r="BN38" s="393"/>
      <c r="BO38" s="125">
        <f t="shared" ref="BO38" si="111">BO36/BO41</f>
        <v>8.2010685094371727</v>
      </c>
      <c r="BU38"/>
      <c r="BV38"/>
      <c r="BW38"/>
      <c r="BX38"/>
      <c r="BY38"/>
      <c r="BZ38"/>
    </row>
    <row r="39" spans="2:78" s="110" customFormat="1" ht="15" customHeight="1">
      <c r="B39" s="123" t="s">
        <v>255</v>
      </c>
      <c r="C39" s="393">
        <f t="shared" ref="C39:S39" si="112">C36/C42</f>
        <v>-0.4100524942633515</v>
      </c>
      <c r="D39" s="393">
        <f t="shared" si="112"/>
        <v>-0.45582166083041514</v>
      </c>
      <c r="E39" s="393">
        <f t="shared" si="112"/>
        <v>-0.62837698494534966</v>
      </c>
      <c r="F39" s="393">
        <f t="shared" si="112"/>
        <v>-0.77439089264815408</v>
      </c>
      <c r="G39" s="124">
        <f t="shared" si="112"/>
        <v>-2.3062629246676516</v>
      </c>
      <c r="H39" s="393">
        <f t="shared" si="112"/>
        <v>-0.54654821395521003</v>
      </c>
      <c r="I39" s="393">
        <f t="shared" si="112"/>
        <v>-0.61464552706838593</v>
      </c>
      <c r="J39" s="393">
        <f t="shared" si="112"/>
        <v>-0.7021136706764719</v>
      </c>
      <c r="K39" s="393">
        <f t="shared" si="112"/>
        <v>-0.93564787914003489</v>
      </c>
      <c r="L39" s="124">
        <f t="shared" si="112"/>
        <v>-2.8144456103532702</v>
      </c>
      <c r="M39" s="393">
        <f t="shared" si="112"/>
        <v>-1.1471057980834385</v>
      </c>
      <c r="N39" s="393">
        <f t="shared" si="112"/>
        <v>-0.86855913146504826</v>
      </c>
      <c r="O39" s="393">
        <f t="shared" si="112"/>
        <v>-1.1128593768795862</v>
      </c>
      <c r="P39" s="393">
        <f t="shared" si="112"/>
        <v>-1.2996969832003922</v>
      </c>
      <c r="Q39" s="124">
        <f t="shared" si="112"/>
        <v>-4.4434381650508401</v>
      </c>
      <c r="R39" s="393">
        <f t="shared" si="112"/>
        <v>-1.1499223143751232</v>
      </c>
      <c r="S39" s="393">
        <f t="shared" si="112"/>
        <v>-1.1882271378122495</v>
      </c>
      <c r="T39" s="393">
        <f t="shared" ref="T39:V39" si="113">T36/T42</f>
        <v>-0.95132009781572524</v>
      </c>
      <c r="U39" s="393">
        <f t="shared" si="113"/>
        <v>-0.70779399110199759</v>
      </c>
      <c r="V39" s="124">
        <f t="shared" si="113"/>
        <v>-3.9418650019508386</v>
      </c>
      <c r="W39" s="393">
        <f t="shared" ref="W39:AE39" si="114">W36/W42</f>
        <v>-0.58848103977719057</v>
      </c>
      <c r="X39" s="393">
        <f t="shared" si="114"/>
        <v>-0.46069193830034927</v>
      </c>
      <c r="Y39" s="393">
        <f t="shared" si="114"/>
        <v>-0.20185931608373431</v>
      </c>
      <c r="Z39" s="393">
        <f t="shared" si="114"/>
        <v>-0.27996818830177511</v>
      </c>
      <c r="AA39" s="124">
        <f t="shared" ref="AA39" si="115">AA36/AA42</f>
        <v>-1.5074126967934989</v>
      </c>
      <c r="AB39" s="393">
        <f t="shared" si="114"/>
        <v>-0.287358175657635</v>
      </c>
      <c r="AC39" s="393">
        <f t="shared" si="114"/>
        <v>-0.20794879900232993</v>
      </c>
      <c r="AD39" s="393">
        <f t="shared" si="114"/>
        <v>-0.11433087353898071</v>
      </c>
      <c r="AE39" s="393">
        <f t="shared" si="114"/>
        <v>4.4381817451508376E-2</v>
      </c>
      <c r="AF39" s="124">
        <f t="shared" ref="AF39" si="116">AF36/AF42</f>
        <v>-0.56525603074743735</v>
      </c>
      <c r="AG39" s="393"/>
      <c r="AH39" s="393"/>
      <c r="AI39" s="393"/>
      <c r="AJ39" s="393"/>
      <c r="AK39" s="124">
        <f t="shared" ref="AK39" si="117">AK36/AK42</f>
        <v>0.77949380045734407</v>
      </c>
      <c r="AL39" s="393"/>
      <c r="AM39" s="393"/>
      <c r="AN39" s="393"/>
      <c r="AO39" s="393"/>
      <c r="AP39" s="124">
        <f t="shared" ref="AP39" si="118">AP36/AP42</f>
        <v>1.8085562916855515</v>
      </c>
      <c r="AQ39" s="393"/>
      <c r="AR39" s="393"/>
      <c r="AS39" s="393"/>
      <c r="AT39" s="393"/>
      <c r="AU39" s="124">
        <f t="shared" ref="AU39" si="119">AU36/AU42</f>
        <v>3.6756719687616237</v>
      </c>
      <c r="AV39" s="393"/>
      <c r="AW39" s="393"/>
      <c r="AX39" s="393"/>
      <c r="AY39" s="393"/>
      <c r="AZ39" s="124">
        <f t="shared" ref="AZ39" si="120">AZ36/AZ42</f>
        <v>7.7222592156910954</v>
      </c>
      <c r="BA39" s="393"/>
      <c r="BB39" s="393"/>
      <c r="BC39" s="393"/>
      <c r="BD39" s="393"/>
      <c r="BE39" s="124">
        <f t="shared" ref="BE39" si="121">BE36/BE42</f>
        <v>7.4515394882400923</v>
      </c>
      <c r="BF39" s="393"/>
      <c r="BG39" s="393"/>
      <c r="BH39" s="393"/>
      <c r="BI39" s="393"/>
      <c r="BJ39" s="124">
        <f t="shared" ref="BJ39" si="122">BJ36/BJ42</f>
        <v>8.13083896068974</v>
      </c>
      <c r="BK39" s="393"/>
      <c r="BL39" s="393"/>
      <c r="BM39" s="393"/>
      <c r="BN39" s="393"/>
      <c r="BO39" s="125">
        <f t="shared" ref="BO39" si="123">BO36/BO42</f>
        <v>8.2010685094371727</v>
      </c>
      <c r="BU39"/>
      <c r="BV39"/>
      <c r="BW39"/>
      <c r="BX39"/>
      <c r="BY39"/>
      <c r="BZ39"/>
    </row>
    <row r="40" spans="2:78" s="110" customFormat="1" ht="15" customHeight="1" outlineLevel="1">
      <c r="B40" s="629" t="s">
        <v>375</v>
      </c>
      <c r="C40" s="629"/>
      <c r="D40" s="629"/>
      <c r="E40" s="629"/>
      <c r="F40" s="629"/>
      <c r="G40" s="629"/>
      <c r="H40" s="629"/>
      <c r="I40" s="629"/>
      <c r="J40" s="629"/>
      <c r="K40" s="629"/>
      <c r="L40" s="629"/>
      <c r="M40" s="629"/>
      <c r="N40" s="629"/>
      <c r="O40" s="629"/>
      <c r="P40" s="629"/>
      <c r="Q40" s="629"/>
      <c r="R40" s="629"/>
      <c r="S40" s="629"/>
      <c r="T40" s="629"/>
      <c r="U40" s="629"/>
      <c r="V40" s="629"/>
      <c r="W40" s="629"/>
      <c r="X40" s="629"/>
      <c r="Y40" s="629"/>
      <c r="Z40" s="629"/>
      <c r="AA40" s="629"/>
      <c r="AB40" s="632">
        <f>_xll.TR($CC$2,"TR.EPSMean","Period=#1 Curn=#2 Scale=6 Null=BLANK",,LEFT(AB$4,1)&amp;"CQ20"&amp;MID(AB$4,3,2),$CC$4)</f>
        <v>-0.32133</v>
      </c>
      <c r="AC40" s="632">
        <f>_xll.TR($CC$2,"TR.EPSMean","Period=#1 Curn=#2 Scale=6 Null=BLANK",,LEFT(AC$4,1)&amp;"CQ20"&amp;MID(AC$4,3,2),$CC$4)</f>
        <v>-0.31733</v>
      </c>
      <c r="AD40" s="632">
        <f>_xll.TR($CC$2,"TR.EPSMean","Period=#1 Curn=#2 Scale=6 Null=BLANK",,LEFT(AD$4,1)&amp;"CQ20"&amp;MID(AD$4,3,2),$CC$4)</f>
        <v>-0.28133000000000002</v>
      </c>
      <c r="AE40" s="632">
        <f>_xll.TR($CC$2,"TR.EPSMean","Period=#1 Curn=#2 Scale=6 Null=BLANK",,LEFT(AE$4,1)&amp;"CQ20"&amp;MID(AE$4,3,2),$CC$4)</f>
        <v>-0.25067</v>
      </c>
      <c r="AF40" s="632">
        <f>_xll.TR($CC$2,"AVAIL(TR.EPSMean(Methodology=WeightedAnnual),TR.RevenueMean(Methodology=Interimsum))","Period=#1 Curn=#2 Scale=6 Null=BLANK",,"CY"&amp;LEFT(AF$4,4),$CC$4)</f>
        <v>-1.2373799999999999</v>
      </c>
      <c r="AG40" s="632"/>
      <c r="AH40" s="632"/>
      <c r="AI40" s="632"/>
      <c r="AJ40" s="632"/>
      <c r="AK40" s="632">
        <f>_xll.TR($CC$2,"AVAIL(TR.EPSMean(Methodology=WeightedAnnual),TR.RevenueMean(Methodology=Interimsum))","Period=#1 Curn=#2 Scale=6 Null=BLANK",,"CY"&amp;LEFT(AK$4,4),$CC$4)</f>
        <v>0.27881</v>
      </c>
      <c r="AL40" s="629"/>
      <c r="AM40" s="629"/>
      <c r="AN40" s="629"/>
      <c r="AO40" s="629"/>
      <c r="AP40" s="632"/>
      <c r="AQ40" s="629"/>
      <c r="AR40" s="629"/>
      <c r="AS40" s="629"/>
      <c r="AT40" s="629"/>
      <c r="AU40" s="631"/>
      <c r="AV40" s="629"/>
      <c r="AW40" s="629"/>
      <c r="AX40" s="629"/>
      <c r="AY40" s="629"/>
      <c r="AZ40" s="629"/>
      <c r="BA40" s="629"/>
      <c r="BB40" s="629"/>
      <c r="BC40" s="629"/>
      <c r="BD40" s="629"/>
      <c r="BE40" s="629"/>
      <c r="BF40" s="629"/>
      <c r="BG40" s="629"/>
      <c r="BH40" s="629"/>
      <c r="BI40" s="629"/>
      <c r="BJ40" s="629"/>
      <c r="BK40" s="629"/>
      <c r="BL40" s="629"/>
      <c r="BM40" s="629"/>
      <c r="BN40" s="629"/>
      <c r="BO40" s="629"/>
      <c r="BU40"/>
      <c r="BV40"/>
      <c r="BW40"/>
      <c r="BX40"/>
      <c r="BY40"/>
      <c r="BZ40"/>
    </row>
    <row r="41" spans="2:78" s="110" customFormat="1" ht="15" customHeight="1">
      <c r="B41" s="117" t="s">
        <v>18</v>
      </c>
      <c r="C41" s="118">
        <v>31.812999999999999</v>
      </c>
      <c r="D41" s="118">
        <v>31.984000000000002</v>
      </c>
      <c r="E41" s="529"/>
      <c r="F41" s="118">
        <v>37.595999999999997</v>
      </c>
      <c r="G41" s="119">
        <v>33.85</v>
      </c>
      <c r="H41" s="118">
        <v>37.820999999999998</v>
      </c>
      <c r="I41" s="118">
        <v>39.862000000000002</v>
      </c>
      <c r="J41" s="118">
        <v>41.066000000000003</v>
      </c>
      <c r="K41" s="118">
        <v>41.304000000000002</v>
      </c>
      <c r="L41" s="119">
        <v>40.026000000000003</v>
      </c>
      <c r="M41" s="118">
        <v>41.323999999999998</v>
      </c>
      <c r="N41" s="118">
        <v>41.356999999999999</v>
      </c>
      <c r="O41" s="118">
        <v>41.564999999999998</v>
      </c>
      <c r="P41" s="118">
        <v>44.881999999999998</v>
      </c>
      <c r="Q41" s="119">
        <v>42.29</v>
      </c>
      <c r="R41" s="118">
        <v>45.697000000000003</v>
      </c>
      <c r="S41" s="118">
        <v>46.156999999999996</v>
      </c>
      <c r="T41" s="118">
        <v>48.253999999999998</v>
      </c>
      <c r="U41" s="118">
        <v>54.619</v>
      </c>
      <c r="V41" s="119">
        <v>48.697000000000003</v>
      </c>
      <c r="W41" s="118">
        <v>54.85</v>
      </c>
      <c r="X41" s="118">
        <v>54.975999999999999</v>
      </c>
      <c r="Y41" s="118">
        <v>61.527999999999999</v>
      </c>
      <c r="Z41" s="118">
        <v>64.332308999999995</v>
      </c>
      <c r="AA41" s="119">
        <v>58.817999999999998</v>
      </c>
      <c r="AB41" s="118">
        <f>AF41</f>
        <v>64.975632089999991</v>
      </c>
      <c r="AC41" s="118">
        <f>AB41</f>
        <v>64.975632089999991</v>
      </c>
      <c r="AD41" s="118">
        <f t="shared" ref="AD41:AE41" si="124">AC41</f>
        <v>64.975632089999991</v>
      </c>
      <c r="AE41" s="118">
        <f t="shared" si="124"/>
        <v>64.975632089999991</v>
      </c>
      <c r="AF41" s="119">
        <f>(Z41*1.01)+CF!H69</f>
        <v>64.975632089999991</v>
      </c>
      <c r="AG41" s="118"/>
      <c r="AH41" s="118"/>
      <c r="AI41" s="118"/>
      <c r="AJ41" s="118"/>
      <c r="AK41" s="119">
        <f>(AF41*1.01)+CF!I69</f>
        <v>65.625388410899987</v>
      </c>
      <c r="AL41" s="118"/>
      <c r="AM41" s="118"/>
      <c r="AN41" s="118"/>
      <c r="AO41" s="118"/>
      <c r="AP41" s="119">
        <f>(AK41*1.01)+CF!J69</f>
        <v>66.281642295008993</v>
      </c>
      <c r="AQ41" s="118"/>
      <c r="AR41" s="118"/>
      <c r="AS41" s="118"/>
      <c r="AT41" s="118"/>
      <c r="AU41" s="119">
        <f>(AP41*1.01)+CF!K69</f>
        <v>66.94445871795908</v>
      </c>
      <c r="AV41" s="118"/>
      <c r="AW41" s="118"/>
      <c r="AX41" s="118"/>
      <c r="AY41" s="118"/>
      <c r="AZ41" s="119">
        <f>(AU41*1.01)+CF!L69</f>
        <v>67.613903305138678</v>
      </c>
      <c r="BA41" s="118"/>
      <c r="BB41" s="118"/>
      <c r="BC41" s="118"/>
      <c r="BD41" s="118"/>
      <c r="BE41" s="119">
        <f>(AZ41*1.01)+CF!M69</f>
        <v>68.290042338190062</v>
      </c>
      <c r="BF41" s="118"/>
      <c r="BG41" s="118"/>
      <c r="BH41" s="118"/>
      <c r="BI41" s="118"/>
      <c r="BJ41" s="119">
        <f>(BE41*1.01)+CF!N69</f>
        <v>68.972942761571957</v>
      </c>
      <c r="BK41" s="118"/>
      <c r="BL41" s="118"/>
      <c r="BM41" s="118"/>
      <c r="BN41" s="118"/>
      <c r="BO41" s="119">
        <f>(BJ41*1.01)+CF!O69</f>
        <v>69.662672189187674</v>
      </c>
      <c r="BU41"/>
      <c r="BV41"/>
      <c r="BW41"/>
      <c r="BX41"/>
      <c r="BY41"/>
      <c r="BZ41"/>
    </row>
    <row r="42" spans="2:78" s="110" customFormat="1" ht="15" customHeight="1">
      <c r="B42" s="117" t="s">
        <v>19</v>
      </c>
      <c r="C42" s="118">
        <v>31.812999999999999</v>
      </c>
      <c r="D42" s="118">
        <v>31.984000000000002</v>
      </c>
      <c r="E42" s="118">
        <v>33.942999999999998</v>
      </c>
      <c r="F42" s="118">
        <v>37.595999999999997</v>
      </c>
      <c r="G42" s="119">
        <v>33.85</v>
      </c>
      <c r="H42" s="118">
        <v>37.820999999999998</v>
      </c>
      <c r="I42" s="118">
        <v>39.862000000000002</v>
      </c>
      <c r="J42" s="118">
        <v>41.066000000000003</v>
      </c>
      <c r="K42" s="118">
        <v>41.304000000000002</v>
      </c>
      <c r="L42" s="119">
        <v>40.026000000000003</v>
      </c>
      <c r="M42" s="118">
        <v>41.323999999999998</v>
      </c>
      <c r="N42" s="118">
        <v>41.356999999999999</v>
      </c>
      <c r="O42" s="118">
        <v>41.564999999999998</v>
      </c>
      <c r="P42" s="118">
        <v>44.881999999999998</v>
      </c>
      <c r="Q42" s="119">
        <v>42.29</v>
      </c>
      <c r="R42" s="118">
        <v>45.697000000000003</v>
      </c>
      <c r="S42" s="118">
        <v>46.156999999999996</v>
      </c>
      <c r="T42" s="118">
        <f>T41</f>
        <v>48.253999999999998</v>
      </c>
      <c r="U42" s="118">
        <f>U41</f>
        <v>54.619</v>
      </c>
      <c r="V42" s="119">
        <f>V41</f>
        <v>48.697000000000003</v>
      </c>
      <c r="W42" s="118">
        <v>56.012</v>
      </c>
      <c r="X42" s="118">
        <f>X41</f>
        <v>54.975999999999999</v>
      </c>
      <c r="Y42" s="118">
        <f>Y41</f>
        <v>61.527999999999999</v>
      </c>
      <c r="Z42" s="118">
        <f>Z41</f>
        <v>64.332308999999995</v>
      </c>
      <c r="AA42" s="119">
        <f>AA41</f>
        <v>58.817999999999998</v>
      </c>
      <c r="AB42" s="118">
        <f>AF42</f>
        <v>64.975632089999991</v>
      </c>
      <c r="AC42" s="118">
        <f>AB42</f>
        <v>64.975632089999991</v>
      </c>
      <c r="AD42" s="118">
        <f t="shared" ref="AD42:AE42" si="125">AC42</f>
        <v>64.975632089999991</v>
      </c>
      <c r="AE42" s="118">
        <f t="shared" si="125"/>
        <v>64.975632089999991</v>
      </c>
      <c r="AF42" s="119">
        <f>(Z42*1.01)+CF!H69</f>
        <v>64.975632089999991</v>
      </c>
      <c r="AG42" s="118"/>
      <c r="AH42" s="118"/>
      <c r="AI42" s="118"/>
      <c r="AJ42" s="118"/>
      <c r="AK42" s="119">
        <f>(AF42*1.01)+CF!I69</f>
        <v>65.625388410899987</v>
      </c>
      <c r="AL42" s="118"/>
      <c r="AM42" s="118"/>
      <c r="AN42" s="118"/>
      <c r="AO42" s="118"/>
      <c r="AP42" s="119">
        <f>(AK42*1.01)+CF!J69</f>
        <v>66.281642295008993</v>
      </c>
      <c r="AQ42" s="118"/>
      <c r="AR42" s="118"/>
      <c r="AS42" s="118"/>
      <c r="AT42" s="118"/>
      <c r="AU42" s="119">
        <f>(AP42*1.01)+CF!K69</f>
        <v>66.94445871795908</v>
      </c>
      <c r="AV42" s="118"/>
      <c r="AW42" s="118"/>
      <c r="AX42" s="118"/>
      <c r="AY42" s="118"/>
      <c r="AZ42" s="119">
        <f>(AU42*1.01)+CF!L69</f>
        <v>67.613903305138678</v>
      </c>
      <c r="BA42" s="118"/>
      <c r="BB42" s="118"/>
      <c r="BC42" s="118"/>
      <c r="BD42" s="118"/>
      <c r="BE42" s="119">
        <f>(AZ42*1.01)+CF!M69</f>
        <v>68.290042338190062</v>
      </c>
      <c r="BF42" s="118"/>
      <c r="BG42" s="118"/>
      <c r="BH42" s="118"/>
      <c r="BI42" s="118"/>
      <c r="BJ42" s="119">
        <f>(BE42*1.01)+CF!N69</f>
        <v>68.972942761571957</v>
      </c>
      <c r="BK42" s="118"/>
      <c r="BL42" s="118"/>
      <c r="BM42" s="118"/>
      <c r="BN42" s="118"/>
      <c r="BO42" s="119">
        <f>(BJ42*1.01)+CF!S69</f>
        <v>69.662672189187674</v>
      </c>
      <c r="BU42"/>
      <c r="BV42"/>
      <c r="BW42"/>
      <c r="BX42"/>
      <c r="BY42"/>
      <c r="BZ42"/>
    </row>
    <row r="43" spans="2:78" ht="15" customHeight="1">
      <c r="B43" s="114"/>
      <c r="C43" s="122"/>
      <c r="D43" s="122"/>
      <c r="E43" s="122"/>
      <c r="F43" s="122"/>
      <c r="G43" s="107"/>
      <c r="H43" s="122"/>
      <c r="I43" s="122"/>
      <c r="J43" s="122"/>
      <c r="K43" s="122"/>
      <c r="L43" s="107"/>
      <c r="M43" s="122"/>
      <c r="N43" s="122"/>
      <c r="O43" s="122"/>
      <c r="P43" s="122"/>
      <c r="Q43" s="107"/>
      <c r="R43" s="122"/>
      <c r="S43" s="122"/>
      <c r="T43" s="122"/>
      <c r="U43" s="122"/>
      <c r="V43" s="107"/>
      <c r="W43" s="106"/>
      <c r="X43" s="106"/>
      <c r="Y43" s="106"/>
      <c r="Z43" s="106"/>
      <c r="AA43" s="107"/>
      <c r="AB43" s="122"/>
      <c r="AC43" s="122"/>
      <c r="AD43" s="122"/>
      <c r="AE43" s="122"/>
      <c r="AF43" s="107"/>
      <c r="AG43" s="122"/>
      <c r="AH43" s="122"/>
      <c r="AI43" s="122"/>
      <c r="AJ43" s="122"/>
      <c r="AK43" s="107"/>
      <c r="AL43" s="122"/>
      <c r="AM43" s="122"/>
      <c r="AN43" s="122"/>
      <c r="AO43" s="122"/>
      <c r="AP43" s="107"/>
      <c r="AQ43" s="122"/>
      <c r="AR43" s="122"/>
      <c r="AS43" s="122"/>
      <c r="AT43" s="122"/>
      <c r="AU43" s="107"/>
      <c r="AV43" s="122"/>
      <c r="AW43" s="122"/>
      <c r="AX43" s="122"/>
      <c r="AY43" s="122"/>
      <c r="AZ43" s="107"/>
      <c r="BA43" s="122"/>
      <c r="BB43" s="122"/>
      <c r="BC43" s="122"/>
      <c r="BD43" s="122"/>
      <c r="BE43" s="107"/>
      <c r="BF43" s="122"/>
      <c r="BG43" s="122"/>
      <c r="BH43" s="122"/>
      <c r="BI43" s="122"/>
      <c r="BJ43" s="107"/>
      <c r="BK43" s="122"/>
      <c r="BL43" s="122"/>
      <c r="BM43" s="122"/>
      <c r="BN43" s="122"/>
      <c r="BO43" s="107"/>
    </row>
    <row r="44" spans="2:78" ht="15" customHeight="1" outlineLevel="1">
      <c r="B44" s="111" t="s">
        <v>121</v>
      </c>
      <c r="C44" s="106">
        <f>+C60+C65+C70</f>
        <v>-29.038999999999998</v>
      </c>
      <c r="D44" s="106">
        <f t="shared" ref="D44:P44" si="126">+D60+D65+D70</f>
        <v>-4.4720000000000004</v>
      </c>
      <c r="E44" s="106">
        <f t="shared" si="126"/>
        <v>-20.701000000000001</v>
      </c>
      <c r="F44" s="106">
        <f t="shared" si="126"/>
        <v>20.294</v>
      </c>
      <c r="G44" s="107">
        <f>SUM(C44:F44)</f>
        <v>-33.917999999999992</v>
      </c>
      <c r="H44" s="106">
        <f t="shared" si="126"/>
        <v>-7.6020000000000003</v>
      </c>
      <c r="I44" s="106">
        <f t="shared" si="126"/>
        <v>-9.3729999999999993</v>
      </c>
      <c r="J44" s="106">
        <f t="shared" si="126"/>
        <v>-0.39299999999999979</v>
      </c>
      <c r="K44" s="106">
        <f t="shared" si="126"/>
        <v>-5.77</v>
      </c>
      <c r="L44" s="107">
        <f>SUM(H44:K44)</f>
        <v>-23.138000000000002</v>
      </c>
      <c r="M44" s="106">
        <f t="shared" si="126"/>
        <v>-14.156000000000001</v>
      </c>
      <c r="N44" s="106">
        <f t="shared" si="126"/>
        <v>-5.93</v>
      </c>
      <c r="O44" s="106">
        <f t="shared" si="126"/>
        <v>-5.6829999999999998</v>
      </c>
      <c r="P44" s="106">
        <f t="shared" si="126"/>
        <v>-6.3479999999999999</v>
      </c>
      <c r="Q44" s="107">
        <f t="shared" ref="Q44" si="127">SUM(M44:P44)</f>
        <v>-32.116999999999997</v>
      </c>
      <c r="R44" s="106">
        <f>+R60+R65+R70+R68</f>
        <v>-7.2220000000000004</v>
      </c>
      <c r="S44" s="106">
        <f t="shared" ref="S44:Y44" si="128">+S60+S65+S70+S68</f>
        <v>-7.4560000000000004</v>
      </c>
      <c r="T44" s="106">
        <f t="shared" si="128"/>
        <v>-10.837</v>
      </c>
      <c r="U44" s="106">
        <f t="shared" si="128"/>
        <v>-49.792999999999992</v>
      </c>
      <c r="V44" s="306">
        <f>V60+V65+V68+V70</f>
        <v>-75.307999999999993</v>
      </c>
      <c r="W44" s="106">
        <f t="shared" si="128"/>
        <v>117.05200000000001</v>
      </c>
      <c r="X44" s="106">
        <f t="shared" si="128"/>
        <v>-37.719000000000001</v>
      </c>
      <c r="Y44" s="106">
        <f t="shared" si="128"/>
        <v>-35.314</v>
      </c>
      <c r="Z44" s="106">
        <f>+Z60+Z65+Z70+Z68-0.216</f>
        <v>-5.9869999999999992</v>
      </c>
      <c r="AA44" s="107">
        <f>+AA60+AA65+AA70+AA68</f>
        <v>37.974999999999994</v>
      </c>
      <c r="AB44" s="106">
        <v>-6</v>
      </c>
      <c r="AC44" s="106">
        <f>AB44*1.15</f>
        <v>-6.8999999999999995</v>
      </c>
      <c r="AD44" s="106">
        <f>AC44*1.15</f>
        <v>-7.9349999999999987</v>
      </c>
      <c r="AE44" s="106">
        <f>AF44-SUM(AB44:AD44)</f>
        <v>-9.6300000000000061</v>
      </c>
      <c r="AF44" s="306">
        <f>AF60</f>
        <v>-30.465000000000003</v>
      </c>
      <c r="AG44" s="106"/>
      <c r="AH44" s="106"/>
      <c r="AI44" s="106"/>
      <c r="AJ44" s="106"/>
      <c r="AK44" s="306">
        <f>AK60</f>
        <v>-30.465000000000003</v>
      </c>
      <c r="AL44" s="106"/>
      <c r="AM44" s="106"/>
      <c r="AN44" s="106"/>
      <c r="AO44" s="106"/>
      <c r="AP44" s="306">
        <f>AP60</f>
        <v>-30.465000000000003</v>
      </c>
      <c r="AQ44" s="106"/>
      <c r="AR44" s="106"/>
      <c r="AS44" s="106"/>
      <c r="AT44" s="106"/>
      <c r="AU44" s="306">
        <f>AU60</f>
        <v>-30.465000000000003</v>
      </c>
      <c r="AV44" s="106"/>
      <c r="AW44" s="106"/>
      <c r="AX44" s="106"/>
      <c r="AY44" s="106"/>
      <c r="AZ44" s="306">
        <f>AZ60</f>
        <v>-30.465000000000003</v>
      </c>
      <c r="BA44" s="106"/>
      <c r="BB44" s="106"/>
      <c r="BC44" s="106"/>
      <c r="BD44" s="106"/>
      <c r="BE44" s="306">
        <f>BE60</f>
        <v>-30.465000000000003</v>
      </c>
      <c r="BF44" s="106"/>
      <c r="BG44" s="106"/>
      <c r="BH44" s="106"/>
      <c r="BI44" s="106"/>
      <c r="BJ44" s="306">
        <f>BJ60</f>
        <v>-30.465000000000003</v>
      </c>
      <c r="BK44" s="106"/>
      <c r="BL44" s="106"/>
      <c r="BM44" s="106"/>
      <c r="BN44" s="106"/>
      <c r="BO44" s="306">
        <f>BO60</f>
        <v>-30.465000000000003</v>
      </c>
    </row>
    <row r="45" spans="2:78" ht="15" customHeight="1" outlineLevel="1">
      <c r="B45" s="114"/>
      <c r="C45" s="106"/>
      <c r="D45" s="106"/>
      <c r="E45" s="106"/>
      <c r="F45" s="106"/>
      <c r="G45" s="107"/>
      <c r="H45" s="106"/>
      <c r="I45" s="106"/>
      <c r="J45" s="106"/>
      <c r="K45" s="106"/>
      <c r="L45" s="107"/>
      <c r="M45" s="106"/>
      <c r="N45" s="106"/>
      <c r="O45" s="106"/>
      <c r="P45" s="106"/>
      <c r="Q45" s="107"/>
      <c r="R45" s="106"/>
      <c r="S45" s="106"/>
      <c r="T45" s="106"/>
      <c r="U45" s="106"/>
      <c r="V45" s="107"/>
      <c r="W45" s="106"/>
      <c r="X45" s="106"/>
      <c r="Y45" s="106"/>
      <c r="Z45" s="106"/>
      <c r="AA45" s="107"/>
      <c r="AB45" s="106"/>
      <c r="AC45" s="106"/>
      <c r="AD45" s="106"/>
      <c r="AE45" s="106"/>
      <c r="AF45" s="107"/>
      <c r="AG45" s="106"/>
      <c r="AH45" s="106"/>
      <c r="AI45" s="106"/>
      <c r="AJ45" s="106"/>
      <c r="AK45" s="107"/>
      <c r="AL45" s="106"/>
      <c r="AM45" s="106"/>
      <c r="AN45" s="106"/>
      <c r="AO45" s="106"/>
      <c r="AP45" s="107"/>
      <c r="AQ45" s="106"/>
      <c r="AR45" s="106"/>
      <c r="AS45" s="106"/>
      <c r="AT45" s="106"/>
      <c r="AU45" s="107"/>
      <c r="AV45" s="106"/>
      <c r="AW45" s="106"/>
      <c r="AX45" s="106"/>
      <c r="AY45" s="106"/>
      <c r="AZ45" s="107"/>
      <c r="BA45" s="106"/>
      <c r="BB45" s="106"/>
      <c r="BC45" s="106"/>
      <c r="BD45" s="106"/>
      <c r="BE45" s="107"/>
      <c r="BF45" s="106"/>
      <c r="BG45" s="106"/>
      <c r="BH45" s="106"/>
      <c r="BI45" s="106"/>
      <c r="BJ45" s="107"/>
      <c r="BK45" s="106"/>
      <c r="BL45" s="106"/>
      <c r="BM45" s="106"/>
      <c r="BN45" s="106"/>
      <c r="BO45" s="107"/>
    </row>
    <row r="46" spans="2:78" s="110" customFormat="1" ht="15" customHeight="1" outlineLevel="1">
      <c r="B46" s="169" t="s">
        <v>20</v>
      </c>
      <c r="C46" s="392">
        <f t="shared" ref="C46:F46" si="129">C36+C44</f>
        <v>-42.083999999999996</v>
      </c>
      <c r="D46" s="392">
        <f t="shared" si="129"/>
        <v>-19.050999999999998</v>
      </c>
      <c r="E46" s="392">
        <f t="shared" si="129"/>
        <v>-42.03</v>
      </c>
      <c r="F46" s="392">
        <f t="shared" si="129"/>
        <v>-8.8199999999999967</v>
      </c>
      <c r="G46" s="108">
        <f t="shared" ref="G46:K46" si="130">G36+G44</f>
        <v>-111.985</v>
      </c>
      <c r="H46" s="392">
        <f t="shared" si="130"/>
        <v>-28.272999999999996</v>
      </c>
      <c r="I46" s="392">
        <f t="shared" si="130"/>
        <v>-33.874000000000002</v>
      </c>
      <c r="J46" s="392">
        <f t="shared" si="130"/>
        <v>-29.225999999999999</v>
      </c>
      <c r="K46" s="392">
        <f t="shared" si="130"/>
        <v>-44.415999999999997</v>
      </c>
      <c r="L46" s="108">
        <f t="shared" ref="L46:Q46" si="131">L36+L44</f>
        <v>-135.78900000000002</v>
      </c>
      <c r="M46" s="392">
        <f t="shared" si="131"/>
        <v>-61.559000000000005</v>
      </c>
      <c r="N46" s="392">
        <f t="shared" si="131"/>
        <v>-41.850999999999999</v>
      </c>
      <c r="O46" s="392">
        <f t="shared" si="131"/>
        <v>-51.939</v>
      </c>
      <c r="P46" s="392">
        <f t="shared" si="131"/>
        <v>-64.680999999999997</v>
      </c>
      <c r="Q46" s="108">
        <f t="shared" si="131"/>
        <v>-220.03</v>
      </c>
      <c r="R46" s="392">
        <f t="shared" ref="R46" si="132">R36+R44</f>
        <v>-59.77</v>
      </c>
      <c r="S46" s="392">
        <f>S36+S44</f>
        <v>-62.301000000000002</v>
      </c>
      <c r="T46" s="392">
        <f t="shared" ref="T46:V46" si="133">T36+T44</f>
        <v>-56.742000000000004</v>
      </c>
      <c r="U46" s="392">
        <f t="shared" si="133"/>
        <v>-88.451999999999998</v>
      </c>
      <c r="V46" s="108">
        <f t="shared" si="133"/>
        <v>-267.26499999999999</v>
      </c>
      <c r="W46" s="544">
        <f t="shared" ref="W46:AE46" si="134">W36+W44</f>
        <v>84.09</v>
      </c>
      <c r="X46" s="544">
        <f t="shared" si="134"/>
        <v>-63.046000000000006</v>
      </c>
      <c r="Y46" s="544">
        <f t="shared" si="134"/>
        <v>-47.734000000000002</v>
      </c>
      <c r="Z46" s="544">
        <f t="shared" si="134"/>
        <v>-23.99799999999998</v>
      </c>
      <c r="AA46" s="543">
        <f>AA36+AA44</f>
        <v>-50.688000000000017</v>
      </c>
      <c r="AB46" s="392">
        <f t="shared" si="134"/>
        <v>-24.671279099584083</v>
      </c>
      <c r="AC46" s="392">
        <f t="shared" si="134"/>
        <v>-20.411604657532745</v>
      </c>
      <c r="AD46" s="392">
        <f t="shared" si="134"/>
        <v>-15.363720775597123</v>
      </c>
      <c r="AE46" s="392">
        <f t="shared" si="134"/>
        <v>-6.7462633577852564</v>
      </c>
      <c r="AF46" s="108">
        <f t="shared" ref="AF46" si="135">AF36+AF44</f>
        <v>-67.192867890499215</v>
      </c>
      <c r="AG46" s="392"/>
      <c r="AH46" s="392"/>
      <c r="AI46" s="392"/>
      <c r="AJ46" s="392"/>
      <c r="AK46" s="108">
        <f t="shared" ref="AK46" si="136">AK36+AK44</f>
        <v>20.689583418901769</v>
      </c>
      <c r="AL46" s="392"/>
      <c r="AM46" s="392"/>
      <c r="AN46" s="392"/>
      <c r="AO46" s="392"/>
      <c r="AP46" s="108">
        <f t="shared" ref="AP46" si="137">AP36+AP44</f>
        <v>89.409081195889669</v>
      </c>
      <c r="AQ46" s="392"/>
      <c r="AR46" s="392"/>
      <c r="AS46" s="392"/>
      <c r="AT46" s="392"/>
      <c r="AU46" s="108">
        <f t="shared" ref="AU46" si="138">AU36+AU44</f>
        <v>215.6008703735219</v>
      </c>
      <c r="AV46" s="392"/>
      <c r="AW46" s="392"/>
      <c r="AX46" s="392"/>
      <c r="AY46" s="392"/>
      <c r="AZ46" s="108">
        <f t="shared" ref="AZ46" si="139">AZ36+AZ44</f>
        <v>491.66708790695372</v>
      </c>
      <c r="BA46" s="392"/>
      <c r="BB46" s="392"/>
      <c r="BC46" s="392"/>
      <c r="BD46" s="392"/>
      <c r="BE46" s="108">
        <f t="shared" ref="BE46" si="140">BE36+BE44</f>
        <v>478.40094713661097</v>
      </c>
      <c r="BF46" s="392"/>
      <c r="BG46" s="392"/>
      <c r="BH46" s="392"/>
      <c r="BI46" s="392"/>
      <c r="BJ46" s="108">
        <f t="shared" ref="BJ46" si="141">BJ36+BJ44</f>
        <v>530.34289023921258</v>
      </c>
      <c r="BK46" s="392"/>
      <c r="BL46" s="392"/>
      <c r="BM46" s="392"/>
      <c r="BN46" s="392"/>
      <c r="BO46" s="109">
        <f t="shared" ref="BO46" si="142">BO36+BO44</f>
        <v>540.84334717399167</v>
      </c>
      <c r="BU46"/>
      <c r="BV46"/>
      <c r="BW46"/>
      <c r="BX46"/>
      <c r="BY46"/>
      <c r="BZ46"/>
    </row>
    <row r="47" spans="2:78" s="110" customFormat="1" ht="15" customHeight="1" outlineLevel="1">
      <c r="B47" s="126"/>
      <c r="C47" s="394"/>
      <c r="D47" s="394"/>
      <c r="E47" s="394"/>
      <c r="F47" s="394"/>
      <c r="G47" s="127"/>
      <c r="H47" s="394"/>
      <c r="I47" s="394"/>
      <c r="J47" s="394"/>
      <c r="K47" s="394"/>
      <c r="L47" s="127"/>
      <c r="M47" s="394"/>
      <c r="N47" s="394"/>
      <c r="O47" s="394"/>
      <c r="P47" s="394"/>
      <c r="Q47" s="127"/>
      <c r="R47" s="394"/>
      <c r="S47" s="394"/>
      <c r="T47" s="394"/>
      <c r="U47" s="394"/>
      <c r="V47" s="127"/>
      <c r="W47" s="394"/>
      <c r="X47" s="394"/>
      <c r="Y47" s="394"/>
      <c r="Z47" s="394"/>
      <c r="AA47" s="127"/>
      <c r="AB47" s="394"/>
      <c r="AC47" s="394"/>
      <c r="AD47" s="394"/>
      <c r="AE47" s="394"/>
      <c r="AF47" s="127"/>
      <c r="AG47" s="394"/>
      <c r="AH47" s="394"/>
      <c r="AI47" s="394"/>
      <c r="AJ47" s="394"/>
      <c r="AK47" s="127"/>
      <c r="AL47" s="394"/>
      <c r="AM47" s="394"/>
      <c r="AN47" s="394"/>
      <c r="AO47" s="394"/>
      <c r="AP47" s="127"/>
      <c r="AQ47" s="394"/>
      <c r="AR47" s="394"/>
      <c r="AS47" s="394"/>
      <c r="AT47" s="394"/>
      <c r="AU47" s="127"/>
      <c r="AV47" s="394"/>
      <c r="AW47" s="394"/>
      <c r="AX47" s="394"/>
      <c r="AY47" s="394"/>
      <c r="AZ47" s="127"/>
      <c r="BA47" s="394"/>
      <c r="BB47" s="394"/>
      <c r="BC47" s="394"/>
      <c r="BD47" s="394"/>
      <c r="BE47" s="127"/>
      <c r="BF47" s="394"/>
      <c r="BG47" s="394"/>
      <c r="BH47" s="394"/>
      <c r="BI47" s="394"/>
      <c r="BJ47" s="127"/>
      <c r="BK47" s="394"/>
      <c r="BL47" s="394"/>
      <c r="BM47" s="394"/>
      <c r="BN47" s="394"/>
      <c r="BO47" s="127"/>
      <c r="BU47"/>
      <c r="BV47"/>
      <c r="BW47"/>
      <c r="BX47"/>
      <c r="BY47"/>
      <c r="BZ47"/>
    </row>
    <row r="48" spans="2:78" s="110" customFormat="1" ht="15" customHeight="1" outlineLevel="1">
      <c r="B48" s="123" t="s">
        <v>119</v>
      </c>
      <c r="C48" s="393">
        <f t="shared" ref="C48:S48" si="143">C46/C41</f>
        <v>-1.3228554364567944</v>
      </c>
      <c r="D48" s="393">
        <f t="shared" si="143"/>
        <v>-0.59564157078539259</v>
      </c>
      <c r="E48" s="393" t="e">
        <f t="shared" si="143"/>
        <v>#DIV/0!</v>
      </c>
      <c r="F48" s="393">
        <f t="shared" si="143"/>
        <v>-0.23459942547079471</v>
      </c>
      <c r="G48" s="124">
        <f t="shared" si="143"/>
        <v>-3.3082717872968979</v>
      </c>
      <c r="H48" s="393">
        <f t="shared" si="143"/>
        <v>-0.74754765870812501</v>
      </c>
      <c r="I48" s="393">
        <f t="shared" si="143"/>
        <v>-0.84978174702724396</v>
      </c>
      <c r="J48" s="393">
        <f t="shared" si="143"/>
        <v>-0.71168363122777956</v>
      </c>
      <c r="K48" s="393">
        <f t="shared" si="143"/>
        <v>-1.0753437923687776</v>
      </c>
      <c r="L48" s="124">
        <f t="shared" si="143"/>
        <v>-3.392519862089642</v>
      </c>
      <c r="M48" s="393">
        <f>M46/M41</f>
        <v>-1.4896670215855194</v>
      </c>
      <c r="N48" s="393">
        <f t="shared" si="143"/>
        <v>-1.0119447735570761</v>
      </c>
      <c r="O48" s="393">
        <f t="shared" si="143"/>
        <v>-1.2495849873691809</v>
      </c>
      <c r="P48" s="393">
        <f t="shared" si="143"/>
        <v>-1.4411345305467671</v>
      </c>
      <c r="Q48" s="124">
        <f t="shared" si="143"/>
        <v>-5.2028848427524235</v>
      </c>
      <c r="R48" s="393">
        <f t="shared" si="143"/>
        <v>-1.3079633236317483</v>
      </c>
      <c r="S48" s="393">
        <f t="shared" si="143"/>
        <v>-1.3497627662109757</v>
      </c>
      <c r="T48" s="393">
        <f t="shared" ref="T48:U48" si="144">T46/T41</f>
        <v>-1.1759025158536081</v>
      </c>
      <c r="U48" s="393">
        <f t="shared" si="144"/>
        <v>-1.6194364598399824</v>
      </c>
      <c r="V48" s="124">
        <f t="shared" ref="V48:Z48" si="145">V46/V41</f>
        <v>-5.4883257695545922</v>
      </c>
      <c r="W48" s="393">
        <f t="shared" si="145"/>
        <v>1.5330902461257976</v>
      </c>
      <c r="X48" s="393">
        <f t="shared" si="145"/>
        <v>-1.1467913271245636</v>
      </c>
      <c r="Y48" s="393">
        <f t="shared" si="145"/>
        <v>-0.77580938759589135</v>
      </c>
      <c r="Z48" s="393">
        <f t="shared" si="145"/>
        <v>-0.37303184625317864</v>
      </c>
      <c r="AA48" s="124">
        <f t="shared" ref="AA48:AE48" si="146">AA46/AA41</f>
        <v>-0.861777007038662</v>
      </c>
      <c r="AB48" s="393">
        <f t="shared" si="146"/>
        <v>-0.3797004862593879</v>
      </c>
      <c r="AC48" s="393">
        <f t="shared" si="146"/>
        <v>-0.31414245619434572</v>
      </c>
      <c r="AD48" s="393">
        <f t="shared" si="146"/>
        <v>-0.23645357930979885</v>
      </c>
      <c r="AE48" s="393">
        <f t="shared" si="146"/>
        <v>-0.10382759106430506</v>
      </c>
      <c r="AF48" s="124">
        <f t="shared" ref="AF48" si="147">AF46/AF41</f>
        <v>-1.0341241128278376</v>
      </c>
      <c r="AG48" s="393"/>
      <c r="AH48" s="393"/>
      <c r="AI48" s="393"/>
      <c r="AJ48" s="393"/>
      <c r="AK48" s="124">
        <f t="shared" ref="AK48" si="148">AK46/AK41</f>
        <v>0.3152679766153636</v>
      </c>
      <c r="AL48" s="393"/>
      <c r="AM48" s="393"/>
      <c r="AN48" s="393"/>
      <c r="AO48" s="393"/>
      <c r="AP48" s="124">
        <f t="shared" ref="AP48" si="149">AP46/AP41</f>
        <v>1.3489267631291353</v>
      </c>
      <c r="AQ48" s="393"/>
      <c r="AR48" s="393"/>
      <c r="AS48" s="393"/>
      <c r="AT48" s="393"/>
      <c r="AU48" s="124">
        <f t="shared" ref="AU48" si="150">AU46/AU41</f>
        <v>3.2205932276166571</v>
      </c>
      <c r="AV48" s="393"/>
      <c r="AW48" s="393"/>
      <c r="AX48" s="393"/>
      <c r="AY48" s="393"/>
      <c r="AZ48" s="124">
        <f t="shared" ref="AZ48" si="151">AZ46/AZ41</f>
        <v>7.2716862046564748</v>
      </c>
      <c r="BA48" s="393"/>
      <c r="BB48" s="393"/>
      <c r="BC48" s="393"/>
      <c r="BD48" s="393"/>
      <c r="BE48" s="124">
        <f t="shared" ref="BE48" si="152">BE46/BE41</f>
        <v>7.0054275961266059</v>
      </c>
      <c r="BF48" s="393"/>
      <c r="BG48" s="393"/>
      <c r="BH48" s="393"/>
      <c r="BI48" s="393"/>
      <c r="BJ48" s="124">
        <f t="shared" ref="BJ48" si="153">BJ46/BJ41</f>
        <v>7.6891440180031196</v>
      </c>
      <c r="BK48" s="393"/>
      <c r="BL48" s="393"/>
      <c r="BM48" s="393"/>
      <c r="BN48" s="393"/>
      <c r="BO48" s="125">
        <f t="shared" ref="BO48" si="154">BO46/BO41</f>
        <v>7.7637467840048755</v>
      </c>
      <c r="BU48"/>
      <c r="BV48"/>
      <c r="BW48"/>
      <c r="BX48"/>
      <c r="BY48"/>
      <c r="BZ48"/>
    </row>
    <row r="49" spans="2:78" s="110" customFormat="1" ht="15" customHeight="1" outlineLevel="1">
      <c r="B49" s="123" t="s">
        <v>120</v>
      </c>
      <c r="C49" s="393">
        <f t="shared" ref="C49:S49" si="155">C46/C42</f>
        <v>-1.3228554364567944</v>
      </c>
      <c r="D49" s="393">
        <f t="shared" si="155"/>
        <v>-0.59564157078539259</v>
      </c>
      <c r="E49" s="393">
        <f t="shared" si="155"/>
        <v>-1.2382523642577263</v>
      </c>
      <c r="F49" s="393">
        <f t="shared" si="155"/>
        <v>-0.23459942547079471</v>
      </c>
      <c r="G49" s="124">
        <f t="shared" si="155"/>
        <v>-3.3082717872968979</v>
      </c>
      <c r="H49" s="393">
        <f t="shared" si="155"/>
        <v>-0.74754765870812501</v>
      </c>
      <c r="I49" s="393">
        <f t="shared" si="155"/>
        <v>-0.84978174702724396</v>
      </c>
      <c r="J49" s="393">
        <f t="shared" si="155"/>
        <v>-0.71168363122777956</v>
      </c>
      <c r="K49" s="393">
        <f t="shared" si="155"/>
        <v>-1.0753437923687776</v>
      </c>
      <c r="L49" s="124">
        <f t="shared" si="155"/>
        <v>-3.392519862089642</v>
      </c>
      <c r="M49" s="393">
        <f t="shared" si="155"/>
        <v>-1.4896670215855194</v>
      </c>
      <c r="N49" s="393">
        <f t="shared" si="155"/>
        <v>-1.0119447735570761</v>
      </c>
      <c r="O49" s="393">
        <f t="shared" si="155"/>
        <v>-1.2495849873691809</v>
      </c>
      <c r="P49" s="393">
        <f t="shared" si="155"/>
        <v>-1.4411345305467671</v>
      </c>
      <c r="Q49" s="124">
        <f t="shared" si="155"/>
        <v>-5.2028848427524235</v>
      </c>
      <c r="R49" s="393">
        <f t="shared" si="155"/>
        <v>-1.3079633236317483</v>
      </c>
      <c r="S49" s="393">
        <f t="shared" si="155"/>
        <v>-1.3497627662109757</v>
      </c>
      <c r="T49" s="393">
        <f t="shared" ref="T49:U49" si="156">T46/T42</f>
        <v>-1.1759025158536081</v>
      </c>
      <c r="U49" s="393">
        <f t="shared" si="156"/>
        <v>-1.6194364598399824</v>
      </c>
      <c r="V49" s="124">
        <f t="shared" ref="V49:Z49" si="157">V46/V42</f>
        <v>-5.4883257695545922</v>
      </c>
      <c r="W49" s="393">
        <f t="shared" si="157"/>
        <v>1.5012854388345356</v>
      </c>
      <c r="X49" s="393">
        <f t="shared" si="157"/>
        <v>-1.1467913271245636</v>
      </c>
      <c r="Y49" s="393">
        <f t="shared" si="157"/>
        <v>-0.77580938759589135</v>
      </c>
      <c r="Z49" s="393">
        <f t="shared" si="157"/>
        <v>-0.37303184625317864</v>
      </c>
      <c r="AA49" s="124">
        <f t="shared" ref="AA49:AE49" si="158">AA46/AA42</f>
        <v>-0.861777007038662</v>
      </c>
      <c r="AB49" s="393">
        <f t="shared" si="158"/>
        <v>-0.3797004862593879</v>
      </c>
      <c r="AC49" s="393">
        <f t="shared" si="158"/>
        <v>-0.31414245619434572</v>
      </c>
      <c r="AD49" s="393">
        <f t="shared" si="158"/>
        <v>-0.23645357930979885</v>
      </c>
      <c r="AE49" s="393">
        <f t="shared" si="158"/>
        <v>-0.10382759106430506</v>
      </c>
      <c r="AF49" s="124">
        <f t="shared" ref="AF49" si="159">AF46/AF42</f>
        <v>-1.0341241128278376</v>
      </c>
      <c r="AG49" s="393"/>
      <c r="AH49" s="393"/>
      <c r="AI49" s="393"/>
      <c r="AJ49" s="393"/>
      <c r="AK49" s="124">
        <f t="shared" ref="AK49" si="160">AK46/AK42</f>
        <v>0.3152679766153636</v>
      </c>
      <c r="AL49" s="393"/>
      <c r="AM49" s="393"/>
      <c r="AN49" s="393"/>
      <c r="AO49" s="393"/>
      <c r="AP49" s="124">
        <f t="shared" ref="AP49" si="161">AP46/AP42</f>
        <v>1.3489267631291353</v>
      </c>
      <c r="AQ49" s="393"/>
      <c r="AR49" s="393"/>
      <c r="AS49" s="393"/>
      <c r="AT49" s="393"/>
      <c r="AU49" s="124">
        <f t="shared" ref="AU49" si="162">AU46/AU42</f>
        <v>3.2205932276166571</v>
      </c>
      <c r="AV49" s="393"/>
      <c r="AW49" s="393"/>
      <c r="AX49" s="393"/>
      <c r="AY49" s="393"/>
      <c r="AZ49" s="124">
        <f t="shared" ref="AZ49" si="163">AZ46/AZ42</f>
        <v>7.2716862046564748</v>
      </c>
      <c r="BA49" s="393"/>
      <c r="BB49" s="393"/>
      <c r="BC49" s="393"/>
      <c r="BD49" s="393"/>
      <c r="BE49" s="124">
        <f t="shared" ref="BE49" si="164">BE46/BE42</f>
        <v>7.0054275961266059</v>
      </c>
      <c r="BF49" s="393"/>
      <c r="BG49" s="393"/>
      <c r="BH49" s="393"/>
      <c r="BI49" s="393"/>
      <c r="BJ49" s="124">
        <f t="shared" ref="BJ49" si="165">BJ46/BJ42</f>
        <v>7.6891440180031196</v>
      </c>
      <c r="BK49" s="393"/>
      <c r="BL49" s="393"/>
      <c r="BM49" s="393"/>
      <c r="BN49" s="393"/>
      <c r="BO49" s="125">
        <f t="shared" ref="BO49" si="166">BO46/BO42</f>
        <v>7.7637467840048755</v>
      </c>
      <c r="BU49"/>
      <c r="BV49"/>
      <c r="BW49"/>
      <c r="BX49"/>
      <c r="BY49"/>
      <c r="BZ49"/>
    </row>
    <row r="50" spans="2:78" ht="14.25" customHeight="1" outlineLevel="1">
      <c r="C50" s="122"/>
      <c r="D50" s="122"/>
      <c r="E50" s="122"/>
      <c r="F50" s="122"/>
      <c r="H50" s="122"/>
      <c r="I50" s="122"/>
      <c r="J50" s="122"/>
      <c r="K50" s="122"/>
      <c r="M50" s="122"/>
      <c r="N50" s="122"/>
      <c r="O50" s="122"/>
      <c r="P50" s="122"/>
      <c r="R50" s="122"/>
      <c r="S50" s="122"/>
      <c r="T50" s="122"/>
      <c r="U50" s="122"/>
      <c r="W50" s="122"/>
      <c r="X50" s="122"/>
      <c r="Y50" s="122"/>
      <c r="Z50" s="122"/>
      <c r="AB50" s="122"/>
      <c r="AC50" s="122"/>
      <c r="AD50" s="122"/>
      <c r="AE50" s="122"/>
      <c r="AG50" s="122"/>
      <c r="AH50" s="122"/>
      <c r="AI50" s="122"/>
      <c r="AJ50" s="122"/>
      <c r="AL50" s="122"/>
      <c r="AM50" s="122"/>
      <c r="AN50" s="122"/>
      <c r="AO50" s="122"/>
      <c r="AQ50" s="122"/>
      <c r="AR50" s="122"/>
      <c r="AS50" s="122"/>
      <c r="AT50" s="122"/>
      <c r="AV50" s="122"/>
      <c r="AW50" s="122"/>
      <c r="AX50" s="122"/>
      <c r="AY50" s="122"/>
      <c r="BA50" s="122"/>
      <c r="BB50" s="122"/>
      <c r="BC50" s="122"/>
      <c r="BD50" s="122"/>
      <c r="BF50" s="122"/>
      <c r="BG50" s="122"/>
      <c r="BH50" s="122"/>
      <c r="BI50" s="122"/>
      <c r="BK50" s="122"/>
      <c r="BL50" s="122"/>
      <c r="BM50" s="122"/>
      <c r="BN50" s="122"/>
    </row>
    <row r="51" spans="2:78" s="110" customFormat="1" ht="15" customHeight="1">
      <c r="B51" s="170" t="s">
        <v>209</v>
      </c>
      <c r="C51" s="118">
        <f>C60</f>
        <v>-1.671</v>
      </c>
      <c r="D51" s="118">
        <f t="shared" ref="D51:L51" si="167">D60</f>
        <v>-2.3180000000000001</v>
      </c>
      <c r="E51" s="118">
        <f t="shared" si="167"/>
        <v>-3.4870000000000001</v>
      </c>
      <c r="F51" s="118">
        <f t="shared" si="167"/>
        <v>-3.6520000000000001</v>
      </c>
      <c r="G51" s="119">
        <f t="shared" si="167"/>
        <v>-11.128</v>
      </c>
      <c r="H51" s="118">
        <f t="shared" si="167"/>
        <v>-4.3419999999999996</v>
      </c>
      <c r="I51" s="118">
        <f t="shared" si="167"/>
        <v>-5.5869999999999997</v>
      </c>
      <c r="J51" s="118">
        <f t="shared" si="167"/>
        <v>-4.649</v>
      </c>
      <c r="K51" s="118">
        <f t="shared" si="167"/>
        <v>-5.7669999999999995</v>
      </c>
      <c r="L51" s="119">
        <f t="shared" si="167"/>
        <v>-20.344999999999999</v>
      </c>
      <c r="M51" s="118">
        <f t="shared" ref="M51:S51" si="168">M60</f>
        <v>-14.156000000000001</v>
      </c>
      <c r="N51" s="118">
        <f t="shared" si="168"/>
        <v>-5.93</v>
      </c>
      <c r="O51" s="118">
        <f t="shared" si="168"/>
        <v>-5.6829999999999998</v>
      </c>
      <c r="P51" s="118">
        <f t="shared" si="168"/>
        <v>-6.3479999999999999</v>
      </c>
      <c r="Q51" s="119">
        <f t="shared" si="168"/>
        <v>-32.116999999999997</v>
      </c>
      <c r="R51" s="118">
        <f t="shared" si="168"/>
        <v>-6.6890000000000001</v>
      </c>
      <c r="S51" s="118">
        <f t="shared" si="168"/>
        <v>-6.83</v>
      </c>
      <c r="T51" s="118">
        <f t="shared" ref="T51:W51" si="169">T60</f>
        <v>-9.5730000000000004</v>
      </c>
      <c r="U51" s="118">
        <f t="shared" si="169"/>
        <v>-6.8689999999999998</v>
      </c>
      <c r="V51" s="119">
        <f t="shared" si="169"/>
        <v>-29.960999999999999</v>
      </c>
      <c r="W51" s="118">
        <f t="shared" si="169"/>
        <v>-5.7119999999999997</v>
      </c>
      <c r="X51" s="118">
        <f t="shared" ref="X51" si="170">X60</f>
        <v>-10.465</v>
      </c>
      <c r="Y51" s="118">
        <f>Y60</f>
        <v>-6.9220000000000006</v>
      </c>
      <c r="Z51" s="118">
        <f>Z60</f>
        <v>-7.3659999999999997</v>
      </c>
      <c r="AA51" s="119">
        <f t="shared" ref="AA51" si="171">AA60</f>
        <v>-30.465000000000003</v>
      </c>
      <c r="AB51" s="118"/>
      <c r="AC51" s="118"/>
      <c r="AD51" s="118"/>
      <c r="AE51" s="118"/>
      <c r="AF51" s="119">
        <f t="shared" ref="AF51" si="172">AF60</f>
        <v>-30.465000000000003</v>
      </c>
      <c r="AG51" s="118"/>
      <c r="AH51" s="118"/>
      <c r="AI51" s="118"/>
      <c r="AJ51" s="118"/>
      <c r="AK51" s="119">
        <f t="shared" ref="AK51" si="173">AK60</f>
        <v>-30.465000000000003</v>
      </c>
      <c r="AL51" s="118"/>
      <c r="AM51" s="118"/>
      <c r="AN51" s="118"/>
      <c r="AO51" s="118"/>
      <c r="AP51" s="119">
        <f t="shared" ref="AP51" si="174">AP60</f>
        <v>-30.465000000000003</v>
      </c>
      <c r="AQ51" s="118"/>
      <c r="AR51" s="118"/>
      <c r="AS51" s="118"/>
      <c r="AT51" s="118"/>
      <c r="AU51" s="119">
        <f t="shared" ref="AU51" si="175">AU60</f>
        <v>-30.465000000000003</v>
      </c>
      <c r="AV51" s="118"/>
      <c r="AW51" s="118"/>
      <c r="AX51" s="118"/>
      <c r="AY51" s="118"/>
      <c r="AZ51" s="119">
        <f t="shared" ref="AZ51" si="176">AZ60</f>
        <v>-30.465000000000003</v>
      </c>
      <c r="BA51" s="118"/>
      <c r="BB51" s="118"/>
      <c r="BC51" s="118"/>
      <c r="BD51" s="118"/>
      <c r="BE51" s="119">
        <f t="shared" ref="BE51" si="177">BE60</f>
        <v>-30.465000000000003</v>
      </c>
      <c r="BF51" s="118"/>
      <c r="BG51" s="118"/>
      <c r="BH51" s="118"/>
      <c r="BI51" s="118"/>
      <c r="BJ51" s="119">
        <f t="shared" ref="BJ51" si="178">BJ60</f>
        <v>-30.465000000000003</v>
      </c>
      <c r="BK51" s="118"/>
      <c r="BL51" s="118"/>
      <c r="BM51" s="118"/>
      <c r="BN51" s="118"/>
      <c r="BO51" s="119">
        <f t="shared" ref="BO51" si="179">BO60</f>
        <v>-30.465000000000003</v>
      </c>
      <c r="BU51"/>
      <c r="BV51"/>
      <c r="BW51"/>
      <c r="BX51"/>
      <c r="BY51"/>
      <c r="BZ51"/>
    </row>
    <row r="52" spans="2:78" s="110" customFormat="1" ht="15" customHeight="1">
      <c r="B52" s="171" t="s">
        <v>210</v>
      </c>
      <c r="C52" s="128">
        <f t="shared" ref="C52:S52" si="180">C51/(C26+C22+C16)</f>
        <v>-9.4109033566118494E-2</v>
      </c>
      <c r="D52" s="128">
        <f t="shared" si="180"/>
        <v>-0.13237393638284509</v>
      </c>
      <c r="E52" s="128">
        <f t="shared" si="180"/>
        <v>-0.13642410015649453</v>
      </c>
      <c r="F52" s="128">
        <f t="shared" si="180"/>
        <v>-0.11489696397671859</v>
      </c>
      <c r="G52" s="127">
        <f t="shared" si="180"/>
        <v>-0.120157215047726</v>
      </c>
      <c r="H52" s="128">
        <f t="shared" si="180"/>
        <v>-0.16166505324298161</v>
      </c>
      <c r="I52" s="128">
        <f t="shared" si="180"/>
        <v>-0.2049147258389877</v>
      </c>
      <c r="J52" s="128">
        <f t="shared" si="180"/>
        <v>-0.15452883496759182</v>
      </c>
      <c r="K52" s="128">
        <f t="shared" si="180"/>
        <v>-0.14795146104312579</v>
      </c>
      <c r="L52" s="127">
        <f t="shared" si="180"/>
        <v>-0.16515541412649062</v>
      </c>
      <c r="M52" s="128">
        <f t="shared" si="180"/>
        <v>-0.29673416341759945</v>
      </c>
      <c r="N52" s="128">
        <f t="shared" si="180"/>
        <v>-0.16391630041186389</v>
      </c>
      <c r="O52" s="128">
        <f t="shared" si="180"/>
        <v>-0.12332899305555556</v>
      </c>
      <c r="P52" s="128">
        <f t="shared" si="180"/>
        <v>-0.10694610576680089</v>
      </c>
      <c r="Q52" s="127">
        <f t="shared" si="180"/>
        <v>-0.16964398901331079</v>
      </c>
      <c r="R52" s="128">
        <f t="shared" si="180"/>
        <v>-0.12745807926829267</v>
      </c>
      <c r="S52" s="128">
        <f t="shared" si="180"/>
        <v>-0.12499084986457801</v>
      </c>
      <c r="T52" s="128">
        <f t="shared" ref="T52:W52" si="181">T51/(T26+T22+T16)</f>
        <v>-0.20949317226890757</v>
      </c>
      <c r="U52" s="128">
        <f t="shared" si="181"/>
        <v>-0.15603207414306156</v>
      </c>
      <c r="V52" s="127">
        <f t="shared" si="181"/>
        <v>-0.1522075969173402</v>
      </c>
      <c r="W52" s="128">
        <f t="shared" si="181"/>
        <v>-0.11507081125727753</v>
      </c>
      <c r="X52" s="128">
        <f t="shared" ref="X52" si="182">X51/(X26+X22+X16)</f>
        <v>-0.172912329400879</v>
      </c>
      <c r="Y52" s="128">
        <f>Y51/(Y26+Y22+Y16)</f>
        <v>-0.11820758905700331</v>
      </c>
      <c r="Z52" s="128">
        <f>Z51/(Z26+Z22+Z16)</f>
        <v>-0.10146704318479231</v>
      </c>
      <c r="AA52" s="127">
        <f t="shared" ref="AA52" si="183">AA51/(AA26+AA22+AA16)</f>
        <v>-0.12627612877553812</v>
      </c>
      <c r="AB52" s="128"/>
      <c r="AC52" s="128"/>
      <c r="AD52" s="128"/>
      <c r="AE52" s="128"/>
      <c r="AF52" s="127">
        <f t="shared" ref="AF52" si="184">AF51/(AF26+AF22+AF16)</f>
        <v>-9.3950127381458318E-2</v>
      </c>
      <c r="AG52" s="128"/>
      <c r="AH52" s="128"/>
      <c r="AI52" s="128"/>
      <c r="AJ52" s="128"/>
      <c r="AK52" s="127">
        <f t="shared" ref="AK52" si="185">AK51/(AK26+AK22+AK16)</f>
        <v>-7.6891566734873976E-2</v>
      </c>
      <c r="AL52" s="128"/>
      <c r="AM52" s="128"/>
      <c r="AN52" s="128"/>
      <c r="AO52" s="128"/>
      <c r="AP52" s="127">
        <f t="shared" ref="AP52" si="186">AP51/(AP26+AP22+AP16)</f>
        <v>-6.6044027405943576E-2</v>
      </c>
      <c r="AQ52" s="128"/>
      <c r="AR52" s="128"/>
      <c r="AS52" s="128"/>
      <c r="AT52" s="128"/>
      <c r="AU52" s="127">
        <f t="shared" ref="AU52" si="187">AU51/(AU26+AU22+AU16)</f>
        <v>-5.9511299746187026E-2</v>
      </c>
      <c r="AV52" s="128"/>
      <c r="AW52" s="128"/>
      <c r="AX52" s="128"/>
      <c r="AY52" s="128"/>
      <c r="AZ52" s="127">
        <f t="shared" ref="AZ52" si="188">AZ51/(AZ26+AZ22+AZ16)</f>
        <v>-5.173122235886346E-2</v>
      </c>
      <c r="BA52" s="128"/>
      <c r="BB52" s="128"/>
      <c r="BC52" s="128"/>
      <c r="BD52" s="128"/>
      <c r="BE52" s="127">
        <f t="shared" ref="BE52" si="189">BE51/(BE26+BE22+BE16)</f>
        <v>-4.8561954285204718E-2</v>
      </c>
      <c r="BF52" s="128"/>
      <c r="BG52" s="128"/>
      <c r="BH52" s="128"/>
      <c r="BI52" s="128"/>
      <c r="BJ52" s="127">
        <f t="shared" ref="BJ52" si="190">BJ51/(BJ26+BJ22+BJ16)</f>
        <v>-4.9094329268139489E-2</v>
      </c>
      <c r="BK52" s="128"/>
      <c r="BL52" s="128"/>
      <c r="BM52" s="128"/>
      <c r="BN52" s="128"/>
      <c r="BO52" s="127">
        <f t="shared" ref="BO52" si="191">BO51/(BO26+BO22+BO16)</f>
        <v>-4.9928098979841476E-2</v>
      </c>
      <c r="BU52"/>
      <c r="BV52"/>
      <c r="BW52"/>
      <c r="BX52"/>
      <c r="BY52"/>
      <c r="BZ52"/>
    </row>
    <row r="53" spans="2:78" s="110" customFormat="1" ht="15" customHeight="1">
      <c r="B53" s="170" t="s">
        <v>211</v>
      </c>
      <c r="C53" s="118"/>
      <c r="D53" s="118"/>
      <c r="E53" s="118"/>
      <c r="F53" s="118"/>
      <c r="G53" s="119">
        <v>0</v>
      </c>
      <c r="H53" s="118"/>
      <c r="I53" s="118"/>
      <c r="J53" s="118"/>
      <c r="K53" s="118"/>
      <c r="L53" s="119">
        <v>0</v>
      </c>
      <c r="M53" s="118"/>
      <c r="N53" s="118"/>
      <c r="O53" s="118"/>
      <c r="P53" s="118"/>
      <c r="Q53" s="119">
        <v>0</v>
      </c>
      <c r="R53" s="118"/>
      <c r="S53" s="118"/>
      <c r="T53" s="118"/>
      <c r="U53" s="118"/>
      <c r="V53" s="119"/>
      <c r="W53" s="118"/>
      <c r="X53" s="118"/>
      <c r="Y53" s="118"/>
      <c r="Z53" s="118"/>
      <c r="AA53" s="119"/>
      <c r="AB53" s="118"/>
      <c r="AC53" s="118"/>
      <c r="AD53" s="118"/>
      <c r="AE53" s="118"/>
      <c r="AF53" s="119"/>
      <c r="AG53" s="118"/>
      <c r="AH53" s="118"/>
      <c r="AI53" s="118"/>
      <c r="AJ53" s="118"/>
      <c r="AK53" s="119"/>
      <c r="AL53" s="118"/>
      <c r="AM53" s="118"/>
      <c r="AN53" s="118"/>
      <c r="AO53" s="118"/>
      <c r="AP53" s="119"/>
      <c r="AQ53" s="118"/>
      <c r="AR53" s="118"/>
      <c r="AS53" s="118"/>
      <c r="AT53" s="118"/>
      <c r="AU53" s="119"/>
      <c r="AV53" s="118"/>
      <c r="AW53" s="118"/>
      <c r="AX53" s="118"/>
      <c r="AY53" s="118"/>
      <c r="AZ53" s="119"/>
      <c r="BA53" s="118"/>
      <c r="BB53" s="118"/>
      <c r="BC53" s="118"/>
      <c r="BD53" s="118"/>
      <c r="BE53" s="119"/>
      <c r="BF53" s="118"/>
      <c r="BG53" s="118"/>
      <c r="BH53" s="118"/>
      <c r="BI53" s="118"/>
      <c r="BJ53" s="119"/>
      <c r="BK53" s="118"/>
      <c r="BL53" s="118"/>
      <c r="BM53" s="118"/>
      <c r="BN53" s="118"/>
      <c r="BO53" s="119"/>
      <c r="BU53"/>
      <c r="BV53"/>
      <c r="BW53"/>
      <c r="BX53"/>
      <c r="BY53"/>
      <c r="BZ53"/>
    </row>
    <row r="54" spans="2:78" s="110" customFormat="1" ht="15" customHeight="1">
      <c r="B54" s="170" t="s">
        <v>212</v>
      </c>
      <c r="C54" s="118">
        <f t="shared" ref="C54:F54" si="192">C36-C51-C53</f>
        <v>-11.374000000000001</v>
      </c>
      <c r="D54" s="118">
        <f t="shared" si="192"/>
        <v>-12.260999999999999</v>
      </c>
      <c r="E54" s="118">
        <f t="shared" si="192"/>
        <v>-17.841999999999999</v>
      </c>
      <c r="F54" s="118">
        <f t="shared" si="192"/>
        <v>-25.461999999999996</v>
      </c>
      <c r="G54" s="119">
        <f>G36-G51-G53</f>
        <v>-66.939000000000007</v>
      </c>
      <c r="H54" s="118">
        <f t="shared" ref="H54" si="193">H36-H51-H53</f>
        <v>-16.328999999999997</v>
      </c>
      <c r="I54" s="118">
        <f t="shared" ref="I54" si="194">I36-I51-I53</f>
        <v>-18.914000000000001</v>
      </c>
      <c r="J54" s="118">
        <f t="shared" ref="J54" si="195">J36-J51-J53</f>
        <v>-24.183999999999997</v>
      </c>
      <c r="K54" s="118">
        <f t="shared" ref="K54" si="196">K36-K51-K53</f>
        <v>-32.879000000000005</v>
      </c>
      <c r="L54" s="119">
        <f>L36-L51-L53</f>
        <v>-92.306000000000012</v>
      </c>
      <c r="M54" s="118">
        <f t="shared" ref="M54" si="197">M36-M51-M53</f>
        <v>-33.247000000000007</v>
      </c>
      <c r="N54" s="118">
        <f t="shared" ref="N54" si="198">N36-N51-N53</f>
        <v>-29.991</v>
      </c>
      <c r="O54" s="118">
        <f t="shared" ref="O54" si="199">O36-O51-O53</f>
        <v>-40.573</v>
      </c>
      <c r="P54" s="118">
        <f t="shared" ref="P54" si="200">P36-P51-P53</f>
        <v>-51.984999999999999</v>
      </c>
      <c r="Q54" s="119">
        <f>Q36-Q51-Q53</f>
        <v>-155.79600000000002</v>
      </c>
      <c r="R54" s="118">
        <f t="shared" ref="R54" si="201">R36-R51-R53</f>
        <v>-45.859000000000002</v>
      </c>
      <c r="S54" s="118">
        <f t="shared" ref="S54:T54" si="202">S36-S51-S53</f>
        <v>-48.015000000000001</v>
      </c>
      <c r="T54" s="118">
        <f t="shared" si="202"/>
        <v>-36.332000000000001</v>
      </c>
      <c r="U54" s="118">
        <f t="shared" ref="U54:W54" si="203">U36-U51-U53</f>
        <v>-31.790000000000006</v>
      </c>
      <c r="V54" s="119">
        <f>V36-V51-V53</f>
        <v>-161.99599999999998</v>
      </c>
      <c r="W54" s="118">
        <f t="shared" si="203"/>
        <v>-27.249999999999996</v>
      </c>
      <c r="X54" s="118">
        <f t="shared" ref="X54" si="204">X36-X51-X53</f>
        <v>-14.862000000000002</v>
      </c>
      <c r="Y54" s="118">
        <f>Y36-Y51-Y53</f>
        <v>-5.4980000000000029</v>
      </c>
      <c r="Z54" s="118">
        <f>Z36-Z51-Z53</f>
        <v>-10.644999999999982</v>
      </c>
      <c r="AA54" s="119">
        <f>AA36-AA51-AA53</f>
        <v>-58.198000000000008</v>
      </c>
      <c r="AB54" s="118"/>
      <c r="AC54" s="118"/>
      <c r="AD54" s="118"/>
      <c r="AE54" s="118"/>
      <c r="AF54" s="119">
        <f>AF36-AF51-AF53</f>
        <v>-6.2628678904992086</v>
      </c>
      <c r="AG54" s="118"/>
      <c r="AH54" s="118"/>
      <c r="AI54" s="118"/>
      <c r="AJ54" s="118"/>
      <c r="AK54" s="119">
        <f>AK36-AK51-AK53</f>
        <v>81.619583418901783</v>
      </c>
      <c r="AL54" s="118"/>
      <c r="AM54" s="118"/>
      <c r="AN54" s="118"/>
      <c r="AO54" s="118"/>
      <c r="AP54" s="119">
        <f>AP36-AP51-AP53</f>
        <v>150.33908119588966</v>
      </c>
      <c r="AQ54" s="118"/>
      <c r="AR54" s="118"/>
      <c r="AS54" s="118"/>
      <c r="AT54" s="118"/>
      <c r="AU54" s="119">
        <f>AU36-AU51-AU53</f>
        <v>276.53087037352191</v>
      </c>
      <c r="AV54" s="118"/>
      <c r="AW54" s="118"/>
      <c r="AX54" s="118"/>
      <c r="AY54" s="118"/>
      <c r="AZ54" s="119">
        <f>AZ36-AZ51-AZ53</f>
        <v>552.59708790695379</v>
      </c>
      <c r="BA54" s="118"/>
      <c r="BB54" s="118"/>
      <c r="BC54" s="118"/>
      <c r="BD54" s="118"/>
      <c r="BE54" s="119">
        <f>BE36-BE51-BE53</f>
        <v>539.33094713661103</v>
      </c>
      <c r="BF54" s="118"/>
      <c r="BG54" s="118"/>
      <c r="BH54" s="118"/>
      <c r="BI54" s="118"/>
      <c r="BJ54" s="119">
        <f>BJ36-BJ51-BJ53</f>
        <v>591.27289023921264</v>
      </c>
      <c r="BK54" s="118"/>
      <c r="BL54" s="118"/>
      <c r="BM54" s="118"/>
      <c r="BN54" s="118"/>
      <c r="BO54" s="119">
        <f>BO36-BO51-BO53</f>
        <v>601.77334717399174</v>
      </c>
      <c r="BU54"/>
      <c r="BV54"/>
      <c r="BW54"/>
      <c r="BX54"/>
      <c r="BY54"/>
      <c r="BZ54"/>
    </row>
    <row r="55" spans="2:78" s="110" customFormat="1" ht="15" customHeight="1">
      <c r="B55" s="170" t="s">
        <v>213</v>
      </c>
      <c r="C55" s="130">
        <f>+C54/C42</f>
        <v>-0.35752679722126179</v>
      </c>
      <c r="D55" s="130">
        <f t="shared" ref="D55" si="205">+D54/D42</f>
        <v>-0.38334792396198092</v>
      </c>
      <c r="E55" s="130">
        <f>+E54/E42</f>
        <v>-0.52564593583360342</v>
      </c>
      <c r="F55" s="130">
        <f>+F54/F42</f>
        <v>-0.67725289924460041</v>
      </c>
      <c r="G55" s="131">
        <f>+G54/G42</f>
        <v>-1.9775184638109307</v>
      </c>
      <c r="H55" s="130">
        <f t="shared" ref="H55:I55" si="206">+H54/H42</f>
        <v>-0.43174426905687313</v>
      </c>
      <c r="I55" s="130">
        <f t="shared" si="206"/>
        <v>-0.47448698008128043</v>
      </c>
      <c r="J55" s="130">
        <f t="shared" ref="J55:S55" si="207">+J54/J42</f>
        <v>-0.58890566405298783</v>
      </c>
      <c r="K55" s="130">
        <f t="shared" si="207"/>
        <v>-0.79602459810187887</v>
      </c>
      <c r="L55" s="131">
        <f t="shared" si="207"/>
        <v>-2.3061510018487983</v>
      </c>
      <c r="M55" s="130">
        <f t="shared" si="207"/>
        <v>-0.80454457458135731</v>
      </c>
      <c r="N55" s="130">
        <f t="shared" si="207"/>
        <v>-0.72517348937302029</v>
      </c>
      <c r="O55" s="130">
        <f t="shared" si="207"/>
        <v>-0.97613376638999161</v>
      </c>
      <c r="P55" s="130">
        <f t="shared" si="207"/>
        <v>-1.1582594358540172</v>
      </c>
      <c r="Q55" s="131">
        <f t="shared" si="207"/>
        <v>-3.6839914873492559</v>
      </c>
      <c r="R55" s="130">
        <f t="shared" si="207"/>
        <v>-1.0035450904873404</v>
      </c>
      <c r="S55" s="130">
        <f t="shared" si="207"/>
        <v>-1.040253915982408</v>
      </c>
      <c r="T55" s="130">
        <f t="shared" ref="T55:V55" si="208">+T54/T42</f>
        <v>-0.75293239938657941</v>
      </c>
      <c r="U55" s="130">
        <f t="shared" si="208"/>
        <v>-0.58203189366337738</v>
      </c>
      <c r="V55" s="131">
        <f t="shared" si="208"/>
        <v>-3.3266114955746753</v>
      </c>
      <c r="W55" s="130">
        <f t="shared" ref="W55:X55" si="209">+W54/W42</f>
        <v>-0.48650289223737764</v>
      </c>
      <c r="X55" s="130">
        <f t="shared" si="209"/>
        <v>-0.27033614668218864</v>
      </c>
      <c r="Y55" s="130">
        <f t="shared" ref="Y55:Z55" si="210">+Y54/Y42</f>
        <v>-8.9357690807437315E-2</v>
      </c>
      <c r="Z55" s="130">
        <f t="shared" si="210"/>
        <v>-0.16546895588653568</v>
      </c>
      <c r="AA55" s="131">
        <f t="shared" ref="AA55" si="211">+AA54/AA42</f>
        <v>-0.98945900914685991</v>
      </c>
      <c r="AB55" s="130"/>
      <c r="AC55" s="130"/>
      <c r="AD55" s="130"/>
      <c r="AE55" s="130"/>
      <c r="AF55" s="131">
        <f t="shared" ref="AF55" si="212">+AF54/AF42</f>
        <v>-9.6387948667037121E-2</v>
      </c>
      <c r="AG55" s="130"/>
      <c r="AH55" s="130"/>
      <c r="AI55" s="130"/>
      <c r="AJ55" s="130"/>
      <c r="AK55" s="131">
        <f t="shared" ref="AK55" si="213">+AK54/AK42</f>
        <v>1.2437196242993247</v>
      </c>
      <c r="AL55" s="130"/>
      <c r="AM55" s="130"/>
      <c r="AN55" s="130"/>
      <c r="AO55" s="130"/>
      <c r="AP55" s="131">
        <f t="shared" ref="AP55" si="214">+AP54/AP42</f>
        <v>2.2681858202419676</v>
      </c>
      <c r="AQ55" s="130"/>
      <c r="AR55" s="130"/>
      <c r="AS55" s="130"/>
      <c r="AT55" s="130"/>
      <c r="AU55" s="131">
        <f t="shared" ref="AU55" si="215">+AU54/AU42</f>
        <v>4.1307507099065903</v>
      </c>
      <c r="AV55" s="130"/>
      <c r="AW55" s="130"/>
      <c r="AX55" s="130"/>
      <c r="AY55" s="130"/>
      <c r="AZ55" s="131">
        <f t="shared" ref="AZ55" si="216">+AZ54/AZ42</f>
        <v>8.1728322267257152</v>
      </c>
      <c r="BA55" s="130"/>
      <c r="BB55" s="130"/>
      <c r="BC55" s="130"/>
      <c r="BD55" s="130"/>
      <c r="BE55" s="131">
        <f t="shared" ref="BE55" si="217">+BE54/BE42</f>
        <v>7.8976513803535777</v>
      </c>
      <c r="BF55" s="130"/>
      <c r="BG55" s="130"/>
      <c r="BH55" s="130"/>
      <c r="BI55" s="130"/>
      <c r="BJ55" s="131">
        <f t="shared" ref="BJ55" si="218">+BJ54/BJ42</f>
        <v>8.5725339033763586</v>
      </c>
      <c r="BK55" s="130"/>
      <c r="BL55" s="130"/>
      <c r="BM55" s="130"/>
      <c r="BN55" s="130"/>
      <c r="BO55" s="131">
        <f t="shared" ref="BO55" si="219">+BO54/BO42</f>
        <v>8.638390234869469</v>
      </c>
      <c r="BU55"/>
      <c r="BV55"/>
      <c r="BW55"/>
      <c r="BX55"/>
      <c r="BY55"/>
      <c r="BZ55"/>
    </row>
    <row r="56" spans="2:78" s="110" customFormat="1" ht="15" customHeight="1">
      <c r="B56" s="126"/>
      <c r="C56" s="128"/>
      <c r="D56" s="128"/>
      <c r="E56" s="128"/>
      <c r="F56" s="128"/>
      <c r="G56" s="127"/>
      <c r="H56" s="128"/>
      <c r="I56" s="128"/>
      <c r="J56" s="128"/>
      <c r="K56" s="128"/>
      <c r="L56" s="127"/>
      <c r="M56" s="128"/>
      <c r="N56" s="128"/>
      <c r="O56" s="128"/>
      <c r="P56" s="128"/>
      <c r="Q56" s="127"/>
      <c r="R56" s="128"/>
      <c r="S56" s="128"/>
      <c r="T56" s="128"/>
      <c r="U56" s="128"/>
      <c r="V56" s="127"/>
      <c r="W56" s="128"/>
      <c r="X56" s="128"/>
      <c r="Y56" s="128"/>
      <c r="Z56" s="128"/>
      <c r="AA56" s="127"/>
      <c r="AB56" s="128"/>
      <c r="AC56" s="128"/>
      <c r="AD56" s="128"/>
      <c r="AE56" s="128"/>
      <c r="AF56" s="127"/>
      <c r="AG56" s="128"/>
      <c r="AH56" s="128"/>
      <c r="AI56" s="128"/>
      <c r="AJ56" s="128"/>
      <c r="AK56" s="127"/>
      <c r="AL56" s="128"/>
      <c r="AM56" s="128"/>
      <c r="AN56" s="128"/>
      <c r="AO56" s="128"/>
      <c r="AP56" s="127"/>
      <c r="AQ56" s="128"/>
      <c r="AR56" s="128"/>
      <c r="AS56" s="128"/>
      <c r="AT56" s="128"/>
      <c r="AU56" s="127"/>
      <c r="AV56" s="128"/>
      <c r="AW56" s="128"/>
      <c r="AX56" s="128"/>
      <c r="AY56" s="128"/>
      <c r="AZ56" s="127"/>
      <c r="BA56" s="128"/>
      <c r="BB56" s="128"/>
      <c r="BC56" s="128"/>
      <c r="BD56" s="128"/>
      <c r="BE56" s="127"/>
      <c r="BF56" s="128"/>
      <c r="BG56" s="128"/>
      <c r="BH56" s="128"/>
      <c r="BI56" s="128"/>
      <c r="BJ56" s="127"/>
      <c r="BK56" s="128"/>
      <c r="BL56" s="128"/>
      <c r="BM56" s="128"/>
      <c r="BN56" s="128"/>
      <c r="BO56" s="127"/>
      <c r="BU56"/>
      <c r="BV56"/>
      <c r="BW56"/>
      <c r="BX56"/>
      <c r="BY56"/>
      <c r="BZ56"/>
    </row>
    <row r="57" spans="2:78" s="110" customFormat="1" ht="15" customHeight="1">
      <c r="B57" s="126"/>
      <c r="C57" s="128"/>
      <c r="D57" s="128"/>
      <c r="E57" s="128"/>
      <c r="F57" s="128"/>
      <c r="G57" s="127"/>
      <c r="H57" s="128"/>
      <c r="I57" s="128"/>
      <c r="J57" s="128"/>
      <c r="K57" s="128"/>
      <c r="L57" s="127"/>
      <c r="M57" s="128"/>
      <c r="N57" s="128"/>
      <c r="O57" s="128"/>
      <c r="P57" s="128"/>
      <c r="Q57" s="127"/>
      <c r="R57" s="128"/>
      <c r="S57" s="128"/>
      <c r="T57" s="128"/>
      <c r="U57" s="128"/>
      <c r="V57" s="127"/>
      <c r="W57" s="128"/>
      <c r="X57" s="128"/>
      <c r="Y57" s="128"/>
      <c r="Z57" s="128"/>
      <c r="AA57" s="127"/>
      <c r="AB57" s="128"/>
      <c r="AC57" s="128"/>
      <c r="AD57" s="128"/>
      <c r="AE57" s="128"/>
      <c r="AF57" s="127"/>
      <c r="AG57" s="128"/>
      <c r="AH57" s="128"/>
      <c r="AI57" s="128"/>
      <c r="AJ57" s="128"/>
      <c r="AK57" s="127"/>
      <c r="AL57" s="128"/>
      <c r="AM57" s="128"/>
      <c r="AN57" s="128"/>
      <c r="AO57" s="128"/>
      <c r="AP57" s="127"/>
      <c r="AQ57" s="128"/>
      <c r="AR57" s="128"/>
      <c r="AS57" s="128"/>
      <c r="AT57" s="128"/>
      <c r="AU57" s="127"/>
      <c r="AV57" s="128"/>
      <c r="AW57" s="128"/>
      <c r="AX57" s="128"/>
      <c r="AY57" s="128"/>
      <c r="AZ57" s="127"/>
      <c r="BA57" s="128"/>
      <c r="BB57" s="128"/>
      <c r="BC57" s="128"/>
      <c r="BD57" s="128"/>
      <c r="BE57" s="127"/>
      <c r="BF57" s="128"/>
      <c r="BG57" s="128"/>
      <c r="BH57" s="128"/>
      <c r="BI57" s="128"/>
      <c r="BJ57" s="127"/>
      <c r="BK57" s="128"/>
      <c r="BL57" s="128"/>
      <c r="BM57" s="128"/>
      <c r="BN57" s="128"/>
      <c r="BO57" s="127"/>
      <c r="BU57"/>
      <c r="BV57"/>
      <c r="BW57"/>
      <c r="BX57"/>
      <c r="BY57"/>
      <c r="BZ57"/>
    </row>
    <row r="58" spans="2:78" s="117" customFormat="1" ht="15" customHeight="1">
      <c r="B58" s="132" t="s">
        <v>10</v>
      </c>
      <c r="C58" s="106">
        <v>-0.53</v>
      </c>
      <c r="D58" s="106">
        <v>-0.72399999999999998</v>
      </c>
      <c r="E58" s="106">
        <v>-1.155</v>
      </c>
      <c r="F58" s="106">
        <v>-1.4790000000000001</v>
      </c>
      <c r="G58" s="107">
        <f>SUM(C58:F58)</f>
        <v>-3.8879999999999999</v>
      </c>
      <c r="H58" s="106">
        <v>-1.873</v>
      </c>
      <c r="I58" s="106">
        <v>-2.3450000000000002</v>
      </c>
      <c r="J58" s="106">
        <v>-1.6679999999999999</v>
      </c>
      <c r="K58" s="106">
        <v>-2.383</v>
      </c>
      <c r="L58" s="107">
        <f>SUM(H58:K58)</f>
        <v>-8.2690000000000001</v>
      </c>
      <c r="M58" s="106">
        <v>-2.4460000000000002</v>
      </c>
      <c r="N58" s="106">
        <v>-2.5619999999999998</v>
      </c>
      <c r="O58" s="106">
        <v>-2.6309999999999998</v>
      </c>
      <c r="P58" s="106">
        <v>-2.7639999999999998</v>
      </c>
      <c r="Q58" s="107">
        <f>P58+O58+N58+M58</f>
        <v>-10.402999999999999</v>
      </c>
      <c r="R58" s="106">
        <v>-2.448</v>
      </c>
      <c r="S58" s="106">
        <v>-2.4039999999999999</v>
      </c>
      <c r="T58" s="106">
        <v>-2.6739999999999999</v>
      </c>
      <c r="U58" s="106">
        <v>-1.972</v>
      </c>
      <c r="V58" s="306">
        <f t="shared" ref="V58:V59" si="220">U58+T58+S58+R58</f>
        <v>-9.4979999999999993</v>
      </c>
      <c r="W58" s="106">
        <v>-1.8740000000000001</v>
      </c>
      <c r="X58" s="106">
        <v>-2.1949999999999998</v>
      </c>
      <c r="Y58" s="106">
        <f>-1.812</f>
        <v>-1.8120000000000001</v>
      </c>
      <c r="Z58" s="106">
        <v>-2.661</v>
      </c>
      <c r="AA58" s="306">
        <f t="shared" ref="AA58:AA59" si="221">Z58+Y58+X58+W58</f>
        <v>-8.5419999999999998</v>
      </c>
      <c r="AB58" s="106"/>
      <c r="AC58" s="106"/>
      <c r="AD58" s="106"/>
      <c r="AE58" s="106"/>
      <c r="AF58" s="362">
        <f>AA58</f>
        <v>-8.5419999999999998</v>
      </c>
      <c r="AG58" s="106"/>
      <c r="AH58" s="106"/>
      <c r="AI58" s="106"/>
      <c r="AJ58" s="106"/>
      <c r="AK58" s="362">
        <f>AF58</f>
        <v>-8.5419999999999998</v>
      </c>
      <c r="AL58" s="106"/>
      <c r="AM58" s="106"/>
      <c r="AN58" s="106"/>
      <c r="AO58" s="106"/>
      <c r="AP58" s="362">
        <f>AK58</f>
        <v>-8.5419999999999998</v>
      </c>
      <c r="AQ58" s="106"/>
      <c r="AR58" s="106"/>
      <c r="AS58" s="106"/>
      <c r="AT58" s="106"/>
      <c r="AU58" s="362">
        <f>AP58</f>
        <v>-8.5419999999999998</v>
      </c>
      <c r="AV58" s="106"/>
      <c r="AW58" s="106"/>
      <c r="AX58" s="106"/>
      <c r="AY58" s="106"/>
      <c r="AZ58" s="362">
        <f>AU58</f>
        <v>-8.5419999999999998</v>
      </c>
      <c r="BA58" s="106"/>
      <c r="BB58" s="106"/>
      <c r="BC58" s="106"/>
      <c r="BD58" s="106"/>
      <c r="BE58" s="362">
        <f>AZ58</f>
        <v>-8.5419999999999998</v>
      </c>
      <c r="BF58" s="106"/>
      <c r="BG58" s="106"/>
      <c r="BH58" s="106"/>
      <c r="BI58" s="106"/>
      <c r="BJ58" s="362">
        <f>BE58</f>
        <v>-8.5419999999999998</v>
      </c>
      <c r="BK58" s="106"/>
      <c r="BL58" s="106"/>
      <c r="BM58" s="106"/>
      <c r="BN58" s="106"/>
      <c r="BO58" s="362">
        <f>BJ58</f>
        <v>-8.5419999999999998</v>
      </c>
      <c r="BU58"/>
      <c r="BV58"/>
      <c r="BW58"/>
      <c r="BX58"/>
      <c r="BY58"/>
      <c r="BZ58"/>
    </row>
    <row r="59" spans="2:78" s="117" customFormat="1" ht="15" customHeight="1">
      <c r="B59" s="132" t="s">
        <v>117</v>
      </c>
      <c r="C59" s="106">
        <v>-1.141</v>
      </c>
      <c r="D59" s="106">
        <v>-1.5940000000000001</v>
      </c>
      <c r="E59" s="106">
        <v>-2.3319999999999999</v>
      </c>
      <c r="F59" s="106">
        <v>-2.173</v>
      </c>
      <c r="G59" s="107">
        <f>SUM(C59:F59)</f>
        <v>-7.24</v>
      </c>
      <c r="H59" s="106">
        <v>-2.4689999999999999</v>
      </c>
      <c r="I59" s="106">
        <v>-3.242</v>
      </c>
      <c r="J59" s="106">
        <v>-2.9809999999999999</v>
      </c>
      <c r="K59" s="106">
        <v>-3.3839999999999999</v>
      </c>
      <c r="L59" s="107">
        <f>SUM(H59:K59)</f>
        <v>-12.076000000000001</v>
      </c>
      <c r="M59" s="106">
        <v>-11.71</v>
      </c>
      <c r="N59" s="106">
        <v>-3.3679999999999999</v>
      </c>
      <c r="O59" s="106">
        <v>-3.052</v>
      </c>
      <c r="P59" s="106">
        <v>-3.5840000000000001</v>
      </c>
      <c r="Q59" s="107">
        <f>P59+O59+N59+M59</f>
        <v>-21.713999999999999</v>
      </c>
      <c r="R59" s="106">
        <v>-4.2409999999999997</v>
      </c>
      <c r="S59" s="106">
        <v>-4.4260000000000002</v>
      </c>
      <c r="T59" s="106">
        <v>-6.899</v>
      </c>
      <c r="U59" s="106">
        <v>-4.8970000000000002</v>
      </c>
      <c r="V59" s="306">
        <f t="shared" si="220"/>
        <v>-20.463000000000001</v>
      </c>
      <c r="W59" s="106">
        <v>-3.8380000000000001</v>
      </c>
      <c r="X59" s="106">
        <v>-8.27</v>
      </c>
      <c r="Y59" s="106">
        <v>-5.1100000000000003</v>
      </c>
      <c r="Z59" s="106">
        <v>-4.7050000000000001</v>
      </c>
      <c r="AA59" s="306">
        <f t="shared" si="221"/>
        <v>-21.923000000000002</v>
      </c>
      <c r="AB59" s="106"/>
      <c r="AC59" s="106"/>
      <c r="AD59" s="106"/>
      <c r="AE59" s="106"/>
      <c r="AF59" s="362">
        <f>AA59</f>
        <v>-21.923000000000002</v>
      </c>
      <c r="AG59" s="106"/>
      <c r="AH59" s="106"/>
      <c r="AI59" s="106"/>
      <c r="AJ59" s="106"/>
      <c r="AK59" s="362">
        <f>AF59</f>
        <v>-21.923000000000002</v>
      </c>
      <c r="AL59" s="106"/>
      <c r="AM59" s="106"/>
      <c r="AN59" s="106"/>
      <c r="AO59" s="106"/>
      <c r="AP59" s="362">
        <f>AK59</f>
        <v>-21.923000000000002</v>
      </c>
      <c r="AQ59" s="106"/>
      <c r="AR59" s="106"/>
      <c r="AS59" s="106"/>
      <c r="AT59" s="106"/>
      <c r="AU59" s="362">
        <f>AP59</f>
        <v>-21.923000000000002</v>
      </c>
      <c r="AV59" s="106"/>
      <c r="AW59" s="106"/>
      <c r="AX59" s="106"/>
      <c r="AY59" s="106"/>
      <c r="AZ59" s="362">
        <f>AU59</f>
        <v>-21.923000000000002</v>
      </c>
      <c r="BA59" s="106"/>
      <c r="BB59" s="106"/>
      <c r="BC59" s="106"/>
      <c r="BD59" s="106"/>
      <c r="BE59" s="362">
        <f>AZ59</f>
        <v>-21.923000000000002</v>
      </c>
      <c r="BF59" s="106"/>
      <c r="BG59" s="106"/>
      <c r="BH59" s="106"/>
      <c r="BI59" s="106"/>
      <c r="BJ59" s="362">
        <f>BE59</f>
        <v>-21.923000000000002</v>
      </c>
      <c r="BK59" s="106"/>
      <c r="BL59" s="106"/>
      <c r="BM59" s="106"/>
      <c r="BN59" s="106"/>
      <c r="BO59" s="362">
        <f>BJ59</f>
        <v>-21.923000000000002</v>
      </c>
      <c r="BU59"/>
      <c r="BV59"/>
      <c r="BW59"/>
      <c r="BX59"/>
      <c r="BY59"/>
      <c r="BZ59"/>
    </row>
    <row r="60" spans="2:78" ht="15" customHeight="1">
      <c r="B60" s="117" t="s">
        <v>16</v>
      </c>
      <c r="C60" s="118">
        <f>SUM(C58:C59)</f>
        <v>-1.671</v>
      </c>
      <c r="D60" s="118">
        <f t="shared" ref="D60:L60" si="222">SUM(D58:D59)</f>
        <v>-2.3180000000000001</v>
      </c>
      <c r="E60" s="118">
        <f t="shared" si="222"/>
        <v>-3.4870000000000001</v>
      </c>
      <c r="F60" s="118">
        <f t="shared" si="222"/>
        <v>-3.6520000000000001</v>
      </c>
      <c r="G60" s="107">
        <f t="shared" si="222"/>
        <v>-11.128</v>
      </c>
      <c r="H60" s="118">
        <f>SUM(H58:H59)</f>
        <v>-4.3419999999999996</v>
      </c>
      <c r="I60" s="118">
        <f t="shared" si="222"/>
        <v>-5.5869999999999997</v>
      </c>
      <c r="J60" s="118">
        <f t="shared" si="222"/>
        <v>-4.649</v>
      </c>
      <c r="K60" s="118">
        <f t="shared" si="222"/>
        <v>-5.7669999999999995</v>
      </c>
      <c r="L60" s="107">
        <f t="shared" si="222"/>
        <v>-20.344999999999999</v>
      </c>
      <c r="M60" s="118">
        <f>SUM(M58:M59)</f>
        <v>-14.156000000000001</v>
      </c>
      <c r="N60" s="118">
        <f>SUM(N58:N59)</f>
        <v>-5.93</v>
      </c>
      <c r="O60" s="118">
        <f>SUM(O58:O59)</f>
        <v>-5.6829999999999998</v>
      </c>
      <c r="P60" s="118">
        <f>SUM(P58:P59)</f>
        <v>-6.3479999999999999</v>
      </c>
      <c r="Q60" s="107">
        <f>P60+O60+N60+M60</f>
        <v>-32.116999999999997</v>
      </c>
      <c r="R60" s="118">
        <f>SUM(R58:R59)</f>
        <v>-6.6890000000000001</v>
      </c>
      <c r="S60" s="118">
        <f>SUM(S58:S59)</f>
        <v>-6.83</v>
      </c>
      <c r="T60" s="118">
        <f t="shared" ref="T60:X60" si="223">SUM(T58:T59)</f>
        <v>-9.5730000000000004</v>
      </c>
      <c r="U60" s="118">
        <f t="shared" si="223"/>
        <v>-6.8689999999999998</v>
      </c>
      <c r="V60" s="306">
        <f t="shared" si="223"/>
        <v>-29.960999999999999</v>
      </c>
      <c r="W60" s="118">
        <f t="shared" si="223"/>
        <v>-5.7119999999999997</v>
      </c>
      <c r="X60" s="118">
        <f t="shared" si="223"/>
        <v>-10.465</v>
      </c>
      <c r="Y60" s="118">
        <f t="shared" ref="Y60:AA60" si="224">SUM(Y58:Y59)</f>
        <v>-6.9220000000000006</v>
      </c>
      <c r="Z60" s="118">
        <f t="shared" si="224"/>
        <v>-7.3659999999999997</v>
      </c>
      <c r="AA60" s="306">
        <f t="shared" si="224"/>
        <v>-30.465000000000003</v>
      </c>
      <c r="AB60" s="118"/>
      <c r="AC60" s="118"/>
      <c r="AD60" s="118"/>
      <c r="AE60" s="118"/>
      <c r="AF60" s="107">
        <f>AF59+AF58</f>
        <v>-30.465000000000003</v>
      </c>
      <c r="AG60" s="118"/>
      <c r="AH60" s="118"/>
      <c r="AI60" s="118"/>
      <c r="AJ60" s="118"/>
      <c r="AK60" s="107">
        <f>AK59+AK58</f>
        <v>-30.465000000000003</v>
      </c>
      <c r="AL60" s="118"/>
      <c r="AM60" s="118"/>
      <c r="AN60" s="118"/>
      <c r="AO60" s="118"/>
      <c r="AP60" s="107">
        <f>AP59+AP58</f>
        <v>-30.465000000000003</v>
      </c>
      <c r="AQ60" s="118"/>
      <c r="AR60" s="118"/>
      <c r="AS60" s="118"/>
      <c r="AT60" s="118"/>
      <c r="AU60" s="107">
        <f>AU59+AU58</f>
        <v>-30.465000000000003</v>
      </c>
      <c r="AV60" s="118"/>
      <c r="AW60" s="118"/>
      <c r="AX60" s="118"/>
      <c r="AY60" s="118"/>
      <c r="AZ60" s="107">
        <f>AZ59+AZ58</f>
        <v>-30.465000000000003</v>
      </c>
      <c r="BA60" s="118"/>
      <c r="BB60" s="118"/>
      <c r="BC60" s="118"/>
      <c r="BD60" s="118"/>
      <c r="BE60" s="107">
        <f>BE59+BE58</f>
        <v>-30.465000000000003</v>
      </c>
      <c r="BF60" s="118"/>
      <c r="BG60" s="118"/>
      <c r="BH60" s="118"/>
      <c r="BI60" s="118"/>
      <c r="BJ60" s="107">
        <f>BJ59+BJ58</f>
        <v>-30.465000000000003</v>
      </c>
      <c r="BK60" s="118"/>
      <c r="BL60" s="118"/>
      <c r="BM60" s="118"/>
      <c r="BN60" s="118"/>
      <c r="BO60" s="107">
        <f>BO59+BO58</f>
        <v>-30.465000000000003</v>
      </c>
    </row>
    <row r="61" spans="2:78" s="110" customFormat="1" ht="15" customHeight="1">
      <c r="B61" s="126" t="s">
        <v>17</v>
      </c>
      <c r="C61" s="128">
        <f t="shared" ref="C61:P61" si="225">C60/(C16+C26+C22)</f>
        <v>-9.4109033566118494E-2</v>
      </c>
      <c r="D61" s="128">
        <f t="shared" si="225"/>
        <v>-0.13237393638284509</v>
      </c>
      <c r="E61" s="128">
        <f t="shared" si="225"/>
        <v>-0.13642410015649453</v>
      </c>
      <c r="F61" s="128">
        <f t="shared" si="225"/>
        <v>-0.11489696397671859</v>
      </c>
      <c r="G61" s="158">
        <f t="shared" si="225"/>
        <v>-0.120157215047726</v>
      </c>
      <c r="H61" s="128">
        <f t="shared" si="225"/>
        <v>-0.16166505324298161</v>
      </c>
      <c r="I61" s="128">
        <f t="shared" si="225"/>
        <v>-0.2049147258389877</v>
      </c>
      <c r="J61" s="128">
        <f t="shared" si="225"/>
        <v>-0.15452883496759182</v>
      </c>
      <c r="K61" s="128">
        <f t="shared" si="225"/>
        <v>-0.14795146104312579</v>
      </c>
      <c r="L61" s="158">
        <f t="shared" si="225"/>
        <v>-0.16515541412649062</v>
      </c>
      <c r="M61" s="128">
        <f t="shared" si="225"/>
        <v>-0.29673416341759945</v>
      </c>
      <c r="N61" s="128">
        <f t="shared" si="225"/>
        <v>-0.16391630041186389</v>
      </c>
      <c r="O61" s="128">
        <f t="shared" si="225"/>
        <v>-0.12332899305555556</v>
      </c>
      <c r="P61" s="128">
        <f t="shared" si="225"/>
        <v>-0.10694610576680089</v>
      </c>
      <c r="Q61" s="158">
        <f>Q60/(Q26+Q22+Q16)</f>
        <v>-0.16964398901331079</v>
      </c>
      <c r="R61" s="128">
        <f>R60/(R16+R26+R22)</f>
        <v>-0.12745807926829267</v>
      </c>
      <c r="S61" s="128">
        <f t="shared" ref="S61:X61" si="226">S60/(S16+S26+S22)</f>
        <v>-0.12499084986457801</v>
      </c>
      <c r="T61" s="128">
        <f t="shared" si="226"/>
        <v>-0.20949317226890757</v>
      </c>
      <c r="U61" s="128">
        <f t="shared" si="226"/>
        <v>-0.15603207414306158</v>
      </c>
      <c r="V61" s="158">
        <f t="shared" si="226"/>
        <v>-0.1522075969173402</v>
      </c>
      <c r="W61" s="128">
        <f t="shared" si="226"/>
        <v>-0.11507081125727754</v>
      </c>
      <c r="X61" s="128">
        <f t="shared" si="226"/>
        <v>-0.172912329400879</v>
      </c>
      <c r="Y61" s="128">
        <f t="shared" ref="Y61:AA61" si="227">Y60/(Y16+Y26+Y22)</f>
        <v>-0.11820758905700332</v>
      </c>
      <c r="Z61" s="128">
        <f t="shared" si="227"/>
        <v>-0.10146704318479234</v>
      </c>
      <c r="AA61" s="158">
        <f t="shared" si="227"/>
        <v>-0.12627612877553812</v>
      </c>
      <c r="AB61" s="128"/>
      <c r="AC61" s="128"/>
      <c r="AD61" s="128"/>
      <c r="AE61" s="128"/>
      <c r="AF61" s="158">
        <f t="shared" ref="AF61" si="228">AF60/(AF16+AF26+AF22)</f>
        <v>-9.3950127381458318E-2</v>
      </c>
      <c r="AG61" s="128"/>
      <c r="AH61" s="128"/>
      <c r="AI61" s="128"/>
      <c r="AJ61" s="128"/>
      <c r="AK61" s="158">
        <f t="shared" ref="AK61" si="229">AK60/(AK16+AK26+AK22)</f>
        <v>-7.6891566734873976E-2</v>
      </c>
      <c r="AL61" s="128"/>
      <c r="AM61" s="128"/>
      <c r="AN61" s="128"/>
      <c r="AO61" s="128"/>
      <c r="AP61" s="158">
        <f t="shared" ref="AP61" si="230">AP60/(AP16+AP26+AP22)</f>
        <v>-6.6044027405943576E-2</v>
      </c>
      <c r="AQ61" s="128"/>
      <c r="AR61" s="128"/>
      <c r="AS61" s="128"/>
      <c r="AT61" s="128"/>
      <c r="AU61" s="158">
        <f t="shared" ref="AU61" si="231">AU60/(AU16+AU26+AU22)</f>
        <v>-5.9511299746187026E-2</v>
      </c>
      <c r="AV61" s="128"/>
      <c r="AW61" s="128"/>
      <c r="AX61" s="128"/>
      <c r="AY61" s="128"/>
      <c r="AZ61" s="158">
        <f t="shared" ref="AZ61" si="232">AZ60/(AZ16+AZ26+AZ22)</f>
        <v>-5.173122235886346E-2</v>
      </c>
      <c r="BA61" s="128"/>
      <c r="BB61" s="128"/>
      <c r="BC61" s="128"/>
      <c r="BD61" s="128"/>
      <c r="BE61" s="158">
        <f t="shared" ref="BE61" si="233">BE60/(BE16+BE26+BE22)</f>
        <v>-4.8561954285204718E-2</v>
      </c>
      <c r="BF61" s="128"/>
      <c r="BG61" s="128"/>
      <c r="BH61" s="128"/>
      <c r="BI61" s="128"/>
      <c r="BJ61" s="158">
        <f t="shared" ref="BJ61" si="234">BJ60/(BJ16+BJ26+BJ22)</f>
        <v>-4.9094329268139489E-2</v>
      </c>
      <c r="BK61" s="128"/>
      <c r="BL61" s="128"/>
      <c r="BM61" s="128"/>
      <c r="BN61" s="128"/>
      <c r="BO61" s="158">
        <f t="shared" ref="BO61" si="235">BO60/(BO16+BO26+BO22)</f>
        <v>-4.9928098979841476E-2</v>
      </c>
      <c r="BU61"/>
      <c r="BV61"/>
      <c r="BW61"/>
      <c r="BX61"/>
      <c r="BY61"/>
      <c r="BZ61"/>
    </row>
    <row r="62" spans="2:78" s="110" customFormat="1" ht="15" customHeight="1">
      <c r="B62" s="126"/>
      <c r="C62" s="128"/>
      <c r="D62" s="128"/>
      <c r="E62" s="128"/>
      <c r="F62" s="128"/>
      <c r="G62" s="158"/>
      <c r="H62" s="128"/>
      <c r="I62" s="128"/>
      <c r="J62" s="128"/>
      <c r="K62" s="128"/>
      <c r="L62" s="158"/>
      <c r="M62" s="128"/>
      <c r="N62" s="128"/>
      <c r="O62" s="128"/>
      <c r="P62" s="128"/>
      <c r="Q62" s="158"/>
      <c r="R62" s="128"/>
      <c r="S62" s="128"/>
      <c r="T62" s="128"/>
      <c r="U62" s="128"/>
      <c r="V62" s="158"/>
      <c r="W62" s="128"/>
      <c r="X62" s="128"/>
      <c r="Y62" s="128"/>
      <c r="Z62" s="128"/>
      <c r="AA62" s="158"/>
      <c r="AB62" s="128"/>
      <c r="AC62" s="128"/>
      <c r="AD62" s="128"/>
      <c r="AE62" s="128"/>
      <c r="AF62" s="158"/>
      <c r="AG62" s="128"/>
      <c r="AH62" s="128"/>
      <c r="AI62" s="128"/>
      <c r="AJ62" s="128"/>
      <c r="AK62" s="158"/>
      <c r="AL62" s="128"/>
      <c r="AM62" s="128"/>
      <c r="AN62" s="128"/>
      <c r="AO62" s="128"/>
      <c r="AP62" s="158"/>
      <c r="AQ62" s="128"/>
      <c r="AR62" s="128"/>
      <c r="AS62" s="128"/>
      <c r="AT62" s="128"/>
      <c r="AU62" s="158"/>
      <c r="AV62" s="128"/>
      <c r="AW62" s="128"/>
      <c r="AX62" s="128"/>
      <c r="AY62" s="128"/>
      <c r="AZ62" s="158"/>
      <c r="BA62" s="128"/>
      <c r="BB62" s="128"/>
      <c r="BC62" s="128"/>
      <c r="BD62" s="128"/>
      <c r="BE62" s="158"/>
      <c r="BF62" s="128"/>
      <c r="BG62" s="128"/>
      <c r="BH62" s="128"/>
      <c r="BI62" s="128"/>
      <c r="BJ62" s="158"/>
      <c r="BK62" s="128"/>
      <c r="BL62" s="128"/>
      <c r="BM62" s="128"/>
      <c r="BN62" s="128"/>
      <c r="BO62" s="158"/>
      <c r="BU62"/>
      <c r="BV62"/>
      <c r="BW62"/>
      <c r="BX62"/>
      <c r="BY62"/>
      <c r="BZ62"/>
    </row>
    <row r="63" spans="2:78" s="110" customFormat="1" ht="15" customHeight="1">
      <c r="B63" s="132" t="s">
        <v>10</v>
      </c>
      <c r="C63" s="106">
        <v>-0.26400000000000001</v>
      </c>
      <c r="D63" s="106">
        <v>-7.8E-2</v>
      </c>
      <c r="E63" s="106">
        <v>-5.3999999999999999E-2</v>
      </c>
      <c r="F63" s="106">
        <v>-1.7000000000000001E-2</v>
      </c>
      <c r="G63" s="107">
        <f>SUM(C63:F63)</f>
        <v>-0.41300000000000003</v>
      </c>
      <c r="H63" s="106">
        <v>-8.9999999999999993E-3</v>
      </c>
      <c r="I63" s="106">
        <v>-2E-3</v>
      </c>
      <c r="J63" s="106">
        <v>0</v>
      </c>
      <c r="K63" s="106">
        <v>-3.0000000000000001E-3</v>
      </c>
      <c r="L63" s="107">
        <f>SUM(H63:K63)</f>
        <v>-1.3999999999999999E-2</v>
      </c>
      <c r="M63" s="106">
        <v>0</v>
      </c>
      <c r="N63" s="106">
        <v>0</v>
      </c>
      <c r="O63" s="106">
        <v>0</v>
      </c>
      <c r="P63" s="106">
        <v>0</v>
      </c>
      <c r="Q63" s="107">
        <f>SUM(M63:P63)</f>
        <v>0</v>
      </c>
      <c r="R63" s="106">
        <v>-0.502</v>
      </c>
      <c r="S63" s="106">
        <v>-0.51100000000000001</v>
      </c>
      <c r="T63" s="106">
        <v>-0.77</v>
      </c>
      <c r="U63" s="106">
        <v>-0.23</v>
      </c>
      <c r="V63" s="306">
        <f t="shared" ref="V63:V64" si="236">U63+T63+S63+R63</f>
        <v>-2.0129999999999999</v>
      </c>
      <c r="W63" s="106">
        <v>-7.0000000000000007E-2</v>
      </c>
      <c r="X63" s="106">
        <f>-0.104-22</f>
        <v>-22.103999999999999</v>
      </c>
      <c r="Y63" s="106">
        <f>-0.01</f>
        <v>-0.01</v>
      </c>
      <c r="Z63" s="106">
        <v>-4.0000000000000001E-3</v>
      </c>
      <c r="AA63" s="306">
        <f>-22-0.188</f>
        <v>-22.187999999999999</v>
      </c>
      <c r="AB63" s="106"/>
      <c r="AC63" s="106"/>
      <c r="AD63" s="106"/>
      <c r="AE63" s="106"/>
      <c r="AF63" s="362">
        <f>AA63</f>
        <v>-22.187999999999999</v>
      </c>
      <c r="AG63" s="106"/>
      <c r="AH63" s="106"/>
      <c r="AI63" s="106"/>
      <c r="AJ63" s="106"/>
      <c r="AK63" s="362">
        <f>AF63</f>
        <v>-22.187999999999999</v>
      </c>
      <c r="AL63" s="106"/>
      <c r="AM63" s="106"/>
      <c r="AN63" s="106"/>
      <c r="AO63" s="106"/>
      <c r="AP63" s="362">
        <f>AK63</f>
        <v>-22.187999999999999</v>
      </c>
      <c r="AQ63" s="106"/>
      <c r="AR63" s="106"/>
      <c r="AS63" s="106"/>
      <c r="AT63" s="106"/>
      <c r="AU63" s="362">
        <f>AP63</f>
        <v>-22.187999999999999</v>
      </c>
      <c r="AV63" s="106"/>
      <c r="AW63" s="106"/>
      <c r="AX63" s="106"/>
      <c r="AY63" s="106"/>
      <c r="AZ63" s="362">
        <f>AU63</f>
        <v>-22.187999999999999</v>
      </c>
      <c r="BA63" s="106"/>
      <c r="BB63" s="106"/>
      <c r="BC63" s="106"/>
      <c r="BD63" s="106"/>
      <c r="BE63" s="362">
        <f>AZ63</f>
        <v>-22.187999999999999</v>
      </c>
      <c r="BF63" s="106"/>
      <c r="BG63" s="106"/>
      <c r="BH63" s="106"/>
      <c r="BI63" s="106"/>
      <c r="BJ63" s="362">
        <f>BE63</f>
        <v>-22.187999999999999</v>
      </c>
      <c r="BK63" s="106"/>
      <c r="BL63" s="106"/>
      <c r="BM63" s="106"/>
      <c r="BN63" s="106"/>
      <c r="BO63" s="362">
        <f>BJ63</f>
        <v>-22.187999999999999</v>
      </c>
      <c r="BU63"/>
      <c r="BV63"/>
      <c r="BW63"/>
      <c r="BX63"/>
      <c r="BY63"/>
      <c r="BZ63"/>
    </row>
    <row r="64" spans="2:78" s="110" customFormat="1" ht="15" customHeight="1">
      <c r="B64" s="132" t="s">
        <v>117</v>
      </c>
      <c r="C64" s="106">
        <v>-0.19800000000000001</v>
      </c>
      <c r="D64" s="106">
        <v>-0.13100000000000001</v>
      </c>
      <c r="E64" s="106">
        <v>0</v>
      </c>
      <c r="F64" s="106">
        <v>-2.1000000000000001E-2</v>
      </c>
      <c r="G64" s="107">
        <f>SUM(C64:F64)</f>
        <v>-0.35000000000000003</v>
      </c>
      <c r="H64" s="106">
        <v>0</v>
      </c>
      <c r="I64" s="106">
        <v>0</v>
      </c>
      <c r="J64" s="106">
        <v>0</v>
      </c>
      <c r="K64" s="106">
        <v>0</v>
      </c>
      <c r="L64" s="107">
        <f>SUM(H64:K64)</f>
        <v>0</v>
      </c>
      <c r="M64" s="106">
        <v>0</v>
      </c>
      <c r="N64" s="106">
        <v>0</v>
      </c>
      <c r="O64" s="106">
        <v>0</v>
      </c>
      <c r="P64" s="106">
        <v>0</v>
      </c>
      <c r="Q64" s="107">
        <f>SUM(M64:P64)</f>
        <v>0</v>
      </c>
      <c r="R64" s="106">
        <v>-3.1E-2</v>
      </c>
      <c r="S64" s="106">
        <v>-0.115</v>
      </c>
      <c r="T64" s="106">
        <v>-0.49399999999999999</v>
      </c>
      <c r="U64" s="106">
        <v>-1.909</v>
      </c>
      <c r="V64" s="306">
        <f t="shared" si="236"/>
        <v>-2.5490000000000004</v>
      </c>
      <c r="W64" s="106">
        <v>-0.16600000000000001</v>
      </c>
      <c r="X64" s="106">
        <v>-2.42</v>
      </c>
      <c r="Y64" s="106">
        <f>-0.003</f>
        <v>-3.0000000000000001E-3</v>
      </c>
      <c r="Z64" s="106">
        <v>-0.24299999999999999</v>
      </c>
      <c r="AA64" s="306">
        <v>-2.8319999999999999</v>
      </c>
      <c r="AB64" s="106"/>
      <c r="AC64" s="106"/>
      <c r="AD64" s="106"/>
      <c r="AE64" s="106"/>
      <c r="AF64" s="362">
        <f>AA64</f>
        <v>-2.8319999999999999</v>
      </c>
      <c r="AG64" s="106"/>
      <c r="AH64" s="106"/>
      <c r="AI64" s="106"/>
      <c r="AJ64" s="106"/>
      <c r="AK64" s="362">
        <f>AF64</f>
        <v>-2.8319999999999999</v>
      </c>
      <c r="AL64" s="106"/>
      <c r="AM64" s="106"/>
      <c r="AN64" s="106"/>
      <c r="AO64" s="106"/>
      <c r="AP64" s="362">
        <f>AK64</f>
        <v>-2.8319999999999999</v>
      </c>
      <c r="AQ64" s="106"/>
      <c r="AR64" s="106"/>
      <c r="AS64" s="106"/>
      <c r="AT64" s="106"/>
      <c r="AU64" s="362">
        <f>AP64</f>
        <v>-2.8319999999999999</v>
      </c>
      <c r="AV64" s="106"/>
      <c r="AW64" s="106"/>
      <c r="AX64" s="106"/>
      <c r="AY64" s="106"/>
      <c r="AZ64" s="362">
        <f>AU64</f>
        <v>-2.8319999999999999</v>
      </c>
      <c r="BA64" s="106"/>
      <c r="BB64" s="106"/>
      <c r="BC64" s="106"/>
      <c r="BD64" s="106"/>
      <c r="BE64" s="362">
        <f>AZ64</f>
        <v>-2.8319999999999999</v>
      </c>
      <c r="BF64" s="106"/>
      <c r="BG64" s="106"/>
      <c r="BH64" s="106"/>
      <c r="BI64" s="106"/>
      <c r="BJ64" s="362">
        <f>BE64</f>
        <v>-2.8319999999999999</v>
      </c>
      <c r="BK64" s="106"/>
      <c r="BL64" s="106"/>
      <c r="BM64" s="106"/>
      <c r="BN64" s="106"/>
      <c r="BO64" s="362">
        <f>BJ64</f>
        <v>-2.8319999999999999</v>
      </c>
      <c r="BU64"/>
      <c r="BV64"/>
      <c r="BW64"/>
      <c r="BX64"/>
      <c r="BY64"/>
      <c r="BZ64"/>
    </row>
    <row r="65" spans="2:78" s="110" customFormat="1" ht="15" customHeight="1">
      <c r="B65" s="117" t="s">
        <v>383</v>
      </c>
      <c r="C65" s="118">
        <f t="shared" ref="C65" si="237">SUM(C63:C64)</f>
        <v>-0.46200000000000002</v>
      </c>
      <c r="D65" s="118">
        <f t="shared" ref="D65" si="238">SUM(D63:D64)</f>
        <v>-0.20900000000000002</v>
      </c>
      <c r="E65" s="118">
        <f t="shared" ref="E65" si="239">SUM(E63:E64)</f>
        <v>-5.3999999999999999E-2</v>
      </c>
      <c r="F65" s="118">
        <f t="shared" ref="F65:G65" si="240">SUM(F63:F64)</f>
        <v>-3.8000000000000006E-2</v>
      </c>
      <c r="G65" s="107">
        <f t="shared" si="240"/>
        <v>-0.76300000000000012</v>
      </c>
      <c r="H65" s="118">
        <f t="shared" ref="H65:L65" si="241">SUM(H63:H64)</f>
        <v>-8.9999999999999993E-3</v>
      </c>
      <c r="I65" s="118">
        <f t="shared" si="241"/>
        <v>-2E-3</v>
      </c>
      <c r="J65" s="118">
        <f t="shared" si="241"/>
        <v>0</v>
      </c>
      <c r="K65" s="118">
        <f t="shared" si="241"/>
        <v>-3.0000000000000001E-3</v>
      </c>
      <c r="L65" s="107">
        <f t="shared" si="241"/>
        <v>-1.3999999999999999E-2</v>
      </c>
      <c r="M65" s="118">
        <f>SUM(M63:M64)</f>
        <v>0</v>
      </c>
      <c r="N65" s="118">
        <f>SUM(N63:N64)</f>
        <v>0</v>
      </c>
      <c r="O65" s="118">
        <f>SUM(O63:O64)</f>
        <v>0</v>
      </c>
      <c r="P65" s="118">
        <f>SUM(P63:P64)</f>
        <v>0</v>
      </c>
      <c r="Q65" s="107">
        <f t="shared" ref="Q65" si="242">SUM(Q63:Q64)</f>
        <v>0</v>
      </c>
      <c r="R65" s="118">
        <f>SUM(R63:R64)</f>
        <v>-0.53300000000000003</v>
      </c>
      <c r="S65" s="118">
        <f>SUM(S63:S64)</f>
        <v>-0.626</v>
      </c>
      <c r="T65" s="118">
        <f>T64+T63</f>
        <v>-1.264</v>
      </c>
      <c r="U65" s="118">
        <f>U64+U63</f>
        <v>-2.1390000000000002</v>
      </c>
      <c r="V65" s="306">
        <f t="shared" ref="V65" si="243">SUM(V63:V64)</f>
        <v>-4.5620000000000003</v>
      </c>
      <c r="W65" s="118">
        <f>W64+W63</f>
        <v>-0.23600000000000002</v>
      </c>
      <c r="X65" s="118">
        <f>X64+X63</f>
        <v>-24.524000000000001</v>
      </c>
      <c r="Y65" s="118">
        <f>Y64+Y63</f>
        <v>-1.3000000000000001E-2</v>
      </c>
      <c r="Z65" s="118">
        <f>Z64+Z63</f>
        <v>-0.247</v>
      </c>
      <c r="AA65" s="306">
        <f t="shared" ref="AA65" si="244">SUM(AA63:AA64)</f>
        <v>-25.02</v>
      </c>
      <c r="AB65" s="118"/>
      <c r="AC65" s="118"/>
      <c r="AD65" s="118"/>
      <c r="AE65" s="118"/>
      <c r="AF65" s="107">
        <f>AF64+AF63</f>
        <v>-25.02</v>
      </c>
      <c r="AG65" s="118"/>
      <c r="AH65" s="118"/>
      <c r="AI65" s="118"/>
      <c r="AJ65" s="118"/>
      <c r="AK65" s="107">
        <f>AK64+AK63</f>
        <v>-25.02</v>
      </c>
      <c r="AL65" s="118"/>
      <c r="AM65" s="118"/>
      <c r="AN65" s="118"/>
      <c r="AO65" s="118"/>
      <c r="AP65" s="107">
        <f>AP64+AP63</f>
        <v>-25.02</v>
      </c>
      <c r="AQ65" s="118"/>
      <c r="AR65" s="118"/>
      <c r="AS65" s="118"/>
      <c r="AT65" s="118"/>
      <c r="AU65" s="107">
        <f>AU64+AU63</f>
        <v>-25.02</v>
      </c>
      <c r="AV65" s="118"/>
      <c r="AW65" s="118"/>
      <c r="AX65" s="118"/>
      <c r="AY65" s="118"/>
      <c r="AZ65" s="107">
        <f>AZ64+AZ63</f>
        <v>-25.02</v>
      </c>
      <c r="BA65" s="118"/>
      <c r="BB65" s="118"/>
      <c r="BC65" s="118"/>
      <c r="BD65" s="118"/>
      <c r="BE65" s="107">
        <f>BE64+BE63</f>
        <v>-25.02</v>
      </c>
      <c r="BF65" s="118"/>
      <c r="BG65" s="118"/>
      <c r="BH65" s="118"/>
      <c r="BI65" s="118"/>
      <c r="BJ65" s="107">
        <f>BJ64+BJ63</f>
        <v>-25.02</v>
      </c>
      <c r="BK65" s="118"/>
      <c r="BL65" s="118"/>
      <c r="BM65" s="118"/>
      <c r="BN65" s="118"/>
      <c r="BO65" s="107">
        <f>BO64+BO63</f>
        <v>-25.02</v>
      </c>
      <c r="BU65"/>
      <c r="BV65"/>
      <c r="BW65"/>
      <c r="BX65"/>
      <c r="BY65"/>
      <c r="BZ65"/>
    </row>
    <row r="66" spans="2:78" s="110" customFormat="1" ht="15" customHeight="1">
      <c r="B66" s="126" t="s">
        <v>17</v>
      </c>
      <c r="C66" s="128">
        <f t="shared" ref="C66:V66" si="245">C65/(C16+C26+C22)</f>
        <v>-2.6019373732822707E-2</v>
      </c>
      <c r="D66" s="128">
        <f t="shared" si="245"/>
        <v>-1.1935354919764721E-2</v>
      </c>
      <c r="E66" s="128">
        <f t="shared" si="245"/>
        <v>-2.1126760563380284E-3</v>
      </c>
      <c r="F66" s="128">
        <f t="shared" si="245"/>
        <v>-1.1955324838760423E-3</v>
      </c>
      <c r="G66" s="158">
        <f t="shared" si="245"/>
        <v>-8.2386731741027099E-3</v>
      </c>
      <c r="H66" s="128">
        <f t="shared" si="245"/>
        <v>-3.350956884354755E-4</v>
      </c>
      <c r="I66" s="128">
        <f t="shared" si="245"/>
        <v>-7.3354116999816617E-5</v>
      </c>
      <c r="J66" s="128">
        <f t="shared" si="245"/>
        <v>0</v>
      </c>
      <c r="K66" s="128">
        <f t="shared" si="245"/>
        <v>-7.6964519356576615E-5</v>
      </c>
      <c r="L66" s="158">
        <f t="shared" si="245"/>
        <v>-1.1364835575182446E-4</v>
      </c>
      <c r="M66" s="128">
        <f t="shared" si="245"/>
        <v>0</v>
      </c>
      <c r="N66" s="128">
        <f t="shared" si="245"/>
        <v>0</v>
      </c>
      <c r="O66" s="128">
        <f t="shared" si="245"/>
        <v>0</v>
      </c>
      <c r="P66" s="128">
        <f t="shared" si="245"/>
        <v>0</v>
      </c>
      <c r="Q66" s="158">
        <f t="shared" si="245"/>
        <v>0</v>
      </c>
      <c r="R66" s="128">
        <f t="shared" si="245"/>
        <v>-1.015625E-2</v>
      </c>
      <c r="S66" s="128">
        <f t="shared" si="245"/>
        <v>-1.1455969548349315E-2</v>
      </c>
      <c r="T66" s="128">
        <f t="shared" si="245"/>
        <v>-2.766106442577031E-2</v>
      </c>
      <c r="U66" s="128">
        <f t="shared" si="245"/>
        <v>-4.8588237966517511E-2</v>
      </c>
      <c r="V66" s="158">
        <f t="shared" si="245"/>
        <v>-2.3175830484192989E-2</v>
      </c>
      <c r="W66" s="128">
        <f t="shared" ref="W66:X66" si="246">W65/(W16+W26+W22)</f>
        <v>-4.7543262354197311E-3</v>
      </c>
      <c r="X66" s="128">
        <f t="shared" si="246"/>
        <v>-0.40520802352863422</v>
      </c>
      <c r="Y66" s="128">
        <f t="shared" ref="Y66:AA66" si="247">Y65/(Y16+Y26+Y22)</f>
        <v>-2.2200211755865981E-4</v>
      </c>
      <c r="Z66" s="128">
        <f t="shared" si="247"/>
        <v>-3.402438184447965E-3</v>
      </c>
      <c r="AA66" s="158">
        <f t="shared" si="247"/>
        <v>-0.10370683544933411</v>
      </c>
      <c r="AB66" s="128"/>
      <c r="AC66" s="128"/>
      <c r="AD66" s="128"/>
      <c r="AE66" s="128"/>
      <c r="AF66" s="158">
        <f t="shared" ref="AF66" si="248">AF65/(AF16+AF26+AF22)</f>
        <v>-7.7158450257150402E-2</v>
      </c>
      <c r="AG66" s="128"/>
      <c r="AH66" s="128"/>
      <c r="AI66" s="128"/>
      <c r="AJ66" s="128"/>
      <c r="AK66" s="158">
        <f t="shared" ref="AK66" si="249">AK65/(AK16+AK26+AK22)</f>
        <v>-6.314876086350063E-2</v>
      </c>
      <c r="AL66" s="128"/>
      <c r="AM66" s="128"/>
      <c r="AN66" s="128"/>
      <c r="AO66" s="128"/>
      <c r="AP66" s="158">
        <f t="shared" ref="AP66" si="250">AP65/(AP16+AP26+AP22)</f>
        <v>-5.4239998874009786E-2</v>
      </c>
      <c r="AQ66" s="128"/>
      <c r="AR66" s="128"/>
      <c r="AS66" s="128"/>
      <c r="AT66" s="128"/>
      <c r="AU66" s="158">
        <f t="shared" ref="AU66" si="251">AU65/(AU16+AU26+AU22)</f>
        <v>-4.8874863602481514E-2</v>
      </c>
      <c r="AV66" s="128"/>
      <c r="AW66" s="128"/>
      <c r="AX66" s="128"/>
      <c r="AY66" s="128"/>
      <c r="AZ66" s="158">
        <f t="shared" ref="AZ66" si="252">AZ65/(AZ16+AZ26+AZ22)</f>
        <v>-4.2485317033276335E-2</v>
      </c>
      <c r="BA66" s="128"/>
      <c r="BB66" s="128"/>
      <c r="BC66" s="128"/>
      <c r="BD66" s="128"/>
      <c r="BE66" s="158">
        <f t="shared" ref="BE66" si="253">BE65/(BE16+BE26+BE22)</f>
        <v>-3.9882491259340944E-2</v>
      </c>
      <c r="BF66" s="128"/>
      <c r="BG66" s="128"/>
      <c r="BH66" s="128"/>
      <c r="BI66" s="128"/>
      <c r="BJ66" s="158">
        <f t="shared" ref="BJ66" si="254">BJ65/(BJ16+BJ26+BJ22)</f>
        <v>-4.0319715026714255E-2</v>
      </c>
      <c r="BK66" s="128"/>
      <c r="BL66" s="128"/>
      <c r="BM66" s="128"/>
      <c r="BN66" s="128"/>
      <c r="BO66" s="158">
        <f t="shared" ref="BO66" si="255">BO65/(BO16+BO26+BO22)</f>
        <v>-4.1004465336472465E-2</v>
      </c>
      <c r="BU66"/>
      <c r="BV66"/>
      <c r="BW66"/>
      <c r="BX66"/>
      <c r="BY66"/>
      <c r="BZ66"/>
    </row>
    <row r="67" spans="2:78" s="110" customFormat="1" ht="15" customHeight="1">
      <c r="B67" s="126"/>
      <c r="C67" s="128"/>
      <c r="D67" s="128"/>
      <c r="E67" s="128"/>
      <c r="F67" s="128"/>
      <c r="G67" s="158"/>
      <c r="H67" s="128"/>
      <c r="I67" s="128"/>
      <c r="J67" s="128"/>
      <c r="K67" s="128"/>
      <c r="L67" s="158"/>
      <c r="M67" s="128"/>
      <c r="N67" s="128"/>
      <c r="O67" s="128"/>
      <c r="P67" s="128"/>
      <c r="Q67" s="158"/>
      <c r="R67" s="128"/>
      <c r="S67" s="128"/>
      <c r="T67" s="128"/>
      <c r="U67" s="128"/>
      <c r="V67" s="158"/>
      <c r="W67" s="128"/>
      <c r="X67" s="128"/>
      <c r="Y67" s="128"/>
      <c r="Z67" s="128"/>
      <c r="AA67" s="158"/>
      <c r="AB67" s="128"/>
      <c r="AC67" s="128"/>
      <c r="AD67" s="128"/>
      <c r="AE67" s="128"/>
      <c r="AF67" s="158"/>
      <c r="AG67" s="128"/>
      <c r="AH67" s="128"/>
      <c r="AI67" s="128"/>
      <c r="AJ67" s="128"/>
      <c r="AK67" s="158"/>
      <c r="AL67" s="128"/>
      <c r="AM67" s="128"/>
      <c r="AN67" s="128"/>
      <c r="AO67" s="128"/>
      <c r="AP67" s="158"/>
      <c r="AQ67" s="128"/>
      <c r="AR67" s="128"/>
      <c r="AS67" s="128"/>
      <c r="AT67" s="128"/>
      <c r="AU67" s="158"/>
      <c r="AV67" s="128"/>
      <c r="AW67" s="128"/>
      <c r="AX67" s="128"/>
      <c r="AY67" s="128"/>
      <c r="AZ67" s="158"/>
      <c r="BA67" s="128"/>
      <c r="BB67" s="128"/>
      <c r="BC67" s="128"/>
      <c r="BD67" s="128"/>
      <c r="BE67" s="158"/>
      <c r="BF67" s="128"/>
      <c r="BG67" s="128"/>
      <c r="BH67" s="128"/>
      <c r="BI67" s="128"/>
      <c r="BJ67" s="158"/>
      <c r="BK67" s="128"/>
      <c r="BL67" s="128"/>
      <c r="BM67" s="128"/>
      <c r="BN67" s="128"/>
      <c r="BO67" s="158"/>
      <c r="BU67"/>
      <c r="BV67"/>
      <c r="BW67"/>
      <c r="BX67"/>
      <c r="BY67"/>
      <c r="BZ67"/>
    </row>
    <row r="68" spans="2:78" s="110" customFormat="1" ht="15" customHeight="1">
      <c r="B68" s="117" t="s">
        <v>118</v>
      </c>
      <c r="C68" s="128"/>
      <c r="D68" s="128"/>
      <c r="E68" s="128"/>
      <c r="F68" s="128"/>
      <c r="G68" s="158"/>
      <c r="H68" s="128"/>
      <c r="I68" s="128"/>
      <c r="J68" s="128"/>
      <c r="K68" s="128"/>
      <c r="L68" s="158"/>
      <c r="M68" s="128"/>
      <c r="N68" s="128"/>
      <c r="O68" s="128"/>
      <c r="P68" s="128"/>
      <c r="Q68" s="158"/>
      <c r="R68" s="106">
        <v>0</v>
      </c>
      <c r="S68" s="106">
        <v>0</v>
      </c>
      <c r="T68" s="106">
        <v>0</v>
      </c>
      <c r="U68" s="106">
        <v>-40.784999999999997</v>
      </c>
      <c r="V68" s="306">
        <f t="shared" ref="V68" si="256">U68+T68+S68+R68</f>
        <v>-40.784999999999997</v>
      </c>
      <c r="W68" s="106">
        <f>125-2</f>
        <v>123</v>
      </c>
      <c r="X68" s="106">
        <f>-2.839+0.109</f>
        <v>-2.73</v>
      </c>
      <c r="Y68" s="106">
        <f>-0.78-25.588-2.011</f>
        <v>-28.379000000000001</v>
      </c>
      <c r="Z68" s="106">
        <v>1.8420000000000001</v>
      </c>
      <c r="AA68" s="306">
        <f>-1.053-28.427+125-2.06</f>
        <v>93.46</v>
      </c>
      <c r="AB68" s="106"/>
      <c r="AC68" s="106"/>
      <c r="AD68" s="106"/>
      <c r="AE68" s="106"/>
      <c r="AF68" s="362">
        <v>0</v>
      </c>
      <c r="AG68" s="106"/>
      <c r="AH68" s="106"/>
      <c r="AI68" s="106"/>
      <c r="AJ68" s="106"/>
      <c r="AK68" s="362">
        <v>0</v>
      </c>
      <c r="AL68" s="106"/>
      <c r="AM68" s="106"/>
      <c r="AN68" s="106"/>
      <c r="AO68" s="106"/>
      <c r="AP68" s="362">
        <v>0</v>
      </c>
      <c r="AQ68" s="106"/>
      <c r="AR68" s="106"/>
      <c r="AS68" s="106"/>
      <c r="AT68" s="106"/>
      <c r="AU68" s="362">
        <v>0</v>
      </c>
      <c r="AV68" s="106"/>
      <c r="AW68" s="106"/>
      <c r="AX68" s="106"/>
      <c r="AY68" s="106"/>
      <c r="AZ68" s="362">
        <v>0</v>
      </c>
      <c r="BA68" s="106"/>
      <c r="BB68" s="106"/>
      <c r="BC68" s="106"/>
      <c r="BD68" s="106"/>
      <c r="BE68" s="362">
        <v>0</v>
      </c>
      <c r="BF68" s="106"/>
      <c r="BG68" s="106"/>
      <c r="BH68" s="106"/>
      <c r="BI68" s="106"/>
      <c r="BJ68" s="362">
        <v>0</v>
      </c>
      <c r="BK68" s="106"/>
      <c r="BL68" s="106"/>
      <c r="BM68" s="106"/>
      <c r="BN68" s="106"/>
      <c r="BO68" s="362">
        <v>0</v>
      </c>
      <c r="BU68"/>
      <c r="BV68"/>
      <c r="BW68"/>
      <c r="BX68"/>
      <c r="BY68"/>
      <c r="BZ68"/>
    </row>
    <row r="69" spans="2:78" s="110" customFormat="1" ht="15" customHeight="1">
      <c r="B69" s="126"/>
      <c r="C69" s="128"/>
      <c r="D69" s="128"/>
      <c r="E69" s="128"/>
      <c r="F69" s="128"/>
      <c r="G69" s="158"/>
      <c r="H69" s="128"/>
      <c r="I69" s="128"/>
      <c r="J69" s="128"/>
      <c r="K69" s="128"/>
      <c r="L69" s="158"/>
      <c r="M69" s="128"/>
      <c r="N69" s="128"/>
      <c r="O69" s="128"/>
      <c r="P69" s="128"/>
      <c r="Q69" s="158"/>
      <c r="R69" s="128"/>
      <c r="S69" s="128"/>
      <c r="T69" s="128"/>
      <c r="U69" s="128"/>
      <c r="V69" s="158"/>
      <c r="W69" s="128"/>
      <c r="X69" s="128"/>
      <c r="Y69" s="128"/>
      <c r="Z69" s="128"/>
      <c r="AA69" s="158"/>
      <c r="AB69" s="128"/>
      <c r="AC69" s="128"/>
      <c r="AD69" s="128"/>
      <c r="AE69" s="128"/>
      <c r="AF69" s="158"/>
      <c r="AG69" s="128"/>
      <c r="AH69" s="128"/>
      <c r="AI69" s="128"/>
      <c r="AJ69" s="128"/>
      <c r="AK69" s="158"/>
      <c r="AL69" s="128"/>
      <c r="AM69" s="128"/>
      <c r="AN69" s="128"/>
      <c r="AO69" s="128"/>
      <c r="AP69" s="158"/>
      <c r="AQ69" s="128"/>
      <c r="AR69" s="128"/>
      <c r="AS69" s="128"/>
      <c r="AT69" s="128"/>
      <c r="AU69" s="158"/>
      <c r="AV69" s="128"/>
      <c r="AW69" s="128"/>
      <c r="AX69" s="128"/>
      <c r="AY69" s="128"/>
      <c r="AZ69" s="158"/>
      <c r="BA69" s="128"/>
      <c r="BB69" s="128"/>
      <c r="BC69" s="128"/>
      <c r="BD69" s="128"/>
      <c r="BE69" s="158"/>
      <c r="BF69" s="128"/>
      <c r="BG69" s="128"/>
      <c r="BH69" s="128"/>
      <c r="BI69" s="128"/>
      <c r="BJ69" s="158"/>
      <c r="BK69" s="128"/>
      <c r="BL69" s="128"/>
      <c r="BM69" s="128"/>
      <c r="BN69" s="128"/>
      <c r="BO69" s="158"/>
      <c r="BU69"/>
      <c r="BV69"/>
      <c r="BW69"/>
      <c r="BX69"/>
      <c r="BY69"/>
      <c r="BZ69"/>
    </row>
    <row r="70" spans="2:78" s="110" customFormat="1" ht="15" customHeight="1">
      <c r="B70" s="117" t="s">
        <v>298</v>
      </c>
      <c r="C70" s="106">
        <v>-26.905999999999999</v>
      </c>
      <c r="D70" s="106">
        <v>-1.9450000000000001</v>
      </c>
      <c r="E70" s="106">
        <v>-17.16</v>
      </c>
      <c r="F70" s="106">
        <v>23.984000000000002</v>
      </c>
      <c r="G70" s="107">
        <f>SUM(C70:F70)</f>
        <v>-22.026999999999994</v>
      </c>
      <c r="H70" s="106">
        <v>-3.2509999999999999</v>
      </c>
      <c r="I70" s="106">
        <v>-3.7839999999999998</v>
      </c>
      <c r="J70" s="106">
        <v>4.2560000000000002</v>
      </c>
      <c r="K70" s="106">
        <v>0</v>
      </c>
      <c r="L70" s="107">
        <f>SUM(H70:K70)</f>
        <v>-2.7789999999999999</v>
      </c>
      <c r="M70" s="106">
        <v>0</v>
      </c>
      <c r="N70" s="106">
        <v>0</v>
      </c>
      <c r="O70" s="128">
        <v>0</v>
      </c>
      <c r="P70" s="128">
        <v>0</v>
      </c>
      <c r="Q70" s="107">
        <f>SUM(M70:P70)</f>
        <v>0</v>
      </c>
      <c r="R70" s="106">
        <v>0</v>
      </c>
      <c r="S70" s="106">
        <v>0</v>
      </c>
      <c r="T70" s="106">
        <v>0</v>
      </c>
      <c r="U70" s="106">
        <v>0</v>
      </c>
      <c r="V70" s="107">
        <f>SUM(R70:U70)</f>
        <v>0</v>
      </c>
      <c r="W70" s="106">
        <v>0</v>
      </c>
      <c r="X70" s="106">
        <v>0</v>
      </c>
      <c r="Y70" s="106">
        <v>0</v>
      </c>
      <c r="Z70" s="106">
        <v>0</v>
      </c>
      <c r="AA70" s="362">
        <v>0</v>
      </c>
      <c r="AB70" s="106"/>
      <c r="AC70" s="106"/>
      <c r="AD70" s="106"/>
      <c r="AE70" s="106"/>
      <c r="AF70" s="362">
        <f>AA70</f>
        <v>0</v>
      </c>
      <c r="AG70" s="106"/>
      <c r="AH70" s="106"/>
      <c r="AI70" s="106"/>
      <c r="AJ70" s="106"/>
      <c r="AK70" s="362">
        <f>AF70</f>
        <v>0</v>
      </c>
      <c r="AL70" s="106"/>
      <c r="AM70" s="106"/>
      <c r="AN70" s="106"/>
      <c r="AO70" s="106"/>
      <c r="AP70" s="362">
        <f>AK70</f>
        <v>0</v>
      </c>
      <c r="AQ70" s="106"/>
      <c r="AR70" s="106"/>
      <c r="AS70" s="106"/>
      <c r="AT70" s="106"/>
      <c r="AU70" s="362">
        <f>AP70</f>
        <v>0</v>
      </c>
      <c r="AV70" s="106"/>
      <c r="AW70" s="106"/>
      <c r="AX70" s="106"/>
      <c r="AY70" s="106"/>
      <c r="AZ70" s="362">
        <f>AU70</f>
        <v>0</v>
      </c>
      <c r="BA70" s="106"/>
      <c r="BB70" s="106"/>
      <c r="BC70" s="106"/>
      <c r="BD70" s="106"/>
      <c r="BE70" s="362">
        <f>AZ70</f>
        <v>0</v>
      </c>
      <c r="BF70" s="106"/>
      <c r="BG70" s="106"/>
      <c r="BH70" s="106"/>
      <c r="BI70" s="106"/>
      <c r="BJ70" s="362">
        <f>BE70</f>
        <v>0</v>
      </c>
      <c r="BK70" s="106"/>
      <c r="BL70" s="106"/>
      <c r="BM70" s="106"/>
      <c r="BN70" s="106"/>
      <c r="BO70" s="362">
        <f>BJ70</f>
        <v>0</v>
      </c>
      <c r="BU70"/>
      <c r="BV70"/>
      <c r="BW70"/>
      <c r="BX70"/>
      <c r="BY70"/>
      <c r="BZ70"/>
    </row>
    <row r="71" spans="2:78" s="110" customFormat="1" ht="15" customHeight="1">
      <c r="B71" s="126"/>
      <c r="C71" s="128"/>
      <c r="D71" s="128"/>
      <c r="E71" s="128"/>
      <c r="F71" s="128"/>
      <c r="G71" s="158"/>
      <c r="H71" s="128"/>
      <c r="I71" s="128"/>
      <c r="J71" s="128"/>
      <c r="K71" s="128"/>
      <c r="L71" s="158"/>
      <c r="M71" s="128"/>
      <c r="N71" s="128"/>
      <c r="O71" s="128"/>
      <c r="P71" s="128"/>
      <c r="Q71" s="158"/>
      <c r="R71" s="128"/>
      <c r="S71" s="128"/>
      <c r="T71" s="128"/>
      <c r="U71" s="128"/>
      <c r="V71" s="158"/>
      <c r="W71" s="128"/>
      <c r="X71" s="128"/>
      <c r="Y71" s="128"/>
      <c r="Z71" s="128"/>
      <c r="AA71" s="158"/>
      <c r="AB71" s="128"/>
      <c r="AC71" s="128"/>
      <c r="AD71" s="128"/>
      <c r="AE71" s="128"/>
      <c r="AF71" s="158"/>
      <c r="AG71" s="128"/>
      <c r="AH71" s="128"/>
      <c r="AI71" s="128"/>
      <c r="AJ71" s="128"/>
      <c r="AK71" s="158"/>
      <c r="AL71" s="128"/>
      <c r="AM71" s="128"/>
      <c r="AN71" s="128"/>
      <c r="AO71" s="128"/>
      <c r="AP71" s="158"/>
      <c r="AQ71" s="128"/>
      <c r="AR71" s="128"/>
      <c r="AS71" s="128"/>
      <c r="AT71" s="128"/>
      <c r="AU71" s="158"/>
      <c r="AV71" s="128"/>
      <c r="AW71" s="128"/>
      <c r="AX71" s="128"/>
      <c r="AY71" s="128"/>
      <c r="AZ71" s="158"/>
      <c r="BA71" s="128"/>
      <c r="BB71" s="128"/>
      <c r="BC71" s="128"/>
      <c r="BD71" s="128"/>
      <c r="BE71" s="158"/>
      <c r="BF71" s="128"/>
      <c r="BG71" s="128"/>
      <c r="BH71" s="128"/>
      <c r="BI71" s="128"/>
      <c r="BJ71" s="158"/>
      <c r="BK71" s="128"/>
      <c r="BL71" s="128"/>
      <c r="BM71" s="128"/>
      <c r="BN71" s="128"/>
      <c r="BO71" s="158"/>
      <c r="BU71"/>
      <c r="BV71"/>
      <c r="BW71"/>
      <c r="BX71"/>
      <c r="BY71"/>
      <c r="BZ71"/>
    </row>
    <row r="72" spans="2:78" s="110" customFormat="1" ht="15" customHeight="1">
      <c r="B72" s="132" t="s">
        <v>147</v>
      </c>
      <c r="C72" s="106"/>
      <c r="D72" s="106"/>
      <c r="E72" s="106"/>
      <c r="F72" s="106"/>
      <c r="G72" s="107">
        <f>CF!C8</f>
        <v>1.2769999999999999</v>
      </c>
      <c r="H72" s="106"/>
      <c r="I72" s="106"/>
      <c r="J72" s="106"/>
      <c r="K72" s="106"/>
      <c r="L72" s="107">
        <f>CF!D8</f>
        <v>3.69</v>
      </c>
      <c r="M72" s="106"/>
      <c r="N72" s="106"/>
      <c r="O72" s="106"/>
      <c r="P72" s="106"/>
      <c r="Q72" s="107">
        <f>CF!E8</f>
        <v>5.2469999999999999</v>
      </c>
      <c r="R72" s="106"/>
      <c r="S72" s="106"/>
      <c r="T72" s="106"/>
      <c r="U72" s="106"/>
      <c r="V72" s="107">
        <f>CF!F8</f>
        <v>5.6909999999999998</v>
      </c>
      <c r="W72" s="106"/>
      <c r="X72" s="106"/>
      <c r="Y72" s="106"/>
      <c r="Z72" s="106"/>
      <c r="AA72" s="107">
        <f>CF!G8</f>
        <v>8.0920000000000005</v>
      </c>
      <c r="AB72" s="106"/>
      <c r="AC72" s="106"/>
      <c r="AD72" s="106"/>
      <c r="AE72" s="106"/>
      <c r="AF72" s="107">
        <f>CF!H8</f>
        <v>6.8701668555264899</v>
      </c>
      <c r="AG72" s="106"/>
      <c r="AH72" s="106"/>
      <c r="AI72" s="106"/>
      <c r="AJ72" s="106"/>
      <c r="AK72" s="107">
        <f>CF!I8</f>
        <v>8.0596183878939147</v>
      </c>
      <c r="AL72" s="106"/>
      <c r="AM72" s="106"/>
      <c r="AN72" s="106"/>
      <c r="AO72" s="106"/>
      <c r="AP72" s="107">
        <f>CF!J8</f>
        <v>8.5378455852323576</v>
      </c>
      <c r="AQ72" s="106"/>
      <c r="AR72" s="106"/>
      <c r="AS72" s="106"/>
      <c r="AT72" s="106"/>
      <c r="AU72" s="107">
        <f>CF!K8</f>
        <v>8.703782220078855</v>
      </c>
      <c r="AV72" s="106"/>
      <c r="AW72" s="106"/>
      <c r="AX72" s="106"/>
      <c r="AY72" s="106"/>
      <c r="AZ72" s="107">
        <f>CF!L8</f>
        <v>11.111497016306588</v>
      </c>
      <c r="BA72" s="106"/>
      <c r="BB72" s="106"/>
      <c r="BC72" s="106"/>
      <c r="BD72" s="106"/>
      <c r="BE72" s="107">
        <f>CF!M8</f>
        <v>13.721742715739817</v>
      </c>
      <c r="BF72" s="106"/>
      <c r="BG72" s="106"/>
      <c r="BH72" s="106"/>
      <c r="BI72" s="106"/>
      <c r="BJ72" s="107">
        <f>CF!N8</f>
        <v>14.740525816589747</v>
      </c>
      <c r="BK72" s="106"/>
      <c r="BL72" s="106"/>
      <c r="BM72" s="106"/>
      <c r="BN72" s="106"/>
      <c r="BO72" s="107">
        <f>CF!O8</f>
        <v>12.591108094375803</v>
      </c>
      <c r="BU72"/>
      <c r="BV72"/>
      <c r="BW72"/>
      <c r="BX72"/>
      <c r="BY72"/>
      <c r="BZ72"/>
    </row>
    <row r="73" spans="2:78" s="110" customFormat="1" ht="15" customHeight="1">
      <c r="B73" s="172" t="s">
        <v>148</v>
      </c>
      <c r="C73" s="106"/>
      <c r="D73" s="106"/>
      <c r="E73" s="106"/>
      <c r="F73" s="106"/>
      <c r="G73" s="107">
        <f>G28+G72</f>
        <v>-77.116</v>
      </c>
      <c r="H73" s="106"/>
      <c r="I73" s="106"/>
      <c r="J73" s="106"/>
      <c r="K73" s="106"/>
      <c r="L73" s="107">
        <f>L28+L72</f>
        <v>-109.74000000000001</v>
      </c>
      <c r="M73" s="106"/>
      <c r="N73" s="106"/>
      <c r="O73" s="106"/>
      <c r="P73" s="106"/>
      <c r="Q73" s="107">
        <f>Q28+Q72</f>
        <v>-182.82</v>
      </c>
      <c r="R73" s="106">
        <f t="shared" ref="R73:V73" si="257">R28+R72</f>
        <v>-52.480000000000004</v>
      </c>
      <c r="S73" s="106">
        <f t="shared" si="257"/>
        <v>-54.643999999999998</v>
      </c>
      <c r="T73" s="106">
        <f t="shared" si="257"/>
        <v>-45.695999999999998</v>
      </c>
      <c r="U73" s="106">
        <f t="shared" si="257"/>
        <v>-38.602000000000004</v>
      </c>
      <c r="V73" s="107">
        <f t="shared" si="257"/>
        <v>-185.73099999999999</v>
      </c>
      <c r="W73" s="106">
        <f t="shared" ref="W73:X73" si="258">W28+W72</f>
        <v>-33.296999999999997</v>
      </c>
      <c r="X73" s="106">
        <f t="shared" si="258"/>
        <v>-25.511000000000003</v>
      </c>
      <c r="Y73" s="106">
        <f t="shared" ref="Y73:Z73" si="259">Y28+Y72</f>
        <v>-12.604000000000003</v>
      </c>
      <c r="Z73" s="106">
        <f t="shared" si="259"/>
        <v>-15.31799999999998</v>
      </c>
      <c r="AA73" s="107">
        <f t="shared" ref="AA73" si="260">AA28+AA72</f>
        <v>-78.581000000000017</v>
      </c>
      <c r="AB73" s="106"/>
      <c r="AC73" s="106"/>
      <c r="AD73" s="106"/>
      <c r="AE73" s="106"/>
      <c r="AF73" s="107">
        <f t="shared" ref="AF73" si="261">AF28+AF72</f>
        <v>-21.731721034972722</v>
      </c>
      <c r="AG73" s="106"/>
      <c r="AH73" s="106"/>
      <c r="AI73" s="106"/>
      <c r="AJ73" s="106"/>
      <c r="AK73" s="107">
        <f t="shared" ref="AK73" si="262">AK28+AK72</f>
        <v>67.075728916435367</v>
      </c>
      <c r="AL73" s="106"/>
      <c r="AM73" s="106"/>
      <c r="AN73" s="106"/>
      <c r="AO73" s="106"/>
      <c r="AP73" s="107">
        <f t="shared" ref="AP73" si="263">AP28+AP72</f>
        <v>136.0836312998926</v>
      </c>
      <c r="AQ73" s="106"/>
      <c r="AR73" s="106"/>
      <c r="AS73" s="106"/>
      <c r="AT73" s="106"/>
      <c r="AU73" s="107">
        <f t="shared" ref="AU73" si="264">AU28+AU72</f>
        <v>259.9099697776827</v>
      </c>
      <c r="AV73" s="106"/>
      <c r="AW73" s="106"/>
      <c r="AX73" s="106"/>
      <c r="AY73" s="106"/>
      <c r="AZ73" s="107">
        <f t="shared" ref="AZ73" si="265">AZ28+AZ72</f>
        <v>537.41092610848682</v>
      </c>
      <c r="BA73" s="106"/>
      <c r="BB73" s="106"/>
      <c r="BC73" s="106"/>
      <c r="BD73" s="106"/>
      <c r="BE73" s="107">
        <f t="shared" ref="BE73" si="266">BE28+BE72</f>
        <v>660.77021761367132</v>
      </c>
      <c r="BF73" s="106"/>
      <c r="BG73" s="106"/>
      <c r="BH73" s="106"/>
      <c r="BI73" s="106"/>
      <c r="BJ73" s="107">
        <f t="shared" ref="BJ73" si="267">BJ28+BJ72</f>
        <v>865.15271517480448</v>
      </c>
      <c r="BK73" s="106"/>
      <c r="BL73" s="106"/>
      <c r="BM73" s="106"/>
      <c r="BN73" s="106"/>
      <c r="BO73" s="107">
        <f t="shared" ref="BO73" si="268">BO28+BO72</f>
        <v>878.38414246299351</v>
      </c>
      <c r="BU73"/>
      <c r="BV73"/>
      <c r="BW73"/>
      <c r="BX73"/>
      <c r="BY73"/>
      <c r="BZ73"/>
    </row>
    <row r="74" spans="2:78" s="110" customFormat="1" ht="15" customHeight="1">
      <c r="B74" s="172" t="s">
        <v>149</v>
      </c>
      <c r="C74" s="106"/>
      <c r="D74" s="106"/>
      <c r="E74" s="106"/>
      <c r="F74" s="106"/>
      <c r="G74" s="107">
        <f>G28-G44+G72</f>
        <v>-43.198000000000008</v>
      </c>
      <c r="H74" s="106"/>
      <c r="I74" s="106"/>
      <c r="J74" s="106"/>
      <c r="K74" s="106"/>
      <c r="L74" s="107">
        <f>L28-L44+L72</f>
        <v>-86.602000000000004</v>
      </c>
      <c r="M74" s="106"/>
      <c r="N74" s="106"/>
      <c r="O74" s="106"/>
      <c r="P74" s="106"/>
      <c r="Q74" s="107">
        <f>Q28-Q44+Q72</f>
        <v>-150.70300000000003</v>
      </c>
      <c r="R74" s="106">
        <f t="shared" ref="R74:V74" si="269">R28-R44+R72</f>
        <v>-45.258000000000003</v>
      </c>
      <c r="S74" s="106">
        <f t="shared" si="269"/>
        <v>-47.187999999999995</v>
      </c>
      <c r="T74" s="106">
        <f t="shared" si="269"/>
        <v>-34.858999999999995</v>
      </c>
      <c r="U74" s="106">
        <f t="shared" si="269"/>
        <v>11.190999999999988</v>
      </c>
      <c r="V74" s="107">
        <f t="shared" si="269"/>
        <v>-110.423</v>
      </c>
      <c r="W74" s="106">
        <f t="shared" ref="W74:X74" si="270">W28-W44+W72</f>
        <v>-150.34899999999999</v>
      </c>
      <c r="X74" s="106">
        <f t="shared" si="270"/>
        <v>12.207999999999998</v>
      </c>
      <c r="Y74" s="106">
        <f t="shared" ref="Y74:Z74" si="271">Y28-Y44+Y72</f>
        <v>22.709999999999997</v>
      </c>
      <c r="Z74" s="106">
        <f t="shared" si="271"/>
        <v>-9.3309999999999818</v>
      </c>
      <c r="AA74" s="107">
        <f t="shared" ref="AA74" si="272">AA28-AA44+AA72</f>
        <v>-116.55600000000001</v>
      </c>
      <c r="AB74" s="106"/>
      <c r="AC74" s="106"/>
      <c r="AD74" s="106"/>
      <c r="AE74" s="106"/>
      <c r="AF74" s="107">
        <f t="shared" ref="AF74" si="273">AF28-AF44+AF72</f>
        <v>8.7332789650272797</v>
      </c>
      <c r="AG74" s="106"/>
      <c r="AH74" s="106"/>
      <c r="AI74" s="106"/>
      <c r="AJ74" s="106"/>
      <c r="AK74" s="107">
        <f t="shared" ref="AK74" si="274">AK28-AK44+AK72</f>
        <v>97.54072891643537</v>
      </c>
      <c r="AL74" s="106"/>
      <c r="AM74" s="106"/>
      <c r="AN74" s="106"/>
      <c r="AO74" s="106"/>
      <c r="AP74" s="107">
        <f t="shared" ref="AP74" si="275">AP28-AP44+AP72</f>
        <v>166.54863129989261</v>
      </c>
      <c r="AQ74" s="106"/>
      <c r="AR74" s="106"/>
      <c r="AS74" s="106"/>
      <c r="AT74" s="106"/>
      <c r="AU74" s="107">
        <f t="shared" ref="AU74" si="276">AU28-AU44+AU72</f>
        <v>290.37496977768268</v>
      </c>
      <c r="AV74" s="106"/>
      <c r="AW74" s="106"/>
      <c r="AX74" s="106"/>
      <c r="AY74" s="106"/>
      <c r="AZ74" s="107">
        <f t="shared" ref="AZ74" si="277">AZ28-AZ44+AZ72</f>
        <v>567.87592610848685</v>
      </c>
      <c r="BA74" s="106"/>
      <c r="BB74" s="106"/>
      <c r="BC74" s="106"/>
      <c r="BD74" s="106"/>
      <c r="BE74" s="107">
        <f t="shared" ref="BE74" si="278">BE28-BE44+BE72</f>
        <v>691.23521761367135</v>
      </c>
      <c r="BF74" s="106"/>
      <c r="BG74" s="106"/>
      <c r="BH74" s="106"/>
      <c r="BI74" s="106"/>
      <c r="BJ74" s="107">
        <f t="shared" ref="BJ74" si="279">BJ28-BJ44+BJ72</f>
        <v>895.61771517480452</v>
      </c>
      <c r="BK74" s="106"/>
      <c r="BL74" s="106"/>
      <c r="BM74" s="106"/>
      <c r="BN74" s="106"/>
      <c r="BO74" s="107">
        <f t="shared" ref="BO74" si="280">BO28-BO44+BO72</f>
        <v>908.84914246299354</v>
      </c>
      <c r="BU74"/>
      <c r="BV74"/>
      <c r="BW74"/>
      <c r="BX74"/>
      <c r="BY74"/>
      <c r="BZ74"/>
    </row>
    <row r="75" spans="2:78" s="110" customFormat="1" ht="15" customHeight="1">
      <c r="B75" s="126"/>
      <c r="C75" s="128"/>
      <c r="D75" s="128"/>
      <c r="E75" s="128"/>
      <c r="F75" s="128"/>
      <c r="G75" s="127"/>
      <c r="H75" s="128"/>
      <c r="I75" s="128"/>
      <c r="J75" s="128"/>
      <c r="K75" s="128"/>
      <c r="L75" s="127"/>
      <c r="M75" s="128"/>
      <c r="N75" s="128"/>
      <c r="O75" s="128"/>
      <c r="P75" s="128"/>
      <c r="Q75" s="127"/>
      <c r="R75" s="128"/>
      <c r="S75" s="128"/>
      <c r="T75" s="128"/>
      <c r="U75" s="128"/>
      <c r="V75" s="127"/>
      <c r="W75" s="128"/>
      <c r="X75" s="128"/>
      <c r="Y75" s="128"/>
      <c r="Z75" s="128"/>
      <c r="AA75" s="127"/>
      <c r="AB75" s="128"/>
      <c r="AC75" s="128"/>
      <c r="AD75" s="128"/>
      <c r="AE75" s="128"/>
      <c r="AF75" s="127"/>
      <c r="AG75" s="128"/>
      <c r="AH75" s="128"/>
      <c r="AI75" s="128"/>
      <c r="AJ75" s="128"/>
      <c r="AK75" s="127"/>
      <c r="AL75" s="128"/>
      <c r="AM75" s="128"/>
      <c r="AN75" s="128"/>
      <c r="AO75" s="128"/>
      <c r="AP75" s="127"/>
      <c r="AQ75" s="128"/>
      <c r="AR75" s="128"/>
      <c r="AS75" s="128"/>
      <c r="AT75" s="128"/>
      <c r="AU75" s="127"/>
      <c r="AV75" s="128"/>
      <c r="AW75" s="128"/>
      <c r="AX75" s="128"/>
      <c r="AY75" s="128"/>
      <c r="AZ75" s="127"/>
      <c r="BA75" s="128"/>
      <c r="BB75" s="128"/>
      <c r="BC75" s="128"/>
      <c r="BD75" s="128"/>
      <c r="BE75" s="127"/>
      <c r="BF75" s="128"/>
      <c r="BG75" s="128"/>
      <c r="BH75" s="128"/>
      <c r="BI75" s="128"/>
      <c r="BJ75" s="127"/>
      <c r="BK75" s="128"/>
      <c r="BL75" s="128"/>
      <c r="BM75" s="128"/>
      <c r="BN75" s="128"/>
      <c r="BO75" s="127"/>
      <c r="BU75"/>
      <c r="BV75"/>
      <c r="BW75"/>
      <c r="BX75"/>
      <c r="BY75"/>
      <c r="BZ75"/>
    </row>
    <row r="76" spans="2:78" s="110" customFormat="1" ht="15" customHeight="1" thickBot="1">
      <c r="B76" s="173" t="s">
        <v>136</v>
      </c>
      <c r="C76" s="128"/>
      <c r="D76" s="128"/>
      <c r="E76" s="128"/>
      <c r="F76" s="128"/>
      <c r="G76" s="127"/>
      <c r="H76" s="128"/>
      <c r="I76" s="128"/>
      <c r="J76" s="128"/>
      <c r="K76" s="128"/>
      <c r="L76" s="127"/>
      <c r="M76" s="128"/>
      <c r="N76" s="128"/>
      <c r="O76" s="128"/>
      <c r="P76" s="128"/>
      <c r="Q76" s="127"/>
      <c r="R76" s="128"/>
      <c r="S76" s="128"/>
      <c r="T76" s="128"/>
      <c r="U76" s="128"/>
      <c r="V76" s="127"/>
      <c r="W76" s="128"/>
      <c r="X76" s="128"/>
      <c r="Y76" s="128"/>
      <c r="Z76" s="128"/>
      <c r="AA76" s="127"/>
      <c r="AB76" s="128"/>
      <c r="AC76" s="128"/>
      <c r="AD76" s="128"/>
      <c r="AE76" s="128"/>
      <c r="AF76" s="127"/>
      <c r="AG76" s="128"/>
      <c r="AH76" s="128"/>
      <c r="AI76" s="128"/>
      <c r="AJ76" s="128"/>
      <c r="AK76" s="127"/>
      <c r="AL76" s="128"/>
      <c r="AM76" s="128"/>
      <c r="AN76" s="128"/>
      <c r="AO76" s="128"/>
      <c r="AP76" s="127"/>
      <c r="AQ76" s="128"/>
      <c r="AR76" s="128"/>
      <c r="AS76" s="128"/>
      <c r="AT76" s="128"/>
      <c r="AU76" s="127"/>
      <c r="AV76" s="128"/>
      <c r="AW76" s="128"/>
      <c r="AX76" s="128"/>
      <c r="AY76" s="128"/>
      <c r="AZ76" s="127"/>
      <c r="BA76" s="128"/>
      <c r="BB76" s="128"/>
      <c r="BC76" s="128"/>
      <c r="BD76" s="128"/>
      <c r="BE76" s="127"/>
      <c r="BF76" s="128"/>
      <c r="BG76" s="128"/>
      <c r="BH76" s="128"/>
      <c r="BI76" s="128"/>
      <c r="BJ76" s="127"/>
      <c r="BK76" s="128"/>
      <c r="BL76" s="128"/>
      <c r="BM76" s="128"/>
      <c r="BN76" s="128"/>
      <c r="BO76" s="127"/>
      <c r="BU76"/>
      <c r="BV76"/>
      <c r="BW76"/>
      <c r="BX76"/>
      <c r="BY76"/>
      <c r="BZ76"/>
    </row>
    <row r="77" spans="2:78" s="110" customFormat="1" ht="15" customHeight="1" thickBot="1">
      <c r="B77" s="174">
        <f>'DCF '!C30</f>
        <v>2</v>
      </c>
      <c r="C77" s="128"/>
      <c r="D77" s="128"/>
      <c r="E77" s="128"/>
      <c r="F77" s="128"/>
      <c r="G77" s="127"/>
      <c r="H77" s="128"/>
      <c r="I77" s="128"/>
      <c r="J77" s="128"/>
      <c r="K77" s="128"/>
      <c r="L77" s="127"/>
      <c r="M77" s="128"/>
      <c r="N77" s="128"/>
      <c r="O77" s="128"/>
      <c r="P77" s="128"/>
      <c r="Q77" s="127"/>
      <c r="R77" s="128"/>
      <c r="S77" s="128"/>
      <c r="T77" s="128"/>
      <c r="U77" s="128"/>
      <c r="V77" s="127"/>
      <c r="W77" s="128"/>
      <c r="X77" s="128"/>
      <c r="Y77" s="128"/>
      <c r="Z77" s="128"/>
      <c r="AA77" s="127"/>
      <c r="AB77" s="128"/>
      <c r="AC77" s="128"/>
      <c r="AD77" s="128"/>
      <c r="AE77" s="128"/>
      <c r="AF77" s="127"/>
      <c r="AG77" s="128"/>
      <c r="AH77" s="128"/>
      <c r="AI77" s="128"/>
      <c r="AJ77" s="128"/>
      <c r="AK77" s="127"/>
      <c r="AL77" s="128"/>
      <c r="AM77" s="128"/>
      <c r="AN77" s="128"/>
      <c r="AO77" s="128"/>
      <c r="AP77" s="127"/>
      <c r="AQ77" s="128"/>
      <c r="AR77" s="128"/>
      <c r="AS77" s="128"/>
      <c r="AT77" s="128"/>
      <c r="AU77" s="127"/>
      <c r="AV77" s="128"/>
      <c r="AW77" s="128"/>
      <c r="AX77" s="128"/>
      <c r="AY77" s="128"/>
      <c r="AZ77" s="127"/>
      <c r="BA77" s="128"/>
      <c r="BB77" s="128"/>
      <c r="BC77" s="128"/>
      <c r="BD77" s="128"/>
      <c r="BE77" s="127"/>
      <c r="BF77" s="128"/>
      <c r="BG77" s="128"/>
      <c r="BH77" s="128"/>
      <c r="BI77" s="128"/>
      <c r="BJ77" s="127"/>
      <c r="BK77" s="128"/>
      <c r="BL77" s="128"/>
      <c r="BM77" s="128"/>
      <c r="BN77" s="128"/>
      <c r="BO77" s="127"/>
      <c r="BU77"/>
      <c r="BV77"/>
      <c r="BW77"/>
      <c r="BX77"/>
      <c r="BY77"/>
      <c r="BZ77"/>
    </row>
    <row r="78" spans="2:78" s="110" customFormat="1" ht="15" customHeight="1">
      <c r="B78" s="126"/>
      <c r="C78" s="128"/>
      <c r="D78" s="128"/>
      <c r="E78" s="128"/>
      <c r="F78" s="128"/>
      <c r="G78" s="127"/>
      <c r="H78" s="128"/>
      <c r="I78" s="128"/>
      <c r="J78" s="128"/>
      <c r="K78" s="128"/>
      <c r="L78" s="127"/>
      <c r="M78" s="128"/>
      <c r="N78" s="128"/>
      <c r="O78" s="128"/>
      <c r="P78" s="128"/>
      <c r="Q78" s="127"/>
      <c r="R78" s="128"/>
      <c r="S78" s="128"/>
      <c r="T78" s="128"/>
      <c r="U78" s="128"/>
      <c r="V78" s="127"/>
      <c r="W78" s="128"/>
      <c r="X78" s="128"/>
      <c r="Y78" s="128"/>
      <c r="Z78" s="128"/>
      <c r="AA78" s="127"/>
      <c r="AB78" s="128"/>
      <c r="AC78" s="128"/>
      <c r="AD78" s="128"/>
      <c r="AE78" s="128"/>
      <c r="AF78" s="127"/>
      <c r="AG78" s="128"/>
      <c r="AH78" s="128"/>
      <c r="AI78" s="128"/>
      <c r="AJ78" s="128"/>
      <c r="AK78" s="127"/>
      <c r="AL78" s="128"/>
      <c r="AM78" s="128"/>
      <c r="AN78" s="128"/>
      <c r="AO78" s="128"/>
      <c r="AP78" s="127"/>
      <c r="AQ78" s="128"/>
      <c r="AR78" s="128"/>
      <c r="AS78" s="128"/>
      <c r="AT78" s="128"/>
      <c r="AU78" s="127"/>
      <c r="AV78" s="128"/>
      <c r="AW78" s="128"/>
      <c r="AX78" s="128"/>
      <c r="AY78" s="128"/>
      <c r="AZ78" s="127"/>
      <c r="BA78" s="128"/>
      <c r="BB78" s="128"/>
      <c r="BC78" s="128"/>
      <c r="BD78" s="128"/>
      <c r="BE78" s="127"/>
      <c r="BF78" s="128"/>
      <c r="BG78" s="128"/>
      <c r="BH78" s="128"/>
      <c r="BI78" s="128"/>
      <c r="BJ78" s="127"/>
      <c r="BK78" s="128"/>
      <c r="BL78" s="128"/>
      <c r="BM78" s="128"/>
      <c r="BN78" s="128"/>
      <c r="BO78" s="127"/>
      <c r="BU78"/>
      <c r="BV78"/>
      <c r="BW78"/>
      <c r="BX78"/>
      <c r="BY78"/>
      <c r="BZ78"/>
    </row>
    <row r="79" spans="2:78" s="110" customFormat="1" ht="15" customHeight="1">
      <c r="B79" s="175" t="s">
        <v>10</v>
      </c>
      <c r="C79" s="128"/>
      <c r="D79" s="128"/>
      <c r="E79" s="128"/>
      <c r="F79" s="128"/>
      <c r="G79" s="127"/>
      <c r="H79" s="128"/>
      <c r="I79" s="128"/>
      <c r="J79" s="128"/>
      <c r="K79" s="128"/>
      <c r="L79" s="127"/>
      <c r="M79" s="128"/>
      <c r="N79" s="128"/>
      <c r="O79" s="128"/>
      <c r="P79" s="128"/>
      <c r="Q79" s="127"/>
      <c r="R79" s="128"/>
      <c r="S79" s="128"/>
      <c r="T79" s="128"/>
      <c r="U79" s="128"/>
      <c r="V79" s="127"/>
      <c r="W79" s="128"/>
      <c r="X79" s="128"/>
      <c r="Y79" s="128"/>
      <c r="Z79" s="128"/>
      <c r="AA79" s="127"/>
      <c r="AB79" s="128"/>
      <c r="AC79" s="128"/>
      <c r="AD79" s="128"/>
      <c r="AE79" s="128"/>
      <c r="AF79" s="127"/>
      <c r="AG79" s="128"/>
      <c r="AH79" s="128"/>
      <c r="AI79" s="128"/>
      <c r="AJ79" s="128"/>
      <c r="AK79" s="127"/>
      <c r="AL79" s="128"/>
      <c r="AM79" s="128"/>
      <c r="AN79" s="128"/>
      <c r="AO79" s="128"/>
      <c r="AP79" s="127"/>
      <c r="AQ79" s="128"/>
      <c r="AR79" s="128"/>
      <c r="AS79" s="128"/>
      <c r="AT79" s="128"/>
      <c r="AU79" s="127"/>
      <c r="AV79" s="128"/>
      <c r="AW79" s="128"/>
      <c r="AX79" s="128"/>
      <c r="AY79" s="128"/>
      <c r="AZ79" s="127"/>
      <c r="BA79" s="128"/>
      <c r="BB79" s="128"/>
      <c r="BC79" s="128"/>
      <c r="BD79" s="128"/>
      <c r="BE79" s="127"/>
      <c r="BF79" s="128"/>
      <c r="BG79" s="128"/>
      <c r="BH79" s="128"/>
      <c r="BI79" s="128"/>
      <c r="BJ79" s="127"/>
      <c r="BK79" s="128"/>
      <c r="BL79" s="128"/>
      <c r="BM79" s="128"/>
      <c r="BN79" s="128"/>
      <c r="BO79" s="127"/>
      <c r="BU79"/>
      <c r="BV79"/>
      <c r="BW79"/>
      <c r="BX79"/>
      <c r="BY79"/>
      <c r="BZ79"/>
    </row>
    <row r="80" spans="2:78" s="110" customFormat="1" ht="15" customHeight="1">
      <c r="B80" s="140" t="s">
        <v>130</v>
      </c>
      <c r="C80" s="154">
        <f>C81</f>
        <v>12.968000000000002</v>
      </c>
      <c r="D80" s="154">
        <f t="shared" ref="D80" si="281">D81</f>
        <v>12.182</v>
      </c>
      <c r="E80" s="154">
        <f t="shared" ref="E80" si="282">E81</f>
        <v>19.878</v>
      </c>
      <c r="F80" s="154">
        <f t="shared" ref="F80" si="283">F81</f>
        <v>23.580000000000002</v>
      </c>
      <c r="G80" s="312">
        <f>SUM(C80:F80)</f>
        <v>68.608000000000004</v>
      </c>
      <c r="H80" s="133">
        <f>H81</f>
        <v>19.023999999999997</v>
      </c>
      <c r="I80" s="133">
        <f t="shared" ref="I80" si="284">I81</f>
        <v>18.294</v>
      </c>
      <c r="J80" s="133">
        <f t="shared" ref="J80" si="285">J81</f>
        <v>20.184000000000001</v>
      </c>
      <c r="K80" s="133">
        <f t="shared" ref="K80" si="286">K81</f>
        <v>28.446000000000002</v>
      </c>
      <c r="L80" s="312">
        <f>SUM(H80:K80)</f>
        <v>85.947999999999993</v>
      </c>
      <c r="M80" s="133">
        <f>M81</f>
        <v>36.719000000000001</v>
      </c>
      <c r="N80" s="133">
        <f t="shared" ref="N80:S80" si="287">N81</f>
        <v>26.617999999999999</v>
      </c>
      <c r="O80" s="133">
        <f t="shared" si="287"/>
        <v>34.042000000000002</v>
      </c>
      <c r="P80" s="133">
        <f t="shared" si="287"/>
        <v>38.611999999999995</v>
      </c>
      <c r="Q80" s="312">
        <f>SUM(M80:P80)</f>
        <v>135.99099999999999</v>
      </c>
      <c r="R80" s="133">
        <f t="shared" si="287"/>
        <v>35.875999999999998</v>
      </c>
      <c r="S80" s="133">
        <f t="shared" si="287"/>
        <v>41.433</v>
      </c>
      <c r="T80" s="133">
        <f>T81</f>
        <v>30.904999999999998</v>
      </c>
      <c r="U80" s="133">
        <f>U81</f>
        <v>27.762</v>
      </c>
      <c r="V80" s="312">
        <f>U80+T80+S80+R80</f>
        <v>135.976</v>
      </c>
      <c r="W80" s="133">
        <f t="shared" ref="W80:Z80" si="288">W81</f>
        <v>27.175000000000001</v>
      </c>
      <c r="X80" s="133">
        <f t="shared" si="288"/>
        <v>34.609000000000002</v>
      </c>
      <c r="Y80" s="133">
        <f t="shared" si="288"/>
        <v>32.417000000000002</v>
      </c>
      <c r="Z80" s="133">
        <f t="shared" si="288"/>
        <v>41.776000000000003</v>
      </c>
      <c r="AA80" s="312">
        <f>Z80+Y80+X80+W80</f>
        <v>135.97700000000003</v>
      </c>
      <c r="AB80" s="133"/>
      <c r="AC80" s="133"/>
      <c r="AD80" s="133"/>
      <c r="AE80" s="133"/>
      <c r="AF80" s="312">
        <f>AA80*(1+AF83)</f>
        <v>176.77010000000004</v>
      </c>
      <c r="AG80" s="133"/>
      <c r="AH80" s="133"/>
      <c r="AI80" s="133"/>
      <c r="AJ80" s="133"/>
      <c r="AK80" s="312">
        <f>AF80*(1+AK83)</f>
        <v>203.28561500000004</v>
      </c>
      <c r="AL80" s="133"/>
      <c r="AM80" s="133"/>
      <c r="AN80" s="133"/>
      <c r="AO80" s="133"/>
      <c r="AP80" s="312">
        <f>AK80*(1+AP83)</f>
        <v>213.44989575000005</v>
      </c>
      <c r="AQ80" s="133"/>
      <c r="AR80" s="133"/>
      <c r="AS80" s="133"/>
      <c r="AT80" s="133"/>
      <c r="AU80" s="312">
        <f>AP80*(1+AU83)</f>
        <v>224.12239053750005</v>
      </c>
      <c r="AV80" s="133"/>
      <c r="AW80" s="133"/>
      <c r="AX80" s="133"/>
      <c r="AY80" s="133"/>
      <c r="AZ80" s="312">
        <f>AU80*(1+AZ83)</f>
        <v>233.08728615900006</v>
      </c>
      <c r="BA80" s="133"/>
      <c r="BB80" s="133"/>
      <c r="BC80" s="133"/>
      <c r="BD80" s="133"/>
      <c r="BE80" s="312">
        <f>AZ80*(1+BE83)</f>
        <v>237.74903188218008</v>
      </c>
      <c r="BF80" s="133"/>
      <c r="BG80" s="133"/>
      <c r="BH80" s="133"/>
      <c r="BI80" s="133"/>
      <c r="BJ80" s="312">
        <f>BE80*(1+BJ83)</f>
        <v>240.12652220100188</v>
      </c>
      <c r="BK80" s="133"/>
      <c r="BL80" s="133"/>
      <c r="BM80" s="133"/>
      <c r="BN80" s="133"/>
      <c r="BO80" s="322">
        <f>BJ80*(1+BO83)</f>
        <v>240.12652220100188</v>
      </c>
      <c r="BU80"/>
      <c r="BV80"/>
      <c r="BW80"/>
      <c r="BX80"/>
      <c r="BY80"/>
      <c r="BZ80"/>
    </row>
    <row r="81" spans="2:78" ht="15" customHeight="1" collapsed="1">
      <c r="B81" s="143" t="s">
        <v>131</v>
      </c>
      <c r="C81" s="156">
        <f>C22</f>
        <v>12.968000000000002</v>
      </c>
      <c r="D81" s="156">
        <f>D22</f>
        <v>12.182</v>
      </c>
      <c r="E81" s="156">
        <f>E22</f>
        <v>19.878</v>
      </c>
      <c r="F81" s="156">
        <f>F22</f>
        <v>23.580000000000002</v>
      </c>
      <c r="G81" s="313">
        <f t="shared" ref="G81:G82" si="289">SUM(C81:F81)</f>
        <v>68.608000000000004</v>
      </c>
      <c r="H81" s="106">
        <f>H22</f>
        <v>19.023999999999997</v>
      </c>
      <c r="I81" s="106">
        <f>I22</f>
        <v>18.294</v>
      </c>
      <c r="J81" s="106">
        <f>J22</f>
        <v>20.184000000000001</v>
      </c>
      <c r="K81" s="106">
        <f>K22</f>
        <v>28.446000000000002</v>
      </c>
      <c r="L81" s="313">
        <f t="shared" ref="L81:L82" si="290">SUM(H81:K81)</f>
        <v>85.947999999999993</v>
      </c>
      <c r="M81" s="106">
        <f>M22</f>
        <v>36.719000000000001</v>
      </c>
      <c r="N81" s="106">
        <f>N22</f>
        <v>26.617999999999999</v>
      </c>
      <c r="O81" s="106">
        <f>O22</f>
        <v>34.042000000000002</v>
      </c>
      <c r="P81" s="106">
        <f>P22</f>
        <v>38.611999999999995</v>
      </c>
      <c r="Q81" s="313">
        <f t="shared" ref="Q81:Q82" si="291">SUM(M81:P81)</f>
        <v>135.99099999999999</v>
      </c>
      <c r="R81" s="106">
        <f>R22</f>
        <v>35.875999999999998</v>
      </c>
      <c r="S81" s="106">
        <f>S22</f>
        <v>41.433</v>
      </c>
      <c r="T81" s="106">
        <f>T22</f>
        <v>30.904999999999998</v>
      </c>
      <c r="U81" s="106">
        <f>U22</f>
        <v>27.762</v>
      </c>
      <c r="V81" s="313">
        <f t="shared" ref="V81:V82" si="292">U81+T81+S81+R81</f>
        <v>135.976</v>
      </c>
      <c r="W81" s="106">
        <f t="shared" ref="W81:Y81" si="293">W22</f>
        <v>27.175000000000001</v>
      </c>
      <c r="X81" s="106">
        <f t="shared" si="293"/>
        <v>34.609000000000002</v>
      </c>
      <c r="Y81" s="106">
        <f t="shared" si="293"/>
        <v>32.417000000000002</v>
      </c>
      <c r="Z81" s="106">
        <f t="shared" ref="Z81" si="294">Z22</f>
        <v>41.776000000000003</v>
      </c>
      <c r="AA81" s="313">
        <f t="shared" ref="AA81:AA82" si="295">Z81+Y81+X81+W81</f>
        <v>135.97700000000003</v>
      </c>
      <c r="AB81" s="106"/>
      <c r="AC81" s="106"/>
      <c r="AD81" s="106"/>
      <c r="AE81" s="106"/>
      <c r="AF81" s="313">
        <f>AA81*(1+AF84)</f>
        <v>163.17240000000004</v>
      </c>
      <c r="AG81" s="106"/>
      <c r="AH81" s="106"/>
      <c r="AI81" s="106"/>
      <c r="AJ81" s="106"/>
      <c r="AK81" s="313">
        <f>AF81*(1+AK84)</f>
        <v>179.48964000000007</v>
      </c>
      <c r="AL81" s="106"/>
      <c r="AM81" s="106"/>
      <c r="AN81" s="106"/>
      <c r="AO81" s="106"/>
      <c r="AP81" s="313">
        <f>AK81*(1+AP84)</f>
        <v>197.43860400000008</v>
      </c>
      <c r="AQ81" s="106"/>
      <c r="AR81" s="106"/>
      <c r="AS81" s="106"/>
      <c r="AT81" s="106"/>
      <c r="AU81" s="313">
        <f>AP81*(1+AU84)</f>
        <v>207.31053420000009</v>
      </c>
      <c r="AV81" s="106"/>
      <c r="AW81" s="106"/>
      <c r="AX81" s="106"/>
      <c r="AY81" s="106"/>
      <c r="AZ81" s="313">
        <f>AU81*(1+AZ84)</f>
        <v>217.6760609100001</v>
      </c>
      <c r="BA81" s="106"/>
      <c r="BB81" s="106"/>
      <c r="BC81" s="106"/>
      <c r="BD81" s="106"/>
      <c r="BE81" s="313">
        <f>AZ81*(1+BE84)</f>
        <v>223.11796243275009</v>
      </c>
      <c r="BF81" s="106"/>
      <c r="BG81" s="106"/>
      <c r="BH81" s="106"/>
      <c r="BI81" s="106"/>
      <c r="BJ81" s="313">
        <f>BE81*(1+BJ84)</f>
        <v>228.69591149356881</v>
      </c>
      <c r="BK81" s="106"/>
      <c r="BL81" s="106"/>
      <c r="BM81" s="106"/>
      <c r="BN81" s="106"/>
      <c r="BO81" s="336">
        <f>BJ81*(1+BO84)</f>
        <v>234.41330928090801</v>
      </c>
    </row>
    <row r="82" spans="2:78" s="110" customFormat="1" ht="15" customHeight="1">
      <c r="B82" s="143" t="s">
        <v>132</v>
      </c>
      <c r="C82" s="156">
        <f>C81</f>
        <v>12.968000000000002</v>
      </c>
      <c r="D82" s="156">
        <f t="shared" ref="D82" si="296">D81</f>
        <v>12.182</v>
      </c>
      <c r="E82" s="156">
        <f t="shared" ref="E82" si="297">E81</f>
        <v>19.878</v>
      </c>
      <c r="F82" s="156">
        <f t="shared" ref="F82" si="298">F81</f>
        <v>23.580000000000002</v>
      </c>
      <c r="G82" s="313">
        <f t="shared" si="289"/>
        <v>68.608000000000004</v>
      </c>
      <c r="H82" s="106">
        <f>H81</f>
        <v>19.023999999999997</v>
      </c>
      <c r="I82" s="106">
        <f t="shared" ref="I82" si="299">I81</f>
        <v>18.294</v>
      </c>
      <c r="J82" s="106">
        <f t="shared" ref="J82" si="300">J81</f>
        <v>20.184000000000001</v>
      </c>
      <c r="K82" s="106">
        <f t="shared" ref="K82" si="301">K81</f>
        <v>28.446000000000002</v>
      </c>
      <c r="L82" s="313">
        <f t="shared" si="290"/>
        <v>85.947999999999993</v>
      </c>
      <c r="M82" s="106">
        <f>M81</f>
        <v>36.719000000000001</v>
      </c>
      <c r="N82" s="106">
        <f t="shared" ref="N82:P82" si="302">N81</f>
        <v>26.617999999999999</v>
      </c>
      <c r="O82" s="106">
        <f t="shared" si="302"/>
        <v>34.042000000000002</v>
      </c>
      <c r="P82" s="106">
        <f t="shared" si="302"/>
        <v>38.611999999999995</v>
      </c>
      <c r="Q82" s="313">
        <f t="shared" si="291"/>
        <v>135.99099999999999</v>
      </c>
      <c r="R82" s="106">
        <f t="shared" ref="R82:S82" si="303">R81</f>
        <v>35.875999999999998</v>
      </c>
      <c r="S82" s="106">
        <f t="shared" si="303"/>
        <v>41.433</v>
      </c>
      <c r="T82" s="106">
        <f>T81</f>
        <v>30.904999999999998</v>
      </c>
      <c r="U82" s="106">
        <f>U81</f>
        <v>27.762</v>
      </c>
      <c r="V82" s="313">
        <f t="shared" si="292"/>
        <v>135.976</v>
      </c>
      <c r="W82" s="106">
        <f t="shared" ref="W82:Y82" si="304">W81</f>
        <v>27.175000000000001</v>
      </c>
      <c r="X82" s="106">
        <f t="shared" si="304"/>
        <v>34.609000000000002</v>
      </c>
      <c r="Y82" s="106">
        <f t="shared" si="304"/>
        <v>32.417000000000002</v>
      </c>
      <c r="Z82" s="106">
        <f t="shared" ref="Z82" si="305">Z81</f>
        <v>41.776000000000003</v>
      </c>
      <c r="AA82" s="313">
        <f t="shared" si="295"/>
        <v>135.97700000000003</v>
      </c>
      <c r="AB82" s="106"/>
      <c r="AC82" s="106"/>
      <c r="AD82" s="106"/>
      <c r="AE82" s="106"/>
      <c r="AF82" s="313">
        <f>AA82*(1+AF85)</f>
        <v>146.85516000000004</v>
      </c>
      <c r="AG82" s="106"/>
      <c r="AH82" s="106"/>
      <c r="AI82" s="106"/>
      <c r="AJ82" s="106"/>
      <c r="AK82" s="313">
        <f>AF82*(1+AK85)</f>
        <v>149.79226320000004</v>
      </c>
      <c r="AL82" s="106"/>
      <c r="AM82" s="106"/>
      <c r="AN82" s="106"/>
      <c r="AO82" s="106"/>
      <c r="AP82" s="313">
        <f>AK82*(1+AP85)</f>
        <v>134.81303688000003</v>
      </c>
      <c r="AQ82" s="106"/>
      <c r="AR82" s="106"/>
      <c r="AS82" s="106"/>
      <c r="AT82" s="106"/>
      <c r="AU82" s="313">
        <f>AP82*(1+AU85)</f>
        <v>114.59108134800002</v>
      </c>
      <c r="AV82" s="106"/>
      <c r="AW82" s="106"/>
      <c r="AX82" s="106"/>
      <c r="AY82" s="106"/>
      <c r="AZ82" s="313">
        <f>AU82*(1+AZ85)</f>
        <v>97.40241914580001</v>
      </c>
      <c r="BA82" s="106"/>
      <c r="BB82" s="106"/>
      <c r="BC82" s="106"/>
      <c r="BD82" s="106"/>
      <c r="BE82" s="313">
        <f>AZ82*(1+BE85)</f>
        <v>82.792056273930001</v>
      </c>
      <c r="BF82" s="106"/>
      <c r="BG82" s="106"/>
      <c r="BH82" s="106"/>
      <c r="BI82" s="106"/>
      <c r="BJ82" s="313">
        <f>BE82*(1+BJ85)</f>
        <v>70.373247832840505</v>
      </c>
      <c r="BK82" s="106"/>
      <c r="BL82" s="106"/>
      <c r="BM82" s="106"/>
      <c r="BN82" s="106"/>
      <c r="BO82" s="336">
        <f>BJ82*(1+BO85)</f>
        <v>59.817260657914424</v>
      </c>
      <c r="BU82"/>
      <c r="BV82"/>
      <c r="BW82"/>
      <c r="BX82"/>
      <c r="BY82"/>
      <c r="BZ82"/>
    </row>
    <row r="83" spans="2:78" s="110" customFormat="1" ht="15" customHeight="1">
      <c r="B83" s="143" t="s">
        <v>133</v>
      </c>
      <c r="C83" s="134"/>
      <c r="D83" s="134"/>
      <c r="E83" s="134"/>
      <c r="F83" s="134"/>
      <c r="G83" s="120"/>
      <c r="H83" s="309">
        <f>H80/C80-1</f>
        <v>0.46699568167797612</v>
      </c>
      <c r="I83" s="309">
        <f t="shared" ref="I83:I85" si="306">I80/D80-1</f>
        <v>0.50172385486783777</v>
      </c>
      <c r="J83" s="309">
        <f t="shared" ref="J83:J85" si="307">J80/E80-1</f>
        <v>1.5393902807123494E-2</v>
      </c>
      <c r="K83" s="309">
        <f t="shared" ref="K83:K85" si="308">K80/F80-1</f>
        <v>0.20636132315521616</v>
      </c>
      <c r="L83" s="120">
        <f>(L80/G80)-1</f>
        <v>0.25274020522388052</v>
      </c>
      <c r="M83" s="121">
        <f>M80/H80-1</f>
        <v>0.93014087468460915</v>
      </c>
      <c r="N83" s="121">
        <f t="shared" ref="N83:N85" si="309">N80/I80-1</f>
        <v>0.45501257242811843</v>
      </c>
      <c r="O83" s="121">
        <f t="shared" ref="O83:O85" si="310">O80/J80-1</f>
        <v>0.68658343242172015</v>
      </c>
      <c r="P83" s="121">
        <f t="shared" ref="P83:P85" si="311">P80/K80-1</f>
        <v>0.35737889334177009</v>
      </c>
      <c r="Q83" s="120">
        <f>(Q80/L80)-1</f>
        <v>0.58224740540792097</v>
      </c>
      <c r="R83" s="121">
        <f t="shared" ref="R83:U85" si="312">R80/M80-1</f>
        <v>-2.2958141561589485E-2</v>
      </c>
      <c r="S83" s="121">
        <f t="shared" si="312"/>
        <v>0.55657825531595173</v>
      </c>
      <c r="T83" s="121">
        <f t="shared" si="312"/>
        <v>-9.2150872451677412E-2</v>
      </c>
      <c r="U83" s="121">
        <f t="shared" si="312"/>
        <v>-0.28100072516316166</v>
      </c>
      <c r="V83" s="120">
        <f>V80/Q80-1</f>
        <v>-1.1030141700540952E-4</v>
      </c>
      <c r="W83" s="121">
        <f t="shared" ref="W83:W85" si="313">W80/R80-1</f>
        <v>-0.24252982495261444</v>
      </c>
      <c r="X83" s="121">
        <f t="shared" ref="X83:X85" si="314">X80/S80-1</f>
        <v>-0.16469963555619915</v>
      </c>
      <c r="Y83" s="121">
        <f t="shared" ref="Y83:Z85" si="315">Y80/T80-1</f>
        <v>4.8924122310305851E-2</v>
      </c>
      <c r="Z83" s="121">
        <f t="shared" si="315"/>
        <v>0.50479072112960166</v>
      </c>
      <c r="AA83" s="120">
        <f>AA80/V80-1</f>
        <v>7.3542389835701272E-6</v>
      </c>
      <c r="AB83" s="121"/>
      <c r="AC83" s="121"/>
      <c r="AD83" s="314"/>
      <c r="AE83" s="314"/>
      <c r="AF83" s="381">
        <v>0.3</v>
      </c>
      <c r="AG83" s="121"/>
      <c r="AH83" s="121"/>
      <c r="AI83" s="314"/>
      <c r="AJ83" s="314"/>
      <c r="AK83" s="381">
        <v>0.15</v>
      </c>
      <c r="AL83" s="121">
        <v>-0.01</v>
      </c>
      <c r="AM83" s="121">
        <v>-0.01</v>
      </c>
      <c r="AN83" s="314">
        <v>-0.01</v>
      </c>
      <c r="AO83" s="314">
        <v>-0.01</v>
      </c>
      <c r="AP83" s="381">
        <v>0.05</v>
      </c>
      <c r="AQ83" s="121">
        <f t="shared" ref="AQ83" si="316">AL83-0.02</f>
        <v>-0.03</v>
      </c>
      <c r="AR83" s="121">
        <f t="shared" ref="AR83" si="317">AM83-0.02</f>
        <v>-0.03</v>
      </c>
      <c r="AS83" s="314">
        <f t="shared" ref="AS83" si="318">AN83-0.02</f>
        <v>-0.03</v>
      </c>
      <c r="AT83" s="314">
        <f t="shared" ref="AT83" si="319">AO83-0.02</f>
        <v>-0.03</v>
      </c>
      <c r="AU83" s="381">
        <v>0.05</v>
      </c>
      <c r="AV83" s="121">
        <f t="shared" ref="AV83" si="320">AQ83-0.02</f>
        <v>-0.05</v>
      </c>
      <c r="AW83" s="121">
        <f t="shared" ref="AW83" si="321">AR83-0.02</f>
        <v>-0.05</v>
      </c>
      <c r="AX83" s="314">
        <f t="shared" ref="AX83" si="322">AS83-0.02</f>
        <v>-0.05</v>
      </c>
      <c r="AY83" s="314">
        <f t="shared" ref="AY83" si="323">AT83-0.02</f>
        <v>-0.05</v>
      </c>
      <c r="AZ83" s="381">
        <v>0.04</v>
      </c>
      <c r="BA83" s="121">
        <v>5.0000000000000001E-3</v>
      </c>
      <c r="BB83" s="121">
        <v>5.0000000000000001E-3</v>
      </c>
      <c r="BC83" s="314">
        <v>5.0000000000000001E-3</v>
      </c>
      <c r="BD83" s="314">
        <v>5.0000000000000001E-3</v>
      </c>
      <c r="BE83" s="381">
        <v>0.02</v>
      </c>
      <c r="BF83" s="121">
        <v>5.0000000000000001E-3</v>
      </c>
      <c r="BG83" s="121">
        <v>5.0000000000000001E-3</v>
      </c>
      <c r="BH83" s="314">
        <v>5.0000000000000001E-3</v>
      </c>
      <c r="BI83" s="314">
        <v>5.0000000000000001E-3</v>
      </c>
      <c r="BJ83" s="381">
        <v>0.01</v>
      </c>
      <c r="BK83" s="121">
        <v>5.0000000000000001E-3</v>
      </c>
      <c r="BL83" s="121">
        <v>5.0000000000000001E-3</v>
      </c>
      <c r="BM83" s="314">
        <v>5.0000000000000001E-3</v>
      </c>
      <c r="BN83" s="314">
        <v>5.0000000000000001E-3</v>
      </c>
      <c r="BO83" s="383">
        <v>0</v>
      </c>
      <c r="BU83"/>
      <c r="BV83"/>
      <c r="BW83"/>
      <c r="BX83"/>
      <c r="BY83"/>
      <c r="BZ83"/>
    </row>
    <row r="84" spans="2:78" s="110" customFormat="1" ht="15" customHeight="1">
      <c r="B84" s="143" t="s">
        <v>134</v>
      </c>
      <c r="C84" s="134"/>
      <c r="D84" s="134"/>
      <c r="E84" s="134"/>
      <c r="F84" s="134"/>
      <c r="G84" s="120"/>
      <c r="H84" s="309">
        <f t="shared" ref="H84:H85" si="324">H81/C81-1</f>
        <v>0.46699568167797612</v>
      </c>
      <c r="I84" s="309">
        <f t="shared" si="306"/>
        <v>0.50172385486783777</v>
      </c>
      <c r="J84" s="309">
        <f t="shared" si="307"/>
        <v>1.5393902807123494E-2</v>
      </c>
      <c r="K84" s="309">
        <f t="shared" si="308"/>
        <v>0.20636132315521616</v>
      </c>
      <c r="L84" s="120">
        <f>(L81/G81)-1</f>
        <v>0.25274020522388052</v>
      </c>
      <c r="M84" s="121">
        <f t="shared" ref="M84:M85" si="325">M81/H81-1</f>
        <v>0.93014087468460915</v>
      </c>
      <c r="N84" s="121">
        <f t="shared" si="309"/>
        <v>0.45501257242811843</v>
      </c>
      <c r="O84" s="121">
        <f t="shared" si="310"/>
        <v>0.68658343242172015</v>
      </c>
      <c r="P84" s="121">
        <f t="shared" si="311"/>
        <v>0.35737889334177009</v>
      </c>
      <c r="Q84" s="120">
        <f>(Q81/L81)-1</f>
        <v>0.58224740540792097</v>
      </c>
      <c r="R84" s="121">
        <f t="shared" si="312"/>
        <v>-2.2958141561589485E-2</v>
      </c>
      <c r="S84" s="121">
        <f t="shared" si="312"/>
        <v>0.55657825531595173</v>
      </c>
      <c r="T84" s="121">
        <f t="shared" si="312"/>
        <v>-9.2150872451677412E-2</v>
      </c>
      <c r="U84" s="121">
        <f t="shared" si="312"/>
        <v>-0.28100072516316166</v>
      </c>
      <c r="V84" s="120">
        <f t="shared" ref="V84:V85" si="326">V81/Q81-1</f>
        <v>-1.1030141700540952E-4</v>
      </c>
      <c r="W84" s="121">
        <f t="shared" si="313"/>
        <v>-0.24252982495261444</v>
      </c>
      <c r="X84" s="121">
        <f t="shared" si="314"/>
        <v>-0.16469963555619915</v>
      </c>
      <c r="Y84" s="121">
        <f t="shared" si="315"/>
        <v>4.8924122310305851E-2</v>
      </c>
      <c r="Z84" s="121">
        <f t="shared" si="315"/>
        <v>0.50479072112960166</v>
      </c>
      <c r="AA84" s="120">
        <f t="shared" ref="AA84:AA85" si="327">AA81/V81-1</f>
        <v>7.3542389835701272E-6</v>
      </c>
      <c r="AB84" s="121"/>
      <c r="AC84" s="121"/>
      <c r="AD84" s="314"/>
      <c r="AE84" s="314"/>
      <c r="AF84" s="381">
        <v>0.2</v>
      </c>
      <c r="AG84" s="121"/>
      <c r="AH84" s="121"/>
      <c r="AI84" s="314"/>
      <c r="AJ84" s="314"/>
      <c r="AK84" s="381">
        <v>0.1</v>
      </c>
      <c r="AL84" s="121">
        <v>-0.01</v>
      </c>
      <c r="AM84" s="121">
        <v>-0.01</v>
      </c>
      <c r="AN84" s="314">
        <v>-0.01</v>
      </c>
      <c r="AO84" s="314">
        <v>-0.01</v>
      </c>
      <c r="AP84" s="381">
        <v>0.1</v>
      </c>
      <c r="AQ84" s="381">
        <f t="shared" ref="AQ84:AY84" si="328">AL84-0.02</f>
        <v>-0.03</v>
      </c>
      <c r="AR84" s="381">
        <f t="shared" si="328"/>
        <v>-0.03</v>
      </c>
      <c r="AS84" s="381">
        <f t="shared" si="328"/>
        <v>-0.03</v>
      </c>
      <c r="AT84" s="381">
        <f t="shared" si="328"/>
        <v>-0.03</v>
      </c>
      <c r="AU84" s="381">
        <v>0.05</v>
      </c>
      <c r="AV84" s="381">
        <f t="shared" si="328"/>
        <v>-0.05</v>
      </c>
      <c r="AW84" s="381">
        <f t="shared" si="328"/>
        <v>-0.05</v>
      </c>
      <c r="AX84" s="381">
        <f t="shared" si="328"/>
        <v>-0.05</v>
      </c>
      <c r="AY84" s="381">
        <f t="shared" si="328"/>
        <v>-0.05</v>
      </c>
      <c r="AZ84" s="381">
        <f>AU84</f>
        <v>0.05</v>
      </c>
      <c r="BA84" s="121">
        <v>5.0000000000000001E-3</v>
      </c>
      <c r="BB84" s="121">
        <v>5.0000000000000001E-3</v>
      </c>
      <c r="BC84" s="314">
        <v>5.0000000000000001E-3</v>
      </c>
      <c r="BD84" s="314">
        <v>5.0000000000000001E-3</v>
      </c>
      <c r="BE84" s="381">
        <v>2.5000000000000001E-2</v>
      </c>
      <c r="BF84" s="121">
        <v>5.0000000000000001E-3</v>
      </c>
      <c r="BG84" s="121">
        <v>5.0000000000000001E-3</v>
      </c>
      <c r="BH84" s="314">
        <v>5.0000000000000001E-3</v>
      </c>
      <c r="BI84" s="314">
        <v>5.0000000000000001E-3</v>
      </c>
      <c r="BJ84" s="381">
        <f>BE84</f>
        <v>2.5000000000000001E-2</v>
      </c>
      <c r="BK84" s="121">
        <v>5.0000000000000001E-3</v>
      </c>
      <c r="BL84" s="121">
        <v>5.0000000000000001E-3</v>
      </c>
      <c r="BM84" s="314">
        <v>5.0000000000000001E-3</v>
      </c>
      <c r="BN84" s="314">
        <v>5.0000000000000001E-3</v>
      </c>
      <c r="BO84" s="383">
        <f>BJ84</f>
        <v>2.5000000000000001E-2</v>
      </c>
      <c r="BU84"/>
      <c r="BV84"/>
      <c r="BW84"/>
      <c r="BX84"/>
      <c r="BY84"/>
      <c r="BZ84"/>
    </row>
    <row r="85" spans="2:78" s="110" customFormat="1" ht="15" customHeight="1">
      <c r="B85" s="146" t="s">
        <v>135</v>
      </c>
      <c r="C85" s="136"/>
      <c r="D85" s="136"/>
      <c r="E85" s="136"/>
      <c r="F85" s="136"/>
      <c r="G85" s="310"/>
      <c r="H85" s="311">
        <f t="shared" si="324"/>
        <v>0.46699568167797612</v>
      </c>
      <c r="I85" s="311">
        <f t="shared" si="306"/>
        <v>0.50172385486783777</v>
      </c>
      <c r="J85" s="311">
        <f t="shared" si="307"/>
        <v>1.5393902807123494E-2</v>
      </c>
      <c r="K85" s="311">
        <f t="shared" si="308"/>
        <v>0.20636132315521616</v>
      </c>
      <c r="L85" s="310">
        <f>(L82/G82)-1</f>
        <v>0.25274020522388052</v>
      </c>
      <c r="M85" s="315">
        <f t="shared" si="325"/>
        <v>0.93014087468460915</v>
      </c>
      <c r="N85" s="315">
        <f t="shared" si="309"/>
        <v>0.45501257242811843</v>
      </c>
      <c r="O85" s="315">
        <f t="shared" si="310"/>
        <v>0.68658343242172015</v>
      </c>
      <c r="P85" s="315">
        <f t="shared" si="311"/>
        <v>0.35737889334177009</v>
      </c>
      <c r="Q85" s="310">
        <f>(Q82/L82)-1</f>
        <v>0.58224740540792097</v>
      </c>
      <c r="R85" s="315">
        <f t="shared" si="312"/>
        <v>-2.2958141561589485E-2</v>
      </c>
      <c r="S85" s="315">
        <f t="shared" si="312"/>
        <v>0.55657825531595173</v>
      </c>
      <c r="T85" s="315">
        <f t="shared" si="312"/>
        <v>-9.2150872451677412E-2</v>
      </c>
      <c r="U85" s="315">
        <f t="shared" si="312"/>
        <v>-0.28100072516316166</v>
      </c>
      <c r="V85" s="310">
        <f t="shared" si="326"/>
        <v>-1.1030141700540952E-4</v>
      </c>
      <c r="W85" s="315">
        <f t="shared" si="313"/>
        <v>-0.24252982495261444</v>
      </c>
      <c r="X85" s="315">
        <f t="shared" si="314"/>
        <v>-0.16469963555619915</v>
      </c>
      <c r="Y85" s="315">
        <f t="shared" si="315"/>
        <v>4.8924122310305851E-2</v>
      </c>
      <c r="Z85" s="315">
        <f t="shared" si="315"/>
        <v>0.50479072112960166</v>
      </c>
      <c r="AA85" s="310">
        <f t="shared" si="327"/>
        <v>7.3542389835701272E-6</v>
      </c>
      <c r="AB85" s="316"/>
      <c r="AC85" s="316"/>
      <c r="AD85" s="137"/>
      <c r="AE85" s="137"/>
      <c r="AF85" s="382">
        <v>0.08</v>
      </c>
      <c r="AG85" s="316"/>
      <c r="AH85" s="316"/>
      <c r="AI85" s="137"/>
      <c r="AJ85" s="137"/>
      <c r="AK85" s="382">
        <v>0.02</v>
      </c>
      <c r="AL85" s="316">
        <v>-0.01</v>
      </c>
      <c r="AM85" s="316">
        <v>-0.01</v>
      </c>
      <c r="AN85" s="137">
        <v>-0.01</v>
      </c>
      <c r="AO85" s="137">
        <v>-0.01</v>
      </c>
      <c r="AP85" s="382">
        <v>-0.1</v>
      </c>
      <c r="AQ85" s="316">
        <f t="shared" ref="AQ85" si="329">AL85-0.02</f>
        <v>-0.03</v>
      </c>
      <c r="AR85" s="316">
        <f t="shared" ref="AR85" si="330">AM85-0.02</f>
        <v>-0.03</v>
      </c>
      <c r="AS85" s="137">
        <f t="shared" ref="AS85" si="331">AN85-0.02</f>
        <v>-0.03</v>
      </c>
      <c r="AT85" s="137">
        <f t="shared" ref="AT85" si="332">AO85-0.02</f>
        <v>-0.03</v>
      </c>
      <c r="AU85" s="382">
        <v>-0.15</v>
      </c>
      <c r="AV85" s="316">
        <f t="shared" ref="AV85" si="333">AQ85-0.02</f>
        <v>-0.05</v>
      </c>
      <c r="AW85" s="316">
        <f t="shared" ref="AW85" si="334">AR85-0.02</f>
        <v>-0.05</v>
      </c>
      <c r="AX85" s="137">
        <f t="shared" ref="AX85" si="335">AS85-0.02</f>
        <v>-0.05</v>
      </c>
      <c r="AY85" s="137">
        <f t="shared" ref="AY85" si="336">AT85-0.02</f>
        <v>-0.05</v>
      </c>
      <c r="AZ85" s="382">
        <v>-0.15</v>
      </c>
      <c r="BA85" s="316">
        <v>5.0000000000000001E-3</v>
      </c>
      <c r="BB85" s="316">
        <v>5.0000000000000001E-3</v>
      </c>
      <c r="BC85" s="137">
        <v>5.0000000000000001E-3</v>
      </c>
      <c r="BD85" s="137">
        <v>5.0000000000000001E-3</v>
      </c>
      <c r="BE85" s="382">
        <v>-0.15</v>
      </c>
      <c r="BF85" s="316">
        <v>5.0000000000000001E-3</v>
      </c>
      <c r="BG85" s="316">
        <v>5.0000000000000001E-3</v>
      </c>
      <c r="BH85" s="137">
        <v>5.0000000000000001E-3</v>
      </c>
      <c r="BI85" s="137">
        <v>5.0000000000000001E-3</v>
      </c>
      <c r="BJ85" s="382">
        <v>-0.15</v>
      </c>
      <c r="BK85" s="316">
        <v>5.0000000000000001E-3</v>
      </c>
      <c r="BL85" s="316">
        <v>5.0000000000000001E-3</v>
      </c>
      <c r="BM85" s="137">
        <v>5.0000000000000001E-3</v>
      </c>
      <c r="BN85" s="137">
        <v>5.0000000000000001E-3</v>
      </c>
      <c r="BO85" s="548">
        <v>-0.15</v>
      </c>
      <c r="BU85"/>
      <c r="BV85"/>
      <c r="BW85"/>
      <c r="BX85"/>
      <c r="BY85"/>
      <c r="BZ85"/>
    </row>
    <row r="86" spans="2:78" s="110" customFormat="1" ht="15" customHeight="1">
      <c r="B86" s="126"/>
      <c r="C86" s="128"/>
      <c r="D86" s="128"/>
      <c r="E86" s="128"/>
      <c r="F86" s="128"/>
      <c r="G86" s="127"/>
      <c r="H86" s="128"/>
      <c r="I86" s="128"/>
      <c r="J86" s="128"/>
      <c r="K86" s="128"/>
      <c r="L86" s="127"/>
      <c r="M86" s="128"/>
      <c r="N86" s="128"/>
      <c r="O86" s="128"/>
      <c r="P86" s="128"/>
      <c r="Q86" s="127"/>
      <c r="R86" s="128"/>
      <c r="S86" s="128"/>
      <c r="T86" s="128"/>
      <c r="U86" s="128"/>
      <c r="V86" s="127"/>
      <c r="W86" s="128"/>
      <c r="X86" s="128"/>
      <c r="Y86" s="128"/>
      <c r="Z86" s="128"/>
      <c r="AA86" s="127"/>
      <c r="AB86" s="128"/>
      <c r="AC86" s="128"/>
      <c r="AD86" s="128"/>
      <c r="AE86" s="128"/>
      <c r="AF86" s="127" t="s">
        <v>337</v>
      </c>
      <c r="AG86" s="128"/>
      <c r="AH86" s="128"/>
      <c r="AI86" s="128"/>
      <c r="AJ86" s="128"/>
      <c r="AK86" s="127"/>
      <c r="AL86" s="128"/>
      <c r="AM86" s="128"/>
      <c r="AN86" s="128"/>
      <c r="AO86" s="128"/>
      <c r="AP86" s="127"/>
      <c r="AQ86" s="128"/>
      <c r="AR86" s="128"/>
      <c r="AS86" s="128"/>
      <c r="AT86" s="128"/>
      <c r="AU86" s="127"/>
      <c r="AV86" s="128"/>
      <c r="AW86" s="128"/>
      <c r="AX86" s="128"/>
      <c r="AY86" s="128"/>
      <c r="AZ86" s="127"/>
      <c r="BA86" s="128"/>
      <c r="BB86" s="128"/>
      <c r="BC86" s="128"/>
      <c r="BD86" s="128"/>
      <c r="BE86" s="127"/>
      <c r="BF86" s="128"/>
      <c r="BG86" s="128"/>
      <c r="BH86" s="128"/>
      <c r="BI86" s="128"/>
      <c r="BJ86" s="127"/>
      <c r="BK86" s="128"/>
      <c r="BL86" s="128"/>
      <c r="BM86" s="128"/>
      <c r="BN86" s="128"/>
      <c r="BO86" s="127"/>
      <c r="BU86"/>
      <c r="BV86"/>
      <c r="BW86"/>
      <c r="BX86"/>
      <c r="BY86"/>
      <c r="BZ86"/>
    </row>
    <row r="87" spans="2:78" ht="14.25" customHeight="1">
      <c r="B87" s="256" t="s">
        <v>12</v>
      </c>
      <c r="C87" s="128"/>
      <c r="D87" s="128"/>
      <c r="E87" s="128"/>
      <c r="F87" s="128"/>
      <c r="H87" s="128"/>
      <c r="I87" s="128"/>
      <c r="J87" s="128"/>
      <c r="K87" s="128"/>
      <c r="M87" s="128"/>
      <c r="N87" s="128"/>
      <c r="O87" s="128"/>
      <c r="P87" s="128"/>
      <c r="R87" s="128"/>
      <c r="S87" s="128"/>
      <c r="T87" s="128"/>
      <c r="U87" s="128"/>
      <c r="W87" s="128"/>
      <c r="X87" s="128"/>
      <c r="Y87" s="128"/>
      <c r="Z87" s="128"/>
      <c r="AB87" s="128"/>
      <c r="AC87" s="128"/>
      <c r="AD87" s="128"/>
      <c r="AE87" s="128"/>
      <c r="AG87" s="128"/>
      <c r="AH87" s="128"/>
      <c r="AI87" s="128"/>
      <c r="AJ87" s="128"/>
      <c r="AL87" s="128"/>
      <c r="AM87" s="128"/>
      <c r="AN87" s="128"/>
      <c r="AO87" s="128"/>
      <c r="AQ87" s="128"/>
      <c r="AR87" s="128"/>
      <c r="AS87" s="128"/>
      <c r="AT87" s="128"/>
      <c r="AV87" s="128"/>
      <c r="AW87" s="128"/>
      <c r="AX87" s="128"/>
      <c r="AY87" s="128"/>
      <c r="BA87" s="128"/>
      <c r="BB87" s="128"/>
      <c r="BC87" s="128"/>
      <c r="BD87" s="128"/>
      <c r="BF87" s="128"/>
      <c r="BG87" s="128"/>
      <c r="BH87" s="128"/>
      <c r="BI87" s="128"/>
      <c r="BK87" s="128"/>
      <c r="BL87" s="128"/>
      <c r="BM87" s="128"/>
      <c r="BN87" s="128"/>
    </row>
    <row r="88" spans="2:78" s="110" customFormat="1" ht="15" customHeight="1">
      <c r="B88" s="140" t="s">
        <v>137</v>
      </c>
      <c r="C88" s="154">
        <f>C89</f>
        <v>4.7879999999999994</v>
      </c>
      <c r="D88" s="154">
        <f t="shared" ref="D88" si="337">D89</f>
        <v>5.3289999999999997</v>
      </c>
      <c r="E88" s="154">
        <f t="shared" ref="E88" si="338">E89</f>
        <v>5.6819999999999995</v>
      </c>
      <c r="F88" s="154">
        <f t="shared" ref="F88" si="339">F89</f>
        <v>8.2049999999999983</v>
      </c>
      <c r="G88" s="312">
        <f>SUM(C88:F88)</f>
        <v>24.003999999999998</v>
      </c>
      <c r="H88" s="133">
        <f>H89</f>
        <v>7.8340000000000014</v>
      </c>
      <c r="I88" s="133">
        <f t="shared" ref="I88" si="340">I89</f>
        <v>8.9710000000000001</v>
      </c>
      <c r="J88" s="133">
        <f t="shared" ref="J88" si="341">J89</f>
        <v>9.9009999999999998</v>
      </c>
      <c r="K88" s="133">
        <f t="shared" ref="K88" si="342">K89</f>
        <v>10.532999999999999</v>
      </c>
      <c r="L88" s="312">
        <f>SUM(H88:K88)</f>
        <v>37.238999999999997</v>
      </c>
      <c r="M88" s="133">
        <f>M89</f>
        <v>10.986999999999998</v>
      </c>
      <c r="N88" s="133">
        <f t="shared" ref="N88:S88" si="343">N89</f>
        <v>9.5589999999999993</v>
      </c>
      <c r="O88" s="133">
        <f t="shared" si="343"/>
        <v>12.038</v>
      </c>
      <c r="P88" s="133">
        <f t="shared" si="343"/>
        <v>20.745000000000001</v>
      </c>
      <c r="Q88" s="312">
        <f>SUM(M88:P88)</f>
        <v>53.329000000000008</v>
      </c>
      <c r="R88" s="133">
        <f t="shared" si="343"/>
        <v>16.604000000000003</v>
      </c>
      <c r="S88" s="133">
        <f t="shared" si="343"/>
        <v>13.210999999999999</v>
      </c>
      <c r="T88" s="133">
        <f>T89</f>
        <v>14.791</v>
      </c>
      <c r="U88" s="133">
        <f>U89</f>
        <v>16.131</v>
      </c>
      <c r="V88" s="312">
        <f>U88+T88+S88+R88</f>
        <v>60.736999999999995</v>
      </c>
      <c r="W88" s="133">
        <f t="shared" ref="W88:Z88" si="344">W89</f>
        <v>22.212</v>
      </c>
      <c r="X88" s="133">
        <f t="shared" si="344"/>
        <v>25.379000000000005</v>
      </c>
      <c r="Y88" s="133">
        <f t="shared" si="344"/>
        <v>23.062999999999999</v>
      </c>
      <c r="Z88" s="133">
        <f t="shared" si="344"/>
        <v>27.273</v>
      </c>
      <c r="AA88" s="312">
        <f>Z88+Y88+X88+W88</f>
        <v>97.927000000000007</v>
      </c>
      <c r="AB88" s="133"/>
      <c r="AC88" s="133"/>
      <c r="AD88" s="133"/>
      <c r="AE88" s="133"/>
      <c r="AF88" s="312">
        <f>AA88*(1+AF91)</f>
        <v>129.753275</v>
      </c>
      <c r="AG88" s="133"/>
      <c r="AH88" s="133"/>
      <c r="AI88" s="133"/>
      <c r="AJ88" s="133"/>
      <c r="AK88" s="312">
        <f>AF88*(1+AK91)</f>
        <v>142.72860250000002</v>
      </c>
      <c r="AL88" s="133"/>
      <c r="AM88" s="133"/>
      <c r="AN88" s="133"/>
      <c r="AO88" s="133"/>
      <c r="AP88" s="312">
        <f>AK88*(1+AP91)</f>
        <v>155.57417672500003</v>
      </c>
      <c r="AQ88" s="133"/>
      <c r="AR88" s="133"/>
      <c r="AS88" s="133"/>
      <c r="AT88" s="133"/>
      <c r="AU88" s="312">
        <f>AP88*(1+AU91)</f>
        <v>163.35288556125005</v>
      </c>
      <c r="AV88" s="133"/>
      <c r="AW88" s="133"/>
      <c r="AX88" s="133"/>
      <c r="AY88" s="133"/>
      <c r="AZ88" s="312">
        <f>AU88*(1+AZ91)</f>
        <v>168.25347212808757</v>
      </c>
      <c r="BA88" s="133"/>
      <c r="BB88" s="133"/>
      <c r="BC88" s="133"/>
      <c r="BD88" s="133"/>
      <c r="BE88" s="312">
        <f>AZ88*(1+BE91)</f>
        <v>169.93600684936845</v>
      </c>
      <c r="BF88" s="133"/>
      <c r="BG88" s="133"/>
      <c r="BH88" s="133"/>
      <c r="BI88" s="133"/>
      <c r="BJ88" s="312">
        <f>BE88*(1+BJ91)</f>
        <v>170.78568688361528</v>
      </c>
      <c r="BK88" s="133"/>
      <c r="BL88" s="133"/>
      <c r="BM88" s="133"/>
      <c r="BN88" s="133"/>
      <c r="BO88" s="322">
        <f>BJ88*(1+BO91)</f>
        <v>171.63961531803335</v>
      </c>
      <c r="BU88"/>
      <c r="BV88"/>
      <c r="BW88"/>
      <c r="BX88"/>
      <c r="BY88"/>
      <c r="BZ88"/>
    </row>
    <row r="89" spans="2:78" ht="15" customHeight="1" collapsed="1">
      <c r="B89" s="143" t="s">
        <v>138</v>
      </c>
      <c r="C89" s="156">
        <f>C26</f>
        <v>4.7879999999999994</v>
      </c>
      <c r="D89" s="156">
        <f>D26</f>
        <v>5.3289999999999997</v>
      </c>
      <c r="E89" s="156">
        <f>E26</f>
        <v>5.6819999999999995</v>
      </c>
      <c r="F89" s="156">
        <f>F26</f>
        <v>8.2049999999999983</v>
      </c>
      <c r="G89" s="313">
        <f t="shared" ref="G89:G90" si="345">SUM(C89:F89)</f>
        <v>24.003999999999998</v>
      </c>
      <c r="H89" s="106">
        <f>H26</f>
        <v>7.8340000000000014</v>
      </c>
      <c r="I89" s="106">
        <f>I26</f>
        <v>8.9710000000000001</v>
      </c>
      <c r="J89" s="106">
        <f>J26</f>
        <v>9.9009999999999998</v>
      </c>
      <c r="K89" s="106">
        <f>K26</f>
        <v>10.532999999999999</v>
      </c>
      <c r="L89" s="313">
        <f t="shared" ref="L89:L90" si="346">SUM(H89:K89)</f>
        <v>37.238999999999997</v>
      </c>
      <c r="M89" s="106">
        <f>M26</f>
        <v>10.986999999999998</v>
      </c>
      <c r="N89" s="106">
        <f>N26</f>
        <v>9.5589999999999993</v>
      </c>
      <c r="O89" s="106">
        <f>O26</f>
        <v>12.038</v>
      </c>
      <c r="P89" s="106">
        <f>P26</f>
        <v>20.745000000000001</v>
      </c>
      <c r="Q89" s="313">
        <f t="shared" ref="Q89:Q90" si="347">SUM(M89:P89)</f>
        <v>53.329000000000008</v>
      </c>
      <c r="R89" s="106">
        <f>R26</f>
        <v>16.604000000000003</v>
      </c>
      <c r="S89" s="106">
        <f>S26</f>
        <v>13.210999999999999</v>
      </c>
      <c r="T89" s="106">
        <f>T24</f>
        <v>14.791</v>
      </c>
      <c r="U89" s="106">
        <f>U24</f>
        <v>16.131</v>
      </c>
      <c r="V89" s="313">
        <f>U89+T89+S89+R89</f>
        <v>60.736999999999995</v>
      </c>
      <c r="W89" s="106">
        <f t="shared" ref="W89:Y89" si="348">W24</f>
        <v>22.212</v>
      </c>
      <c r="X89" s="106">
        <f t="shared" si="348"/>
        <v>25.379000000000005</v>
      </c>
      <c r="Y89" s="106">
        <f t="shared" si="348"/>
        <v>23.062999999999999</v>
      </c>
      <c r="Z89" s="106">
        <f t="shared" ref="Z89" si="349">Z24</f>
        <v>27.273</v>
      </c>
      <c r="AA89" s="313">
        <f>Z89+Y89+X89+W89</f>
        <v>97.927000000000007</v>
      </c>
      <c r="AB89" s="106"/>
      <c r="AC89" s="106"/>
      <c r="AD89" s="106"/>
      <c r="AE89" s="106"/>
      <c r="AF89" s="313">
        <f>AA89*(1+AF92)</f>
        <v>117.5124</v>
      </c>
      <c r="AG89" s="106"/>
      <c r="AH89" s="106"/>
      <c r="AI89" s="106"/>
      <c r="AJ89" s="106"/>
      <c r="AK89" s="313">
        <f>AF89*(1+AK92)</f>
        <v>135.13925999999998</v>
      </c>
      <c r="AL89" s="106"/>
      <c r="AM89" s="106"/>
      <c r="AN89" s="106"/>
      <c r="AO89" s="106"/>
      <c r="AP89" s="313">
        <f>AK89*(1+AP92)</f>
        <v>141.89622299999999</v>
      </c>
      <c r="AQ89" s="106"/>
      <c r="AR89" s="106"/>
      <c r="AS89" s="106"/>
      <c r="AT89" s="106"/>
      <c r="AU89" s="313">
        <f>AP89*(1+AU92)</f>
        <v>145.44362857499999</v>
      </c>
      <c r="AV89" s="106"/>
      <c r="AW89" s="106"/>
      <c r="AX89" s="106"/>
      <c r="AY89" s="106"/>
      <c r="AZ89" s="313">
        <f>AU89*(1+AZ92)</f>
        <v>147.62528300362499</v>
      </c>
      <c r="BA89" s="106"/>
      <c r="BB89" s="106"/>
      <c r="BC89" s="106"/>
      <c r="BD89" s="106"/>
      <c r="BE89" s="313">
        <f>AZ89*(1+BE92)</f>
        <v>149.83966224867936</v>
      </c>
      <c r="BF89" s="106"/>
      <c r="BG89" s="106"/>
      <c r="BH89" s="106"/>
      <c r="BI89" s="106"/>
      <c r="BJ89" s="313">
        <f>BE89*(1+BJ92)</f>
        <v>152.08725718240953</v>
      </c>
      <c r="BK89" s="106"/>
      <c r="BL89" s="106"/>
      <c r="BM89" s="106"/>
      <c r="BN89" s="106"/>
      <c r="BO89" s="336">
        <f>BJ89*(1+BO92)</f>
        <v>154.36856604014565</v>
      </c>
    </row>
    <row r="90" spans="2:78" s="110" customFormat="1" ht="15" customHeight="1">
      <c r="B90" s="143" t="s">
        <v>139</v>
      </c>
      <c r="C90" s="156">
        <f>C89</f>
        <v>4.7879999999999994</v>
      </c>
      <c r="D90" s="156">
        <f t="shared" ref="D90" si="350">D89</f>
        <v>5.3289999999999997</v>
      </c>
      <c r="E90" s="156">
        <f t="shared" ref="E90" si="351">E89</f>
        <v>5.6819999999999995</v>
      </c>
      <c r="F90" s="156">
        <f t="shared" ref="F90" si="352">F89</f>
        <v>8.2049999999999983</v>
      </c>
      <c r="G90" s="313">
        <f t="shared" si="345"/>
        <v>24.003999999999998</v>
      </c>
      <c r="H90" s="106">
        <f>H89</f>
        <v>7.8340000000000014</v>
      </c>
      <c r="I90" s="106">
        <f t="shared" ref="I90" si="353">I89</f>
        <v>8.9710000000000001</v>
      </c>
      <c r="J90" s="106">
        <f t="shared" ref="J90" si="354">J89</f>
        <v>9.9009999999999998</v>
      </c>
      <c r="K90" s="106">
        <f t="shared" ref="K90" si="355">K89</f>
        <v>10.532999999999999</v>
      </c>
      <c r="L90" s="313">
        <f t="shared" si="346"/>
        <v>37.238999999999997</v>
      </c>
      <c r="M90" s="106">
        <f>M89</f>
        <v>10.986999999999998</v>
      </c>
      <c r="N90" s="106">
        <f t="shared" ref="N90:P90" si="356">N89</f>
        <v>9.5589999999999993</v>
      </c>
      <c r="O90" s="106">
        <f t="shared" si="356"/>
        <v>12.038</v>
      </c>
      <c r="P90" s="106">
        <f t="shared" si="356"/>
        <v>20.745000000000001</v>
      </c>
      <c r="Q90" s="313">
        <f t="shared" si="347"/>
        <v>53.329000000000008</v>
      </c>
      <c r="R90" s="106">
        <f t="shared" ref="R90:S90" si="357">R89</f>
        <v>16.604000000000003</v>
      </c>
      <c r="S90" s="106">
        <f t="shared" si="357"/>
        <v>13.210999999999999</v>
      </c>
      <c r="T90" s="106">
        <f>T89</f>
        <v>14.791</v>
      </c>
      <c r="U90" s="106">
        <f>U89</f>
        <v>16.131</v>
      </c>
      <c r="V90" s="313">
        <f>U90+T90+S90+R90</f>
        <v>60.736999999999995</v>
      </c>
      <c r="W90" s="106">
        <f t="shared" ref="W90:Y90" si="358">W89</f>
        <v>22.212</v>
      </c>
      <c r="X90" s="106">
        <f t="shared" si="358"/>
        <v>25.379000000000005</v>
      </c>
      <c r="Y90" s="106">
        <f t="shared" si="358"/>
        <v>23.062999999999999</v>
      </c>
      <c r="Z90" s="106">
        <f t="shared" ref="Z90" si="359">Z89</f>
        <v>27.273</v>
      </c>
      <c r="AA90" s="313">
        <f>Z90+Y90+X90+W90</f>
        <v>97.927000000000007</v>
      </c>
      <c r="AB90" s="106"/>
      <c r="AC90" s="106"/>
      <c r="AD90" s="106"/>
      <c r="AE90" s="106"/>
      <c r="AF90" s="313">
        <f>AA90*(1+AF93)</f>
        <v>103.80262000000002</v>
      </c>
      <c r="AG90" s="106"/>
      <c r="AH90" s="106"/>
      <c r="AI90" s="106"/>
      <c r="AJ90" s="106"/>
      <c r="AK90" s="313">
        <f>AF90*(1+AK93)</f>
        <v>105.3596593</v>
      </c>
      <c r="AL90" s="106"/>
      <c r="AM90" s="106"/>
      <c r="AN90" s="106"/>
      <c r="AO90" s="106"/>
      <c r="AP90" s="313">
        <f>AK90*(1+AP93)</f>
        <v>94.823693370000001</v>
      </c>
      <c r="AQ90" s="106"/>
      <c r="AR90" s="106"/>
      <c r="AS90" s="106"/>
      <c r="AT90" s="106"/>
      <c r="AU90" s="313">
        <f>AP90*(1+AU93)</f>
        <v>85.341324033000006</v>
      </c>
      <c r="AV90" s="106"/>
      <c r="AW90" s="106"/>
      <c r="AX90" s="106"/>
      <c r="AY90" s="106"/>
      <c r="AZ90" s="313">
        <f>AU90*(1+AZ93)</f>
        <v>76.807191629700014</v>
      </c>
      <c r="BA90" s="106"/>
      <c r="BB90" s="106"/>
      <c r="BC90" s="106"/>
      <c r="BD90" s="106"/>
      <c r="BE90" s="313">
        <f>AZ90*(1+BE93)</f>
        <v>69.126472466730021</v>
      </c>
      <c r="BF90" s="106"/>
      <c r="BG90" s="106"/>
      <c r="BH90" s="106"/>
      <c r="BI90" s="106"/>
      <c r="BJ90" s="313">
        <f>BE90*(1+BJ93)</f>
        <v>62.213825220057018</v>
      </c>
      <c r="BK90" s="106"/>
      <c r="BL90" s="106"/>
      <c r="BM90" s="106"/>
      <c r="BN90" s="106"/>
      <c r="BO90" s="336">
        <f>BJ90*(1+BO93)</f>
        <v>55.99244269805132</v>
      </c>
      <c r="BU90"/>
      <c r="BV90"/>
      <c r="BW90"/>
      <c r="BX90"/>
      <c r="BY90"/>
      <c r="BZ90"/>
    </row>
    <row r="91" spans="2:78" s="110" customFormat="1" ht="15" customHeight="1">
      <c r="B91" s="143" t="s">
        <v>133</v>
      </c>
      <c r="C91" s="134"/>
      <c r="D91" s="134"/>
      <c r="E91" s="134"/>
      <c r="F91" s="134"/>
      <c r="G91" s="120"/>
      <c r="H91" s="309">
        <f>H88/C88-1</f>
        <v>0.63617376775271572</v>
      </c>
      <c r="I91" s="309">
        <f t="shared" ref="I91:I93" si="360">I88/D88-1</f>
        <v>0.68343028710827558</v>
      </c>
      <c r="J91" s="309">
        <f t="shared" ref="J91:J93" si="361">J88/E88-1</f>
        <v>0.74252023935234091</v>
      </c>
      <c r="K91" s="309">
        <f t="shared" ref="K91:K93" si="362">K88/F88-1</f>
        <v>0.28372943327239519</v>
      </c>
      <c r="L91" s="120">
        <f>(L88/G88)-1</f>
        <v>0.55136643892684556</v>
      </c>
      <c r="M91" s="121">
        <f>M88/H88-1</f>
        <v>0.40247638498851113</v>
      </c>
      <c r="N91" s="121">
        <f t="shared" ref="N91:T93" si="363">N88/I88-1</f>
        <v>6.5544532382119991E-2</v>
      </c>
      <c r="O91" s="121">
        <f t="shared" ref="O91:O93" si="364">O88/J88-1</f>
        <v>0.21583678416321583</v>
      </c>
      <c r="P91" s="121">
        <f t="shared" ref="P91:P93" si="365">P88/K88-1</f>
        <v>0.96952435203645715</v>
      </c>
      <c r="Q91" s="120">
        <f>(Q88/L88)-1</f>
        <v>0.43207390101775056</v>
      </c>
      <c r="R91" s="121">
        <f t="shared" si="363"/>
        <v>0.5112405570219356</v>
      </c>
      <c r="S91" s="121">
        <f t="shared" si="363"/>
        <v>0.38204833141541994</v>
      </c>
      <c r="T91" s="121">
        <f t="shared" si="363"/>
        <v>0.22869247383286262</v>
      </c>
      <c r="U91" s="121">
        <f>U88/P88-1</f>
        <v>-0.22241503976861898</v>
      </c>
      <c r="V91" s="120">
        <f>V88/Q88-1</f>
        <v>0.13891128654203122</v>
      </c>
      <c r="W91" s="121">
        <f t="shared" ref="W91:Z91" si="366">W88/R88-1</f>
        <v>0.33774993977354839</v>
      </c>
      <c r="X91" s="121">
        <f t="shared" si="366"/>
        <v>0.92105063961850031</v>
      </c>
      <c r="Y91" s="121">
        <f t="shared" si="366"/>
        <v>0.55925900885673707</v>
      </c>
      <c r="Z91" s="121">
        <f t="shared" si="366"/>
        <v>0.69071973219267235</v>
      </c>
      <c r="AA91" s="120">
        <f>AA88/V88-1</f>
        <v>0.6123120997085798</v>
      </c>
      <c r="AB91" s="121"/>
      <c r="AC91" s="121"/>
      <c r="AD91" s="314"/>
      <c r="AE91" s="314"/>
      <c r="AF91" s="381">
        <v>0.32500000000000001</v>
      </c>
      <c r="AG91" s="121"/>
      <c r="AH91" s="121"/>
      <c r="AI91" s="314"/>
      <c r="AJ91" s="314"/>
      <c r="AK91" s="381">
        <v>0.1</v>
      </c>
      <c r="AL91" s="121"/>
      <c r="AM91" s="121"/>
      <c r="AN91" s="314"/>
      <c r="AO91" s="314"/>
      <c r="AP91" s="381">
        <v>0.09</v>
      </c>
      <c r="AQ91" s="121"/>
      <c r="AR91" s="121"/>
      <c r="AS91" s="314"/>
      <c r="AT91" s="314"/>
      <c r="AU91" s="381">
        <v>0.05</v>
      </c>
      <c r="AV91" s="121">
        <v>5.0000000000000001E-3</v>
      </c>
      <c r="AW91" s="121">
        <v>5.0000000000000001E-3</v>
      </c>
      <c r="AX91" s="314">
        <v>5.0000000000000001E-3</v>
      </c>
      <c r="AY91" s="314">
        <v>5.0000000000000001E-3</v>
      </c>
      <c r="AZ91" s="381">
        <v>0.03</v>
      </c>
      <c r="BA91" s="121">
        <v>5.0000000000000001E-3</v>
      </c>
      <c r="BB91" s="121">
        <v>5.0000000000000001E-3</v>
      </c>
      <c r="BC91" s="314">
        <v>5.0000000000000001E-3</v>
      </c>
      <c r="BD91" s="314">
        <v>5.0000000000000001E-3</v>
      </c>
      <c r="BE91" s="381">
        <v>0.01</v>
      </c>
      <c r="BF91" s="121">
        <v>5.0000000000000001E-3</v>
      </c>
      <c r="BG91" s="121">
        <v>5.0000000000000001E-3</v>
      </c>
      <c r="BH91" s="314">
        <v>5.0000000000000001E-3</v>
      </c>
      <c r="BI91" s="314">
        <v>5.0000000000000001E-3</v>
      </c>
      <c r="BJ91" s="381">
        <v>5.0000000000000001E-3</v>
      </c>
      <c r="BK91" s="121">
        <v>5.0000000000000001E-3</v>
      </c>
      <c r="BL91" s="121">
        <v>5.0000000000000001E-3</v>
      </c>
      <c r="BM91" s="314">
        <v>5.0000000000000001E-3</v>
      </c>
      <c r="BN91" s="314">
        <v>5.0000000000000001E-3</v>
      </c>
      <c r="BO91" s="383">
        <v>5.0000000000000001E-3</v>
      </c>
      <c r="BU91"/>
      <c r="BV91"/>
      <c r="BW91"/>
      <c r="BX91"/>
      <c r="BY91"/>
      <c r="BZ91"/>
    </row>
    <row r="92" spans="2:78" s="110" customFormat="1" ht="15" customHeight="1">
      <c r="B92" s="143" t="s">
        <v>134</v>
      </c>
      <c r="C92" s="134"/>
      <c r="D92" s="134"/>
      <c r="E92" s="134"/>
      <c r="F92" s="134"/>
      <c r="G92" s="120"/>
      <c r="H92" s="309">
        <f t="shared" ref="H92:H93" si="367">H89/C89-1</f>
        <v>0.63617376775271572</v>
      </c>
      <c r="I92" s="309">
        <f t="shared" si="360"/>
        <v>0.68343028710827558</v>
      </c>
      <c r="J92" s="309">
        <f t="shared" si="361"/>
        <v>0.74252023935234091</v>
      </c>
      <c r="K92" s="309">
        <f t="shared" si="362"/>
        <v>0.28372943327239519</v>
      </c>
      <c r="L92" s="120">
        <f>(L89/G89)-1</f>
        <v>0.55136643892684556</v>
      </c>
      <c r="M92" s="121">
        <f t="shared" ref="M92:M93" si="368">M89/H89-1</f>
        <v>0.40247638498851113</v>
      </c>
      <c r="N92" s="121">
        <f t="shared" si="363"/>
        <v>6.5544532382119991E-2</v>
      </c>
      <c r="O92" s="121">
        <f t="shared" si="364"/>
        <v>0.21583678416321583</v>
      </c>
      <c r="P92" s="121">
        <f t="shared" si="365"/>
        <v>0.96952435203645715</v>
      </c>
      <c r="Q92" s="120">
        <f>(Q89/L89)-1</f>
        <v>0.43207390101775056</v>
      </c>
      <c r="R92" s="121">
        <f t="shared" si="363"/>
        <v>0.5112405570219356</v>
      </c>
      <c r="S92" s="121">
        <f t="shared" si="363"/>
        <v>0.38204833141541994</v>
      </c>
      <c r="T92" s="121">
        <f t="shared" si="363"/>
        <v>0.22869247383286262</v>
      </c>
      <c r="U92" s="121">
        <f>U89/P89-1</f>
        <v>-0.22241503976861898</v>
      </c>
      <c r="V92" s="120">
        <f t="shared" ref="V92:V93" si="369">V89/Q89-1</f>
        <v>0.13891128654203122</v>
      </c>
      <c r="W92" s="121">
        <f t="shared" ref="W92:Z92" si="370">W89/R89-1</f>
        <v>0.33774993977354839</v>
      </c>
      <c r="X92" s="121">
        <f t="shared" si="370"/>
        <v>0.92105063961850031</v>
      </c>
      <c r="Y92" s="121">
        <f t="shared" si="370"/>
        <v>0.55925900885673707</v>
      </c>
      <c r="Z92" s="121">
        <f t="shared" si="370"/>
        <v>0.69071973219267235</v>
      </c>
      <c r="AA92" s="120">
        <f t="shared" ref="AA92:AA93" si="371">AA89/V89-1</f>
        <v>0.6123120997085798</v>
      </c>
      <c r="AB92" s="121"/>
      <c r="AC92" s="121"/>
      <c r="AD92" s="314"/>
      <c r="AE92" s="314"/>
      <c r="AF92" s="381">
        <v>0.2</v>
      </c>
      <c r="AG92" s="121"/>
      <c r="AH92" s="121"/>
      <c r="AI92" s="314"/>
      <c r="AJ92" s="314"/>
      <c r="AK92" s="381">
        <v>0.15</v>
      </c>
      <c r="AL92" s="121"/>
      <c r="AM92" s="121"/>
      <c r="AN92" s="314"/>
      <c r="AO92" s="314"/>
      <c r="AP92" s="381">
        <v>0.05</v>
      </c>
      <c r="AQ92" s="121"/>
      <c r="AR92" s="121"/>
      <c r="AS92" s="314"/>
      <c r="AT92" s="314"/>
      <c r="AU92" s="381">
        <v>2.5000000000000001E-2</v>
      </c>
      <c r="AV92" s="121">
        <v>5.0000000000000001E-3</v>
      </c>
      <c r="AW92" s="121">
        <v>5.0000000000000001E-3</v>
      </c>
      <c r="AX92" s="314">
        <v>5.0000000000000001E-3</v>
      </c>
      <c r="AY92" s="314">
        <v>5.0000000000000001E-3</v>
      </c>
      <c r="AZ92" s="381">
        <v>1.4999999999999999E-2</v>
      </c>
      <c r="BA92" s="121">
        <v>5.0000000000000001E-3</v>
      </c>
      <c r="BB92" s="121">
        <v>5.0000000000000001E-3</v>
      </c>
      <c r="BC92" s="314">
        <v>5.0000000000000001E-3</v>
      </c>
      <c r="BD92" s="314">
        <v>5.0000000000000001E-3</v>
      </c>
      <c r="BE92" s="381">
        <v>1.4999999999999999E-2</v>
      </c>
      <c r="BF92" s="121">
        <v>5.0000000000000001E-3</v>
      </c>
      <c r="BG92" s="121">
        <v>5.0000000000000001E-3</v>
      </c>
      <c r="BH92" s="314">
        <v>5.0000000000000001E-3</v>
      </c>
      <c r="BI92" s="314">
        <v>5.0000000000000001E-3</v>
      </c>
      <c r="BJ92" s="381">
        <v>1.4999999999999999E-2</v>
      </c>
      <c r="BK92" s="121">
        <v>5.0000000000000001E-3</v>
      </c>
      <c r="BL92" s="121">
        <v>5.0000000000000001E-3</v>
      </c>
      <c r="BM92" s="314">
        <v>5.0000000000000001E-3</v>
      </c>
      <c r="BN92" s="314">
        <v>5.0000000000000001E-3</v>
      </c>
      <c r="BO92" s="383">
        <v>1.4999999999999999E-2</v>
      </c>
      <c r="BU92"/>
      <c r="BV92"/>
      <c r="BW92"/>
      <c r="BX92"/>
      <c r="BY92"/>
      <c r="BZ92"/>
    </row>
    <row r="93" spans="2:78" s="110" customFormat="1" ht="15" customHeight="1">
      <c r="B93" s="146" t="s">
        <v>135</v>
      </c>
      <c r="C93" s="136"/>
      <c r="D93" s="136"/>
      <c r="E93" s="136"/>
      <c r="F93" s="136"/>
      <c r="G93" s="310"/>
      <c r="H93" s="311">
        <f t="shared" si="367"/>
        <v>0.63617376775271572</v>
      </c>
      <c r="I93" s="311">
        <f t="shared" si="360"/>
        <v>0.68343028710827558</v>
      </c>
      <c r="J93" s="311">
        <f t="shared" si="361"/>
        <v>0.74252023935234091</v>
      </c>
      <c r="K93" s="311">
        <f t="shared" si="362"/>
        <v>0.28372943327239519</v>
      </c>
      <c r="L93" s="310">
        <f>(L90/G90)-1</f>
        <v>0.55136643892684556</v>
      </c>
      <c r="M93" s="315">
        <f t="shared" si="368"/>
        <v>0.40247638498851113</v>
      </c>
      <c r="N93" s="315">
        <f t="shared" si="363"/>
        <v>6.5544532382119991E-2</v>
      </c>
      <c r="O93" s="315">
        <f t="shared" si="364"/>
        <v>0.21583678416321583</v>
      </c>
      <c r="P93" s="315">
        <f t="shared" si="365"/>
        <v>0.96952435203645715</v>
      </c>
      <c r="Q93" s="310">
        <f>(Q90/L90)-1</f>
        <v>0.43207390101775056</v>
      </c>
      <c r="R93" s="315">
        <f t="shared" si="363"/>
        <v>0.5112405570219356</v>
      </c>
      <c r="S93" s="315">
        <f t="shared" si="363"/>
        <v>0.38204833141541994</v>
      </c>
      <c r="T93" s="315">
        <f t="shared" si="363"/>
        <v>0.22869247383286262</v>
      </c>
      <c r="U93" s="315">
        <f>U90/P90-1</f>
        <v>-0.22241503976861898</v>
      </c>
      <c r="V93" s="310">
        <f t="shared" si="369"/>
        <v>0.13891128654203122</v>
      </c>
      <c r="W93" s="315">
        <f t="shared" ref="W93:Z93" si="372">W90/R90-1</f>
        <v>0.33774993977354839</v>
      </c>
      <c r="X93" s="315">
        <f t="shared" si="372"/>
        <v>0.92105063961850031</v>
      </c>
      <c r="Y93" s="315">
        <f t="shared" si="372"/>
        <v>0.55925900885673707</v>
      </c>
      <c r="Z93" s="315">
        <f t="shared" si="372"/>
        <v>0.69071973219267235</v>
      </c>
      <c r="AA93" s="310">
        <f t="shared" si="371"/>
        <v>0.6123120997085798</v>
      </c>
      <c r="AB93" s="316"/>
      <c r="AC93" s="316"/>
      <c r="AD93" s="137"/>
      <c r="AE93" s="137"/>
      <c r="AF93" s="382">
        <v>0.06</v>
      </c>
      <c r="AG93" s="316"/>
      <c r="AH93" s="316"/>
      <c r="AI93" s="137"/>
      <c r="AJ93" s="137"/>
      <c r="AK93" s="382">
        <v>1.4999999999999999E-2</v>
      </c>
      <c r="AL93" s="316"/>
      <c r="AM93" s="316"/>
      <c r="AN93" s="137"/>
      <c r="AO93" s="137"/>
      <c r="AP93" s="382">
        <v>-0.1</v>
      </c>
      <c r="AQ93" s="316">
        <v>-0.1</v>
      </c>
      <c r="AR93" s="316">
        <v>-0.1</v>
      </c>
      <c r="AS93" s="137">
        <v>-0.1</v>
      </c>
      <c r="AT93" s="137">
        <v>-0.1</v>
      </c>
      <c r="AU93" s="382">
        <v>-0.1</v>
      </c>
      <c r="AV93" s="316">
        <v>-0.1</v>
      </c>
      <c r="AW93" s="316">
        <v>-0.1</v>
      </c>
      <c r="AX93" s="137">
        <v>-0.1</v>
      </c>
      <c r="AY93" s="137">
        <v>-0.1</v>
      </c>
      <c r="AZ93" s="382">
        <v>-0.1</v>
      </c>
      <c r="BA93" s="316">
        <v>-0.1</v>
      </c>
      <c r="BB93" s="316">
        <v>-0.1</v>
      </c>
      <c r="BC93" s="137">
        <v>-0.1</v>
      </c>
      <c r="BD93" s="137">
        <v>-0.1</v>
      </c>
      <c r="BE93" s="382">
        <v>-0.1</v>
      </c>
      <c r="BF93" s="316">
        <v>-0.1</v>
      </c>
      <c r="BG93" s="316">
        <v>-0.1</v>
      </c>
      <c r="BH93" s="137">
        <v>-0.1</v>
      </c>
      <c r="BI93" s="137">
        <v>-0.1</v>
      </c>
      <c r="BJ93" s="382">
        <v>-0.1</v>
      </c>
      <c r="BK93" s="316">
        <v>-0.1</v>
      </c>
      <c r="BL93" s="316">
        <v>-0.1</v>
      </c>
      <c r="BM93" s="137">
        <v>-0.1</v>
      </c>
      <c r="BN93" s="137">
        <v>-0.1</v>
      </c>
      <c r="BO93" s="384">
        <v>-0.1</v>
      </c>
      <c r="BU93"/>
      <c r="BV93"/>
      <c r="BW93"/>
      <c r="BX93"/>
      <c r="BY93"/>
      <c r="BZ93"/>
    </row>
    <row r="94" spans="2:78" ht="14.25" customHeight="1">
      <c r="C94" s="128"/>
      <c r="D94" s="128"/>
      <c r="E94" s="128"/>
      <c r="F94" s="128"/>
      <c r="H94" s="128"/>
      <c r="I94" s="128"/>
      <c r="J94" s="128"/>
      <c r="K94" s="128"/>
      <c r="M94" s="128"/>
      <c r="N94" s="128"/>
      <c r="O94" s="128"/>
      <c r="P94" s="128"/>
      <c r="R94" s="128"/>
      <c r="S94" s="128"/>
      <c r="T94" s="128"/>
      <c r="U94" s="128"/>
      <c r="W94" s="128"/>
      <c r="X94" s="128"/>
      <c r="Y94" s="128"/>
      <c r="Z94" s="128"/>
      <c r="AB94" s="128"/>
      <c r="AC94" s="128"/>
      <c r="AD94" s="128"/>
      <c r="AE94" s="128"/>
      <c r="AG94" s="128"/>
      <c r="AH94" s="128"/>
      <c r="AI94" s="128"/>
      <c r="AJ94" s="128"/>
      <c r="AL94" s="128"/>
      <c r="AM94" s="128"/>
      <c r="AN94" s="128"/>
      <c r="AO94" s="128"/>
      <c r="AQ94" s="128"/>
      <c r="AR94" s="128"/>
      <c r="AS94" s="128"/>
      <c r="AT94" s="128"/>
      <c r="AV94" s="128"/>
      <c r="AW94" s="128"/>
      <c r="AX94" s="128"/>
      <c r="AY94" s="128"/>
      <c r="BA94" s="128"/>
      <c r="BB94" s="128"/>
      <c r="BC94" s="128"/>
      <c r="BD94" s="128"/>
      <c r="BF94" s="128"/>
      <c r="BG94" s="128"/>
      <c r="BH94" s="128"/>
      <c r="BI94" s="128"/>
      <c r="BK94" s="128"/>
      <c r="BL94" s="128"/>
      <c r="BM94" s="128"/>
      <c r="BN94" s="128"/>
    </row>
    <row r="95" spans="2:78" ht="14.25" customHeight="1">
      <c r="B95" s="175" t="s">
        <v>24</v>
      </c>
      <c r="C95" s="128"/>
      <c r="D95" s="128"/>
      <c r="E95" s="128"/>
      <c r="F95" s="128"/>
      <c r="H95" s="128"/>
      <c r="I95" s="128"/>
      <c r="J95" s="128"/>
      <c r="K95" s="128"/>
      <c r="M95" s="128"/>
      <c r="N95" s="128"/>
      <c r="O95" s="128"/>
      <c r="P95" s="128"/>
      <c r="R95" s="128"/>
      <c r="S95" s="128"/>
      <c r="T95" s="128"/>
      <c r="U95" s="128"/>
      <c r="W95" s="128"/>
      <c r="X95" s="128"/>
      <c r="Y95" s="128"/>
      <c r="Z95" s="128"/>
      <c r="AB95" s="128"/>
      <c r="AC95" s="128"/>
      <c r="AD95" s="128"/>
      <c r="AE95" s="128"/>
      <c r="AG95" s="128"/>
      <c r="AH95" s="128"/>
      <c r="AI95" s="128"/>
      <c r="AJ95" s="128"/>
      <c r="AL95" s="128"/>
      <c r="AM95" s="128"/>
      <c r="AN95" s="128"/>
      <c r="AO95" s="128"/>
      <c r="AQ95" s="128"/>
      <c r="AR95" s="128"/>
      <c r="AS95" s="128"/>
      <c r="AT95" s="128"/>
      <c r="AV95" s="128"/>
      <c r="AW95" s="128"/>
      <c r="AX95" s="128"/>
      <c r="AY95" s="128"/>
      <c r="BA95" s="128"/>
      <c r="BB95" s="128"/>
      <c r="BC95" s="128"/>
      <c r="BD95" s="128"/>
      <c r="BF95" s="128"/>
      <c r="BG95" s="128"/>
      <c r="BH95" s="128"/>
      <c r="BI95" s="128"/>
      <c r="BK95" s="128"/>
      <c r="BL95" s="128"/>
      <c r="BM95" s="128"/>
      <c r="BN95" s="128"/>
    </row>
    <row r="96" spans="2:78" ht="14.25" customHeight="1">
      <c r="B96" s="140" t="s">
        <v>140</v>
      </c>
      <c r="C96" s="157"/>
      <c r="D96" s="157"/>
      <c r="E96" s="157"/>
      <c r="F96" s="157"/>
      <c r="G96" s="153">
        <f>(BS!D5+BS!D6+BS!D5+BS!D6)/2</f>
        <v>256.96499999999997</v>
      </c>
      <c r="H96" s="157"/>
      <c r="I96" s="157"/>
      <c r="J96" s="157"/>
      <c r="K96" s="157"/>
      <c r="L96" s="153">
        <f>(BS!E5+BS!E6+BS!D5+BS!D6)/2</f>
        <v>233.65449999999998</v>
      </c>
      <c r="M96" s="157"/>
      <c r="N96" s="157"/>
      <c r="O96" s="157"/>
      <c r="P96" s="157"/>
      <c r="Q96" s="312">
        <f>BS!E5+BS!E6+BS!E13</f>
        <v>210.34399999999999</v>
      </c>
      <c r="R96" s="317"/>
      <c r="S96" s="317"/>
      <c r="T96" s="317"/>
      <c r="U96" s="317"/>
      <c r="V96" s="312">
        <f>BS!F5+BS!F6+BS!F13+BS!F14</f>
        <v>193.27399999999997</v>
      </c>
      <c r="W96" s="317"/>
      <c r="X96" s="317"/>
      <c r="Y96" s="317"/>
      <c r="Z96" s="317"/>
      <c r="AA96" s="312">
        <f>BS!G5+BS!G6+BS!G13+BS!G14</f>
        <v>318.62900000000002</v>
      </c>
      <c r="AB96" s="317"/>
      <c r="AC96" s="317"/>
      <c r="AD96" s="317"/>
      <c r="AE96" s="317"/>
      <c r="AF96" s="312">
        <f>BS!H5+BS!H6+BS!H13+BS!H14</f>
        <v>1079.06</v>
      </c>
      <c r="AG96" s="317"/>
      <c r="AH96" s="317"/>
      <c r="AI96" s="317"/>
      <c r="AJ96" s="317"/>
      <c r="AK96" s="312">
        <f>BS!I5+BS!I6+BS!I13+BS!I14</f>
        <v>1131.9505780720647</v>
      </c>
      <c r="AL96" s="317"/>
      <c r="AM96" s="317"/>
      <c r="AN96" s="317"/>
      <c r="AO96" s="317"/>
      <c r="AP96" s="312">
        <f>BS!J5+BS!J6+BS!J13+BS!J14</f>
        <v>1169.9150962458875</v>
      </c>
      <c r="AQ96" s="317"/>
      <c r="AR96" s="317"/>
      <c r="AS96" s="317"/>
      <c r="AT96" s="317"/>
      <c r="AU96" s="312">
        <f>BS!K5+BS!K6+BS!K13+BS!K14</f>
        <v>1280.1925631836098</v>
      </c>
      <c r="AV96" s="317"/>
      <c r="AW96" s="317"/>
      <c r="AX96" s="317"/>
      <c r="AY96" s="317"/>
      <c r="AZ96" s="312">
        <f>BS!L5+BS!L6+BS!L13+BS!L14</f>
        <v>1474.7877629547038</v>
      </c>
      <c r="BA96" s="317"/>
      <c r="BB96" s="317"/>
      <c r="BC96" s="317"/>
      <c r="BD96" s="317"/>
      <c r="BE96" s="312">
        <f>BS!M5+BS!M6+BS!M13+BS!M14</f>
        <v>1973.226062961277</v>
      </c>
      <c r="BF96" s="317"/>
      <c r="BG96" s="317"/>
      <c r="BH96" s="317"/>
      <c r="BI96" s="317"/>
      <c r="BJ96" s="312">
        <f>BS!N5+BS!N6+BS!N13+BS!N14</f>
        <v>2472.8360481147811</v>
      </c>
      <c r="BK96" s="317"/>
      <c r="BL96" s="317"/>
      <c r="BM96" s="317"/>
      <c r="BN96" s="317"/>
      <c r="BO96" s="322">
        <f>BS!O5+BS!O6+BS!O13+BS!O14</f>
        <v>2627.5768721200861</v>
      </c>
    </row>
    <row r="97" spans="2:67" ht="14.25" customHeight="1">
      <c r="B97" s="143" t="s">
        <v>141</v>
      </c>
      <c r="C97" s="134"/>
      <c r="D97" s="134"/>
      <c r="E97" s="134"/>
      <c r="F97" s="134"/>
      <c r="G97" s="284">
        <f t="shared" ref="G97" si="373">G98/G96</f>
        <v>1.2686552643356101E-3</v>
      </c>
      <c r="H97" s="134"/>
      <c r="I97" s="134"/>
      <c r="J97" s="134"/>
      <c r="K97" s="134"/>
      <c r="L97" s="284">
        <f t="shared" ref="L97" si="374">L98/L96</f>
        <v>3.3339824398845308E-3</v>
      </c>
      <c r="M97" s="134"/>
      <c r="N97" s="134"/>
      <c r="O97" s="134"/>
      <c r="P97" s="134"/>
      <c r="Q97" s="318">
        <v>5.0000000000000001E-3</v>
      </c>
      <c r="R97" s="309"/>
      <c r="S97" s="309"/>
      <c r="T97" s="309"/>
      <c r="U97" s="309"/>
      <c r="V97" s="321">
        <f>Q97</f>
        <v>5.0000000000000001E-3</v>
      </c>
      <c r="W97" s="309"/>
      <c r="X97" s="309"/>
      <c r="Y97" s="309"/>
      <c r="Z97" s="309"/>
      <c r="AA97" s="321">
        <f>V97</f>
        <v>5.0000000000000001E-3</v>
      </c>
      <c r="AB97" s="309"/>
      <c r="AC97" s="309"/>
      <c r="AD97" s="309"/>
      <c r="AE97" s="309"/>
      <c r="AF97" s="321">
        <f>AA97</f>
        <v>5.0000000000000001E-3</v>
      </c>
      <c r="AG97" s="309"/>
      <c r="AH97" s="309"/>
      <c r="AI97" s="309"/>
      <c r="AJ97" s="309"/>
      <c r="AK97" s="321">
        <f>AF97</f>
        <v>5.0000000000000001E-3</v>
      </c>
      <c r="AL97" s="309"/>
      <c r="AM97" s="309"/>
      <c r="AN97" s="309"/>
      <c r="AO97" s="309"/>
      <c r="AP97" s="321">
        <f>AK97</f>
        <v>5.0000000000000001E-3</v>
      </c>
      <c r="AQ97" s="309"/>
      <c r="AR97" s="309"/>
      <c r="AS97" s="309"/>
      <c r="AT97" s="309"/>
      <c r="AU97" s="321">
        <f>AP97</f>
        <v>5.0000000000000001E-3</v>
      </c>
      <c r="AV97" s="309"/>
      <c r="AW97" s="309"/>
      <c r="AX97" s="309"/>
      <c r="AY97" s="309"/>
      <c r="AZ97" s="321">
        <f>AU97</f>
        <v>5.0000000000000001E-3</v>
      </c>
      <c r="BA97" s="309"/>
      <c r="BB97" s="309"/>
      <c r="BC97" s="309"/>
      <c r="BD97" s="309"/>
      <c r="BE97" s="321">
        <f>AZ97</f>
        <v>5.0000000000000001E-3</v>
      </c>
      <c r="BF97" s="309"/>
      <c r="BG97" s="309"/>
      <c r="BH97" s="309"/>
      <c r="BI97" s="309"/>
      <c r="BJ97" s="321">
        <f>BE97</f>
        <v>5.0000000000000001E-3</v>
      </c>
      <c r="BK97" s="309"/>
      <c r="BL97" s="309"/>
      <c r="BM97" s="309"/>
      <c r="BN97" s="309"/>
      <c r="BO97" s="323">
        <f>BJ97</f>
        <v>5.0000000000000001E-3</v>
      </c>
    </row>
    <row r="98" spans="2:67" ht="14.25" customHeight="1">
      <c r="B98" s="146" t="s">
        <v>24</v>
      </c>
      <c r="C98" s="139"/>
      <c r="D98" s="139"/>
      <c r="E98" s="167"/>
      <c r="F98" s="167"/>
      <c r="G98" s="138">
        <f>G31</f>
        <v>0.32600000000000001</v>
      </c>
      <c r="H98" s="139"/>
      <c r="I98" s="139"/>
      <c r="J98" s="167"/>
      <c r="K98" s="167"/>
      <c r="L98" s="138">
        <f>L31</f>
        <v>0.77900000000000003</v>
      </c>
      <c r="M98" s="139"/>
      <c r="N98" s="139"/>
      <c r="O98" s="167"/>
      <c r="P98" s="167"/>
      <c r="Q98" s="319">
        <f>Q96*Q97</f>
        <v>1.05172</v>
      </c>
      <c r="R98" s="320"/>
      <c r="S98" s="320"/>
      <c r="T98" s="167"/>
      <c r="U98" s="167"/>
      <c r="V98" s="319">
        <f>V96*V97</f>
        <v>0.96636999999999984</v>
      </c>
      <c r="W98" s="320"/>
      <c r="X98" s="320"/>
      <c r="Y98" s="167"/>
      <c r="Z98" s="167"/>
      <c r="AA98" s="319">
        <f>AA96*AA97</f>
        <v>1.593145</v>
      </c>
      <c r="AB98" s="320"/>
      <c r="AC98" s="320"/>
      <c r="AD98" s="167"/>
      <c r="AE98" s="167"/>
      <c r="AF98" s="319">
        <f>AF96*AF97</f>
        <v>5.3952999999999998</v>
      </c>
      <c r="AG98" s="320"/>
      <c r="AH98" s="320"/>
      <c r="AI98" s="167"/>
      <c r="AJ98" s="167"/>
      <c r="AK98" s="319">
        <f>AK96*AK97</f>
        <v>5.6597528903603234</v>
      </c>
      <c r="AL98" s="320"/>
      <c r="AM98" s="320"/>
      <c r="AN98" s="167"/>
      <c r="AO98" s="167"/>
      <c r="AP98" s="319">
        <f>AP96*AP97</f>
        <v>5.8495754812294374</v>
      </c>
      <c r="AQ98" s="320"/>
      <c r="AR98" s="320"/>
      <c r="AS98" s="167"/>
      <c r="AT98" s="167"/>
      <c r="AU98" s="319">
        <f>AU96*AU97</f>
        <v>6.4009628159180494</v>
      </c>
      <c r="AV98" s="320"/>
      <c r="AW98" s="320"/>
      <c r="AX98" s="167"/>
      <c r="AY98" s="167"/>
      <c r="AZ98" s="319">
        <f>AZ96*AZ97</f>
        <v>7.3739388147735188</v>
      </c>
      <c r="BA98" s="320"/>
      <c r="BB98" s="320"/>
      <c r="BC98" s="167"/>
      <c r="BD98" s="167"/>
      <c r="BE98" s="319">
        <f>BE96*BE97</f>
        <v>9.8661303148063855</v>
      </c>
      <c r="BF98" s="320"/>
      <c r="BG98" s="320"/>
      <c r="BH98" s="167"/>
      <c r="BI98" s="167"/>
      <c r="BJ98" s="319">
        <f>BJ96*BJ97</f>
        <v>12.364180240573905</v>
      </c>
      <c r="BK98" s="320"/>
      <c r="BL98" s="320"/>
      <c r="BM98" s="167"/>
      <c r="BN98" s="167"/>
      <c r="BO98" s="324">
        <f>BO96*BO97</f>
        <v>13.137884360600431</v>
      </c>
    </row>
    <row r="99" spans="2:67" ht="14.25" customHeight="1">
      <c r="C99" s="128"/>
      <c r="D99" s="128"/>
      <c r="E99" s="128"/>
      <c r="F99" s="128"/>
      <c r="H99" s="128"/>
      <c r="I99" s="128"/>
      <c r="J99" s="128"/>
      <c r="K99" s="128"/>
      <c r="M99" s="128"/>
      <c r="N99" s="128"/>
      <c r="O99" s="128"/>
      <c r="P99" s="128"/>
      <c r="R99" s="128"/>
      <c r="S99" s="128"/>
      <c r="T99" s="128"/>
      <c r="U99" s="128"/>
      <c r="W99" s="128"/>
      <c r="X99" s="128"/>
      <c r="Y99" s="128"/>
      <c r="Z99" s="128"/>
      <c r="AB99" s="128"/>
      <c r="AC99" s="128"/>
      <c r="AD99" s="128"/>
      <c r="AE99" s="128"/>
      <c r="AG99" s="128"/>
      <c r="AH99" s="128"/>
      <c r="AI99" s="128"/>
      <c r="AJ99" s="128"/>
      <c r="AL99" s="128"/>
      <c r="AM99" s="128"/>
      <c r="AN99" s="128"/>
      <c r="AO99" s="128"/>
      <c r="AQ99" s="128"/>
      <c r="AR99" s="128"/>
      <c r="AS99" s="128"/>
      <c r="AT99" s="128"/>
      <c r="AV99" s="128"/>
      <c r="AW99" s="128"/>
      <c r="AX99" s="128"/>
      <c r="AY99" s="128"/>
      <c r="BA99" s="128"/>
      <c r="BB99" s="128"/>
      <c r="BC99" s="128"/>
      <c r="BD99" s="128"/>
      <c r="BF99" s="128"/>
      <c r="BG99" s="128"/>
      <c r="BH99" s="128"/>
      <c r="BI99" s="128"/>
      <c r="BK99" s="128"/>
      <c r="BL99" s="128"/>
      <c r="BM99" s="128"/>
      <c r="BN99" s="128"/>
    </row>
    <row r="100" spans="2:67" ht="14.25" customHeight="1">
      <c r="B100" s="255" t="s">
        <v>257</v>
      </c>
      <c r="C100" s="156"/>
      <c r="D100" s="156"/>
      <c r="E100" s="156"/>
      <c r="F100" s="156"/>
      <c r="H100" s="156"/>
      <c r="I100" s="156"/>
      <c r="J100" s="156"/>
      <c r="K100" s="156"/>
      <c r="M100" s="156"/>
      <c r="N100" s="156"/>
      <c r="O100" s="156"/>
      <c r="P100" s="156"/>
      <c r="R100" s="156"/>
      <c r="S100" s="156"/>
      <c r="T100" s="156"/>
      <c r="U100" s="156"/>
      <c r="W100" s="156"/>
      <c r="X100" s="156"/>
      <c r="Y100" s="156"/>
      <c r="Z100" s="156"/>
      <c r="AB100" s="156"/>
      <c r="AC100" s="156"/>
      <c r="AD100" s="156"/>
      <c r="AE100" s="156"/>
      <c r="AG100" s="156"/>
      <c r="AH100" s="156"/>
      <c r="AI100" s="156"/>
      <c r="AJ100" s="156"/>
      <c r="AL100" s="156"/>
      <c r="AM100" s="156"/>
      <c r="AN100" s="156"/>
      <c r="AO100" s="156"/>
      <c r="AQ100" s="156"/>
      <c r="AR100" s="156"/>
      <c r="AS100" s="156"/>
      <c r="AT100" s="156"/>
      <c r="AV100" s="156"/>
      <c r="AW100" s="156"/>
      <c r="AX100" s="156"/>
      <c r="AY100" s="156"/>
      <c r="BA100" s="156"/>
      <c r="BB100" s="156"/>
      <c r="BC100" s="156"/>
      <c r="BD100" s="156"/>
      <c r="BF100" s="156"/>
      <c r="BG100" s="156"/>
      <c r="BH100" s="156"/>
      <c r="BI100" s="156"/>
      <c r="BK100" s="156"/>
      <c r="BL100" s="156"/>
      <c r="BM100" s="156"/>
      <c r="BN100" s="156"/>
    </row>
    <row r="101" spans="2:67" ht="14.25" customHeight="1">
      <c r="B101" s="239"/>
      <c r="C101" s="154"/>
      <c r="D101" s="154"/>
      <c r="E101" s="154"/>
      <c r="F101" s="154"/>
      <c r="G101" s="242"/>
      <c r="H101" s="154"/>
      <c r="I101" s="154"/>
      <c r="J101" s="154"/>
      <c r="K101" s="154"/>
      <c r="L101" s="242"/>
      <c r="M101" s="154"/>
      <c r="N101" s="154"/>
      <c r="O101" s="154"/>
      <c r="P101" s="154"/>
      <c r="Q101" s="299"/>
      <c r="R101" s="154"/>
      <c r="S101" s="154"/>
      <c r="T101" s="154"/>
      <c r="U101" s="154"/>
      <c r="V101" s="299"/>
      <c r="W101" s="154"/>
      <c r="X101" s="154"/>
      <c r="Y101" s="154"/>
      <c r="Z101" s="154"/>
      <c r="AA101" s="299"/>
      <c r="AB101" s="154"/>
      <c r="AC101" s="154"/>
      <c r="AD101" s="154"/>
      <c r="AE101" s="154"/>
      <c r="AF101" s="299"/>
      <c r="AG101" s="154"/>
      <c r="AH101" s="154"/>
      <c r="AI101" s="154"/>
      <c r="AJ101" s="154"/>
      <c r="AK101" s="299"/>
      <c r="AL101" s="154"/>
      <c r="AM101" s="154"/>
      <c r="AN101" s="154"/>
      <c r="AO101" s="154"/>
      <c r="AP101" s="299"/>
      <c r="AQ101" s="154"/>
      <c r="AR101" s="154"/>
      <c r="AS101" s="154"/>
      <c r="AT101" s="154"/>
      <c r="AU101" s="299"/>
      <c r="AV101" s="154"/>
      <c r="AW101" s="154"/>
      <c r="AX101" s="154"/>
      <c r="AY101" s="154"/>
      <c r="AZ101" s="299"/>
      <c r="BA101" s="154"/>
      <c r="BB101" s="154"/>
      <c r="BC101" s="154"/>
      <c r="BD101" s="154"/>
      <c r="BE101" s="299"/>
      <c r="BF101" s="154"/>
      <c r="BG101" s="154"/>
      <c r="BH101" s="154"/>
      <c r="BI101" s="154"/>
      <c r="BJ101" s="299"/>
      <c r="BK101" s="154"/>
      <c r="BL101" s="154"/>
      <c r="BM101" s="154"/>
      <c r="BN101" s="154"/>
      <c r="BO101" s="327"/>
    </row>
    <row r="102" spans="2:67" ht="14.25" customHeight="1">
      <c r="B102" s="2" t="s">
        <v>300</v>
      </c>
      <c r="C102" s="156"/>
      <c r="D102" s="156"/>
      <c r="E102" s="156"/>
      <c r="F102" s="156"/>
      <c r="H102" s="156"/>
      <c r="I102" s="156"/>
      <c r="J102" s="156"/>
      <c r="K102" s="156"/>
      <c r="M102" s="156"/>
      <c r="N102" s="156"/>
      <c r="O102" s="156"/>
      <c r="P102" s="156"/>
      <c r="R102" s="156"/>
      <c r="S102" s="156"/>
      <c r="T102" s="156"/>
      <c r="U102" s="156"/>
      <c r="W102" s="156"/>
      <c r="X102" s="156"/>
      <c r="Y102" s="156"/>
      <c r="Z102" s="156"/>
      <c r="AB102" s="156"/>
      <c r="AC102" s="156"/>
      <c r="AD102" s="156"/>
      <c r="AE102" s="156"/>
      <c r="AG102" s="156"/>
      <c r="AH102" s="156"/>
      <c r="AI102" s="156"/>
      <c r="AJ102" s="156"/>
      <c r="AL102" s="156"/>
      <c r="AM102" s="156"/>
      <c r="AN102" s="156"/>
      <c r="AO102" s="156"/>
      <c r="AQ102" s="156"/>
      <c r="AR102" s="156"/>
      <c r="AS102" s="156"/>
      <c r="AT102" s="156"/>
      <c r="AV102" s="156"/>
      <c r="AW102" s="156"/>
      <c r="AX102" s="156"/>
      <c r="AY102" s="156"/>
      <c r="BA102" s="156"/>
      <c r="BB102" s="156"/>
      <c r="BC102" s="156"/>
      <c r="BD102" s="156"/>
      <c r="BF102" s="156"/>
      <c r="BG102" s="156"/>
      <c r="BH102" s="156"/>
      <c r="BI102" s="156"/>
      <c r="BK102" s="156"/>
      <c r="BL102" s="156"/>
      <c r="BM102" s="156"/>
      <c r="BN102" s="156"/>
      <c r="BO102" s="328"/>
    </row>
    <row r="103" spans="2:67" ht="14.25" customHeight="1">
      <c r="B103" s="240" t="s">
        <v>258</v>
      </c>
      <c r="C103" s="156"/>
      <c r="D103" s="156"/>
      <c r="E103" s="156"/>
      <c r="F103" s="156"/>
      <c r="G103" s="155"/>
      <c r="H103" s="156"/>
      <c r="I103" s="156"/>
      <c r="J103" s="156"/>
      <c r="K103" s="156"/>
      <c r="L103" s="155"/>
      <c r="M103" s="156"/>
      <c r="N103" s="156"/>
      <c r="O103" s="156"/>
      <c r="P103" s="156"/>
      <c r="Q103" s="155"/>
      <c r="R103" s="156"/>
      <c r="S103" s="156"/>
      <c r="T103" s="156"/>
      <c r="U103" s="156"/>
      <c r="V103" s="155"/>
      <c r="W103" s="156"/>
      <c r="X103" s="156"/>
      <c r="Y103" s="156"/>
      <c r="Z103" s="156"/>
      <c r="AA103" s="155"/>
      <c r="AB103" s="156"/>
      <c r="AC103" s="156"/>
      <c r="AD103" s="156"/>
      <c r="AE103" s="156"/>
      <c r="AF103" s="155"/>
      <c r="AG103" s="156"/>
      <c r="AH103" s="156"/>
      <c r="AI103" s="156"/>
      <c r="AJ103" s="156"/>
      <c r="AK103" s="155"/>
      <c r="AL103" s="156"/>
      <c r="AM103" s="156"/>
      <c r="AN103" s="156"/>
      <c r="AO103" s="156"/>
      <c r="AP103" s="155"/>
      <c r="AQ103" s="156"/>
      <c r="AR103" s="156"/>
      <c r="AS103" s="156"/>
      <c r="AT103" s="156"/>
      <c r="AU103" s="155"/>
      <c r="AV103" s="156"/>
      <c r="AW103" s="156"/>
      <c r="AX103" s="156"/>
      <c r="AY103" s="156"/>
      <c r="AZ103" s="155"/>
      <c r="BA103" s="156"/>
      <c r="BB103" s="156"/>
      <c r="BC103" s="156"/>
      <c r="BD103" s="156"/>
      <c r="BE103" s="155"/>
      <c r="BF103" s="156"/>
      <c r="BG103" s="156"/>
      <c r="BH103" s="156"/>
      <c r="BI103" s="156"/>
      <c r="BJ103" s="155"/>
      <c r="BK103" s="156"/>
      <c r="BL103" s="156"/>
      <c r="BM103" s="156"/>
      <c r="BN103" s="156"/>
      <c r="BO103" s="329"/>
    </row>
    <row r="104" spans="2:67" ht="14.25" customHeight="1">
      <c r="B104" s="2"/>
      <c r="C104" s="156"/>
      <c r="D104" s="156"/>
      <c r="E104" s="156"/>
      <c r="F104" s="156"/>
      <c r="H104" s="156"/>
      <c r="I104" s="156"/>
      <c r="J104" s="156"/>
      <c r="K104" s="156"/>
      <c r="M104" s="156"/>
      <c r="N104" s="156"/>
      <c r="O104" s="156"/>
      <c r="P104" s="156"/>
      <c r="R104" s="156"/>
      <c r="S104" s="156"/>
      <c r="T104" s="156"/>
      <c r="U104" s="156"/>
      <c r="W104" s="156"/>
      <c r="X104" s="156"/>
      <c r="Y104" s="156"/>
      <c r="Z104" s="156"/>
      <c r="AB104" s="156"/>
      <c r="AC104" s="156"/>
      <c r="AD104" s="156"/>
      <c r="AE104" s="156"/>
      <c r="AG104" s="156"/>
      <c r="AH104" s="156"/>
      <c r="AI104" s="156"/>
      <c r="AJ104" s="156"/>
      <c r="AL104" s="156"/>
      <c r="AM104" s="156"/>
      <c r="AN104" s="156"/>
      <c r="AO104" s="156"/>
      <c r="AQ104" s="156"/>
      <c r="AR104" s="156"/>
      <c r="AS104" s="156"/>
      <c r="AT104" s="156"/>
      <c r="AV104" s="156"/>
      <c r="AW104" s="156"/>
      <c r="AX104" s="156"/>
      <c r="AY104" s="156"/>
      <c r="BA104" s="156"/>
      <c r="BB104" s="156"/>
      <c r="BC104" s="156"/>
      <c r="BD104" s="156"/>
      <c r="BF104" s="156"/>
      <c r="BG104" s="156"/>
      <c r="BH104" s="156"/>
      <c r="BI104" s="156"/>
      <c r="BK104" s="156"/>
      <c r="BL104" s="156"/>
      <c r="BM104" s="156"/>
      <c r="BN104" s="156"/>
      <c r="BO104" s="328"/>
    </row>
    <row r="105" spans="2:67" ht="14.25" customHeight="1">
      <c r="B105" s="240" t="s">
        <v>259</v>
      </c>
      <c r="C105" s="156"/>
      <c r="D105" s="156"/>
      <c r="E105" s="156"/>
      <c r="F105" s="156"/>
      <c r="H105" s="156"/>
      <c r="I105" s="156"/>
      <c r="J105" s="156"/>
      <c r="K105" s="156"/>
      <c r="L105" s="100">
        <f>+G107</f>
        <v>1.5760000000000001</v>
      </c>
      <c r="M105" s="156"/>
      <c r="N105" s="156"/>
      <c r="O105" s="156"/>
      <c r="P105" s="156"/>
      <c r="Q105" s="294">
        <f>+L107</f>
        <v>1.476</v>
      </c>
      <c r="R105" s="156"/>
      <c r="S105" s="156"/>
      <c r="T105" s="156"/>
      <c r="U105" s="156"/>
      <c r="V105" s="294">
        <f>Q107</f>
        <v>14.968999999999999</v>
      </c>
      <c r="W105" s="156"/>
      <c r="X105" s="156"/>
      <c r="Y105" s="156"/>
      <c r="Z105" s="156"/>
      <c r="AA105" s="294">
        <f>V107</f>
        <v>16.149999999999999</v>
      </c>
      <c r="AB105" s="156"/>
      <c r="AC105" s="156"/>
      <c r="AD105" s="156"/>
      <c r="AE105" s="156"/>
      <c r="AF105" s="294">
        <f>AA107</f>
        <v>424.87599999999998</v>
      </c>
      <c r="AG105" s="156"/>
      <c r="AH105" s="156"/>
      <c r="AI105" s="156"/>
      <c r="AJ105" s="156"/>
      <c r="AK105" s="294">
        <f>AF107</f>
        <v>424.87599999999998</v>
      </c>
      <c r="AL105" s="156"/>
      <c r="AM105" s="156"/>
      <c r="AN105" s="156"/>
      <c r="AO105" s="156"/>
      <c r="AP105" s="294">
        <f>AK107</f>
        <v>424.87599999999998</v>
      </c>
      <c r="AQ105" s="156"/>
      <c r="AR105" s="156"/>
      <c r="AS105" s="156"/>
      <c r="AT105" s="156"/>
      <c r="AU105" s="294">
        <f>AP107</f>
        <v>424.87599999999998</v>
      </c>
      <c r="AV105" s="156"/>
      <c r="AW105" s="156"/>
      <c r="AX105" s="156"/>
      <c r="AY105" s="156"/>
      <c r="AZ105" s="294">
        <f>AU107</f>
        <v>384.87599999999998</v>
      </c>
      <c r="BA105" s="156"/>
      <c r="BB105" s="156"/>
      <c r="BC105" s="156"/>
      <c r="BD105" s="156"/>
      <c r="BE105" s="294">
        <f>AZ107</f>
        <v>384.87599999999998</v>
      </c>
      <c r="BF105" s="156"/>
      <c r="BG105" s="156"/>
      <c r="BH105" s="156"/>
      <c r="BI105" s="156"/>
      <c r="BJ105" s="294">
        <f>BE107</f>
        <v>384.87599999999998</v>
      </c>
      <c r="BK105" s="156"/>
      <c r="BL105" s="156"/>
      <c r="BM105" s="156"/>
      <c r="BN105" s="156"/>
      <c r="BO105" s="328">
        <f>BJ107</f>
        <v>0</v>
      </c>
    </row>
    <row r="106" spans="2:67" ht="14.25" customHeight="1">
      <c r="B106" s="240" t="s">
        <v>392</v>
      </c>
      <c r="C106" s="156"/>
      <c r="D106" s="156"/>
      <c r="E106" s="156"/>
      <c r="F106" s="156"/>
      <c r="H106" s="156"/>
      <c r="I106" s="156"/>
      <c r="J106" s="156"/>
      <c r="K106" s="156"/>
      <c r="L106" s="100">
        <f>+L107-L105</f>
        <v>-0.10000000000000009</v>
      </c>
      <c r="M106" s="156"/>
      <c r="N106" s="156"/>
      <c r="O106" s="156"/>
      <c r="P106" s="156"/>
      <c r="Q106" s="294">
        <f>+Q107-Q105</f>
        <v>13.492999999999999</v>
      </c>
      <c r="R106" s="156"/>
      <c r="S106" s="156"/>
      <c r="T106" s="156"/>
      <c r="U106" s="156"/>
      <c r="V106" s="325">
        <f>V105-V107</f>
        <v>-1.1809999999999992</v>
      </c>
      <c r="W106" s="156"/>
      <c r="X106" s="156"/>
      <c r="Y106" s="156"/>
      <c r="Z106" s="156"/>
      <c r="AA106" s="325">
        <f>AA107-AA105</f>
        <v>408.726</v>
      </c>
      <c r="AB106" s="156"/>
      <c r="AC106" s="156"/>
      <c r="AD106" s="156"/>
      <c r="AE106" s="156"/>
      <c r="AF106" s="325">
        <v>0</v>
      </c>
      <c r="AG106" s="156"/>
      <c r="AH106" s="156"/>
      <c r="AI106" s="156"/>
      <c r="AJ106" s="156"/>
      <c r="AK106" s="325">
        <v>0</v>
      </c>
      <c r="AL106" s="156"/>
      <c r="AM106" s="156"/>
      <c r="AN106" s="156"/>
      <c r="AO106" s="156"/>
      <c r="AP106" s="325">
        <v>0</v>
      </c>
      <c r="AQ106" s="156"/>
      <c r="AR106" s="156"/>
      <c r="AS106" s="156"/>
      <c r="AT106" s="156"/>
      <c r="AU106" s="325">
        <v>40</v>
      </c>
      <c r="AV106" s="156"/>
      <c r="AW106" s="156"/>
      <c r="AX106" s="156"/>
      <c r="AY106" s="156"/>
      <c r="AZ106" s="325">
        <v>0</v>
      </c>
      <c r="BA106" s="156"/>
      <c r="BB106" s="156"/>
      <c r="BC106" s="156"/>
      <c r="BD106" s="156"/>
      <c r="BE106" s="325">
        <v>0</v>
      </c>
      <c r="BF106" s="156"/>
      <c r="BG106" s="156"/>
      <c r="BH106" s="156"/>
      <c r="BI106" s="156"/>
      <c r="BJ106" s="325">
        <f>BJ105</f>
        <v>384.87599999999998</v>
      </c>
      <c r="BK106" s="156"/>
      <c r="BL106" s="156"/>
      <c r="BM106" s="156"/>
      <c r="BN106" s="156"/>
      <c r="BO106" s="330">
        <v>0</v>
      </c>
    </row>
    <row r="107" spans="2:67" ht="14.25" customHeight="1">
      <c r="B107" s="240" t="s">
        <v>260</v>
      </c>
      <c r="C107" s="156"/>
      <c r="D107" s="156"/>
      <c r="E107" s="156"/>
      <c r="F107" s="156"/>
      <c r="G107" s="100">
        <f>+BS!D29</f>
        <v>1.5760000000000001</v>
      </c>
      <c r="H107" s="156"/>
      <c r="I107" s="156"/>
      <c r="J107" s="156"/>
      <c r="K107" s="156"/>
      <c r="L107" s="100">
        <f>+BS!E29</f>
        <v>1.476</v>
      </c>
      <c r="M107" s="156"/>
      <c r="N107" s="156"/>
      <c r="O107" s="156"/>
      <c r="P107" s="156"/>
      <c r="Q107" s="294">
        <f>+BS!F29</f>
        <v>14.968999999999999</v>
      </c>
      <c r="R107" s="156"/>
      <c r="S107" s="156"/>
      <c r="T107" s="156"/>
      <c r="U107" s="156"/>
      <c r="V107" s="294">
        <f>BS!G29+BS!G23</f>
        <v>16.149999999999999</v>
      </c>
      <c r="W107" s="156"/>
      <c r="X107" s="156"/>
      <c r="Y107" s="156"/>
      <c r="Z107" s="156"/>
      <c r="AA107" s="579">
        <f>BS!H29</f>
        <v>424.87599999999998</v>
      </c>
      <c r="AB107" s="156"/>
      <c r="AC107" s="156"/>
      <c r="AD107" s="156"/>
      <c r="AE107" s="156"/>
      <c r="AF107" s="294">
        <f>AF105-AF106</f>
        <v>424.87599999999998</v>
      </c>
      <c r="AG107" s="156"/>
      <c r="AH107" s="156"/>
      <c r="AI107" s="156"/>
      <c r="AJ107" s="156"/>
      <c r="AK107" s="294">
        <f>AK105-AK106</f>
        <v>424.87599999999998</v>
      </c>
      <c r="AL107" s="156"/>
      <c r="AM107" s="156"/>
      <c r="AN107" s="156"/>
      <c r="AO107" s="156"/>
      <c r="AP107" s="294">
        <f>AP105-AP106</f>
        <v>424.87599999999998</v>
      </c>
      <c r="AQ107" s="156"/>
      <c r="AR107" s="156"/>
      <c r="AS107" s="156"/>
      <c r="AT107" s="156"/>
      <c r="AU107" s="294">
        <f>AU105-AU106</f>
        <v>384.87599999999998</v>
      </c>
      <c r="AV107" s="156"/>
      <c r="AW107" s="156"/>
      <c r="AX107" s="156"/>
      <c r="AY107" s="156"/>
      <c r="AZ107" s="294">
        <f>AZ105-AZ106</f>
        <v>384.87599999999998</v>
      </c>
      <c r="BA107" s="156"/>
      <c r="BB107" s="156"/>
      <c r="BC107" s="156"/>
      <c r="BD107" s="156"/>
      <c r="BE107" s="294">
        <f>BE105-BE106</f>
        <v>384.87599999999998</v>
      </c>
      <c r="BF107" s="156"/>
      <c r="BG107" s="156"/>
      <c r="BH107" s="156"/>
      <c r="BI107" s="156"/>
      <c r="BJ107" s="294">
        <f>BJ105-BJ106</f>
        <v>0</v>
      </c>
      <c r="BK107" s="156"/>
      <c r="BL107" s="156"/>
      <c r="BM107" s="156"/>
      <c r="BN107" s="156"/>
      <c r="BO107" s="328">
        <f>BO105-BO106</f>
        <v>0</v>
      </c>
    </row>
    <row r="108" spans="2:67" ht="14.25" customHeight="1">
      <c r="B108" s="2"/>
      <c r="C108" s="156"/>
      <c r="D108" s="156"/>
      <c r="E108" s="156"/>
      <c r="F108" s="156"/>
      <c r="H108" s="156"/>
      <c r="I108" s="156"/>
      <c r="J108" s="156"/>
      <c r="K108" s="156"/>
      <c r="M108" s="156"/>
      <c r="N108" s="156"/>
      <c r="O108" s="156"/>
      <c r="P108" s="156"/>
      <c r="R108" s="156"/>
      <c r="S108" s="156"/>
      <c r="T108" s="156"/>
      <c r="U108" s="156"/>
      <c r="W108" s="156"/>
      <c r="X108" s="156"/>
      <c r="Y108" s="156"/>
      <c r="Z108" s="156"/>
      <c r="AB108" s="156"/>
      <c r="AC108" s="156"/>
      <c r="AD108" s="156"/>
      <c r="AE108" s="156"/>
      <c r="AG108" s="156"/>
      <c r="AH108" s="156"/>
      <c r="AI108" s="156"/>
      <c r="AJ108" s="156"/>
      <c r="AL108" s="156"/>
      <c r="AM108" s="156"/>
      <c r="AN108" s="156"/>
      <c r="AO108" s="156"/>
      <c r="AQ108" s="156"/>
      <c r="AR108" s="156"/>
      <c r="AS108" s="156"/>
      <c r="AT108" s="156"/>
      <c r="AV108" s="156"/>
      <c r="AW108" s="156"/>
      <c r="AX108" s="156"/>
      <c r="AY108" s="156"/>
      <c r="BA108" s="156"/>
      <c r="BB108" s="156"/>
      <c r="BC108" s="156"/>
      <c r="BD108" s="156"/>
      <c r="BF108" s="156"/>
      <c r="BG108" s="156"/>
      <c r="BH108" s="156"/>
      <c r="BI108" s="156"/>
      <c r="BK108" s="156"/>
      <c r="BL108" s="156"/>
      <c r="BM108" s="156"/>
      <c r="BN108" s="156"/>
      <c r="BO108" s="328"/>
    </row>
    <row r="109" spans="2:67" ht="14.25" customHeight="1">
      <c r="B109" s="240" t="s">
        <v>261</v>
      </c>
      <c r="C109" s="156"/>
      <c r="D109" s="156"/>
      <c r="E109" s="156"/>
      <c r="F109" s="156"/>
      <c r="H109" s="156"/>
      <c r="I109" s="156"/>
      <c r="J109" s="156"/>
      <c r="K109" s="156"/>
      <c r="M109" s="156"/>
      <c r="N109" s="156"/>
      <c r="O109" s="156"/>
      <c r="P109" s="156"/>
      <c r="R109" s="156"/>
      <c r="S109" s="156"/>
      <c r="T109" s="156"/>
      <c r="U109" s="156"/>
      <c r="V109" s="326">
        <v>0.01</v>
      </c>
      <c r="W109" s="156"/>
      <c r="X109" s="156"/>
      <c r="Y109" s="156"/>
      <c r="Z109" s="156"/>
      <c r="AA109" s="326">
        <f>AF109</f>
        <v>4.9500000000000002E-2</v>
      </c>
      <c r="AB109" s="156"/>
      <c r="AC109" s="156"/>
      <c r="AD109" s="156"/>
      <c r="AE109" s="156"/>
      <c r="AF109" s="326">
        <v>4.9500000000000002E-2</v>
      </c>
      <c r="AG109" s="156"/>
      <c r="AH109" s="156"/>
      <c r="AI109" s="156"/>
      <c r="AJ109" s="156"/>
      <c r="AK109" s="326">
        <f>AF109</f>
        <v>4.9500000000000002E-2</v>
      </c>
      <c r="AL109" s="156"/>
      <c r="AM109" s="156"/>
      <c r="AN109" s="156"/>
      <c r="AO109" s="156"/>
      <c r="AP109" s="326">
        <f>AK109</f>
        <v>4.9500000000000002E-2</v>
      </c>
      <c r="AQ109" s="156"/>
      <c r="AR109" s="156"/>
      <c r="AS109" s="156"/>
      <c r="AT109" s="156"/>
      <c r="AU109" s="326">
        <f>AP109</f>
        <v>4.9500000000000002E-2</v>
      </c>
      <c r="AV109" s="156"/>
      <c r="AW109" s="156"/>
      <c r="AX109" s="156"/>
      <c r="AY109" s="156"/>
      <c r="AZ109" s="326">
        <f>AU109</f>
        <v>4.9500000000000002E-2</v>
      </c>
      <c r="BA109" s="156"/>
      <c r="BB109" s="156"/>
      <c r="BC109" s="156"/>
      <c r="BD109" s="156"/>
      <c r="BE109" s="326">
        <f>AZ109</f>
        <v>4.9500000000000002E-2</v>
      </c>
      <c r="BF109" s="156"/>
      <c r="BG109" s="156"/>
      <c r="BH109" s="156"/>
      <c r="BI109" s="156"/>
      <c r="BJ109" s="326">
        <f>BE109</f>
        <v>4.9500000000000002E-2</v>
      </c>
      <c r="BK109" s="156"/>
      <c r="BL109" s="156"/>
      <c r="BM109" s="156"/>
      <c r="BN109" s="156"/>
      <c r="BO109" s="331">
        <f>BJ109</f>
        <v>4.9500000000000002E-2</v>
      </c>
    </row>
    <row r="110" spans="2:67" ht="14.25" customHeight="1">
      <c r="B110" s="240" t="s">
        <v>393</v>
      </c>
      <c r="C110" s="156"/>
      <c r="D110" s="156"/>
      <c r="E110" s="156"/>
      <c r="F110" s="156"/>
      <c r="H110" s="156"/>
      <c r="I110" s="156"/>
      <c r="J110" s="156"/>
      <c r="K110" s="156"/>
      <c r="M110" s="156"/>
      <c r="N110" s="156"/>
      <c r="O110" s="156"/>
      <c r="P110" s="156"/>
      <c r="R110" s="156"/>
      <c r="S110" s="156"/>
      <c r="T110" s="156"/>
      <c r="U110" s="156"/>
      <c r="V110" s="326"/>
      <c r="W110" s="156"/>
      <c r="X110" s="156"/>
      <c r="Y110" s="156"/>
      <c r="Z110" s="156"/>
      <c r="AA110" s="326">
        <v>0</v>
      </c>
      <c r="AB110" s="156"/>
      <c r="AC110" s="156"/>
      <c r="AD110" s="156"/>
      <c r="AE110" s="156"/>
      <c r="AF110" s="326">
        <v>0.03</v>
      </c>
      <c r="AG110" s="156"/>
      <c r="AH110" s="156"/>
      <c r="AI110" s="156"/>
      <c r="AJ110" s="156"/>
      <c r="AK110" s="326">
        <f>AF110</f>
        <v>0.03</v>
      </c>
      <c r="AL110" s="156"/>
      <c r="AM110" s="156"/>
      <c r="AN110" s="156"/>
      <c r="AO110" s="156"/>
      <c r="AP110" s="326">
        <f>AK110</f>
        <v>0.03</v>
      </c>
      <c r="AQ110" s="156"/>
      <c r="AR110" s="156"/>
      <c r="AS110" s="156"/>
      <c r="AT110" s="156"/>
      <c r="AU110" s="326">
        <f>AP110</f>
        <v>0.03</v>
      </c>
      <c r="AV110" s="156"/>
      <c r="AW110" s="156"/>
      <c r="AX110" s="156"/>
      <c r="AY110" s="156"/>
      <c r="AZ110" s="326">
        <f>AU110</f>
        <v>0.03</v>
      </c>
      <c r="BA110" s="156"/>
      <c r="BB110" s="156"/>
      <c r="BC110" s="156"/>
      <c r="BD110" s="156"/>
      <c r="BE110" s="326">
        <f>AZ110</f>
        <v>0.03</v>
      </c>
      <c r="BF110" s="156"/>
      <c r="BG110" s="156"/>
      <c r="BH110" s="156"/>
      <c r="BI110" s="156"/>
      <c r="BJ110" s="326">
        <f>BE110</f>
        <v>0.03</v>
      </c>
      <c r="BK110" s="156"/>
      <c r="BL110" s="156"/>
      <c r="BM110" s="156"/>
      <c r="BN110" s="156"/>
      <c r="BO110" s="331">
        <f>BJ110</f>
        <v>0.03</v>
      </c>
    </row>
    <row r="111" spans="2:67" ht="14.25" customHeight="1">
      <c r="B111" s="241" t="s">
        <v>262</v>
      </c>
      <c r="C111" s="244"/>
      <c r="D111" s="244"/>
      <c r="E111" s="244"/>
      <c r="F111" s="244"/>
      <c r="G111" s="243"/>
      <c r="H111" s="244"/>
      <c r="I111" s="244"/>
      <c r="J111" s="244"/>
      <c r="K111" s="244"/>
      <c r="L111" s="243"/>
      <c r="M111" s="244"/>
      <c r="N111" s="244"/>
      <c r="O111" s="244"/>
      <c r="P111" s="244"/>
      <c r="Q111" s="300"/>
      <c r="R111" s="244"/>
      <c r="S111" s="244"/>
      <c r="T111" s="244"/>
      <c r="U111" s="244"/>
      <c r="V111" s="298">
        <f>V107*V109</f>
        <v>0.16149999999999998</v>
      </c>
      <c r="W111" s="244"/>
      <c r="X111" s="244"/>
      <c r="Y111" s="244"/>
      <c r="Z111" s="244"/>
      <c r="AA111" s="298">
        <f>(AA109*40)+(AA110*(AA107-40))</f>
        <v>1.98</v>
      </c>
      <c r="AB111" s="244"/>
      <c r="AC111" s="244"/>
      <c r="AD111" s="244"/>
      <c r="AE111" s="244"/>
      <c r="AF111" s="298">
        <f t="shared" ref="AF111:AP111" si="375">(AF109*40)+(AF110*(AF107-40))</f>
        <v>13.52628</v>
      </c>
      <c r="AG111" s="244">
        <f t="shared" si="375"/>
        <v>0</v>
      </c>
      <c r="AH111" s="244">
        <f t="shared" si="375"/>
        <v>0</v>
      </c>
      <c r="AI111" s="244">
        <f t="shared" si="375"/>
        <v>0</v>
      </c>
      <c r="AJ111" s="244">
        <f t="shared" si="375"/>
        <v>0</v>
      </c>
      <c r="AK111" s="298">
        <f t="shared" si="375"/>
        <v>13.52628</v>
      </c>
      <c r="AL111" s="244">
        <f t="shared" si="375"/>
        <v>0</v>
      </c>
      <c r="AM111" s="244">
        <f t="shared" si="375"/>
        <v>0</v>
      </c>
      <c r="AN111" s="244">
        <f t="shared" si="375"/>
        <v>0</v>
      </c>
      <c r="AO111" s="244">
        <f t="shared" si="375"/>
        <v>0</v>
      </c>
      <c r="AP111" s="298">
        <f t="shared" si="375"/>
        <v>13.52628</v>
      </c>
      <c r="AQ111" s="244"/>
      <c r="AR111" s="244"/>
      <c r="AS111" s="244"/>
      <c r="AT111" s="244"/>
      <c r="AU111" s="298">
        <f>AU110*AU107</f>
        <v>11.546279999999999</v>
      </c>
      <c r="AV111" s="244"/>
      <c r="AW111" s="244"/>
      <c r="AX111" s="244"/>
      <c r="AY111" s="244"/>
      <c r="AZ111" s="298">
        <f>AZ110*AZ107</f>
        <v>11.546279999999999</v>
      </c>
      <c r="BA111" s="244"/>
      <c r="BB111" s="244"/>
      <c r="BC111" s="244"/>
      <c r="BD111" s="244"/>
      <c r="BE111" s="298">
        <f>BE110*BE107</f>
        <v>11.546279999999999</v>
      </c>
      <c r="BF111" s="244"/>
      <c r="BG111" s="244"/>
      <c r="BH111" s="244"/>
      <c r="BI111" s="244"/>
      <c r="BJ111" s="298">
        <f>BJ110*BJ107</f>
        <v>0</v>
      </c>
      <c r="BK111" s="244"/>
      <c r="BL111" s="244"/>
      <c r="BM111" s="244"/>
      <c r="BN111" s="244"/>
      <c r="BO111" s="332">
        <f>BO110*BO107</f>
        <v>0</v>
      </c>
    </row>
    <row r="112" spans="2:67" ht="14.25" customHeight="1">
      <c r="C112" s="128"/>
      <c r="D112" s="128"/>
      <c r="E112" s="128"/>
      <c r="F112" s="128"/>
      <c r="H112" s="128"/>
      <c r="I112" s="128"/>
      <c r="J112" s="128"/>
      <c r="K112" s="128"/>
      <c r="M112" s="128"/>
      <c r="N112" s="128"/>
      <c r="O112" s="128"/>
      <c r="P112" s="128"/>
      <c r="R112" s="128"/>
      <c r="S112" s="128"/>
      <c r="T112" s="128"/>
      <c r="U112" s="128"/>
      <c r="W112" s="128"/>
      <c r="X112" s="128"/>
      <c r="Y112" s="128"/>
      <c r="Z112" s="128"/>
      <c r="AB112" s="128"/>
      <c r="AC112" s="128"/>
      <c r="AD112" s="128"/>
      <c r="AE112" s="128"/>
      <c r="AG112" s="128"/>
      <c r="AH112" s="128"/>
      <c r="AI112" s="128"/>
      <c r="AJ112" s="128"/>
      <c r="AL112" s="128"/>
      <c r="AM112" s="128"/>
      <c r="AN112" s="128"/>
      <c r="AO112" s="128"/>
      <c r="AQ112" s="128"/>
      <c r="AR112" s="128"/>
      <c r="AS112" s="128"/>
      <c r="AT112" s="128"/>
      <c r="AV112" s="128"/>
      <c r="AW112" s="128"/>
      <c r="AX112" s="128"/>
      <c r="AY112" s="128"/>
      <c r="BA112" s="128"/>
      <c r="BB112" s="128"/>
      <c r="BC112" s="128"/>
      <c r="BD112" s="128"/>
      <c r="BF112" s="128"/>
      <c r="BG112" s="128"/>
      <c r="BH112" s="128"/>
      <c r="BI112" s="128"/>
      <c r="BK112" s="128"/>
      <c r="BL112" s="128"/>
      <c r="BM112" s="128"/>
      <c r="BN112" s="128"/>
    </row>
    <row r="113" spans="2:78" ht="14.25" customHeight="1">
      <c r="B113" s="175" t="s">
        <v>142</v>
      </c>
      <c r="C113" s="128"/>
      <c r="D113" s="128"/>
      <c r="E113" s="128"/>
      <c r="F113" s="128"/>
      <c r="H113" s="128"/>
      <c r="I113" s="128"/>
      <c r="J113" s="128"/>
      <c r="K113" s="128"/>
      <c r="M113" s="128"/>
      <c r="N113" s="128"/>
      <c r="O113" s="128"/>
      <c r="P113" s="128"/>
      <c r="R113" s="128"/>
      <c r="S113" s="128"/>
      <c r="T113" s="128"/>
      <c r="U113" s="128"/>
      <c r="W113" s="128"/>
      <c r="X113" s="128"/>
      <c r="Y113" s="128"/>
      <c r="Z113" s="128"/>
      <c r="AB113" s="128"/>
      <c r="AC113" s="128"/>
      <c r="AD113" s="128"/>
      <c r="AE113" s="128"/>
      <c r="AG113" s="128"/>
      <c r="AH113" s="128"/>
      <c r="AI113" s="128"/>
      <c r="AJ113" s="128"/>
      <c r="AL113" s="128"/>
      <c r="AM113" s="128"/>
      <c r="AN113" s="128"/>
      <c r="AO113" s="128"/>
      <c r="AQ113" s="128"/>
      <c r="AR113" s="128"/>
      <c r="AS113" s="128"/>
      <c r="AT113" s="128"/>
      <c r="AV113" s="128"/>
      <c r="AW113" s="128"/>
      <c r="AX113" s="128"/>
      <c r="AY113" s="128"/>
      <c r="BA113" s="128"/>
      <c r="BB113" s="128"/>
      <c r="BC113" s="128"/>
      <c r="BD113" s="128"/>
      <c r="BF113" s="128"/>
      <c r="BG113" s="128"/>
      <c r="BH113" s="128"/>
      <c r="BI113" s="128"/>
      <c r="BK113" s="128"/>
      <c r="BL113" s="128"/>
      <c r="BM113" s="128"/>
      <c r="BN113" s="128"/>
    </row>
    <row r="114" spans="2:78" ht="14.25" customHeight="1">
      <c r="B114" s="140" t="s">
        <v>143</v>
      </c>
      <c r="C114" s="142"/>
      <c r="D114" s="142"/>
      <c r="E114" s="142"/>
      <c r="F114" s="142"/>
      <c r="G114" s="141">
        <v>0.35</v>
      </c>
      <c r="H114" s="142"/>
      <c r="I114" s="142"/>
      <c r="J114" s="142"/>
      <c r="K114" s="142"/>
      <c r="L114" s="141">
        <f>G114</f>
        <v>0.35</v>
      </c>
      <c r="M114" s="142"/>
      <c r="N114" s="142"/>
      <c r="O114" s="142"/>
      <c r="P114" s="142"/>
      <c r="Q114" s="301">
        <f>L114</f>
        <v>0.35</v>
      </c>
      <c r="R114" s="142"/>
      <c r="S114" s="142"/>
      <c r="T114" s="142"/>
      <c r="U114" s="142"/>
      <c r="V114" s="301">
        <f>Q114</f>
        <v>0.35</v>
      </c>
      <c r="W114" s="142"/>
      <c r="X114" s="142"/>
      <c r="Y114" s="142"/>
      <c r="Z114" s="142"/>
      <c r="AA114" s="301">
        <f>V114</f>
        <v>0.35</v>
      </c>
      <c r="AB114" s="142"/>
      <c r="AC114" s="142"/>
      <c r="AD114" s="142"/>
      <c r="AE114" s="142"/>
      <c r="AF114" s="301">
        <f>AA114</f>
        <v>0.35</v>
      </c>
      <c r="AG114" s="142"/>
      <c r="AH114" s="142"/>
      <c r="AI114" s="142"/>
      <c r="AJ114" s="142"/>
      <c r="AK114" s="301">
        <f>AF114</f>
        <v>0.35</v>
      </c>
      <c r="AL114" s="142"/>
      <c r="AM114" s="142"/>
      <c r="AN114" s="142"/>
      <c r="AO114" s="142"/>
      <c r="AP114" s="301">
        <f>AK114</f>
        <v>0.35</v>
      </c>
      <c r="AQ114" s="142"/>
      <c r="AR114" s="142"/>
      <c r="AS114" s="142"/>
      <c r="AT114" s="142"/>
      <c r="AU114" s="301">
        <f>AP114</f>
        <v>0.35</v>
      </c>
      <c r="AV114" s="142"/>
      <c r="AW114" s="142"/>
      <c r="AX114" s="142"/>
      <c r="AY114" s="142"/>
      <c r="AZ114" s="301">
        <f>AU114</f>
        <v>0.35</v>
      </c>
      <c r="BA114" s="142"/>
      <c r="BB114" s="142"/>
      <c r="BC114" s="142"/>
      <c r="BD114" s="142"/>
      <c r="BE114" s="301">
        <v>0.35</v>
      </c>
      <c r="BF114" s="142"/>
      <c r="BG114" s="142"/>
      <c r="BH114" s="142"/>
      <c r="BI114" s="142"/>
      <c r="BJ114" s="301">
        <v>0.35</v>
      </c>
      <c r="BK114" s="142"/>
      <c r="BL114" s="142"/>
      <c r="BM114" s="142"/>
      <c r="BN114" s="142"/>
      <c r="BO114" s="333">
        <v>0.35</v>
      </c>
    </row>
    <row r="115" spans="2:78" ht="14.25" customHeight="1">
      <c r="B115" s="143" t="s">
        <v>144</v>
      </c>
      <c r="C115" s="128"/>
      <c r="D115" s="128"/>
      <c r="E115" s="128"/>
      <c r="F115" s="128"/>
      <c r="G115" s="144">
        <f>-260.9-237.7</f>
        <v>-498.59999999999997</v>
      </c>
      <c r="H115" s="128"/>
      <c r="I115" s="128"/>
      <c r="J115" s="128"/>
      <c r="K115" s="128"/>
      <c r="L115" s="144">
        <f>+G117</f>
        <v>-576.66699999999992</v>
      </c>
      <c r="M115" s="128"/>
      <c r="N115" s="128"/>
      <c r="O115" s="128"/>
      <c r="P115" s="128"/>
      <c r="Q115" s="302">
        <f>L117</f>
        <v>-689.31799999999998</v>
      </c>
      <c r="R115" s="128"/>
      <c r="S115" s="128"/>
      <c r="T115" s="128"/>
      <c r="U115" s="128"/>
      <c r="V115" s="302">
        <f>Q117</f>
        <v>-877.23099999999999</v>
      </c>
      <c r="W115" s="128"/>
      <c r="X115" s="128"/>
      <c r="Y115" s="128"/>
      <c r="Z115" s="128"/>
      <c r="AA115" s="302">
        <f>V117</f>
        <v>-1069.1880000000001</v>
      </c>
      <c r="AB115" s="128"/>
      <c r="AC115" s="128"/>
      <c r="AD115" s="128"/>
      <c r="AE115" s="128"/>
      <c r="AF115" s="302">
        <f>AA117</f>
        <v>-1157.8510000000001</v>
      </c>
      <c r="AG115" s="128"/>
      <c r="AH115" s="128"/>
      <c r="AI115" s="128"/>
      <c r="AJ115" s="128"/>
      <c r="AK115" s="302">
        <f>AF117</f>
        <v>-1194.5788678904994</v>
      </c>
      <c r="AL115" s="128"/>
      <c r="AM115" s="128"/>
      <c r="AN115" s="128"/>
      <c r="AO115" s="128"/>
      <c r="AP115" s="302">
        <f>AK117</f>
        <v>-1143.4242844715977</v>
      </c>
      <c r="AQ115" s="128"/>
      <c r="AR115" s="128"/>
      <c r="AS115" s="128"/>
      <c r="AT115" s="128"/>
      <c r="AU115" s="302">
        <f>AP117</f>
        <v>-1023.5502032757081</v>
      </c>
      <c r="AV115" s="128"/>
      <c r="AW115" s="128"/>
      <c r="AX115" s="128"/>
      <c r="AY115" s="128"/>
      <c r="AZ115" s="302">
        <f>AU117</f>
        <v>-777.48433290218622</v>
      </c>
      <c r="BA115" s="128"/>
      <c r="BB115" s="128"/>
      <c r="BC115" s="128"/>
      <c r="BD115" s="128"/>
      <c r="BE115" s="302">
        <f>AZ117</f>
        <v>-255.35224499523247</v>
      </c>
      <c r="BF115" s="128"/>
      <c r="BG115" s="128"/>
      <c r="BH115" s="128"/>
      <c r="BI115" s="128"/>
      <c r="BJ115" s="302">
        <f>BE117</f>
        <v>0</v>
      </c>
      <c r="BK115" s="128"/>
      <c r="BL115" s="128"/>
      <c r="BM115" s="128"/>
      <c r="BN115" s="128"/>
      <c r="BO115" s="334">
        <f>BJ117</f>
        <v>0</v>
      </c>
    </row>
    <row r="116" spans="2:78" ht="14.25" customHeight="1">
      <c r="B116" s="143" t="s">
        <v>145</v>
      </c>
      <c r="C116" s="128"/>
      <c r="D116" s="128"/>
      <c r="E116" s="128"/>
      <c r="F116" s="128"/>
      <c r="G116" s="145">
        <f>G33</f>
        <v>-78.067000000000007</v>
      </c>
      <c r="H116" s="128"/>
      <c r="I116" s="128"/>
      <c r="J116" s="128"/>
      <c r="K116" s="128"/>
      <c r="L116" s="145">
        <f>L33</f>
        <v>-112.65100000000001</v>
      </c>
      <c r="M116" s="128"/>
      <c r="N116" s="128"/>
      <c r="O116" s="128"/>
      <c r="P116" s="128"/>
      <c r="Q116" s="145">
        <f>Q33</f>
        <v>-187.91300000000001</v>
      </c>
      <c r="R116" s="128"/>
      <c r="S116" s="128"/>
      <c r="T116" s="128"/>
      <c r="U116" s="128"/>
      <c r="V116" s="145">
        <f>V33</f>
        <v>-191.95699999999999</v>
      </c>
      <c r="W116" s="128"/>
      <c r="X116" s="128"/>
      <c r="Y116" s="128"/>
      <c r="Z116" s="128"/>
      <c r="AA116" s="145">
        <f>AA33</f>
        <v>-88.663000000000011</v>
      </c>
      <c r="AB116" s="128"/>
      <c r="AC116" s="128"/>
      <c r="AD116" s="128"/>
      <c r="AE116" s="128"/>
      <c r="AF116" s="145">
        <f>AF33</f>
        <v>-36.727867890499212</v>
      </c>
      <c r="AG116" s="128"/>
      <c r="AH116" s="128"/>
      <c r="AI116" s="128"/>
      <c r="AJ116" s="128"/>
      <c r="AK116" s="145">
        <f>AK33</f>
        <v>51.154583418901773</v>
      </c>
      <c r="AL116" s="128"/>
      <c r="AM116" s="128"/>
      <c r="AN116" s="128"/>
      <c r="AO116" s="128"/>
      <c r="AP116" s="145">
        <f>AP33</f>
        <v>119.87408119588967</v>
      </c>
      <c r="AQ116" s="128"/>
      <c r="AR116" s="128"/>
      <c r="AS116" s="128"/>
      <c r="AT116" s="128"/>
      <c r="AU116" s="145">
        <f>AU33</f>
        <v>246.0658703735219</v>
      </c>
      <c r="AV116" s="128"/>
      <c r="AW116" s="128"/>
      <c r="AX116" s="128"/>
      <c r="AY116" s="128"/>
      <c r="AZ116" s="145">
        <f>AZ33</f>
        <v>522.13208790695376</v>
      </c>
      <c r="BA116" s="128"/>
      <c r="BB116" s="128"/>
      <c r="BC116" s="128"/>
      <c r="BD116" s="128"/>
      <c r="BE116" s="145">
        <f>BE33</f>
        <v>645.37332521273788</v>
      </c>
      <c r="BF116" s="128"/>
      <c r="BG116" s="128"/>
      <c r="BH116" s="128"/>
      <c r="BI116" s="128"/>
      <c r="BJ116" s="145">
        <f>BJ33</f>
        <v>862.78136959878861</v>
      </c>
      <c r="BK116" s="128"/>
      <c r="BL116" s="128"/>
      <c r="BM116" s="128"/>
      <c r="BN116" s="128"/>
      <c r="BO116" s="335">
        <f>BO33</f>
        <v>878.93591872921809</v>
      </c>
    </row>
    <row r="117" spans="2:78" ht="14.25" customHeight="1">
      <c r="B117" s="143" t="s">
        <v>146</v>
      </c>
      <c r="C117" s="128"/>
      <c r="D117" s="128"/>
      <c r="E117" s="128"/>
      <c r="F117" s="128"/>
      <c r="G117" s="145">
        <f>IF(G115+G116&lt;0,G115+G116,0)</f>
        <v>-576.66699999999992</v>
      </c>
      <c r="H117" s="128"/>
      <c r="I117" s="128"/>
      <c r="J117" s="128"/>
      <c r="K117" s="128"/>
      <c r="L117" s="145">
        <f>IF(L115+L116&lt;0,L115+L116,0)</f>
        <v>-689.31799999999998</v>
      </c>
      <c r="M117" s="128"/>
      <c r="N117" s="128"/>
      <c r="O117" s="128"/>
      <c r="P117" s="128"/>
      <c r="Q117" s="145">
        <f>IF(Q115+Q116&lt;0,Q115+Q116,0)</f>
        <v>-877.23099999999999</v>
      </c>
      <c r="R117" s="128"/>
      <c r="S117" s="128"/>
      <c r="T117" s="128"/>
      <c r="U117" s="128"/>
      <c r="V117" s="145">
        <f>IF(V115+V116&lt;0,V115+V116,0)</f>
        <v>-1069.1880000000001</v>
      </c>
      <c r="W117" s="128"/>
      <c r="X117" s="128"/>
      <c r="Y117" s="128"/>
      <c r="Z117" s="128"/>
      <c r="AA117" s="145">
        <f>IF(AA115+AA116&lt;0,AA115+AA116,0)</f>
        <v>-1157.8510000000001</v>
      </c>
      <c r="AB117" s="128"/>
      <c r="AC117" s="128"/>
      <c r="AD117" s="128"/>
      <c r="AE117" s="128"/>
      <c r="AF117" s="145">
        <f>IF(AF115+AF116&lt;0,AF115+AF116,0)</f>
        <v>-1194.5788678904994</v>
      </c>
      <c r="AG117" s="128"/>
      <c r="AH117" s="128"/>
      <c r="AI117" s="128"/>
      <c r="AJ117" s="128"/>
      <c r="AK117" s="145">
        <f>IF(AK115+AK116&lt;0,AK115+AK116,0)</f>
        <v>-1143.4242844715977</v>
      </c>
      <c r="AL117" s="128"/>
      <c r="AM117" s="128"/>
      <c r="AN117" s="128"/>
      <c r="AO117" s="128"/>
      <c r="AP117" s="145">
        <f>IF(AP115+AP116&lt;0,AP115+AP116,0)</f>
        <v>-1023.5502032757081</v>
      </c>
      <c r="AQ117" s="128"/>
      <c r="AR117" s="128"/>
      <c r="AS117" s="128"/>
      <c r="AT117" s="128"/>
      <c r="AU117" s="145">
        <f>IF(AU115+AU116&lt;0,AU115+AU116,0)</f>
        <v>-777.48433290218622</v>
      </c>
      <c r="AV117" s="128"/>
      <c r="AW117" s="128"/>
      <c r="AX117" s="128"/>
      <c r="AY117" s="128"/>
      <c r="AZ117" s="145">
        <f>IF(AZ115+AZ116&lt;0,AZ115+AZ116,0)</f>
        <v>-255.35224499523247</v>
      </c>
      <c r="BA117" s="128"/>
      <c r="BB117" s="128"/>
      <c r="BC117" s="128"/>
      <c r="BD117" s="128"/>
      <c r="BE117" s="145">
        <f>IF(BE115+BE116&lt;0,BE115+BE116,0)</f>
        <v>0</v>
      </c>
      <c r="BF117" s="128"/>
      <c r="BG117" s="128"/>
      <c r="BH117" s="128"/>
      <c r="BI117" s="128"/>
      <c r="BJ117" s="145">
        <f>IF(BJ115+BJ116&lt;0,BJ115+BJ116,0)</f>
        <v>0</v>
      </c>
      <c r="BK117" s="128"/>
      <c r="BL117" s="128"/>
      <c r="BM117" s="128"/>
      <c r="BN117" s="128"/>
      <c r="BO117" s="335">
        <f>IF(BO115+BO116&lt;0,BO115+BO116,0)</f>
        <v>0</v>
      </c>
    </row>
    <row r="118" spans="2:78" ht="14.25" customHeight="1">
      <c r="B118" s="143"/>
      <c r="C118" s="128"/>
      <c r="D118" s="128"/>
      <c r="E118" s="128"/>
      <c r="F118" s="128"/>
      <c r="H118" s="128"/>
      <c r="I118" s="128"/>
      <c r="J118" s="128"/>
      <c r="K118" s="128"/>
      <c r="M118" s="128"/>
      <c r="N118" s="128"/>
      <c r="O118" s="128"/>
      <c r="P118" s="128"/>
      <c r="R118" s="128"/>
      <c r="S118" s="128"/>
      <c r="T118" s="128"/>
      <c r="U118" s="128"/>
      <c r="W118" s="128"/>
      <c r="X118" s="128"/>
      <c r="Y118" s="128"/>
      <c r="Z118" s="128"/>
      <c r="AB118" s="128"/>
      <c r="AC118" s="128"/>
      <c r="AD118" s="128"/>
      <c r="AE118" s="128"/>
      <c r="AG118" s="128"/>
      <c r="AH118" s="128"/>
      <c r="AI118" s="128"/>
      <c r="AJ118" s="128"/>
      <c r="AL118" s="128"/>
      <c r="AM118" s="128"/>
      <c r="AN118" s="128"/>
      <c r="AO118" s="128"/>
      <c r="AQ118" s="128"/>
      <c r="AR118" s="128"/>
      <c r="AS118" s="128"/>
      <c r="AT118" s="128"/>
      <c r="AV118" s="128"/>
      <c r="AW118" s="128"/>
      <c r="AX118" s="128"/>
      <c r="AY118" s="128"/>
      <c r="BA118" s="128"/>
      <c r="BB118" s="128"/>
      <c r="BC118" s="128"/>
      <c r="BD118" s="128"/>
      <c r="BF118" s="128"/>
      <c r="BG118" s="128"/>
      <c r="BH118" s="128"/>
      <c r="BI118" s="128"/>
      <c r="BK118" s="128"/>
      <c r="BL118" s="128"/>
      <c r="BM118" s="128"/>
      <c r="BN118" s="128"/>
      <c r="BO118" s="328"/>
    </row>
    <row r="119" spans="2:78" ht="14.25" customHeight="1">
      <c r="B119" s="143" t="s">
        <v>21</v>
      </c>
      <c r="C119" s="128"/>
      <c r="D119" s="128"/>
      <c r="E119" s="128"/>
      <c r="F119" s="128"/>
      <c r="G119" s="145">
        <f>IF(G117&lt;0,0,G115+G116)</f>
        <v>0</v>
      </c>
      <c r="H119" s="128"/>
      <c r="I119" s="128"/>
      <c r="J119" s="128"/>
      <c r="K119" s="128"/>
      <c r="L119" s="145">
        <f>IF(L117&lt;0,0,L115+L116)</f>
        <v>0</v>
      </c>
      <c r="M119" s="128"/>
      <c r="N119" s="128"/>
      <c r="O119" s="128"/>
      <c r="P119" s="128"/>
      <c r="Q119" s="145">
        <f>IF(Q117&lt;0,0,Q115+Q116)</f>
        <v>0</v>
      </c>
      <c r="R119" s="128"/>
      <c r="S119" s="128"/>
      <c r="T119" s="128"/>
      <c r="U119" s="128"/>
      <c r="V119" s="145">
        <f>IF(V117&lt;0,0,V115+V116)</f>
        <v>0</v>
      </c>
      <c r="W119" s="128"/>
      <c r="X119" s="128"/>
      <c r="Y119" s="128"/>
      <c r="Z119" s="128"/>
      <c r="AA119" s="145">
        <f>IF(AA117&lt;0,0,AA115+AA116)</f>
        <v>0</v>
      </c>
      <c r="AB119" s="128"/>
      <c r="AC119" s="128"/>
      <c r="AD119" s="128"/>
      <c r="AE119" s="128"/>
      <c r="AF119" s="145">
        <f>IF(AF117&lt;0,0,AF115+AF116)</f>
        <v>0</v>
      </c>
      <c r="AG119" s="128"/>
      <c r="AH119" s="128"/>
      <c r="AI119" s="128"/>
      <c r="AJ119" s="128"/>
      <c r="AK119" s="145">
        <f>IF(AK117&lt;0,0,AK115+AK116)</f>
        <v>0</v>
      </c>
      <c r="AL119" s="128"/>
      <c r="AM119" s="128"/>
      <c r="AN119" s="128"/>
      <c r="AO119" s="128"/>
      <c r="AP119" s="145">
        <f>IF(AP117&lt;0,0,AP115+AP116)</f>
        <v>0</v>
      </c>
      <c r="AQ119" s="128"/>
      <c r="AR119" s="128"/>
      <c r="AS119" s="128"/>
      <c r="AT119" s="128"/>
      <c r="AU119" s="145">
        <f>IF(AU117&lt;0,0,AU115+AU116)</f>
        <v>0</v>
      </c>
      <c r="AV119" s="128"/>
      <c r="AW119" s="128"/>
      <c r="AX119" s="128"/>
      <c r="AY119" s="128"/>
      <c r="AZ119" s="145">
        <f>IF(AZ117&lt;0,0,AZ115+AZ116)</f>
        <v>0</v>
      </c>
      <c r="BA119" s="128"/>
      <c r="BB119" s="128"/>
      <c r="BC119" s="128"/>
      <c r="BD119" s="128"/>
      <c r="BE119" s="145">
        <f>IF(BE117&lt;0,0,BE115+BE116)</f>
        <v>390.02108021750541</v>
      </c>
      <c r="BF119" s="128"/>
      <c r="BG119" s="128"/>
      <c r="BH119" s="128"/>
      <c r="BI119" s="128"/>
      <c r="BJ119" s="145">
        <f>IF(BJ117&lt;0,0,BJ115+BJ116)</f>
        <v>862.78136959878861</v>
      </c>
      <c r="BK119" s="128"/>
      <c r="BL119" s="128"/>
      <c r="BM119" s="128"/>
      <c r="BN119" s="128"/>
      <c r="BO119" s="335">
        <f>IF(BO117&lt;0,0,BO115+BO116)</f>
        <v>878.93591872921809</v>
      </c>
    </row>
    <row r="120" spans="2:78" ht="14.25" customHeight="1">
      <c r="B120" s="143" t="s">
        <v>22</v>
      </c>
      <c r="C120" s="128"/>
      <c r="D120" s="128"/>
      <c r="E120" s="128"/>
      <c r="F120" s="128"/>
      <c r="G120" s="145">
        <f>IF(G117&lt;0,0,G114*G116)</f>
        <v>0</v>
      </c>
      <c r="H120" s="128"/>
      <c r="I120" s="128"/>
      <c r="J120" s="128"/>
      <c r="K120" s="128"/>
      <c r="L120" s="145">
        <f>IF(L117&lt;0,0,L114*L116)</f>
        <v>0</v>
      </c>
      <c r="M120" s="128"/>
      <c r="N120" s="128"/>
      <c r="O120" s="128"/>
      <c r="P120" s="128"/>
      <c r="Q120" s="145">
        <f>IF(Q117&lt;0,0,Q114*Q116)</f>
        <v>0</v>
      </c>
      <c r="R120" s="128"/>
      <c r="S120" s="128"/>
      <c r="T120" s="128"/>
      <c r="U120" s="128"/>
      <c r="V120" s="145">
        <f>IF(V117&lt;0,0,V114*V116)</f>
        <v>0</v>
      </c>
      <c r="W120" s="128"/>
      <c r="X120" s="128"/>
      <c r="Y120" s="128"/>
      <c r="Z120" s="128"/>
      <c r="AA120" s="145">
        <f>IF(AA117&lt;0,0,AA114*AA116)</f>
        <v>0</v>
      </c>
      <c r="AB120" s="128"/>
      <c r="AC120" s="128"/>
      <c r="AD120" s="128"/>
      <c r="AE120" s="128"/>
      <c r="AF120" s="145">
        <f>IF(AF117&lt;0,0,AF114*AF116)</f>
        <v>0</v>
      </c>
      <c r="AG120" s="128"/>
      <c r="AH120" s="128"/>
      <c r="AI120" s="128"/>
      <c r="AJ120" s="128"/>
      <c r="AK120" s="145">
        <f>IF(AK117&lt;0,0,AK114*AK116)</f>
        <v>0</v>
      </c>
      <c r="AL120" s="128"/>
      <c r="AM120" s="128"/>
      <c r="AN120" s="128"/>
      <c r="AO120" s="128"/>
      <c r="AP120" s="145">
        <f>IF(AP117&lt;0,0,AP114*AP116)</f>
        <v>0</v>
      </c>
      <c r="AQ120" s="128"/>
      <c r="AR120" s="128"/>
      <c r="AS120" s="128"/>
      <c r="AT120" s="128"/>
      <c r="AU120" s="145">
        <f>IF(AU117&lt;0,0,AU114*AU116)</f>
        <v>0</v>
      </c>
      <c r="AV120" s="128"/>
      <c r="AW120" s="128"/>
      <c r="AX120" s="128"/>
      <c r="AY120" s="128"/>
      <c r="AZ120" s="145">
        <f>IF(AZ117&lt;0,0,AZ114*AZ116)</f>
        <v>0</v>
      </c>
      <c r="BA120" s="128"/>
      <c r="BB120" s="128"/>
      <c r="BC120" s="128"/>
      <c r="BD120" s="128"/>
      <c r="BE120" s="145">
        <f>IF(BE117&lt;0,0,BE114*BE116)</f>
        <v>225.88066382445825</v>
      </c>
      <c r="BF120" s="128"/>
      <c r="BG120" s="128"/>
      <c r="BH120" s="128"/>
      <c r="BI120" s="128"/>
      <c r="BJ120" s="145">
        <f>IF(BJ117&lt;0,0,BJ114*BJ116)</f>
        <v>301.973479359576</v>
      </c>
      <c r="BK120" s="128"/>
      <c r="BL120" s="128"/>
      <c r="BM120" s="128"/>
      <c r="BN120" s="128"/>
      <c r="BO120" s="335">
        <f>IF(BO117&lt;0,0,BO114*BO116)</f>
        <v>307.62757155522633</v>
      </c>
    </row>
    <row r="121" spans="2:78" ht="14.25" customHeight="1">
      <c r="B121" s="385" t="s">
        <v>23</v>
      </c>
      <c r="C121" s="135"/>
      <c r="D121" s="135"/>
      <c r="E121" s="135"/>
      <c r="F121" s="135"/>
      <c r="G121" s="147">
        <f>G114*G119</f>
        <v>0</v>
      </c>
      <c r="H121" s="135"/>
      <c r="I121" s="135"/>
      <c r="J121" s="135"/>
      <c r="K121" s="135"/>
      <c r="L121" s="147">
        <f>L114*L119</f>
        <v>0</v>
      </c>
      <c r="M121" s="135"/>
      <c r="N121" s="135"/>
      <c r="O121" s="135"/>
      <c r="P121" s="135"/>
      <c r="Q121" s="147">
        <f>Q114*Q119</f>
        <v>0</v>
      </c>
      <c r="R121" s="135"/>
      <c r="S121" s="135"/>
      <c r="T121" s="135"/>
      <c r="U121" s="135"/>
      <c r="V121" s="147">
        <f>V114*V119</f>
        <v>0</v>
      </c>
      <c r="W121" s="135"/>
      <c r="X121" s="135"/>
      <c r="Y121" s="135"/>
      <c r="Z121" s="135"/>
      <c r="AA121" s="147">
        <f>AA114*AA119</f>
        <v>0</v>
      </c>
      <c r="AB121" s="135"/>
      <c r="AC121" s="135"/>
      <c r="AD121" s="135"/>
      <c r="AE121" s="135"/>
      <c r="AF121" s="147">
        <f>AF114*AF119</f>
        <v>0</v>
      </c>
      <c r="AG121" s="135"/>
      <c r="AH121" s="135"/>
      <c r="AI121" s="135"/>
      <c r="AJ121" s="135"/>
      <c r="AK121" s="147">
        <f>AK114*AK119</f>
        <v>0</v>
      </c>
      <c r="AL121" s="135"/>
      <c r="AM121" s="135"/>
      <c r="AN121" s="135"/>
      <c r="AO121" s="135"/>
      <c r="AP121" s="147">
        <f>AP114*AP119</f>
        <v>0</v>
      </c>
      <c r="AQ121" s="135"/>
      <c r="AR121" s="135"/>
      <c r="AS121" s="135"/>
      <c r="AT121" s="135"/>
      <c r="AU121" s="147">
        <f>AU114*AU119</f>
        <v>0</v>
      </c>
      <c r="AV121" s="135"/>
      <c r="AW121" s="135"/>
      <c r="AX121" s="135"/>
      <c r="AY121" s="135"/>
      <c r="AZ121" s="147">
        <f>AZ114*AZ119</f>
        <v>0</v>
      </c>
      <c r="BA121" s="135"/>
      <c r="BB121" s="135"/>
      <c r="BC121" s="135"/>
      <c r="BD121" s="135"/>
      <c r="BE121" s="147">
        <f>BE114*BE119</f>
        <v>136.50737807612688</v>
      </c>
      <c r="BF121" s="135"/>
      <c r="BG121" s="135"/>
      <c r="BH121" s="135"/>
      <c r="BI121" s="135"/>
      <c r="BJ121" s="147">
        <f>BJ114*BJ119</f>
        <v>301.973479359576</v>
      </c>
      <c r="BK121" s="135"/>
      <c r="BL121" s="135"/>
      <c r="BM121" s="135"/>
      <c r="BN121" s="135"/>
      <c r="BO121" s="386">
        <f>BO114*BO119</f>
        <v>307.62757155522633</v>
      </c>
    </row>
    <row r="122" spans="2:78" s="110" customFormat="1" ht="15" customHeight="1">
      <c r="B122" s="126"/>
      <c r="C122" s="128"/>
      <c r="D122" s="128"/>
      <c r="E122" s="128"/>
      <c r="F122" s="128"/>
      <c r="G122" s="127"/>
      <c r="H122" s="128"/>
      <c r="I122" s="128"/>
      <c r="J122" s="128"/>
      <c r="K122" s="128"/>
      <c r="L122" s="127"/>
      <c r="M122" s="128"/>
      <c r="N122" s="128"/>
      <c r="O122" s="128"/>
      <c r="P122" s="128"/>
      <c r="Q122" s="127"/>
      <c r="R122" s="128"/>
      <c r="S122" s="128"/>
      <c r="T122" s="128"/>
      <c r="U122" s="128"/>
      <c r="V122" s="127"/>
      <c r="W122" s="128"/>
      <c r="X122" s="128"/>
      <c r="Y122" s="128"/>
      <c r="Z122" s="128"/>
      <c r="AA122" s="127"/>
      <c r="AB122" s="128"/>
      <c r="AC122" s="128"/>
      <c r="AD122" s="128"/>
      <c r="AE122" s="128"/>
      <c r="AF122" s="127"/>
      <c r="AG122" s="128"/>
      <c r="AH122" s="128"/>
      <c r="AI122" s="128"/>
      <c r="AJ122" s="128"/>
      <c r="AK122" s="127"/>
      <c r="AL122" s="128"/>
      <c r="AM122" s="128"/>
      <c r="AN122" s="128"/>
      <c r="AO122" s="128"/>
      <c r="AP122" s="127"/>
      <c r="AQ122" s="128"/>
      <c r="AR122" s="128"/>
      <c r="AS122" s="128"/>
      <c r="AT122" s="128"/>
      <c r="AU122" s="127"/>
      <c r="AV122" s="128"/>
      <c r="AW122" s="128"/>
      <c r="AX122" s="128"/>
      <c r="AY122" s="128"/>
      <c r="AZ122" s="127"/>
      <c r="BA122" s="128"/>
      <c r="BB122" s="128"/>
      <c r="BC122" s="128"/>
      <c r="BD122" s="128"/>
      <c r="BE122" s="127"/>
      <c r="BF122" s="128"/>
      <c r="BG122" s="128"/>
      <c r="BH122" s="128"/>
      <c r="BI122" s="128"/>
      <c r="BJ122" s="127"/>
      <c r="BK122" s="128"/>
      <c r="BL122" s="128"/>
      <c r="BM122" s="128"/>
      <c r="BN122" s="128"/>
      <c r="BO122" s="127"/>
      <c r="BU122"/>
      <c r="BV122"/>
      <c r="BW122"/>
      <c r="BX122"/>
      <c r="BY122"/>
      <c r="BZ122"/>
    </row>
    <row r="123" spans="2:78" s="150" customFormat="1" ht="14.25" customHeight="1" thickBot="1">
      <c r="B123" s="148"/>
      <c r="C123" s="149"/>
      <c r="D123" s="149"/>
      <c r="E123" s="149"/>
      <c r="F123" s="149"/>
      <c r="G123" s="149"/>
      <c r="H123" s="149"/>
      <c r="I123" s="149"/>
      <c r="J123" s="149"/>
      <c r="K123" s="149"/>
      <c r="L123" s="149"/>
      <c r="M123" s="149"/>
      <c r="N123" s="149"/>
      <c r="O123" s="149"/>
      <c r="P123" s="149"/>
      <c r="Q123" s="303"/>
      <c r="R123" s="149"/>
      <c r="S123" s="149"/>
      <c r="T123" s="149"/>
      <c r="U123" s="149"/>
      <c r="V123" s="303"/>
      <c r="W123" s="149"/>
      <c r="X123" s="149"/>
      <c r="Y123" s="149"/>
      <c r="Z123" s="149"/>
      <c r="AA123" s="303"/>
      <c r="AB123" s="149"/>
      <c r="AC123" s="149"/>
      <c r="AD123" s="149"/>
      <c r="AE123" s="149"/>
      <c r="AF123" s="303"/>
      <c r="AG123" s="149"/>
      <c r="AH123" s="149"/>
      <c r="AI123" s="149"/>
      <c r="AJ123" s="149"/>
      <c r="AK123" s="303"/>
      <c r="AL123" s="149"/>
      <c r="AM123" s="149"/>
      <c r="AN123" s="149"/>
      <c r="AO123" s="149"/>
      <c r="AP123" s="303"/>
      <c r="AQ123" s="149"/>
      <c r="AR123" s="149"/>
      <c r="AS123" s="149"/>
      <c r="AT123" s="149"/>
      <c r="AU123" s="303"/>
      <c r="AV123" s="149"/>
      <c r="AW123" s="149"/>
      <c r="AX123" s="149"/>
      <c r="AY123" s="149"/>
      <c r="AZ123" s="303"/>
      <c r="BA123" s="149"/>
      <c r="BB123" s="149"/>
      <c r="BC123" s="149"/>
      <c r="BD123" s="149"/>
      <c r="BE123" s="303"/>
      <c r="BF123" s="149"/>
      <c r="BG123" s="149"/>
      <c r="BH123" s="149"/>
      <c r="BI123" s="149"/>
      <c r="BJ123" s="303"/>
      <c r="BK123" s="149"/>
      <c r="BL123" s="149"/>
      <c r="BM123" s="149"/>
      <c r="BN123" s="149"/>
      <c r="BO123" s="303"/>
      <c r="BU123"/>
      <c r="BV123"/>
      <c r="BW123"/>
      <c r="BX123"/>
      <c r="BY123"/>
      <c r="BZ123"/>
    </row>
    <row r="124" spans="2:78" s="151" customFormat="1" ht="14.25" customHeight="1" thickBot="1">
      <c r="B124" s="596" t="s">
        <v>446</v>
      </c>
      <c r="C124" s="149"/>
      <c r="D124" s="149"/>
      <c r="E124" s="149"/>
      <c r="F124" s="149"/>
      <c r="G124" s="149"/>
      <c r="H124" s="149"/>
      <c r="I124" s="149"/>
      <c r="J124" s="149"/>
      <c r="K124" s="149"/>
      <c r="L124" s="149"/>
      <c r="M124" s="149"/>
      <c r="N124" s="149"/>
      <c r="O124" s="149"/>
      <c r="P124" s="149"/>
      <c r="Q124" s="303"/>
      <c r="R124" s="149"/>
      <c r="S124" s="149"/>
      <c r="T124" s="149"/>
      <c r="U124" s="149"/>
      <c r="V124" s="303"/>
      <c r="W124" s="149"/>
      <c r="X124" s="149"/>
      <c r="Y124" s="149"/>
      <c r="Z124" s="149"/>
      <c r="AA124" s="399">
        <f>'DMD Gene Therapy'!AA2</f>
        <v>1</v>
      </c>
      <c r="AB124" s="149"/>
      <c r="AC124" s="149"/>
      <c r="AD124" s="149"/>
      <c r="AE124" s="149"/>
      <c r="AF124" s="303"/>
      <c r="AG124" s="149"/>
      <c r="AH124" s="149"/>
      <c r="AI124" s="149"/>
      <c r="AJ124" s="149"/>
      <c r="AK124" s="303"/>
      <c r="AL124" s="149"/>
      <c r="AM124" s="149"/>
      <c r="AN124" s="149"/>
      <c r="AO124" s="149"/>
      <c r="AP124" s="303"/>
      <c r="AQ124" s="149"/>
      <c r="AR124" s="149"/>
      <c r="AS124" s="149"/>
      <c r="AT124" s="149"/>
      <c r="AU124" s="303"/>
      <c r="AV124" s="149"/>
      <c r="AW124" s="149"/>
      <c r="AX124" s="149"/>
      <c r="AY124" s="149"/>
      <c r="AZ124" s="303"/>
      <c r="BA124" s="149"/>
      <c r="BB124" s="149"/>
      <c r="BC124" s="149"/>
      <c r="BD124" s="149"/>
      <c r="BE124" s="303"/>
      <c r="BF124" s="149"/>
      <c r="BG124" s="149"/>
      <c r="BH124" s="149"/>
      <c r="BI124" s="149"/>
      <c r="BJ124" s="303"/>
      <c r="BK124" s="149"/>
      <c r="BL124" s="149"/>
      <c r="BM124" s="149"/>
      <c r="BN124" s="149"/>
      <c r="BO124" s="303"/>
      <c r="BU124"/>
      <c r="BV124"/>
      <c r="BW124"/>
      <c r="BX124"/>
      <c r="BY124"/>
      <c r="BZ124"/>
    </row>
    <row r="125" spans="2:78" s="151" customFormat="1" ht="14.25" customHeight="1">
      <c r="B125" s="148"/>
      <c r="C125" s="149"/>
      <c r="D125" s="149"/>
      <c r="E125" s="149"/>
      <c r="F125" s="149"/>
      <c r="G125" s="149"/>
      <c r="H125" s="149"/>
      <c r="I125" s="149"/>
      <c r="J125" s="149"/>
      <c r="K125" s="149"/>
      <c r="L125" s="149"/>
      <c r="M125" s="149"/>
      <c r="N125" s="149"/>
      <c r="O125" s="149"/>
      <c r="P125" s="149"/>
      <c r="Q125" s="303"/>
      <c r="R125" s="149"/>
      <c r="S125" s="149"/>
      <c r="T125" s="149"/>
      <c r="U125" s="149"/>
      <c r="V125" s="303"/>
      <c r="W125" s="149"/>
      <c r="X125" s="149"/>
      <c r="Y125" s="149"/>
      <c r="Z125" s="149"/>
      <c r="AA125" s="303"/>
      <c r="AB125" s="149"/>
      <c r="AC125" s="149"/>
      <c r="AD125" s="149"/>
      <c r="AE125" s="149"/>
      <c r="AF125" s="303"/>
      <c r="AG125" s="149"/>
      <c r="AH125" s="149"/>
      <c r="AI125" s="149"/>
      <c r="AJ125" s="149"/>
      <c r="AK125" s="303"/>
      <c r="AL125" s="149"/>
      <c r="AM125" s="149"/>
      <c r="AN125" s="149"/>
      <c r="AO125" s="149"/>
      <c r="AP125" s="303"/>
      <c r="AQ125" s="149"/>
      <c r="AR125" s="149"/>
      <c r="AS125" s="149"/>
      <c r="AT125" s="149"/>
      <c r="AU125" s="303"/>
      <c r="AV125" s="149"/>
      <c r="AW125" s="149"/>
      <c r="AX125" s="149"/>
      <c r="AY125" s="149"/>
      <c r="AZ125" s="303"/>
      <c r="BA125" s="149"/>
      <c r="BB125" s="149"/>
      <c r="BC125" s="149"/>
      <c r="BD125" s="149"/>
      <c r="BE125" s="303"/>
      <c r="BF125" s="149"/>
      <c r="BG125" s="149"/>
      <c r="BH125" s="149"/>
      <c r="BI125" s="149"/>
      <c r="BJ125" s="303"/>
      <c r="BK125" s="149"/>
      <c r="BL125" s="149"/>
      <c r="BM125" s="149"/>
      <c r="BN125" s="149"/>
      <c r="BO125" s="303"/>
      <c r="BU125"/>
      <c r="BV125"/>
      <c r="BW125"/>
      <c r="BX125"/>
      <c r="BY125"/>
      <c r="BZ125"/>
    </row>
    <row r="126" spans="2:78" ht="14.25" customHeight="1">
      <c r="B126" s="152"/>
      <c r="C126" s="149"/>
      <c r="D126" s="149"/>
      <c r="E126" s="149"/>
      <c r="F126" s="149"/>
      <c r="G126" s="149"/>
      <c r="H126" s="149"/>
      <c r="I126" s="149"/>
      <c r="J126" s="149"/>
      <c r="K126" s="149"/>
      <c r="L126" s="149"/>
      <c r="M126" s="149"/>
      <c r="N126" s="149"/>
      <c r="O126" s="149"/>
      <c r="P126" s="149"/>
      <c r="Q126" s="303"/>
      <c r="R126" s="149"/>
      <c r="S126" s="149"/>
      <c r="T126" s="149"/>
      <c r="U126" s="149"/>
      <c r="V126" s="303"/>
      <c r="W126" s="149"/>
      <c r="X126" s="149"/>
      <c r="Y126" s="149"/>
      <c r="Z126" s="149"/>
      <c r="AA126" s="303"/>
      <c r="AB126" s="149"/>
      <c r="AC126" s="149"/>
      <c r="AD126" s="149"/>
      <c r="AE126" s="149"/>
      <c r="AF126" s="303"/>
      <c r="AG126" s="149"/>
      <c r="AH126" s="149"/>
      <c r="AI126" s="149"/>
      <c r="AJ126" s="149"/>
      <c r="AK126" s="303"/>
      <c r="AL126" s="149"/>
      <c r="AM126" s="149"/>
      <c r="AN126" s="149"/>
      <c r="AO126" s="149"/>
      <c r="AP126" s="303"/>
      <c r="AQ126" s="149"/>
      <c r="AR126" s="149"/>
      <c r="AS126" s="149"/>
      <c r="AT126" s="149"/>
      <c r="AU126" s="303"/>
      <c r="AV126" s="149"/>
      <c r="AW126" s="149"/>
      <c r="AX126" s="149"/>
      <c r="AY126" s="149"/>
      <c r="AZ126" s="303"/>
      <c r="BA126" s="149"/>
      <c r="BB126" s="149"/>
      <c r="BC126" s="149"/>
      <c r="BD126" s="149"/>
      <c r="BE126" s="303"/>
      <c r="BF126" s="149"/>
      <c r="BG126" s="149"/>
      <c r="BH126" s="149"/>
      <c r="BI126" s="149"/>
      <c r="BJ126" s="303"/>
      <c r="BK126" s="149"/>
      <c r="BL126" s="149"/>
      <c r="BM126" s="149"/>
      <c r="BN126" s="149"/>
      <c r="BO126" s="303"/>
    </row>
    <row r="127" spans="2:78" customFormat="1" ht="14.25" customHeight="1"/>
    <row r="130" spans="2:67" ht="14.25" customHeight="1">
      <c r="B130" s="176" t="s">
        <v>246</v>
      </c>
    </row>
    <row r="131" spans="2:67" ht="14.25" customHeight="1">
      <c r="B131" s="129" t="s">
        <v>247</v>
      </c>
      <c r="C131" s="129">
        <v>31.888949</v>
      </c>
      <c r="D131" s="129">
        <v>32.433083000000003</v>
      </c>
      <c r="E131" s="129">
        <v>37.533695000000002</v>
      </c>
      <c r="F131" s="129">
        <v>37.751919999999998</v>
      </c>
      <c r="G131" s="129">
        <v>37.751919999999998</v>
      </c>
      <c r="H131" s="129">
        <v>37.986041</v>
      </c>
      <c r="I131" s="129">
        <v>40.799692</v>
      </c>
      <c r="J131" s="129">
        <v>41.304850999999999</v>
      </c>
      <c r="K131" s="129">
        <v>41.311512</v>
      </c>
      <c r="L131" s="129">
        <v>41.311512</v>
      </c>
      <c r="M131" s="129">
        <v>41.524141999999998</v>
      </c>
      <c r="N131" s="129">
        <v>41.515793000000002</v>
      </c>
      <c r="O131" s="129">
        <v>41.963151000000003</v>
      </c>
      <c r="P131" s="129">
        <v>45.629528999999998</v>
      </c>
      <c r="Q131" s="304">
        <v>45.629528999999998</v>
      </c>
      <c r="R131" s="129">
        <v>45.767496999999999</v>
      </c>
      <c r="S131" s="129">
        <f>+R131</f>
        <v>45.767496999999999</v>
      </c>
      <c r="T131" s="129">
        <f t="shared" ref="T131:U131" si="376">+S131</f>
        <v>45.767496999999999</v>
      </c>
      <c r="U131" s="129">
        <f t="shared" si="376"/>
        <v>45.767496999999999</v>
      </c>
      <c r="V131" s="389">
        <f>+Q131</f>
        <v>45.629528999999998</v>
      </c>
      <c r="W131" s="390" t="s">
        <v>249</v>
      </c>
      <c r="X131" s="390" t="s">
        <v>249</v>
      </c>
      <c r="Y131" s="390" t="s">
        <v>249</v>
      </c>
      <c r="Z131" s="390" t="s">
        <v>249</v>
      </c>
      <c r="AA131" s="389">
        <f>+V131</f>
        <v>45.629528999999998</v>
      </c>
      <c r="AB131" s="390" t="s">
        <v>249</v>
      </c>
      <c r="AC131" s="390" t="s">
        <v>249</v>
      </c>
      <c r="AD131" s="390" t="s">
        <v>249</v>
      </c>
      <c r="AE131" s="390" t="s">
        <v>249</v>
      </c>
      <c r="AF131" s="389">
        <f>+AA131</f>
        <v>45.629528999999998</v>
      </c>
      <c r="AG131" s="390" t="s">
        <v>249</v>
      </c>
      <c r="AH131" s="390" t="s">
        <v>249</v>
      </c>
      <c r="AI131" s="390" t="s">
        <v>249</v>
      </c>
      <c r="AJ131" s="390" t="s">
        <v>249</v>
      </c>
      <c r="AK131" s="389">
        <f>+AF131</f>
        <v>45.629528999999998</v>
      </c>
      <c r="AL131" s="390" t="s">
        <v>249</v>
      </c>
      <c r="AM131" s="390" t="s">
        <v>249</v>
      </c>
      <c r="AN131" s="390" t="s">
        <v>249</v>
      </c>
      <c r="AO131" s="390" t="s">
        <v>249</v>
      </c>
      <c r="AP131" s="389">
        <f>+AK131</f>
        <v>45.629528999999998</v>
      </c>
      <c r="AQ131" s="390" t="s">
        <v>249</v>
      </c>
      <c r="AR131" s="390" t="s">
        <v>249</v>
      </c>
      <c r="AS131" s="390" t="s">
        <v>249</v>
      </c>
      <c r="AT131" s="390" t="s">
        <v>249</v>
      </c>
      <c r="AU131" s="389">
        <f>+AP131</f>
        <v>45.629528999999998</v>
      </c>
      <c r="AV131" s="390" t="s">
        <v>249</v>
      </c>
      <c r="AW131" s="390" t="s">
        <v>249</v>
      </c>
      <c r="AX131" s="390" t="s">
        <v>249</v>
      </c>
      <c r="AY131" s="390" t="s">
        <v>249</v>
      </c>
      <c r="AZ131" s="389">
        <f>+AU131</f>
        <v>45.629528999999998</v>
      </c>
      <c r="BA131" s="390" t="s">
        <v>249</v>
      </c>
      <c r="BB131" s="390" t="s">
        <v>249</v>
      </c>
      <c r="BC131" s="390" t="s">
        <v>249</v>
      </c>
      <c r="BD131" s="390" t="s">
        <v>249</v>
      </c>
      <c r="BE131" s="389">
        <f>+AZ131</f>
        <v>45.629528999999998</v>
      </c>
      <c r="BF131" s="390" t="s">
        <v>249</v>
      </c>
      <c r="BG131" s="390" t="s">
        <v>249</v>
      </c>
      <c r="BH131" s="390" t="s">
        <v>249</v>
      </c>
      <c r="BI131" s="390" t="s">
        <v>249</v>
      </c>
      <c r="BJ131" s="389">
        <f>+BE131</f>
        <v>45.629528999999998</v>
      </c>
      <c r="BK131" s="390" t="s">
        <v>249</v>
      </c>
      <c r="BL131" s="390" t="s">
        <v>249</v>
      </c>
      <c r="BM131" s="390" t="s">
        <v>249</v>
      </c>
      <c r="BN131" s="390" t="s">
        <v>249</v>
      </c>
      <c r="BO131" s="389">
        <f>+BJ131</f>
        <v>45.629528999999998</v>
      </c>
    </row>
    <row r="132" spans="2:67" ht="14.25" customHeight="1">
      <c r="B132" s="129" t="s">
        <v>349</v>
      </c>
      <c r="Q132" s="294">
        <f>CF!E29+CF!E31</f>
        <v>128.20699999999999</v>
      </c>
      <c r="V132" s="294">
        <f>CF!F29+CF!F31</f>
        <v>385.73200000000003</v>
      </c>
      <c r="AA132" s="294">
        <f>CF!G29+CF!G31</f>
        <v>369.18299999999999</v>
      </c>
      <c r="AF132" s="294">
        <f>CF!H29+CF!H31</f>
        <v>1.2841673228947623</v>
      </c>
      <c r="AK132" s="294">
        <f>CF!I29+CF!I31</f>
        <v>1.2017175108447151</v>
      </c>
      <c r="AP132" s="294">
        <f>CF!J29+CF!J31</f>
        <v>1.1245613792877709</v>
      </c>
      <c r="AU132" s="294">
        <f>CF!K29+CF!K31</f>
        <v>1.0523590480899874</v>
      </c>
      <c r="AZ132" s="294">
        <f>CF!L29+CF!L31</f>
        <v>0.98479245908147983</v>
      </c>
      <c r="BE132" s="294">
        <f>CF!M29+CF!M31</f>
        <v>0.92156397497978171</v>
      </c>
      <c r="BJ132" s="294">
        <f>CF!N29+CF!N31</f>
        <v>0.86239506826916901</v>
      </c>
      <c r="BO132" s="294">
        <f>CF!O29+CF!O31</f>
        <v>0.8070250942603322</v>
      </c>
    </row>
    <row r="135" spans="2:67" ht="14.25" customHeight="1">
      <c r="B135" s="192" t="s">
        <v>122</v>
      </c>
      <c r="H135" s="278"/>
    </row>
    <row r="136" spans="2:67" ht="14.25" customHeight="1">
      <c r="B136" s="129" t="s">
        <v>294</v>
      </c>
      <c r="C136" s="100">
        <v>-42.084000000000003</v>
      </c>
      <c r="D136" s="100">
        <v>-19.050999999999998</v>
      </c>
      <c r="E136" s="100">
        <v>-42.03</v>
      </c>
      <c r="F136" s="100">
        <v>-8.82</v>
      </c>
      <c r="G136" s="100">
        <v>-111.985</v>
      </c>
      <c r="H136" s="278">
        <v>-28.273</v>
      </c>
      <c r="I136" s="100">
        <v>-33.874000000000002</v>
      </c>
      <c r="J136" s="100">
        <v>-29.225999999999999</v>
      </c>
      <c r="K136" s="100">
        <v>-44.415999999999997</v>
      </c>
      <c r="L136" s="100">
        <v>-135.78899999999999</v>
      </c>
      <c r="M136" s="100">
        <v>-61.558999999999997</v>
      </c>
      <c r="N136" s="100">
        <v>-41.850999999999999</v>
      </c>
      <c r="O136" s="100">
        <v>-51.939</v>
      </c>
      <c r="P136" s="100">
        <v>-64.680999999999997</v>
      </c>
      <c r="Q136" s="294">
        <v>-220.03</v>
      </c>
      <c r="R136" s="100">
        <v>-59.77</v>
      </c>
      <c r="S136" s="100">
        <v>-62.301000000000002</v>
      </c>
    </row>
    <row r="137" spans="2:67" ht="14.25" customHeight="1">
      <c r="C137" s="274">
        <f t="shared" ref="C137:S137" si="377">+C136-C46</f>
        <v>0</v>
      </c>
      <c r="D137" s="274">
        <f t="shared" si="377"/>
        <v>0</v>
      </c>
      <c r="E137" s="274">
        <f t="shared" si="377"/>
        <v>0</v>
      </c>
      <c r="F137" s="274">
        <f t="shared" si="377"/>
        <v>0</v>
      </c>
      <c r="G137" s="274">
        <f t="shared" si="377"/>
        <v>0</v>
      </c>
      <c r="H137" s="279">
        <f t="shared" si="377"/>
        <v>0</v>
      </c>
      <c r="I137" s="274">
        <f t="shared" si="377"/>
        <v>0</v>
      </c>
      <c r="J137" s="274">
        <f t="shared" si="377"/>
        <v>0</v>
      </c>
      <c r="K137" s="274">
        <f t="shared" si="377"/>
        <v>0</v>
      </c>
      <c r="L137" s="274">
        <f t="shared" si="377"/>
        <v>0</v>
      </c>
      <c r="M137" s="274">
        <f t="shared" si="377"/>
        <v>0</v>
      </c>
      <c r="N137" s="274">
        <f t="shared" si="377"/>
        <v>0</v>
      </c>
      <c r="O137" s="100">
        <f t="shared" si="377"/>
        <v>0</v>
      </c>
      <c r="P137" s="100">
        <f t="shared" si="377"/>
        <v>0</v>
      </c>
      <c r="Q137" s="305">
        <f t="shared" si="377"/>
        <v>0</v>
      </c>
      <c r="R137" s="274">
        <f t="shared" si="377"/>
        <v>0</v>
      </c>
      <c r="S137" s="274">
        <f t="shared" si="377"/>
        <v>0</v>
      </c>
      <c r="V137" s="305"/>
      <c r="W137" s="274"/>
      <c r="X137" s="274"/>
      <c r="AA137" s="305"/>
      <c r="AB137" s="274"/>
      <c r="AC137" s="274"/>
      <c r="AF137" s="305"/>
      <c r="AG137" s="274"/>
      <c r="AH137" s="274"/>
      <c r="AK137" s="305"/>
      <c r="AL137" s="274"/>
      <c r="AM137" s="274"/>
      <c r="AP137" s="305"/>
      <c r="AQ137" s="274"/>
      <c r="AR137" s="274"/>
      <c r="AU137" s="305"/>
      <c r="AV137" s="274"/>
      <c r="AW137" s="274"/>
      <c r="AZ137" s="305"/>
      <c r="BA137" s="274"/>
      <c r="BB137" s="274"/>
      <c r="BE137" s="305"/>
      <c r="BF137" s="274"/>
      <c r="BG137" s="274"/>
      <c r="BJ137" s="305"/>
      <c r="BK137" s="274"/>
      <c r="BL137" s="274"/>
      <c r="BO137" s="305"/>
    </row>
    <row r="138" spans="2:67" ht="14.25" customHeight="1">
      <c r="B138" s="101" t="s">
        <v>295</v>
      </c>
      <c r="C138" s="100">
        <v>-13.045</v>
      </c>
      <c r="D138" s="100">
        <v>-14.579000000000001</v>
      </c>
      <c r="E138" s="100">
        <v>-21.329000000000001</v>
      </c>
      <c r="F138" s="100">
        <v>-29.114000000000001</v>
      </c>
      <c r="H138" s="278">
        <v>-20.670999999999999</v>
      </c>
      <c r="I138" s="100">
        <v>-24.501000000000001</v>
      </c>
      <c r="J138" s="100">
        <v>-28.832999999999998</v>
      </c>
      <c r="K138" s="100">
        <v>-38.646000000000001</v>
      </c>
      <c r="M138" s="100">
        <v>-47.402999999999999</v>
      </c>
      <c r="N138" s="100">
        <v>-35.920999999999999</v>
      </c>
      <c r="O138" s="100">
        <v>-46.256</v>
      </c>
      <c r="P138" s="100">
        <v>-58.332999999999998</v>
      </c>
      <c r="R138" s="100">
        <v>-52.548000000000002</v>
      </c>
      <c r="S138" s="100">
        <v>-54.844999999999999</v>
      </c>
    </row>
    <row r="139" spans="2:67" ht="14.25" customHeight="1">
      <c r="C139" s="274">
        <f t="shared" ref="C139:S139" si="378">+C138-C36</f>
        <v>0</v>
      </c>
      <c r="D139" s="274">
        <f t="shared" si="378"/>
        <v>0</v>
      </c>
      <c r="E139" s="274">
        <f t="shared" si="378"/>
        <v>0</v>
      </c>
      <c r="F139" s="274">
        <f t="shared" si="378"/>
        <v>0</v>
      </c>
      <c r="G139" s="274">
        <f t="shared" si="378"/>
        <v>78.067000000000007</v>
      </c>
      <c r="H139" s="279">
        <f t="shared" si="378"/>
        <v>0</v>
      </c>
      <c r="I139" s="274">
        <f t="shared" si="378"/>
        <v>0</v>
      </c>
      <c r="J139" s="274">
        <f t="shared" si="378"/>
        <v>0</v>
      </c>
      <c r="K139" s="274">
        <f t="shared" si="378"/>
        <v>0</v>
      </c>
      <c r="L139" s="274">
        <f t="shared" si="378"/>
        <v>112.65100000000001</v>
      </c>
      <c r="M139" s="274">
        <f t="shared" si="378"/>
        <v>0</v>
      </c>
      <c r="N139" s="274">
        <f t="shared" si="378"/>
        <v>0</v>
      </c>
      <c r="O139" s="100">
        <f t="shared" si="378"/>
        <v>0</v>
      </c>
      <c r="P139" s="100">
        <f t="shared" si="378"/>
        <v>0</v>
      </c>
      <c r="Q139" s="305">
        <f t="shared" si="378"/>
        <v>187.91300000000001</v>
      </c>
      <c r="R139" s="274">
        <f t="shared" si="378"/>
        <v>0</v>
      </c>
      <c r="S139" s="274">
        <f t="shared" si="378"/>
        <v>0</v>
      </c>
      <c r="V139" s="305"/>
      <c r="W139" s="274"/>
      <c r="X139" s="274"/>
      <c r="AA139" s="305"/>
      <c r="AB139" s="274"/>
      <c r="AC139" s="274"/>
      <c r="AF139" s="305"/>
      <c r="AG139" s="274"/>
      <c r="AH139" s="274"/>
      <c r="AK139" s="305"/>
      <c r="AL139" s="274"/>
      <c r="AM139" s="274"/>
      <c r="AP139" s="305"/>
      <c r="AQ139" s="274"/>
      <c r="AR139" s="274"/>
      <c r="AU139" s="305"/>
      <c r="AV139" s="274"/>
      <c r="AW139" s="274"/>
      <c r="AZ139" s="305"/>
      <c r="BA139" s="274"/>
      <c r="BB139" s="274"/>
      <c r="BE139" s="305"/>
      <c r="BF139" s="274"/>
      <c r="BG139" s="274"/>
      <c r="BJ139" s="305"/>
      <c r="BK139" s="274"/>
      <c r="BL139" s="274"/>
      <c r="BO139" s="305"/>
    </row>
    <row r="140" spans="2:67" ht="14.25" customHeight="1">
      <c r="B140" s="129" t="s">
        <v>293</v>
      </c>
      <c r="C140" s="100">
        <v>-1.32</v>
      </c>
      <c r="D140" s="100">
        <v>-0.6</v>
      </c>
      <c r="E140" s="100">
        <v>-1.24</v>
      </c>
      <c r="F140" s="100">
        <v>-0.23</v>
      </c>
      <c r="G140" s="100">
        <v>-3.31</v>
      </c>
      <c r="H140" s="278">
        <v>-0.75</v>
      </c>
      <c r="I140" s="100">
        <v>-0.85</v>
      </c>
      <c r="J140" s="100">
        <v>-0.71</v>
      </c>
      <c r="K140" s="100">
        <v>-1.08</v>
      </c>
      <c r="L140" s="100">
        <v>-3.39</v>
      </c>
      <c r="M140" s="100">
        <v>-1.49</v>
      </c>
      <c r="N140" s="100">
        <v>-1.01</v>
      </c>
      <c r="O140" s="100">
        <v>-1.25</v>
      </c>
      <c r="P140" s="100">
        <v>-1.44</v>
      </c>
      <c r="Q140" s="294">
        <v>-5.2</v>
      </c>
      <c r="R140" s="100">
        <v>-1.31</v>
      </c>
      <c r="S140" s="100">
        <v>-1.35</v>
      </c>
    </row>
    <row r="141" spans="2:67" ht="14.25" customHeight="1">
      <c r="C141" s="274">
        <f t="shared" ref="C141:S141" si="379">+C140-C49</f>
        <v>2.8554364567943136E-3</v>
      </c>
      <c r="D141" s="274">
        <f t="shared" si="379"/>
        <v>-4.3584292146073844E-3</v>
      </c>
      <c r="E141" s="274">
        <f t="shared" si="379"/>
        <v>-1.7476357422736566E-3</v>
      </c>
      <c r="F141" s="274">
        <f t="shared" si="379"/>
        <v>4.5994254707946991E-3</v>
      </c>
      <c r="G141" s="274">
        <f t="shared" si="379"/>
        <v>-1.7282127031021943E-3</v>
      </c>
      <c r="H141" s="279">
        <f t="shared" si="379"/>
        <v>-2.4523412918749932E-3</v>
      </c>
      <c r="I141" s="274">
        <f t="shared" si="379"/>
        <v>-2.1825297275601674E-4</v>
      </c>
      <c r="J141" s="274">
        <f t="shared" si="379"/>
        <v>1.6836312277795917E-3</v>
      </c>
      <c r="K141" s="274">
        <f t="shared" si="379"/>
        <v>-4.656207631222431E-3</v>
      </c>
      <c r="L141" s="274">
        <f t="shared" si="379"/>
        <v>2.5198620896418333E-3</v>
      </c>
      <c r="M141" s="274">
        <f t="shared" si="379"/>
        <v>-3.3297841448054477E-4</v>
      </c>
      <c r="N141" s="274">
        <f t="shared" si="379"/>
        <v>1.9447735570761182E-3</v>
      </c>
      <c r="O141" s="100">
        <f t="shared" si="379"/>
        <v>-4.1501263081911155E-4</v>
      </c>
      <c r="P141" s="100">
        <f t="shared" si="379"/>
        <v>1.134530546767154E-3</v>
      </c>
      <c r="Q141" s="305">
        <f t="shared" si="379"/>
        <v>2.8848427524232889E-3</v>
      </c>
      <c r="R141" s="274">
        <f t="shared" si="379"/>
        <v>-2.0366763682517774E-3</v>
      </c>
      <c r="S141" s="274">
        <f t="shared" si="379"/>
        <v>-2.3723378902440473E-4</v>
      </c>
      <c r="V141" s="305"/>
      <c r="W141" s="274"/>
      <c r="X141" s="274"/>
      <c r="AA141" s="305"/>
      <c r="AB141" s="274"/>
      <c r="AC141" s="274"/>
      <c r="AF141" s="305"/>
      <c r="AG141" s="274"/>
      <c r="AH141" s="274"/>
      <c r="AK141" s="305"/>
      <c r="AL141" s="274"/>
      <c r="AM141" s="274"/>
      <c r="AP141" s="305"/>
      <c r="AQ141" s="274"/>
      <c r="AR141" s="274"/>
      <c r="AU141" s="305"/>
      <c r="AV141" s="274"/>
      <c r="AW141" s="274"/>
      <c r="AZ141" s="305"/>
      <c r="BA141" s="274"/>
      <c r="BB141" s="274"/>
      <c r="BE141" s="305"/>
      <c r="BF141" s="274"/>
      <c r="BG141" s="274"/>
      <c r="BJ141" s="305"/>
      <c r="BK141" s="274"/>
      <c r="BL141" s="274"/>
      <c r="BO141" s="305"/>
    </row>
    <row r="142" spans="2:67" ht="14.25" customHeight="1">
      <c r="B142" s="129" t="s">
        <v>296</v>
      </c>
      <c r="C142" s="100">
        <v>-0.41</v>
      </c>
      <c r="D142" s="100">
        <v>-0.46</v>
      </c>
      <c r="E142" s="100">
        <v>-0.63</v>
      </c>
      <c r="F142" s="100">
        <v>-0.77</v>
      </c>
      <c r="H142" s="278">
        <v>-0.55000000000000004</v>
      </c>
      <c r="I142" s="100">
        <v>-0.61</v>
      </c>
      <c r="J142" s="100">
        <v>-0.7</v>
      </c>
      <c r="K142" s="100">
        <v>-0.94</v>
      </c>
      <c r="M142" s="100">
        <v>-1.1499999999999999</v>
      </c>
      <c r="N142" s="100">
        <v>-0.87</v>
      </c>
      <c r="O142" s="100">
        <v>-1.1100000000000001</v>
      </c>
      <c r="P142" s="100">
        <v>-1.3</v>
      </c>
      <c r="R142" s="100">
        <v>-1.1499999999999999</v>
      </c>
      <c r="S142" s="100">
        <v>-1.19</v>
      </c>
    </row>
    <row r="143" spans="2:67" ht="14.25" customHeight="1">
      <c r="C143" s="274">
        <f t="shared" ref="C143:S143" si="380">+C142-C39</f>
        <v>5.2494263351521298E-5</v>
      </c>
      <c r="D143" s="274">
        <f t="shared" si="380"/>
        <v>-4.1783391695848771E-3</v>
      </c>
      <c r="E143" s="274">
        <f t="shared" si="380"/>
        <v>-1.6230150546503452E-3</v>
      </c>
      <c r="F143" s="274">
        <f t="shared" si="380"/>
        <v>4.3908926481540655E-3</v>
      </c>
      <c r="G143" s="274">
        <f t="shared" si="380"/>
        <v>2.3062629246676516</v>
      </c>
      <c r="H143" s="279">
        <f t="shared" si="380"/>
        <v>-3.4517860447900173E-3</v>
      </c>
      <c r="I143" s="274">
        <f t="shared" si="380"/>
        <v>4.6455270683859462E-3</v>
      </c>
      <c r="J143" s="274">
        <f t="shared" si="380"/>
        <v>2.113670676471946E-3</v>
      </c>
      <c r="K143" s="274">
        <f t="shared" si="380"/>
        <v>-4.3521208599650585E-3</v>
      </c>
      <c r="L143" s="274">
        <f t="shared" si="380"/>
        <v>2.8144456103532702</v>
      </c>
      <c r="M143" s="274">
        <f t="shared" si="380"/>
        <v>-2.894201916561423E-3</v>
      </c>
      <c r="N143" s="274">
        <f t="shared" si="380"/>
        <v>-1.4408685349517336E-3</v>
      </c>
      <c r="O143" s="100">
        <f t="shared" si="380"/>
        <v>2.8593768795861507E-3</v>
      </c>
      <c r="P143" s="100">
        <f t="shared" si="380"/>
        <v>-3.030167996078692E-4</v>
      </c>
      <c r="Q143" s="305">
        <f t="shared" si="380"/>
        <v>4.4434381650508401</v>
      </c>
      <c r="R143" s="274">
        <f t="shared" si="380"/>
        <v>-7.7685624876755455E-5</v>
      </c>
      <c r="S143" s="274">
        <f t="shared" si="380"/>
        <v>-1.7728621877504125E-3</v>
      </c>
      <c r="V143" s="305"/>
      <c r="W143" s="274"/>
      <c r="X143" s="274"/>
      <c r="AA143" s="305"/>
      <c r="AB143" s="274"/>
      <c r="AC143" s="274"/>
      <c r="AF143" s="305"/>
      <c r="AG143" s="274"/>
      <c r="AH143" s="274"/>
      <c r="AK143" s="305"/>
      <c r="AL143" s="274"/>
      <c r="AM143" s="274"/>
      <c r="AP143" s="305"/>
      <c r="AQ143" s="274"/>
      <c r="AR143" s="274"/>
      <c r="AU143" s="305"/>
      <c r="AV143" s="274"/>
      <c r="AW143" s="274"/>
      <c r="AZ143" s="305"/>
      <c r="BA143" s="274"/>
      <c r="BB143" s="274"/>
      <c r="BE143" s="305"/>
      <c r="BF143" s="274"/>
      <c r="BG143" s="274"/>
      <c r="BJ143" s="305"/>
      <c r="BK143" s="274"/>
      <c r="BL143" s="274"/>
      <c r="BO143" s="305"/>
    </row>
    <row r="153" spans="58:66" ht="14.25" customHeight="1">
      <c r="BF153" s="294"/>
      <c r="BG153" s="294"/>
      <c r="BH153" s="294"/>
      <c r="BI153" s="294"/>
      <c r="BK153" s="294"/>
      <c r="BL153" s="294"/>
      <c r="BM153" s="294"/>
      <c r="BN153" s="294"/>
    </row>
  </sheetData>
  <phoneticPr fontId="8" type="noConversion"/>
  <pageMargins left="0" right="0" top="0" bottom="0" header="0" footer="0"/>
  <pageSetup paperSize="5" scale="28"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A1:AL447"/>
  <sheetViews>
    <sheetView zoomScale="85" zoomScaleNormal="85" workbookViewId="0">
      <pane ySplit="4" topLeftCell="A368" activePane="bottomLeft" state="frozen"/>
      <selection pane="bottomLeft" activeCell="J326" sqref="J326"/>
    </sheetView>
  </sheetViews>
  <sheetFormatPr defaultRowHeight="12.75" outlineLevelRow="1" outlineLevelCol="2"/>
  <cols>
    <col min="1" max="1" width="2.7109375" style="397" bestFit="1" customWidth="1"/>
    <col min="2" max="2" width="58.28515625" style="395" customWidth="1"/>
    <col min="3" max="3" width="11.5703125" style="396" hidden="1" customWidth="1" outlineLevel="2"/>
    <col min="4" max="4" width="9.85546875" style="396" hidden="1" customWidth="1" outlineLevel="2"/>
    <col min="5" max="5" width="9.85546875" style="396" hidden="1" customWidth="1" outlineLevel="1" collapsed="1"/>
    <col min="6" max="8" width="9.85546875" style="396" hidden="1" customWidth="1" outlineLevel="1"/>
    <col min="9" max="9" width="10.28515625" style="396" hidden="1" customWidth="1" collapsed="1"/>
    <col min="10" max="13" width="9.85546875" style="396" hidden="1" customWidth="1" outlineLevel="1"/>
    <col min="14" max="14" width="9.140625" style="396" collapsed="1"/>
    <col min="15" max="18" width="9.85546875" style="396" hidden="1" customWidth="1" outlineLevel="1"/>
    <col min="19" max="19" width="9.140625" style="396" collapsed="1"/>
    <col min="20" max="27" width="9.140625" style="396"/>
    <col min="28" max="28" width="10.140625" style="397" bestFit="1" customWidth="1"/>
    <col min="29" max="268" width="9.140625" style="397"/>
    <col min="269" max="269" width="2.7109375" style="397" bestFit="1" customWidth="1"/>
    <col min="270" max="270" width="33.42578125" style="397" bestFit="1" customWidth="1"/>
    <col min="271" max="271" width="11.5703125" style="397" bestFit="1" customWidth="1"/>
    <col min="272" max="272" width="9.85546875" style="397" customWidth="1"/>
    <col min="273" max="273" width="10.28515625" style="397" customWidth="1"/>
    <col min="274" max="283" width="9.140625" style="397"/>
    <col min="284" max="284" width="10.140625" style="397" bestFit="1" customWidth="1"/>
    <col min="285" max="524" width="9.140625" style="397"/>
    <col min="525" max="525" width="2.7109375" style="397" bestFit="1" customWidth="1"/>
    <col min="526" max="526" width="33.42578125" style="397" bestFit="1" customWidth="1"/>
    <col min="527" max="527" width="11.5703125" style="397" bestFit="1" customWidth="1"/>
    <col min="528" max="528" width="9.85546875" style="397" customWidth="1"/>
    <col min="529" max="529" width="10.28515625" style="397" customWidth="1"/>
    <col min="530" max="539" width="9.140625" style="397"/>
    <col min="540" max="540" width="10.140625" style="397" bestFit="1" customWidth="1"/>
    <col min="541" max="780" width="9.140625" style="397"/>
    <col min="781" max="781" width="2.7109375" style="397" bestFit="1" customWidth="1"/>
    <col min="782" max="782" width="33.42578125" style="397" bestFit="1" customWidth="1"/>
    <col min="783" max="783" width="11.5703125" style="397" bestFit="1" customWidth="1"/>
    <col min="784" max="784" width="9.85546875" style="397" customWidth="1"/>
    <col min="785" max="785" width="10.28515625" style="397" customWidth="1"/>
    <col min="786" max="795" width="9.140625" style="397"/>
    <col min="796" max="796" width="10.140625" style="397" bestFit="1" customWidth="1"/>
    <col min="797" max="1036" width="9.140625" style="397"/>
    <col min="1037" max="1037" width="2.7109375" style="397" bestFit="1" customWidth="1"/>
    <col min="1038" max="1038" width="33.42578125" style="397" bestFit="1" customWidth="1"/>
    <col min="1039" max="1039" width="11.5703125" style="397" bestFit="1" customWidth="1"/>
    <col min="1040" max="1040" width="9.85546875" style="397" customWidth="1"/>
    <col min="1041" max="1041" width="10.28515625" style="397" customWidth="1"/>
    <col min="1042" max="1051" width="9.140625" style="397"/>
    <col min="1052" max="1052" width="10.140625" style="397" bestFit="1" customWidth="1"/>
    <col min="1053" max="1292" width="9.140625" style="397"/>
    <col min="1293" max="1293" width="2.7109375" style="397" bestFit="1" customWidth="1"/>
    <col min="1294" max="1294" width="33.42578125" style="397" bestFit="1" customWidth="1"/>
    <col min="1295" max="1295" width="11.5703125" style="397" bestFit="1" customWidth="1"/>
    <col min="1296" max="1296" width="9.85546875" style="397" customWidth="1"/>
    <col min="1297" max="1297" width="10.28515625" style="397" customWidth="1"/>
    <col min="1298" max="1307" width="9.140625" style="397"/>
    <col min="1308" max="1308" width="10.140625" style="397" bestFit="1" customWidth="1"/>
    <col min="1309" max="1548" width="9.140625" style="397"/>
    <col min="1549" max="1549" width="2.7109375" style="397" bestFit="1" customWidth="1"/>
    <col min="1550" max="1550" width="33.42578125" style="397" bestFit="1" customWidth="1"/>
    <col min="1551" max="1551" width="11.5703125" style="397" bestFit="1" customWidth="1"/>
    <col min="1552" max="1552" width="9.85546875" style="397" customWidth="1"/>
    <col min="1553" max="1553" width="10.28515625" style="397" customWidth="1"/>
    <col min="1554" max="1563" width="9.140625" style="397"/>
    <col min="1564" max="1564" width="10.140625" style="397" bestFit="1" customWidth="1"/>
    <col min="1565" max="1804" width="9.140625" style="397"/>
    <col min="1805" max="1805" width="2.7109375" style="397" bestFit="1" customWidth="1"/>
    <col min="1806" max="1806" width="33.42578125" style="397" bestFit="1" customWidth="1"/>
    <col min="1807" max="1807" width="11.5703125" style="397" bestFit="1" customWidth="1"/>
    <col min="1808" max="1808" width="9.85546875" style="397" customWidth="1"/>
    <col min="1809" max="1809" width="10.28515625" style="397" customWidth="1"/>
    <col min="1810" max="1819" width="9.140625" style="397"/>
    <col min="1820" max="1820" width="10.140625" style="397" bestFit="1" customWidth="1"/>
    <col min="1821" max="2060" width="9.140625" style="397"/>
    <col min="2061" max="2061" width="2.7109375" style="397" bestFit="1" customWidth="1"/>
    <col min="2062" max="2062" width="33.42578125" style="397" bestFit="1" customWidth="1"/>
    <col min="2063" max="2063" width="11.5703125" style="397" bestFit="1" customWidth="1"/>
    <col min="2064" max="2064" width="9.85546875" style="397" customWidth="1"/>
    <col min="2065" max="2065" width="10.28515625" style="397" customWidth="1"/>
    <col min="2066" max="2075" width="9.140625" style="397"/>
    <col min="2076" max="2076" width="10.140625" style="397" bestFit="1" customWidth="1"/>
    <col min="2077" max="2316" width="9.140625" style="397"/>
    <col min="2317" max="2317" width="2.7109375" style="397" bestFit="1" customWidth="1"/>
    <col min="2318" max="2318" width="33.42578125" style="397" bestFit="1" customWidth="1"/>
    <col min="2319" max="2319" width="11.5703125" style="397" bestFit="1" customWidth="1"/>
    <col min="2320" max="2320" width="9.85546875" style="397" customWidth="1"/>
    <col min="2321" max="2321" width="10.28515625" style="397" customWidth="1"/>
    <col min="2322" max="2331" width="9.140625" style="397"/>
    <col min="2332" max="2332" width="10.140625" style="397" bestFit="1" customWidth="1"/>
    <col min="2333" max="2572" width="9.140625" style="397"/>
    <col min="2573" max="2573" width="2.7109375" style="397" bestFit="1" customWidth="1"/>
    <col min="2574" max="2574" width="33.42578125" style="397" bestFit="1" customWidth="1"/>
    <col min="2575" max="2575" width="11.5703125" style="397" bestFit="1" customWidth="1"/>
    <col min="2576" max="2576" width="9.85546875" style="397" customWidth="1"/>
    <col min="2577" max="2577" width="10.28515625" style="397" customWidth="1"/>
    <col min="2578" max="2587" width="9.140625" style="397"/>
    <col min="2588" max="2588" width="10.140625" style="397" bestFit="1" customWidth="1"/>
    <col min="2589" max="2828" width="9.140625" style="397"/>
    <col min="2829" max="2829" width="2.7109375" style="397" bestFit="1" customWidth="1"/>
    <col min="2830" max="2830" width="33.42578125" style="397" bestFit="1" customWidth="1"/>
    <col min="2831" max="2831" width="11.5703125" style="397" bestFit="1" customWidth="1"/>
    <col min="2832" max="2832" width="9.85546875" style="397" customWidth="1"/>
    <col min="2833" max="2833" width="10.28515625" style="397" customWidth="1"/>
    <col min="2834" max="2843" width="9.140625" style="397"/>
    <col min="2844" max="2844" width="10.140625" style="397" bestFit="1" customWidth="1"/>
    <col min="2845" max="3084" width="9.140625" style="397"/>
    <col min="3085" max="3085" width="2.7109375" style="397" bestFit="1" customWidth="1"/>
    <col min="3086" max="3086" width="33.42578125" style="397" bestFit="1" customWidth="1"/>
    <col min="3087" max="3087" width="11.5703125" style="397" bestFit="1" customWidth="1"/>
    <col min="3088" max="3088" width="9.85546875" style="397" customWidth="1"/>
    <col min="3089" max="3089" width="10.28515625" style="397" customWidth="1"/>
    <col min="3090" max="3099" width="9.140625" style="397"/>
    <col min="3100" max="3100" width="10.140625" style="397" bestFit="1" customWidth="1"/>
    <col min="3101" max="3340" width="9.140625" style="397"/>
    <col min="3341" max="3341" width="2.7109375" style="397" bestFit="1" customWidth="1"/>
    <col min="3342" max="3342" width="33.42578125" style="397" bestFit="1" customWidth="1"/>
    <col min="3343" max="3343" width="11.5703125" style="397" bestFit="1" customWidth="1"/>
    <col min="3344" max="3344" width="9.85546875" style="397" customWidth="1"/>
    <col min="3345" max="3345" width="10.28515625" style="397" customWidth="1"/>
    <col min="3346" max="3355" width="9.140625" style="397"/>
    <col min="3356" max="3356" width="10.140625" style="397" bestFit="1" customWidth="1"/>
    <col min="3357" max="3596" width="9.140625" style="397"/>
    <col min="3597" max="3597" width="2.7109375" style="397" bestFit="1" customWidth="1"/>
    <col min="3598" max="3598" width="33.42578125" style="397" bestFit="1" customWidth="1"/>
    <col min="3599" max="3599" width="11.5703125" style="397" bestFit="1" customWidth="1"/>
    <col min="3600" max="3600" width="9.85546875" style="397" customWidth="1"/>
    <col min="3601" max="3601" width="10.28515625" style="397" customWidth="1"/>
    <col min="3602" max="3611" width="9.140625" style="397"/>
    <col min="3612" max="3612" width="10.140625" style="397" bestFit="1" customWidth="1"/>
    <col min="3613" max="3852" width="9.140625" style="397"/>
    <col min="3853" max="3853" width="2.7109375" style="397" bestFit="1" customWidth="1"/>
    <col min="3854" max="3854" width="33.42578125" style="397" bestFit="1" customWidth="1"/>
    <col min="3855" max="3855" width="11.5703125" style="397" bestFit="1" customWidth="1"/>
    <col min="3856" max="3856" width="9.85546875" style="397" customWidth="1"/>
    <col min="3857" max="3857" width="10.28515625" style="397" customWidth="1"/>
    <col min="3858" max="3867" width="9.140625" style="397"/>
    <col min="3868" max="3868" width="10.140625" style="397" bestFit="1" customWidth="1"/>
    <col min="3869" max="4108" width="9.140625" style="397"/>
    <col min="4109" max="4109" width="2.7109375" style="397" bestFit="1" customWidth="1"/>
    <col min="4110" max="4110" width="33.42578125" style="397" bestFit="1" customWidth="1"/>
    <col min="4111" max="4111" width="11.5703125" style="397" bestFit="1" customWidth="1"/>
    <col min="4112" max="4112" width="9.85546875" style="397" customWidth="1"/>
    <col min="4113" max="4113" width="10.28515625" style="397" customWidth="1"/>
    <col min="4114" max="4123" width="9.140625" style="397"/>
    <col min="4124" max="4124" width="10.140625" style="397" bestFit="1" customWidth="1"/>
    <col min="4125" max="4364" width="9.140625" style="397"/>
    <col min="4365" max="4365" width="2.7109375" style="397" bestFit="1" customWidth="1"/>
    <col min="4366" max="4366" width="33.42578125" style="397" bestFit="1" customWidth="1"/>
    <col min="4367" max="4367" width="11.5703125" style="397" bestFit="1" customWidth="1"/>
    <col min="4368" max="4368" width="9.85546875" style="397" customWidth="1"/>
    <col min="4369" max="4369" width="10.28515625" style="397" customWidth="1"/>
    <col min="4370" max="4379" width="9.140625" style="397"/>
    <col min="4380" max="4380" width="10.140625" style="397" bestFit="1" customWidth="1"/>
    <col min="4381" max="4620" width="9.140625" style="397"/>
    <col min="4621" max="4621" width="2.7109375" style="397" bestFit="1" customWidth="1"/>
    <col min="4622" max="4622" width="33.42578125" style="397" bestFit="1" customWidth="1"/>
    <col min="4623" max="4623" width="11.5703125" style="397" bestFit="1" customWidth="1"/>
    <col min="4624" max="4624" width="9.85546875" style="397" customWidth="1"/>
    <col min="4625" max="4625" width="10.28515625" style="397" customWidth="1"/>
    <col min="4626" max="4635" width="9.140625" style="397"/>
    <col min="4636" max="4636" width="10.140625" style="397" bestFit="1" customWidth="1"/>
    <col min="4637" max="4876" width="9.140625" style="397"/>
    <col min="4877" max="4877" width="2.7109375" style="397" bestFit="1" customWidth="1"/>
    <col min="4878" max="4878" width="33.42578125" style="397" bestFit="1" customWidth="1"/>
    <col min="4879" max="4879" width="11.5703125" style="397" bestFit="1" customWidth="1"/>
    <col min="4880" max="4880" width="9.85546875" style="397" customWidth="1"/>
    <col min="4881" max="4881" width="10.28515625" style="397" customWidth="1"/>
    <col min="4882" max="4891" width="9.140625" style="397"/>
    <col min="4892" max="4892" width="10.140625" style="397" bestFit="1" customWidth="1"/>
    <col min="4893" max="5132" width="9.140625" style="397"/>
    <col min="5133" max="5133" width="2.7109375" style="397" bestFit="1" customWidth="1"/>
    <col min="5134" max="5134" width="33.42578125" style="397" bestFit="1" customWidth="1"/>
    <col min="5135" max="5135" width="11.5703125" style="397" bestFit="1" customWidth="1"/>
    <col min="5136" max="5136" width="9.85546875" style="397" customWidth="1"/>
    <col min="5137" max="5137" width="10.28515625" style="397" customWidth="1"/>
    <col min="5138" max="5147" width="9.140625" style="397"/>
    <col min="5148" max="5148" width="10.140625" style="397" bestFit="1" customWidth="1"/>
    <col min="5149" max="5388" width="9.140625" style="397"/>
    <col min="5389" max="5389" width="2.7109375" style="397" bestFit="1" customWidth="1"/>
    <col min="5390" max="5390" width="33.42578125" style="397" bestFit="1" customWidth="1"/>
    <col min="5391" max="5391" width="11.5703125" style="397" bestFit="1" customWidth="1"/>
    <col min="5392" max="5392" width="9.85546875" style="397" customWidth="1"/>
    <col min="5393" max="5393" width="10.28515625" style="397" customWidth="1"/>
    <col min="5394" max="5403" width="9.140625" style="397"/>
    <col min="5404" max="5404" width="10.140625" style="397" bestFit="1" customWidth="1"/>
    <col min="5405" max="5644" width="9.140625" style="397"/>
    <col min="5645" max="5645" width="2.7109375" style="397" bestFit="1" customWidth="1"/>
    <col min="5646" max="5646" width="33.42578125" style="397" bestFit="1" customWidth="1"/>
    <col min="5647" max="5647" width="11.5703125" style="397" bestFit="1" customWidth="1"/>
    <col min="5648" max="5648" width="9.85546875" style="397" customWidth="1"/>
    <col min="5649" max="5649" width="10.28515625" style="397" customWidth="1"/>
    <col min="5650" max="5659" width="9.140625" style="397"/>
    <col min="5660" max="5660" width="10.140625" style="397" bestFit="1" customWidth="1"/>
    <col min="5661" max="5900" width="9.140625" style="397"/>
    <col min="5901" max="5901" width="2.7109375" style="397" bestFit="1" customWidth="1"/>
    <col min="5902" max="5902" width="33.42578125" style="397" bestFit="1" customWidth="1"/>
    <col min="5903" max="5903" width="11.5703125" style="397" bestFit="1" customWidth="1"/>
    <col min="5904" max="5904" width="9.85546875" style="397" customWidth="1"/>
    <col min="5905" max="5905" width="10.28515625" style="397" customWidth="1"/>
    <col min="5906" max="5915" width="9.140625" style="397"/>
    <col min="5916" max="5916" width="10.140625" style="397" bestFit="1" customWidth="1"/>
    <col min="5917" max="6156" width="9.140625" style="397"/>
    <col min="6157" max="6157" width="2.7109375" style="397" bestFit="1" customWidth="1"/>
    <col min="6158" max="6158" width="33.42578125" style="397" bestFit="1" customWidth="1"/>
    <col min="6159" max="6159" width="11.5703125" style="397" bestFit="1" customWidth="1"/>
    <col min="6160" max="6160" width="9.85546875" style="397" customWidth="1"/>
    <col min="6161" max="6161" width="10.28515625" style="397" customWidth="1"/>
    <col min="6162" max="6171" width="9.140625" style="397"/>
    <col min="6172" max="6172" width="10.140625" style="397" bestFit="1" customWidth="1"/>
    <col min="6173" max="6412" width="9.140625" style="397"/>
    <col min="6413" max="6413" width="2.7109375" style="397" bestFit="1" customWidth="1"/>
    <col min="6414" max="6414" width="33.42578125" style="397" bestFit="1" customWidth="1"/>
    <col min="6415" max="6415" width="11.5703125" style="397" bestFit="1" customWidth="1"/>
    <col min="6416" max="6416" width="9.85546875" style="397" customWidth="1"/>
    <col min="6417" max="6417" width="10.28515625" style="397" customWidth="1"/>
    <col min="6418" max="6427" width="9.140625" style="397"/>
    <col min="6428" max="6428" width="10.140625" style="397" bestFit="1" customWidth="1"/>
    <col min="6429" max="6668" width="9.140625" style="397"/>
    <col min="6669" max="6669" width="2.7109375" style="397" bestFit="1" customWidth="1"/>
    <col min="6670" max="6670" width="33.42578125" style="397" bestFit="1" customWidth="1"/>
    <col min="6671" max="6671" width="11.5703125" style="397" bestFit="1" customWidth="1"/>
    <col min="6672" max="6672" width="9.85546875" style="397" customWidth="1"/>
    <col min="6673" max="6673" width="10.28515625" style="397" customWidth="1"/>
    <col min="6674" max="6683" width="9.140625" style="397"/>
    <col min="6684" max="6684" width="10.140625" style="397" bestFit="1" customWidth="1"/>
    <col min="6685" max="6924" width="9.140625" style="397"/>
    <col min="6925" max="6925" width="2.7109375" style="397" bestFit="1" customWidth="1"/>
    <col min="6926" max="6926" width="33.42578125" style="397" bestFit="1" customWidth="1"/>
    <col min="6927" max="6927" width="11.5703125" style="397" bestFit="1" customWidth="1"/>
    <col min="6928" max="6928" width="9.85546875" style="397" customWidth="1"/>
    <col min="6929" max="6929" width="10.28515625" style="397" customWidth="1"/>
    <col min="6930" max="6939" width="9.140625" style="397"/>
    <col min="6940" max="6940" width="10.140625" style="397" bestFit="1" customWidth="1"/>
    <col min="6941" max="7180" width="9.140625" style="397"/>
    <col min="7181" max="7181" width="2.7109375" style="397" bestFit="1" customWidth="1"/>
    <col min="7182" max="7182" width="33.42578125" style="397" bestFit="1" customWidth="1"/>
    <col min="7183" max="7183" width="11.5703125" style="397" bestFit="1" customWidth="1"/>
    <col min="7184" max="7184" width="9.85546875" style="397" customWidth="1"/>
    <col min="7185" max="7185" width="10.28515625" style="397" customWidth="1"/>
    <col min="7186" max="7195" width="9.140625" style="397"/>
    <col min="7196" max="7196" width="10.140625" style="397" bestFit="1" customWidth="1"/>
    <col min="7197" max="7436" width="9.140625" style="397"/>
    <col min="7437" max="7437" width="2.7109375" style="397" bestFit="1" customWidth="1"/>
    <col min="7438" max="7438" width="33.42578125" style="397" bestFit="1" customWidth="1"/>
    <col min="7439" max="7439" width="11.5703125" style="397" bestFit="1" customWidth="1"/>
    <col min="7440" max="7440" width="9.85546875" style="397" customWidth="1"/>
    <col min="7441" max="7441" width="10.28515625" style="397" customWidth="1"/>
    <col min="7442" max="7451" width="9.140625" style="397"/>
    <col min="7452" max="7452" width="10.140625" style="397" bestFit="1" customWidth="1"/>
    <col min="7453" max="7692" width="9.140625" style="397"/>
    <col min="7693" max="7693" width="2.7109375" style="397" bestFit="1" customWidth="1"/>
    <col min="7694" max="7694" width="33.42578125" style="397" bestFit="1" customWidth="1"/>
    <col min="7695" max="7695" width="11.5703125" style="397" bestFit="1" customWidth="1"/>
    <col min="7696" max="7696" width="9.85546875" style="397" customWidth="1"/>
    <col min="7697" max="7697" width="10.28515625" style="397" customWidth="1"/>
    <col min="7698" max="7707" width="9.140625" style="397"/>
    <col min="7708" max="7708" width="10.140625" style="397" bestFit="1" customWidth="1"/>
    <col min="7709" max="7948" width="9.140625" style="397"/>
    <col min="7949" max="7949" width="2.7109375" style="397" bestFit="1" customWidth="1"/>
    <col min="7950" max="7950" width="33.42578125" style="397" bestFit="1" customWidth="1"/>
    <col min="7951" max="7951" width="11.5703125" style="397" bestFit="1" customWidth="1"/>
    <col min="7952" max="7952" width="9.85546875" style="397" customWidth="1"/>
    <col min="7953" max="7953" width="10.28515625" style="397" customWidth="1"/>
    <col min="7954" max="7963" width="9.140625" style="397"/>
    <col min="7964" max="7964" width="10.140625" style="397" bestFit="1" customWidth="1"/>
    <col min="7965" max="8204" width="9.140625" style="397"/>
    <col min="8205" max="8205" width="2.7109375" style="397" bestFit="1" customWidth="1"/>
    <col min="8206" max="8206" width="33.42578125" style="397" bestFit="1" customWidth="1"/>
    <col min="8207" max="8207" width="11.5703125" style="397" bestFit="1" customWidth="1"/>
    <col min="8208" max="8208" width="9.85546875" style="397" customWidth="1"/>
    <col min="8209" max="8209" width="10.28515625" style="397" customWidth="1"/>
    <col min="8210" max="8219" width="9.140625" style="397"/>
    <col min="8220" max="8220" width="10.140625" style="397" bestFit="1" customWidth="1"/>
    <col min="8221" max="8460" width="9.140625" style="397"/>
    <col min="8461" max="8461" width="2.7109375" style="397" bestFit="1" customWidth="1"/>
    <col min="8462" max="8462" width="33.42578125" style="397" bestFit="1" customWidth="1"/>
    <col min="8463" max="8463" width="11.5703125" style="397" bestFit="1" customWidth="1"/>
    <col min="8464" max="8464" width="9.85546875" style="397" customWidth="1"/>
    <col min="8465" max="8465" width="10.28515625" style="397" customWidth="1"/>
    <col min="8466" max="8475" width="9.140625" style="397"/>
    <col min="8476" max="8476" width="10.140625" style="397" bestFit="1" customWidth="1"/>
    <col min="8477" max="8716" width="9.140625" style="397"/>
    <col min="8717" max="8717" width="2.7109375" style="397" bestFit="1" customWidth="1"/>
    <col min="8718" max="8718" width="33.42578125" style="397" bestFit="1" customWidth="1"/>
    <col min="8719" max="8719" width="11.5703125" style="397" bestFit="1" customWidth="1"/>
    <col min="8720" max="8720" width="9.85546875" style="397" customWidth="1"/>
    <col min="8721" max="8721" width="10.28515625" style="397" customWidth="1"/>
    <col min="8722" max="8731" width="9.140625" style="397"/>
    <col min="8732" max="8732" width="10.140625" style="397" bestFit="1" customWidth="1"/>
    <col min="8733" max="8972" width="9.140625" style="397"/>
    <col min="8973" max="8973" width="2.7109375" style="397" bestFit="1" customWidth="1"/>
    <col min="8974" max="8974" width="33.42578125" style="397" bestFit="1" customWidth="1"/>
    <col min="8975" max="8975" width="11.5703125" style="397" bestFit="1" customWidth="1"/>
    <col min="8976" max="8976" width="9.85546875" style="397" customWidth="1"/>
    <col min="8977" max="8977" width="10.28515625" style="397" customWidth="1"/>
    <col min="8978" max="8987" width="9.140625" style="397"/>
    <col min="8988" max="8988" width="10.140625" style="397" bestFit="1" customWidth="1"/>
    <col min="8989" max="9228" width="9.140625" style="397"/>
    <col min="9229" max="9229" width="2.7109375" style="397" bestFit="1" customWidth="1"/>
    <col min="9230" max="9230" width="33.42578125" style="397" bestFit="1" customWidth="1"/>
    <col min="9231" max="9231" width="11.5703125" style="397" bestFit="1" customWidth="1"/>
    <col min="9232" max="9232" width="9.85546875" style="397" customWidth="1"/>
    <col min="9233" max="9233" width="10.28515625" style="397" customWidth="1"/>
    <col min="9234" max="9243" width="9.140625" style="397"/>
    <col min="9244" max="9244" width="10.140625" style="397" bestFit="1" customWidth="1"/>
    <col min="9245" max="9484" width="9.140625" style="397"/>
    <col min="9485" max="9485" width="2.7109375" style="397" bestFit="1" customWidth="1"/>
    <col min="9486" max="9486" width="33.42578125" style="397" bestFit="1" customWidth="1"/>
    <col min="9487" max="9487" width="11.5703125" style="397" bestFit="1" customWidth="1"/>
    <col min="9488" max="9488" width="9.85546875" style="397" customWidth="1"/>
    <col min="9489" max="9489" width="10.28515625" style="397" customWidth="1"/>
    <col min="9490" max="9499" width="9.140625" style="397"/>
    <col min="9500" max="9500" width="10.140625" style="397" bestFit="1" customWidth="1"/>
    <col min="9501" max="9740" width="9.140625" style="397"/>
    <col min="9741" max="9741" width="2.7109375" style="397" bestFit="1" customWidth="1"/>
    <col min="9742" max="9742" width="33.42578125" style="397" bestFit="1" customWidth="1"/>
    <col min="9743" max="9743" width="11.5703125" style="397" bestFit="1" customWidth="1"/>
    <col min="9744" max="9744" width="9.85546875" style="397" customWidth="1"/>
    <col min="9745" max="9745" width="10.28515625" style="397" customWidth="1"/>
    <col min="9746" max="9755" width="9.140625" style="397"/>
    <col min="9756" max="9756" width="10.140625" style="397" bestFit="1" customWidth="1"/>
    <col min="9757" max="9996" width="9.140625" style="397"/>
    <col min="9997" max="9997" width="2.7109375" style="397" bestFit="1" customWidth="1"/>
    <col min="9998" max="9998" width="33.42578125" style="397" bestFit="1" customWidth="1"/>
    <col min="9999" max="9999" width="11.5703125" style="397" bestFit="1" customWidth="1"/>
    <col min="10000" max="10000" width="9.85546875" style="397" customWidth="1"/>
    <col min="10001" max="10001" width="10.28515625" style="397" customWidth="1"/>
    <col min="10002" max="10011" width="9.140625" style="397"/>
    <col min="10012" max="10012" width="10.140625" style="397" bestFit="1" customWidth="1"/>
    <col min="10013" max="10252" width="9.140625" style="397"/>
    <col min="10253" max="10253" width="2.7109375" style="397" bestFit="1" customWidth="1"/>
    <col min="10254" max="10254" width="33.42578125" style="397" bestFit="1" customWidth="1"/>
    <col min="10255" max="10255" width="11.5703125" style="397" bestFit="1" customWidth="1"/>
    <col min="10256" max="10256" width="9.85546875" style="397" customWidth="1"/>
    <col min="10257" max="10257" width="10.28515625" style="397" customWidth="1"/>
    <col min="10258" max="10267" width="9.140625" style="397"/>
    <col min="10268" max="10268" width="10.140625" style="397" bestFit="1" customWidth="1"/>
    <col min="10269" max="10508" width="9.140625" style="397"/>
    <col min="10509" max="10509" width="2.7109375" style="397" bestFit="1" customWidth="1"/>
    <col min="10510" max="10510" width="33.42578125" style="397" bestFit="1" customWidth="1"/>
    <col min="10511" max="10511" width="11.5703125" style="397" bestFit="1" customWidth="1"/>
    <col min="10512" max="10512" width="9.85546875" style="397" customWidth="1"/>
    <col min="10513" max="10513" width="10.28515625" style="397" customWidth="1"/>
    <col min="10514" max="10523" width="9.140625" style="397"/>
    <col min="10524" max="10524" width="10.140625" style="397" bestFit="1" customWidth="1"/>
    <col min="10525" max="10764" width="9.140625" style="397"/>
    <col min="10765" max="10765" width="2.7109375" style="397" bestFit="1" customWidth="1"/>
    <col min="10766" max="10766" width="33.42578125" style="397" bestFit="1" customWidth="1"/>
    <col min="10767" max="10767" width="11.5703125" style="397" bestFit="1" customWidth="1"/>
    <col min="10768" max="10768" width="9.85546875" style="397" customWidth="1"/>
    <col min="10769" max="10769" width="10.28515625" style="397" customWidth="1"/>
    <col min="10770" max="10779" width="9.140625" style="397"/>
    <col min="10780" max="10780" width="10.140625" style="397" bestFit="1" customWidth="1"/>
    <col min="10781" max="11020" width="9.140625" style="397"/>
    <col min="11021" max="11021" width="2.7109375" style="397" bestFit="1" customWidth="1"/>
    <col min="11022" max="11022" width="33.42578125" style="397" bestFit="1" customWidth="1"/>
    <col min="11023" max="11023" width="11.5703125" style="397" bestFit="1" customWidth="1"/>
    <col min="11024" max="11024" width="9.85546875" style="397" customWidth="1"/>
    <col min="11025" max="11025" width="10.28515625" style="397" customWidth="1"/>
    <col min="11026" max="11035" width="9.140625" style="397"/>
    <col min="11036" max="11036" width="10.140625" style="397" bestFit="1" customWidth="1"/>
    <col min="11037" max="11276" width="9.140625" style="397"/>
    <col min="11277" max="11277" width="2.7109375" style="397" bestFit="1" customWidth="1"/>
    <col min="11278" max="11278" width="33.42578125" style="397" bestFit="1" customWidth="1"/>
    <col min="11279" max="11279" width="11.5703125" style="397" bestFit="1" customWidth="1"/>
    <col min="11280" max="11280" width="9.85546875" style="397" customWidth="1"/>
    <col min="11281" max="11281" width="10.28515625" style="397" customWidth="1"/>
    <col min="11282" max="11291" width="9.140625" style="397"/>
    <col min="11292" max="11292" width="10.140625" style="397" bestFit="1" customWidth="1"/>
    <col min="11293" max="11532" width="9.140625" style="397"/>
    <col min="11533" max="11533" width="2.7109375" style="397" bestFit="1" customWidth="1"/>
    <col min="11534" max="11534" width="33.42578125" style="397" bestFit="1" customWidth="1"/>
    <col min="11535" max="11535" width="11.5703125" style="397" bestFit="1" customWidth="1"/>
    <col min="11536" max="11536" width="9.85546875" style="397" customWidth="1"/>
    <col min="11537" max="11537" width="10.28515625" style="397" customWidth="1"/>
    <col min="11538" max="11547" width="9.140625" style="397"/>
    <col min="11548" max="11548" width="10.140625" style="397" bestFit="1" customWidth="1"/>
    <col min="11549" max="11788" width="9.140625" style="397"/>
    <col min="11789" max="11789" width="2.7109375" style="397" bestFit="1" customWidth="1"/>
    <col min="11790" max="11790" width="33.42578125" style="397" bestFit="1" customWidth="1"/>
    <col min="11791" max="11791" width="11.5703125" style="397" bestFit="1" customWidth="1"/>
    <col min="11792" max="11792" width="9.85546875" style="397" customWidth="1"/>
    <col min="11793" max="11793" width="10.28515625" style="397" customWidth="1"/>
    <col min="11794" max="11803" width="9.140625" style="397"/>
    <col min="11804" max="11804" width="10.140625" style="397" bestFit="1" customWidth="1"/>
    <col min="11805" max="12044" width="9.140625" style="397"/>
    <col min="12045" max="12045" width="2.7109375" style="397" bestFit="1" customWidth="1"/>
    <col min="12046" max="12046" width="33.42578125" style="397" bestFit="1" customWidth="1"/>
    <col min="12047" max="12047" width="11.5703125" style="397" bestFit="1" customWidth="1"/>
    <col min="12048" max="12048" width="9.85546875" style="397" customWidth="1"/>
    <col min="12049" max="12049" width="10.28515625" style="397" customWidth="1"/>
    <col min="12050" max="12059" width="9.140625" style="397"/>
    <col min="12060" max="12060" width="10.140625" style="397" bestFit="1" customWidth="1"/>
    <col min="12061" max="12300" width="9.140625" style="397"/>
    <col min="12301" max="12301" width="2.7109375" style="397" bestFit="1" customWidth="1"/>
    <col min="12302" max="12302" width="33.42578125" style="397" bestFit="1" customWidth="1"/>
    <col min="12303" max="12303" width="11.5703125" style="397" bestFit="1" customWidth="1"/>
    <col min="12304" max="12304" width="9.85546875" style="397" customWidth="1"/>
    <col min="12305" max="12305" width="10.28515625" style="397" customWidth="1"/>
    <col min="12306" max="12315" width="9.140625" style="397"/>
    <col min="12316" max="12316" width="10.140625" style="397" bestFit="1" customWidth="1"/>
    <col min="12317" max="12556" width="9.140625" style="397"/>
    <col min="12557" max="12557" width="2.7109375" style="397" bestFit="1" customWidth="1"/>
    <col min="12558" max="12558" width="33.42578125" style="397" bestFit="1" customWidth="1"/>
    <col min="12559" max="12559" width="11.5703125" style="397" bestFit="1" customWidth="1"/>
    <col min="12560" max="12560" width="9.85546875" style="397" customWidth="1"/>
    <col min="12561" max="12561" width="10.28515625" style="397" customWidth="1"/>
    <col min="12562" max="12571" width="9.140625" style="397"/>
    <col min="12572" max="12572" width="10.140625" style="397" bestFit="1" customWidth="1"/>
    <col min="12573" max="12812" width="9.140625" style="397"/>
    <col min="12813" max="12813" width="2.7109375" style="397" bestFit="1" customWidth="1"/>
    <col min="12814" max="12814" width="33.42578125" style="397" bestFit="1" customWidth="1"/>
    <col min="12815" max="12815" width="11.5703125" style="397" bestFit="1" customWidth="1"/>
    <col min="12816" max="12816" width="9.85546875" style="397" customWidth="1"/>
    <col min="12817" max="12817" width="10.28515625" style="397" customWidth="1"/>
    <col min="12818" max="12827" width="9.140625" style="397"/>
    <col min="12828" max="12828" width="10.140625" style="397" bestFit="1" customWidth="1"/>
    <col min="12829" max="13068" width="9.140625" style="397"/>
    <col min="13069" max="13069" width="2.7109375" style="397" bestFit="1" customWidth="1"/>
    <col min="13070" max="13070" width="33.42578125" style="397" bestFit="1" customWidth="1"/>
    <col min="13071" max="13071" width="11.5703125" style="397" bestFit="1" customWidth="1"/>
    <col min="13072" max="13072" width="9.85546875" style="397" customWidth="1"/>
    <col min="13073" max="13073" width="10.28515625" style="397" customWidth="1"/>
    <col min="13074" max="13083" width="9.140625" style="397"/>
    <col min="13084" max="13084" width="10.140625" style="397" bestFit="1" customWidth="1"/>
    <col min="13085" max="13324" width="9.140625" style="397"/>
    <col min="13325" max="13325" width="2.7109375" style="397" bestFit="1" customWidth="1"/>
    <col min="13326" max="13326" width="33.42578125" style="397" bestFit="1" customWidth="1"/>
    <col min="13327" max="13327" width="11.5703125" style="397" bestFit="1" customWidth="1"/>
    <col min="13328" max="13328" width="9.85546875" style="397" customWidth="1"/>
    <col min="13329" max="13329" width="10.28515625" style="397" customWidth="1"/>
    <col min="13330" max="13339" width="9.140625" style="397"/>
    <col min="13340" max="13340" width="10.140625" style="397" bestFit="1" customWidth="1"/>
    <col min="13341" max="13580" width="9.140625" style="397"/>
    <col min="13581" max="13581" width="2.7109375" style="397" bestFit="1" customWidth="1"/>
    <col min="13582" max="13582" width="33.42578125" style="397" bestFit="1" customWidth="1"/>
    <col min="13583" max="13583" width="11.5703125" style="397" bestFit="1" customWidth="1"/>
    <col min="13584" max="13584" width="9.85546875" style="397" customWidth="1"/>
    <col min="13585" max="13585" width="10.28515625" style="397" customWidth="1"/>
    <col min="13586" max="13595" width="9.140625" style="397"/>
    <col min="13596" max="13596" width="10.140625" style="397" bestFit="1" customWidth="1"/>
    <col min="13597" max="13836" width="9.140625" style="397"/>
    <col min="13837" max="13837" width="2.7109375" style="397" bestFit="1" customWidth="1"/>
    <col min="13838" max="13838" width="33.42578125" style="397" bestFit="1" customWidth="1"/>
    <col min="13839" max="13839" width="11.5703125" style="397" bestFit="1" customWidth="1"/>
    <col min="13840" max="13840" width="9.85546875" style="397" customWidth="1"/>
    <col min="13841" max="13841" width="10.28515625" style="397" customWidth="1"/>
    <col min="13842" max="13851" width="9.140625" style="397"/>
    <col min="13852" max="13852" width="10.140625" style="397" bestFit="1" customWidth="1"/>
    <col min="13853" max="14092" width="9.140625" style="397"/>
    <col min="14093" max="14093" width="2.7109375" style="397" bestFit="1" customWidth="1"/>
    <col min="14094" max="14094" width="33.42578125" style="397" bestFit="1" customWidth="1"/>
    <col min="14095" max="14095" width="11.5703125" style="397" bestFit="1" customWidth="1"/>
    <col min="14096" max="14096" width="9.85546875" style="397" customWidth="1"/>
    <col min="14097" max="14097" width="10.28515625" style="397" customWidth="1"/>
    <col min="14098" max="14107" width="9.140625" style="397"/>
    <col min="14108" max="14108" width="10.140625" style="397" bestFit="1" customWidth="1"/>
    <col min="14109" max="14348" width="9.140625" style="397"/>
    <col min="14349" max="14349" width="2.7109375" style="397" bestFit="1" customWidth="1"/>
    <col min="14350" max="14350" width="33.42578125" style="397" bestFit="1" customWidth="1"/>
    <col min="14351" max="14351" width="11.5703125" style="397" bestFit="1" customWidth="1"/>
    <col min="14352" max="14352" width="9.85546875" style="397" customWidth="1"/>
    <col min="14353" max="14353" width="10.28515625" style="397" customWidth="1"/>
    <col min="14354" max="14363" width="9.140625" style="397"/>
    <col min="14364" max="14364" width="10.140625" style="397" bestFit="1" customWidth="1"/>
    <col min="14365" max="14604" width="9.140625" style="397"/>
    <col min="14605" max="14605" width="2.7109375" style="397" bestFit="1" customWidth="1"/>
    <col min="14606" max="14606" width="33.42578125" style="397" bestFit="1" customWidth="1"/>
    <col min="14607" max="14607" width="11.5703125" style="397" bestFit="1" customWidth="1"/>
    <col min="14608" max="14608" width="9.85546875" style="397" customWidth="1"/>
    <col min="14609" max="14609" width="10.28515625" style="397" customWidth="1"/>
    <col min="14610" max="14619" width="9.140625" style="397"/>
    <col min="14620" max="14620" width="10.140625" style="397" bestFit="1" customWidth="1"/>
    <col min="14621" max="14860" width="9.140625" style="397"/>
    <col min="14861" max="14861" width="2.7109375" style="397" bestFit="1" customWidth="1"/>
    <col min="14862" max="14862" width="33.42578125" style="397" bestFit="1" customWidth="1"/>
    <col min="14863" max="14863" width="11.5703125" style="397" bestFit="1" customWidth="1"/>
    <col min="14864" max="14864" width="9.85546875" style="397" customWidth="1"/>
    <col min="14865" max="14865" width="10.28515625" style="397" customWidth="1"/>
    <col min="14866" max="14875" width="9.140625" style="397"/>
    <col min="14876" max="14876" width="10.140625" style="397" bestFit="1" customWidth="1"/>
    <col min="14877" max="15116" width="9.140625" style="397"/>
    <col min="15117" max="15117" width="2.7109375" style="397" bestFit="1" customWidth="1"/>
    <col min="15118" max="15118" width="33.42578125" style="397" bestFit="1" customWidth="1"/>
    <col min="15119" max="15119" width="11.5703125" style="397" bestFit="1" customWidth="1"/>
    <col min="15120" max="15120" width="9.85546875" style="397" customWidth="1"/>
    <col min="15121" max="15121" width="10.28515625" style="397" customWidth="1"/>
    <col min="15122" max="15131" width="9.140625" style="397"/>
    <col min="15132" max="15132" width="10.140625" style="397" bestFit="1" customWidth="1"/>
    <col min="15133" max="15372" width="9.140625" style="397"/>
    <col min="15373" max="15373" width="2.7109375" style="397" bestFit="1" customWidth="1"/>
    <col min="15374" max="15374" width="33.42578125" style="397" bestFit="1" customWidth="1"/>
    <col min="15375" max="15375" width="11.5703125" style="397" bestFit="1" customWidth="1"/>
    <col min="15376" max="15376" width="9.85546875" style="397" customWidth="1"/>
    <col min="15377" max="15377" width="10.28515625" style="397" customWidth="1"/>
    <col min="15378" max="15387" width="9.140625" style="397"/>
    <col min="15388" max="15388" width="10.140625" style="397" bestFit="1" customWidth="1"/>
    <col min="15389" max="15628" width="9.140625" style="397"/>
    <col min="15629" max="15629" width="2.7109375" style="397" bestFit="1" customWidth="1"/>
    <col min="15630" max="15630" width="33.42578125" style="397" bestFit="1" customWidth="1"/>
    <col min="15631" max="15631" width="11.5703125" style="397" bestFit="1" customWidth="1"/>
    <col min="15632" max="15632" width="9.85546875" style="397" customWidth="1"/>
    <col min="15633" max="15633" width="10.28515625" style="397" customWidth="1"/>
    <col min="15634" max="15643" width="9.140625" style="397"/>
    <col min="15644" max="15644" width="10.140625" style="397" bestFit="1" customWidth="1"/>
    <col min="15645" max="15884" width="9.140625" style="397"/>
    <col min="15885" max="15885" width="2.7109375" style="397" bestFit="1" customWidth="1"/>
    <col min="15886" max="15886" width="33.42578125" style="397" bestFit="1" customWidth="1"/>
    <col min="15887" max="15887" width="11.5703125" style="397" bestFit="1" customWidth="1"/>
    <col min="15888" max="15888" width="9.85546875" style="397" customWidth="1"/>
    <col min="15889" max="15889" width="10.28515625" style="397" customWidth="1"/>
    <col min="15890" max="15899" width="9.140625" style="397"/>
    <col min="15900" max="15900" width="10.140625" style="397" bestFit="1" customWidth="1"/>
    <col min="15901" max="16140" width="9.140625" style="397"/>
    <col min="16141" max="16141" width="2.7109375" style="397" bestFit="1" customWidth="1"/>
    <col min="16142" max="16142" width="33.42578125" style="397" bestFit="1" customWidth="1"/>
    <col min="16143" max="16143" width="11.5703125" style="397" bestFit="1" customWidth="1"/>
    <col min="16144" max="16144" width="9.85546875" style="397" customWidth="1"/>
    <col min="16145" max="16145" width="10.28515625" style="397" customWidth="1"/>
    <col min="16146" max="16155" width="9.140625" style="397"/>
    <col min="16156" max="16156" width="10.140625" style="397" bestFit="1" customWidth="1"/>
    <col min="16157" max="16384" width="9.140625" style="397"/>
  </cols>
  <sheetData>
    <row r="1" spans="2:28" ht="13.5" thickBot="1"/>
    <row r="2" spans="2:28" ht="13.5" thickBot="1">
      <c r="B2" s="398" t="s">
        <v>307</v>
      </c>
      <c r="K2" s="550">
        <f>'DCF '!C22</f>
        <v>87.254973257737518</v>
      </c>
      <c r="N2" s="399">
        <f>'DCF '!C30</f>
        <v>2</v>
      </c>
      <c r="AB2" s="396"/>
    </row>
    <row r="3" spans="2:28">
      <c r="C3" s="400"/>
      <c r="AB3" s="396"/>
    </row>
    <row r="4" spans="2:28" s="404" customFormat="1">
      <c r="B4" s="401" t="s">
        <v>342</v>
      </c>
      <c r="C4" s="402">
        <v>2014</v>
      </c>
      <c r="D4" s="402">
        <f>C4+1</f>
        <v>2015</v>
      </c>
      <c r="E4" s="403" t="s">
        <v>241</v>
      </c>
      <c r="F4" s="403" t="s">
        <v>256</v>
      </c>
      <c r="G4" s="403" t="s">
        <v>350</v>
      </c>
      <c r="H4" s="403" t="s">
        <v>361</v>
      </c>
      <c r="I4" s="403">
        <f>D4+1</f>
        <v>2016</v>
      </c>
      <c r="J4" s="403" t="s">
        <v>358</v>
      </c>
      <c r="K4" s="403" t="s">
        <v>328</v>
      </c>
      <c r="L4" s="403" t="s">
        <v>359</v>
      </c>
      <c r="M4" s="403" t="s">
        <v>360</v>
      </c>
      <c r="N4" s="403">
        <f>I4+1</f>
        <v>2017</v>
      </c>
      <c r="O4" s="403" t="s">
        <v>368</v>
      </c>
      <c r="P4" s="403" t="s">
        <v>369</v>
      </c>
      <c r="Q4" s="403" t="s">
        <v>370</v>
      </c>
      <c r="R4" s="403" t="s">
        <v>371</v>
      </c>
      <c r="S4" s="403">
        <f>N4+1</f>
        <v>2018</v>
      </c>
      <c r="T4" s="403">
        <f>S4+1</f>
        <v>2019</v>
      </c>
      <c r="U4" s="403">
        <f t="shared" ref="U4:AB4" si="0">T4+1</f>
        <v>2020</v>
      </c>
      <c r="V4" s="403">
        <f t="shared" si="0"/>
        <v>2021</v>
      </c>
      <c r="W4" s="403">
        <f t="shared" si="0"/>
        <v>2022</v>
      </c>
      <c r="X4" s="403">
        <f t="shared" si="0"/>
        <v>2023</v>
      </c>
      <c r="Y4" s="403">
        <f t="shared" si="0"/>
        <v>2024</v>
      </c>
      <c r="Z4" s="403">
        <f t="shared" si="0"/>
        <v>2025</v>
      </c>
      <c r="AA4" s="403">
        <f t="shared" si="0"/>
        <v>2026</v>
      </c>
      <c r="AB4" s="403">
        <f t="shared" si="0"/>
        <v>2027</v>
      </c>
    </row>
    <row r="5" spans="2:28">
      <c r="B5" s="405" t="s">
        <v>308</v>
      </c>
      <c r="C5" s="406">
        <v>318900</v>
      </c>
      <c r="D5" s="407">
        <f>C5*(1+D6)</f>
        <v>322407.89999999997</v>
      </c>
      <c r="E5" s="408">
        <f>I5*1.011^-0.325</f>
        <v>324797.52025653468</v>
      </c>
      <c r="F5" s="408">
        <f>I5*1.011^-0.125</f>
        <v>325508.9513533109</v>
      </c>
      <c r="G5" s="408">
        <f>I5*1.011^0.125</f>
        <v>326400.43199314049</v>
      </c>
      <c r="H5" s="408">
        <f>I5*1.011^0.325</f>
        <v>327115.37408117653</v>
      </c>
      <c r="I5" s="407">
        <f>D5*(1+I6)</f>
        <v>325954.38689999992</v>
      </c>
      <c r="J5" s="408">
        <f>N5*1.011^-0.325</f>
        <v>328370.29297935654</v>
      </c>
      <c r="K5" s="408">
        <f>N5*1.011^-0.125</f>
        <v>329089.54981819732</v>
      </c>
      <c r="L5" s="408">
        <f>N5*1.011^0.125</f>
        <v>329990.83674506505</v>
      </c>
      <c r="M5" s="408">
        <f>N5*1.011^0.325</f>
        <v>330713.64319606946</v>
      </c>
      <c r="N5" s="407">
        <f>I5*(1+N6)</f>
        <v>329539.88515589992</v>
      </c>
      <c r="O5" s="408">
        <f>S5*1.011^-0.325</f>
        <v>331982.36620212946</v>
      </c>
      <c r="P5" s="408">
        <f>S5*1.011^-0.125</f>
        <v>332709.5348661975</v>
      </c>
      <c r="Q5" s="408">
        <f>S5*1.011^0.125</f>
        <v>333620.73594926076</v>
      </c>
      <c r="R5" s="408">
        <f>S5*1.011^0.325</f>
        <v>334351.49327122624</v>
      </c>
      <c r="S5" s="407">
        <f>N5*(1+S6)</f>
        <v>333164.8238926148</v>
      </c>
      <c r="T5" s="407">
        <f>S5*(1+T6)</f>
        <v>336829.63695543353</v>
      </c>
      <c r="U5" s="407">
        <f t="shared" ref="U5:AB5" si="1">T5*(1+U6)</f>
        <v>340534.76296194328</v>
      </c>
      <c r="V5" s="407">
        <f t="shared" si="1"/>
        <v>344280.6453545246</v>
      </c>
      <c r="W5" s="407">
        <f t="shared" si="1"/>
        <v>348067.73245342437</v>
      </c>
      <c r="X5" s="407">
        <f t="shared" si="1"/>
        <v>351896.47751041199</v>
      </c>
      <c r="Y5" s="407">
        <f t="shared" si="1"/>
        <v>355767.33876302646</v>
      </c>
      <c r="Z5" s="407">
        <f t="shared" si="1"/>
        <v>359680.77948941971</v>
      </c>
      <c r="AA5" s="407">
        <f t="shared" si="1"/>
        <v>363637.26806380332</v>
      </c>
      <c r="AB5" s="407">
        <f t="shared" si="1"/>
        <v>367637.27801250509</v>
      </c>
    </row>
    <row r="6" spans="2:28" s="414" customFormat="1">
      <c r="B6" s="409" t="s">
        <v>309</v>
      </c>
      <c r="C6" s="410"/>
      <c r="D6" s="411">
        <v>1.0999999999999999E-2</v>
      </c>
      <c r="E6" s="412"/>
      <c r="F6" s="412"/>
      <c r="G6" s="412"/>
      <c r="H6" s="412"/>
      <c r="I6" s="413">
        <f>D6</f>
        <v>1.0999999999999999E-2</v>
      </c>
      <c r="J6" s="412"/>
      <c r="K6" s="412"/>
      <c r="L6" s="412"/>
      <c r="M6" s="412"/>
      <c r="N6" s="413">
        <f>I6</f>
        <v>1.0999999999999999E-2</v>
      </c>
      <c r="O6" s="412"/>
      <c r="P6" s="412"/>
      <c r="Q6" s="412"/>
      <c r="R6" s="412"/>
      <c r="S6" s="413">
        <f>N6</f>
        <v>1.0999999999999999E-2</v>
      </c>
      <c r="T6" s="413">
        <f>S6</f>
        <v>1.0999999999999999E-2</v>
      </c>
      <c r="U6" s="413">
        <f t="shared" ref="U6:AB6" si="2">T6</f>
        <v>1.0999999999999999E-2</v>
      </c>
      <c r="V6" s="413">
        <f t="shared" si="2"/>
        <v>1.0999999999999999E-2</v>
      </c>
      <c r="W6" s="413">
        <f t="shared" si="2"/>
        <v>1.0999999999999999E-2</v>
      </c>
      <c r="X6" s="413">
        <f t="shared" si="2"/>
        <v>1.0999999999999999E-2</v>
      </c>
      <c r="Y6" s="413">
        <f t="shared" si="2"/>
        <v>1.0999999999999999E-2</v>
      </c>
      <c r="Z6" s="413">
        <f t="shared" si="2"/>
        <v>1.0999999999999999E-2</v>
      </c>
      <c r="AA6" s="413">
        <f t="shared" si="2"/>
        <v>1.0999999999999999E-2</v>
      </c>
      <c r="AB6" s="413">
        <f t="shared" si="2"/>
        <v>1.0999999999999999E-2</v>
      </c>
    </row>
    <row r="7" spans="2:28">
      <c r="B7" s="405" t="s">
        <v>310</v>
      </c>
      <c r="C7" s="407">
        <f>0.5*C5</f>
        <v>159450</v>
      </c>
      <c r="D7" s="407">
        <f t="shared" ref="D7:AA7" si="3">0.5*D5</f>
        <v>161203.94999999998</v>
      </c>
      <c r="E7" s="408">
        <f>E5*0.5</f>
        <v>162398.76012826734</v>
      </c>
      <c r="F7" s="408">
        <f>F5*0.5</f>
        <v>162754.47567665545</v>
      </c>
      <c r="G7" s="408">
        <f>G5*0.5</f>
        <v>163200.21599657024</v>
      </c>
      <c r="H7" s="408">
        <f>H5*0.5</f>
        <v>163557.68704058827</v>
      </c>
      <c r="I7" s="407">
        <f t="shared" si="3"/>
        <v>162977.19344999996</v>
      </c>
      <c r="J7" s="408">
        <f>J5*0.5</f>
        <v>164185.14648967827</v>
      </c>
      <c r="K7" s="408">
        <f>K5*0.5</f>
        <v>164544.77490909866</v>
      </c>
      <c r="L7" s="408">
        <f>L5*0.5</f>
        <v>164995.41837253253</v>
      </c>
      <c r="M7" s="408">
        <f>M5*0.5</f>
        <v>165356.82159803473</v>
      </c>
      <c r="N7" s="407">
        <f t="shared" si="3"/>
        <v>164769.94257794996</v>
      </c>
      <c r="O7" s="408">
        <f>O5*0.5</f>
        <v>165991.18310106473</v>
      </c>
      <c r="P7" s="408">
        <f>P5*0.5</f>
        <v>166354.76743309875</v>
      </c>
      <c r="Q7" s="408">
        <f>Q5*0.5</f>
        <v>166810.36797463038</v>
      </c>
      <c r="R7" s="408">
        <f>R5*0.5</f>
        <v>167175.74663561312</v>
      </c>
      <c r="S7" s="407">
        <f t="shared" ref="S7" si="4">0.5*S5</f>
        <v>166582.4119463074</v>
      </c>
      <c r="T7" s="407">
        <f t="shared" si="3"/>
        <v>168414.81847771676</v>
      </c>
      <c r="U7" s="407">
        <f t="shared" si="3"/>
        <v>170267.38148097164</v>
      </c>
      <c r="V7" s="407">
        <f t="shared" si="3"/>
        <v>172140.3226772623</v>
      </c>
      <c r="W7" s="407">
        <f t="shared" si="3"/>
        <v>174033.86622671218</v>
      </c>
      <c r="X7" s="407">
        <f t="shared" si="3"/>
        <v>175948.238755206</v>
      </c>
      <c r="Y7" s="407">
        <f t="shared" si="3"/>
        <v>177883.66938151323</v>
      </c>
      <c r="Z7" s="407">
        <f t="shared" si="3"/>
        <v>179840.38974470986</v>
      </c>
      <c r="AA7" s="407">
        <f t="shared" si="3"/>
        <v>181818.63403190166</v>
      </c>
      <c r="AB7" s="407">
        <f t="shared" ref="AB7" si="5">0.5*AB5</f>
        <v>183818.63900625255</v>
      </c>
    </row>
    <row r="8" spans="2:28">
      <c r="B8" s="405"/>
      <c r="C8" s="407"/>
      <c r="D8" s="407"/>
      <c r="E8" s="408"/>
      <c r="F8" s="408"/>
      <c r="G8" s="408"/>
      <c r="H8" s="408"/>
      <c r="I8" s="407"/>
      <c r="J8" s="408"/>
      <c r="K8" s="408"/>
      <c r="L8" s="408"/>
      <c r="M8" s="408"/>
      <c r="N8" s="407"/>
      <c r="O8" s="408"/>
      <c r="P8" s="408"/>
      <c r="Q8" s="408"/>
      <c r="R8" s="408"/>
      <c r="S8" s="407"/>
      <c r="T8" s="407"/>
      <c r="U8" s="407"/>
      <c r="V8" s="407"/>
      <c r="W8" s="407"/>
      <c r="X8" s="407"/>
      <c r="Y8" s="407"/>
      <c r="Z8" s="407"/>
      <c r="AA8" s="407"/>
      <c r="AB8" s="407"/>
    </row>
    <row r="9" spans="2:28">
      <c r="B9" s="405" t="s">
        <v>352</v>
      </c>
      <c r="C9" s="407">
        <f>0.196*C7</f>
        <v>31252.2</v>
      </c>
      <c r="D9" s="407">
        <f t="shared" ref="D9:AB9" si="6">0.196*D7</f>
        <v>31595.974199999997</v>
      </c>
      <c r="E9" s="408">
        <f t="shared" ref="E9:H9" si="7">0.196*E7</f>
        <v>31830.156985140402</v>
      </c>
      <c r="F9" s="408">
        <f t="shared" si="7"/>
        <v>31899.877232624469</v>
      </c>
      <c r="G9" s="408">
        <f t="shared" si="7"/>
        <v>31987.24233532777</v>
      </c>
      <c r="H9" s="408">
        <f t="shared" si="7"/>
        <v>32057.306659955302</v>
      </c>
      <c r="I9" s="407">
        <f t="shared" si="6"/>
        <v>31943.529916199994</v>
      </c>
      <c r="J9" s="408">
        <f t="shared" si="6"/>
        <v>32180.288711976944</v>
      </c>
      <c r="K9" s="408">
        <f t="shared" si="6"/>
        <v>32250.775882183338</v>
      </c>
      <c r="L9" s="408">
        <f t="shared" si="6"/>
        <v>32339.102001016377</v>
      </c>
      <c r="M9" s="408">
        <f t="shared" si="6"/>
        <v>32409.93703321481</v>
      </c>
      <c r="N9" s="407">
        <f t="shared" si="6"/>
        <v>32294.908745278193</v>
      </c>
      <c r="O9" s="408">
        <f t="shared" ref="O9:S9" si="8">0.196*O7</f>
        <v>32534.271887808689</v>
      </c>
      <c r="P9" s="408">
        <f t="shared" si="8"/>
        <v>32605.534416887356</v>
      </c>
      <c r="Q9" s="408">
        <f t="shared" si="8"/>
        <v>32694.832123027558</v>
      </c>
      <c r="R9" s="408">
        <f t="shared" si="8"/>
        <v>32766.446340580173</v>
      </c>
      <c r="S9" s="407">
        <f t="shared" si="8"/>
        <v>32650.152741476253</v>
      </c>
      <c r="T9" s="407">
        <f t="shared" si="6"/>
        <v>33009.304421632485</v>
      </c>
      <c r="U9" s="407">
        <f t="shared" si="6"/>
        <v>33372.406770270441</v>
      </c>
      <c r="V9" s="407">
        <f t="shared" si="6"/>
        <v>33739.503244743413</v>
      </c>
      <c r="W9" s="407">
        <f t="shared" si="6"/>
        <v>34110.637780435587</v>
      </c>
      <c r="X9" s="407">
        <f t="shared" si="6"/>
        <v>34485.85479602038</v>
      </c>
      <c r="Y9" s="407">
        <f t="shared" si="6"/>
        <v>34865.199198776594</v>
      </c>
      <c r="Z9" s="407">
        <f t="shared" si="6"/>
        <v>35248.716389963134</v>
      </c>
      <c r="AA9" s="407">
        <f t="shared" si="6"/>
        <v>35636.452270252725</v>
      </c>
      <c r="AB9" s="407">
        <f t="shared" si="6"/>
        <v>36028.453245225501</v>
      </c>
    </row>
    <row r="10" spans="2:28">
      <c r="B10" s="405" t="s">
        <v>353</v>
      </c>
      <c r="C10" s="407">
        <f>C7*0.138</f>
        <v>22004.100000000002</v>
      </c>
      <c r="D10" s="407">
        <f t="shared" ref="D10:AB10" si="9">D7*0.138</f>
        <v>22246.145099999998</v>
      </c>
      <c r="E10" s="408">
        <f t="shared" ref="E10:H10" si="10">E7*0.138</f>
        <v>22411.028897700897</v>
      </c>
      <c r="F10" s="408">
        <f t="shared" si="10"/>
        <v>22460.117643378453</v>
      </c>
      <c r="G10" s="408">
        <f t="shared" si="10"/>
        <v>22521.629807526697</v>
      </c>
      <c r="H10" s="408">
        <f t="shared" si="10"/>
        <v>22570.960811601184</v>
      </c>
      <c r="I10" s="407">
        <f t="shared" si="9"/>
        <v>22490.852696099995</v>
      </c>
      <c r="J10" s="408">
        <f t="shared" si="9"/>
        <v>22657.550215575604</v>
      </c>
      <c r="K10" s="408">
        <f t="shared" si="9"/>
        <v>22707.178937455617</v>
      </c>
      <c r="L10" s="408">
        <f t="shared" si="9"/>
        <v>22769.367735409491</v>
      </c>
      <c r="M10" s="408">
        <f t="shared" si="9"/>
        <v>22819.241380528794</v>
      </c>
      <c r="N10" s="407">
        <f t="shared" si="9"/>
        <v>22738.252075757096</v>
      </c>
      <c r="O10" s="408">
        <f t="shared" ref="O10:S10" si="11">O7*0.138</f>
        <v>22906.783267946936</v>
      </c>
      <c r="P10" s="408">
        <f t="shared" si="11"/>
        <v>22956.957905767631</v>
      </c>
      <c r="Q10" s="408">
        <f t="shared" si="11"/>
        <v>23019.830780498996</v>
      </c>
      <c r="R10" s="408">
        <f t="shared" si="11"/>
        <v>23070.253035714613</v>
      </c>
      <c r="S10" s="407">
        <f t="shared" si="11"/>
        <v>22988.372848590425</v>
      </c>
      <c r="T10" s="407">
        <f t="shared" si="9"/>
        <v>23241.244949924916</v>
      </c>
      <c r="U10" s="407">
        <f t="shared" si="9"/>
        <v>23496.898644374087</v>
      </c>
      <c r="V10" s="407">
        <f t="shared" si="9"/>
        <v>23755.3645294622</v>
      </c>
      <c r="W10" s="407">
        <f t="shared" si="9"/>
        <v>24016.673539286283</v>
      </c>
      <c r="X10" s="407">
        <f t="shared" si="9"/>
        <v>24280.856948218428</v>
      </c>
      <c r="Y10" s="407">
        <f t="shared" si="9"/>
        <v>24547.946374648829</v>
      </c>
      <c r="Z10" s="407">
        <f t="shared" si="9"/>
        <v>24817.973784769962</v>
      </c>
      <c r="AA10" s="407">
        <f t="shared" si="9"/>
        <v>25090.971496402432</v>
      </c>
      <c r="AB10" s="407">
        <f t="shared" si="9"/>
        <v>25366.972182862854</v>
      </c>
    </row>
    <row r="11" spans="2:28">
      <c r="B11" s="405" t="s">
        <v>354</v>
      </c>
      <c r="C11" s="407">
        <f>C7-C9-C10</f>
        <v>106193.7</v>
      </c>
      <c r="D11" s="407">
        <f t="shared" ref="D11:AB11" si="12">D7-D9-D10</f>
        <v>107361.83069999999</v>
      </c>
      <c r="E11" s="408">
        <f t="shared" ref="E11" si="13">E7-E9-E10</f>
        <v>108157.57424542605</v>
      </c>
      <c r="F11" s="408">
        <f t="shared" ref="F11" si="14">F7-F9-F10</f>
        <v>108394.48080065253</v>
      </c>
      <c r="G11" s="408">
        <f t="shared" ref="G11" si="15">G7-G9-G10</f>
        <v>108691.34385371576</v>
      </c>
      <c r="H11" s="408">
        <f t="shared" ref="H11" si="16">H7-H9-H10</f>
        <v>108929.41956903179</v>
      </c>
      <c r="I11" s="407">
        <f t="shared" si="12"/>
        <v>108542.81083769997</v>
      </c>
      <c r="J11" s="408">
        <f t="shared" si="12"/>
        <v>109347.30756212573</v>
      </c>
      <c r="K11" s="408">
        <f t="shared" si="12"/>
        <v>109586.82008945971</v>
      </c>
      <c r="L11" s="408">
        <f t="shared" si="12"/>
        <v>109886.94863610665</v>
      </c>
      <c r="M11" s="408">
        <f t="shared" si="12"/>
        <v>110127.64318429113</v>
      </c>
      <c r="N11" s="407">
        <f t="shared" si="12"/>
        <v>109736.78175691466</v>
      </c>
      <c r="O11" s="408">
        <f t="shared" ref="O11:S11" si="17">O7-O9-O10</f>
        <v>110550.1279453091</v>
      </c>
      <c r="P11" s="408">
        <f t="shared" si="17"/>
        <v>110792.27511044376</v>
      </c>
      <c r="Q11" s="408">
        <f t="shared" si="17"/>
        <v>111095.70507110382</v>
      </c>
      <c r="R11" s="408">
        <f t="shared" si="17"/>
        <v>111339.04725931832</v>
      </c>
      <c r="S11" s="407">
        <f t="shared" si="17"/>
        <v>110943.88635624072</v>
      </c>
      <c r="T11" s="407">
        <f t="shared" si="12"/>
        <v>112164.26910615935</v>
      </c>
      <c r="U11" s="407">
        <f t="shared" si="12"/>
        <v>113398.07606632712</v>
      </c>
      <c r="V11" s="407">
        <f t="shared" si="12"/>
        <v>114645.45490305668</v>
      </c>
      <c r="W11" s="407">
        <f t="shared" si="12"/>
        <v>115906.55490699032</v>
      </c>
      <c r="X11" s="407">
        <f t="shared" si="12"/>
        <v>117181.5270109672</v>
      </c>
      <c r="Y11" s="407">
        <f t="shared" si="12"/>
        <v>118470.5238080878</v>
      </c>
      <c r="Z11" s="407">
        <f t="shared" si="12"/>
        <v>119773.69956997676</v>
      </c>
      <c r="AA11" s="407">
        <f t="shared" si="12"/>
        <v>121091.21026524651</v>
      </c>
      <c r="AB11" s="407">
        <f t="shared" si="12"/>
        <v>122423.21357816418</v>
      </c>
    </row>
    <row r="12" spans="2:28">
      <c r="B12" s="405"/>
      <c r="C12" s="407"/>
      <c r="D12" s="407"/>
      <c r="E12" s="408"/>
      <c r="F12" s="408"/>
      <c r="G12" s="408"/>
      <c r="H12" s="408"/>
      <c r="I12" s="407"/>
      <c r="J12" s="408"/>
      <c r="K12" s="408"/>
      <c r="L12" s="408"/>
      <c r="M12" s="408"/>
      <c r="N12" s="407"/>
      <c r="O12" s="408"/>
      <c r="P12" s="408"/>
      <c r="Q12" s="408"/>
      <c r="R12" s="408"/>
      <c r="S12" s="407"/>
      <c r="T12" s="407"/>
      <c r="U12" s="407"/>
      <c r="V12" s="407"/>
      <c r="W12" s="407"/>
      <c r="X12" s="407"/>
      <c r="Y12" s="407"/>
      <c r="Z12" s="407"/>
      <c r="AA12" s="407"/>
      <c r="AB12" s="407"/>
    </row>
    <row r="13" spans="2:28">
      <c r="B13" s="405" t="s">
        <v>355</v>
      </c>
      <c r="C13" s="415">
        <f>C9*1.6/10000</f>
        <v>5.0003520000000004</v>
      </c>
      <c r="D13" s="415">
        <f>D9*1.6/10000</f>
        <v>5.0553558719999998</v>
      </c>
      <c r="E13" s="416">
        <f t="shared" ref="E13:H13" si="18">E9*1.6/10000</f>
        <v>5.0928251176224641</v>
      </c>
      <c r="F13" s="416">
        <f t="shared" si="18"/>
        <v>5.1039803572199158</v>
      </c>
      <c r="G13" s="416">
        <f t="shared" si="18"/>
        <v>5.1179587736524441</v>
      </c>
      <c r="H13" s="416">
        <f t="shared" si="18"/>
        <v>5.1291690655928486</v>
      </c>
      <c r="I13" s="415">
        <f>I9*1.6/10000</f>
        <v>5.1109647865919996</v>
      </c>
      <c r="J13" s="416">
        <f t="shared" ref="J13:M13" si="19">J9*1.6/10000</f>
        <v>5.1488461939163113</v>
      </c>
      <c r="K13" s="416">
        <f t="shared" si="19"/>
        <v>5.1601241411493346</v>
      </c>
      <c r="L13" s="416">
        <f t="shared" si="19"/>
        <v>5.1742563201626206</v>
      </c>
      <c r="M13" s="416">
        <f t="shared" si="19"/>
        <v>5.1855899253143694</v>
      </c>
      <c r="N13" s="415">
        <f t="shared" ref="N13:AB13" si="20">N9*1.6/10000</f>
        <v>5.1671853992445111</v>
      </c>
      <c r="O13" s="416">
        <f t="shared" si="20"/>
        <v>5.2054835020493906</v>
      </c>
      <c r="P13" s="416">
        <f t="shared" si="20"/>
        <v>5.2168855067019777</v>
      </c>
      <c r="Q13" s="416">
        <f t="shared" si="20"/>
        <v>5.231173139684409</v>
      </c>
      <c r="R13" s="416">
        <f t="shared" si="20"/>
        <v>5.2426314144928279</v>
      </c>
      <c r="S13" s="415">
        <f t="shared" ref="S13" si="21">S9*1.6/10000</f>
        <v>5.2240244386362003</v>
      </c>
      <c r="T13" s="415">
        <f t="shared" si="20"/>
        <v>5.2814887074611976</v>
      </c>
      <c r="U13" s="415">
        <f t="shared" si="20"/>
        <v>5.3395850832432714</v>
      </c>
      <c r="V13" s="415">
        <f t="shared" si="20"/>
        <v>5.3983205191589461</v>
      </c>
      <c r="W13" s="415">
        <f t="shared" si="20"/>
        <v>5.4577020448696949</v>
      </c>
      <c r="X13" s="415">
        <f t="shared" si="20"/>
        <v>5.5177367673632611</v>
      </c>
      <c r="Y13" s="415">
        <f t="shared" si="20"/>
        <v>5.5784318718042556</v>
      </c>
      <c r="Z13" s="415">
        <f t="shared" si="20"/>
        <v>5.6397946223941018</v>
      </c>
      <c r="AA13" s="415">
        <f t="shared" si="20"/>
        <v>5.7018323632404364</v>
      </c>
      <c r="AB13" s="415">
        <f t="shared" si="20"/>
        <v>5.76455251923608</v>
      </c>
    </row>
    <row r="14" spans="2:28">
      <c r="B14" s="405" t="s">
        <v>356</v>
      </c>
      <c r="C14" s="415">
        <f>C10*1.35/10000</f>
        <v>2.9705535000000003</v>
      </c>
      <c r="D14" s="415">
        <f>D10*1.35/10000</f>
        <v>3.0032295885</v>
      </c>
      <c r="E14" s="416">
        <f t="shared" ref="E14:H14" si="22">E10*1.35/10000</f>
        <v>3.0254889011896213</v>
      </c>
      <c r="F14" s="416">
        <f t="shared" si="22"/>
        <v>3.0321158818560914</v>
      </c>
      <c r="G14" s="416">
        <f t="shared" si="22"/>
        <v>3.0404200240161043</v>
      </c>
      <c r="H14" s="416">
        <f t="shared" si="22"/>
        <v>3.0470797095661601</v>
      </c>
      <c r="I14" s="415">
        <f>I10*1.35/10000</f>
        <v>3.0362651139734997</v>
      </c>
      <c r="J14" s="416">
        <f t="shared" ref="J14:M14" si="23">J10*1.35/10000</f>
        <v>3.0587692791027066</v>
      </c>
      <c r="K14" s="416">
        <f t="shared" si="23"/>
        <v>3.0654691565565084</v>
      </c>
      <c r="L14" s="416">
        <f t="shared" si="23"/>
        <v>3.0738646442802815</v>
      </c>
      <c r="M14" s="416">
        <f t="shared" si="23"/>
        <v>3.0805975863713875</v>
      </c>
      <c r="N14" s="415">
        <f t="shared" ref="N14:AB14" si="24">N10*1.35/10000</f>
        <v>3.0696640302272082</v>
      </c>
      <c r="O14" s="416">
        <f t="shared" si="24"/>
        <v>3.0924157411728364</v>
      </c>
      <c r="P14" s="416">
        <f t="shared" si="24"/>
        <v>3.0991893172786305</v>
      </c>
      <c r="Q14" s="416">
        <f t="shared" si="24"/>
        <v>3.1076771553673646</v>
      </c>
      <c r="R14" s="416">
        <f t="shared" si="24"/>
        <v>3.114484159821473</v>
      </c>
      <c r="S14" s="415">
        <f t="shared" ref="S14" si="25">S10*1.35/10000</f>
        <v>3.1034303345597074</v>
      </c>
      <c r="T14" s="415">
        <f t="shared" si="24"/>
        <v>3.1375680682398639</v>
      </c>
      <c r="U14" s="415">
        <f t="shared" si="24"/>
        <v>3.1720813169905022</v>
      </c>
      <c r="V14" s="415">
        <f t="shared" si="24"/>
        <v>3.2069742114773971</v>
      </c>
      <c r="W14" s="415">
        <f t="shared" si="24"/>
        <v>3.2422509278036484</v>
      </c>
      <c r="X14" s="415">
        <f t="shared" si="24"/>
        <v>3.2779156880094882</v>
      </c>
      <c r="Y14" s="415">
        <f t="shared" si="24"/>
        <v>3.3139727605775922</v>
      </c>
      <c r="Z14" s="415">
        <f t="shared" si="24"/>
        <v>3.3504264609439449</v>
      </c>
      <c r="AA14" s="415">
        <f t="shared" si="24"/>
        <v>3.3872811520143289</v>
      </c>
      <c r="AB14" s="415">
        <f t="shared" si="24"/>
        <v>3.4245412446864854</v>
      </c>
    </row>
    <row r="15" spans="2:28">
      <c r="B15" s="405" t="s">
        <v>357</v>
      </c>
      <c r="C15" s="415">
        <f t="shared" ref="C15:H15" si="26">C11*0.2/10000</f>
        <v>2.1238740000000003</v>
      </c>
      <c r="D15" s="415">
        <f t="shared" si="26"/>
        <v>2.1472366139999997</v>
      </c>
      <c r="E15" s="416">
        <f t="shared" si="26"/>
        <v>2.1631514849085214</v>
      </c>
      <c r="F15" s="416">
        <f t="shared" si="26"/>
        <v>2.1678896160130505</v>
      </c>
      <c r="G15" s="416">
        <f t="shared" si="26"/>
        <v>2.1738268770743154</v>
      </c>
      <c r="H15" s="416">
        <f t="shared" si="26"/>
        <v>2.1785883913806359</v>
      </c>
      <c r="I15" s="415">
        <f>I11*0.2/10000</f>
        <v>2.1708562167539998</v>
      </c>
      <c r="J15" s="416">
        <f t="shared" ref="J15:AB15" si="27">J11*0.2/10000</f>
        <v>2.1869461512425148</v>
      </c>
      <c r="K15" s="416">
        <f t="shared" si="27"/>
        <v>2.1917364017891945</v>
      </c>
      <c r="L15" s="416">
        <f t="shared" si="27"/>
        <v>2.1977389727221333</v>
      </c>
      <c r="M15" s="416">
        <f t="shared" si="27"/>
        <v>2.2025528636858227</v>
      </c>
      <c r="N15" s="415">
        <f t="shared" si="27"/>
        <v>2.1947356351382932</v>
      </c>
      <c r="O15" s="416">
        <f t="shared" si="27"/>
        <v>2.2110025589061819</v>
      </c>
      <c r="P15" s="416">
        <f t="shared" si="27"/>
        <v>2.2158455022088752</v>
      </c>
      <c r="Q15" s="416">
        <f t="shared" si="27"/>
        <v>2.2219141014220765</v>
      </c>
      <c r="R15" s="416">
        <f t="shared" si="27"/>
        <v>2.2267809451863663</v>
      </c>
      <c r="S15" s="415">
        <f t="shared" si="27"/>
        <v>2.2188777271248146</v>
      </c>
      <c r="T15" s="415">
        <f t="shared" si="27"/>
        <v>2.2432853821231871</v>
      </c>
      <c r="U15" s="415">
        <f t="shared" si="27"/>
        <v>2.2679615213265425</v>
      </c>
      <c r="V15" s="415">
        <f t="shared" si="27"/>
        <v>2.2929090980611337</v>
      </c>
      <c r="W15" s="415">
        <f t="shared" si="27"/>
        <v>2.3181310981398067</v>
      </c>
      <c r="X15" s="415">
        <f t="shared" si="27"/>
        <v>2.343630540219344</v>
      </c>
      <c r="Y15" s="415">
        <f t="shared" si="27"/>
        <v>2.3694104761617565</v>
      </c>
      <c r="Z15" s="415">
        <f t="shared" si="27"/>
        <v>2.3954739913995353</v>
      </c>
      <c r="AA15" s="415">
        <f t="shared" si="27"/>
        <v>2.4218242053049304</v>
      </c>
      <c r="AB15" s="415">
        <f t="shared" si="27"/>
        <v>2.4484642715632838</v>
      </c>
    </row>
    <row r="16" spans="2:28">
      <c r="B16" s="405" t="s">
        <v>311</v>
      </c>
      <c r="C16" s="415">
        <f>C13+C14+C15</f>
        <v>10.094779500000001</v>
      </c>
      <c r="D16" s="415">
        <f>D13+D14+D15</f>
        <v>10.205822074499999</v>
      </c>
      <c r="E16" s="416">
        <f t="shared" ref="E16" si="28">E13+E14+E15</f>
        <v>10.281465503720607</v>
      </c>
      <c r="F16" s="416">
        <f t="shared" ref="F16" si="29">F13+F14+F15</f>
        <v>10.303985855089058</v>
      </c>
      <c r="G16" s="416">
        <f t="shared" ref="G16" si="30">G13+G14+G15</f>
        <v>10.332205674742864</v>
      </c>
      <c r="H16" s="416">
        <f t="shared" ref="H16" si="31">H13+H14+H15</f>
        <v>10.354837166539644</v>
      </c>
      <c r="I16" s="415">
        <f>I13+I14+I15</f>
        <v>10.318086117319499</v>
      </c>
      <c r="J16" s="416">
        <f t="shared" ref="J16:M16" si="32">J13+J14+J15</f>
        <v>10.394561624261533</v>
      </c>
      <c r="K16" s="416">
        <f t="shared" si="32"/>
        <v>10.417329699495037</v>
      </c>
      <c r="L16" s="416">
        <f t="shared" si="32"/>
        <v>10.445859937165036</v>
      </c>
      <c r="M16" s="416">
        <f t="shared" si="32"/>
        <v>10.46874037537158</v>
      </c>
      <c r="N16" s="415">
        <f t="shared" ref="N16:AB16" si="33">N13+N14+N15</f>
        <v>10.431585064610013</v>
      </c>
      <c r="O16" s="416">
        <f t="shared" si="33"/>
        <v>10.50890180212841</v>
      </c>
      <c r="P16" s="416">
        <f t="shared" si="33"/>
        <v>10.531920326189484</v>
      </c>
      <c r="Q16" s="416">
        <f t="shared" si="33"/>
        <v>10.56076439647385</v>
      </c>
      <c r="R16" s="416">
        <f t="shared" si="33"/>
        <v>10.583896519500668</v>
      </c>
      <c r="S16" s="415">
        <f t="shared" ref="S16" si="34">S13+S14+S15</f>
        <v>10.546332500320721</v>
      </c>
      <c r="T16" s="415">
        <f t="shared" si="33"/>
        <v>10.662342157824249</v>
      </c>
      <c r="U16" s="415">
        <f t="shared" si="33"/>
        <v>10.779627921560316</v>
      </c>
      <c r="V16" s="415">
        <f t="shared" si="33"/>
        <v>10.898203828697477</v>
      </c>
      <c r="W16" s="415">
        <f t="shared" si="33"/>
        <v>11.018084070813151</v>
      </c>
      <c r="X16" s="415">
        <f t="shared" si="33"/>
        <v>11.139282995592094</v>
      </c>
      <c r="Y16" s="415">
        <f t="shared" si="33"/>
        <v>11.261815108543605</v>
      </c>
      <c r="Z16" s="415">
        <f t="shared" si="33"/>
        <v>11.385695074737582</v>
      </c>
      <c r="AA16" s="415">
        <f t="shared" si="33"/>
        <v>11.510937720559696</v>
      </c>
      <c r="AB16" s="415">
        <f t="shared" si="33"/>
        <v>11.637558035485849</v>
      </c>
    </row>
    <row r="17" spans="1:38">
      <c r="B17" s="405"/>
      <c r="C17" s="395"/>
      <c r="D17" s="395"/>
      <c r="E17" s="417"/>
      <c r="F17" s="417"/>
      <c r="G17" s="417"/>
      <c r="H17" s="417"/>
      <c r="I17" s="418"/>
      <c r="J17" s="417"/>
      <c r="K17" s="417"/>
      <c r="L17" s="417"/>
      <c r="M17" s="417"/>
      <c r="N17" s="418"/>
      <c r="O17" s="417"/>
      <c r="P17" s="417"/>
      <c r="Q17" s="417"/>
      <c r="R17" s="417"/>
      <c r="S17" s="418"/>
      <c r="T17" s="418"/>
      <c r="U17" s="551"/>
      <c r="V17" s="418"/>
      <c r="W17" s="418"/>
      <c r="X17" s="418"/>
      <c r="Y17" s="418"/>
      <c r="Z17" s="418"/>
      <c r="AA17" s="418"/>
      <c r="AB17" s="418"/>
    </row>
    <row r="18" spans="1:38">
      <c r="B18" s="405" t="s">
        <v>317</v>
      </c>
      <c r="C18" s="419">
        <f t="shared" ref="C18:AB18" si="35">C16*0.13</f>
        <v>1.3123213350000003</v>
      </c>
      <c r="D18" s="419">
        <f t="shared" si="35"/>
        <v>1.3267568696849998</v>
      </c>
      <c r="E18" s="420">
        <f t="shared" si="35"/>
        <v>1.336590515483679</v>
      </c>
      <c r="F18" s="420">
        <f t="shared" si="35"/>
        <v>1.3395181611615776</v>
      </c>
      <c r="G18" s="420">
        <f t="shared" si="35"/>
        <v>1.3431867377165725</v>
      </c>
      <c r="H18" s="420">
        <f t="shared" si="35"/>
        <v>1.3461288316501538</v>
      </c>
      <c r="I18" s="419">
        <f t="shared" si="35"/>
        <v>1.3413511952515349</v>
      </c>
      <c r="J18" s="420">
        <f t="shared" ref="J18:M18" si="36">J16*0.13</f>
        <v>1.3512930111539994</v>
      </c>
      <c r="K18" s="420">
        <f t="shared" si="36"/>
        <v>1.3542528609343547</v>
      </c>
      <c r="L18" s="420">
        <f t="shared" si="36"/>
        <v>1.3579617918314546</v>
      </c>
      <c r="M18" s="420">
        <f t="shared" si="36"/>
        <v>1.3609362487983054</v>
      </c>
      <c r="N18" s="419">
        <f t="shared" si="35"/>
        <v>1.3561060583993019</v>
      </c>
      <c r="O18" s="420">
        <f t="shared" si="35"/>
        <v>1.3661572342766932</v>
      </c>
      <c r="P18" s="420">
        <f t="shared" si="35"/>
        <v>1.369149642404633</v>
      </c>
      <c r="Q18" s="420">
        <f t="shared" si="35"/>
        <v>1.3728993715416005</v>
      </c>
      <c r="R18" s="420">
        <f t="shared" si="35"/>
        <v>1.3759065475350869</v>
      </c>
      <c r="S18" s="419">
        <f t="shared" ref="S18" si="37">S16*0.13</f>
        <v>1.3710232250416938</v>
      </c>
      <c r="T18" s="419">
        <f t="shared" si="35"/>
        <v>1.3861044805171523</v>
      </c>
      <c r="U18" s="419">
        <f t="shared" si="35"/>
        <v>1.401351629802841</v>
      </c>
      <c r="V18" s="419">
        <f t="shared" si="35"/>
        <v>1.4167664977306722</v>
      </c>
      <c r="W18" s="419">
        <f t="shared" si="35"/>
        <v>1.4323509292057097</v>
      </c>
      <c r="X18" s="419">
        <f t="shared" si="35"/>
        <v>1.4481067894269724</v>
      </c>
      <c r="Y18" s="419">
        <f t="shared" si="35"/>
        <v>1.4640359641106686</v>
      </c>
      <c r="Z18" s="419">
        <f t="shared" si="35"/>
        <v>1.4801403597158858</v>
      </c>
      <c r="AA18" s="419">
        <f t="shared" si="35"/>
        <v>1.4964219036727604</v>
      </c>
      <c r="AB18" s="419">
        <f t="shared" si="35"/>
        <v>1.5128825446131604</v>
      </c>
    </row>
    <row r="19" spans="1:38">
      <c r="B19" s="405" t="s">
        <v>396</v>
      </c>
      <c r="C19" s="419">
        <f t="shared" ref="C19:AB19" si="38">C16*0.08</f>
        <v>0.80758236000000017</v>
      </c>
      <c r="D19" s="419">
        <f t="shared" si="38"/>
        <v>0.81646576595999987</v>
      </c>
      <c r="E19" s="421">
        <f t="shared" si="38"/>
        <v>0.82251724029764861</v>
      </c>
      <c r="F19" s="421">
        <f t="shared" si="38"/>
        <v>0.82431886840712465</v>
      </c>
      <c r="G19" s="421">
        <f t="shared" si="38"/>
        <v>0.82657645397942914</v>
      </c>
      <c r="H19" s="421">
        <f t="shared" si="38"/>
        <v>0.82838697332317157</v>
      </c>
      <c r="I19" s="422">
        <f t="shared" si="38"/>
        <v>0.82544688938555999</v>
      </c>
      <c r="J19" s="421">
        <f t="shared" si="38"/>
        <v>0.83156492994092268</v>
      </c>
      <c r="K19" s="421">
        <f t="shared" si="38"/>
        <v>0.83338637595960297</v>
      </c>
      <c r="L19" s="421">
        <f t="shared" si="38"/>
        <v>0.8356687949732029</v>
      </c>
      <c r="M19" s="421">
        <f t="shared" si="38"/>
        <v>0.83749923002972637</v>
      </c>
      <c r="N19" s="422">
        <f t="shared" si="38"/>
        <v>0.83452680516880107</v>
      </c>
      <c r="O19" s="421">
        <f t="shared" si="38"/>
        <v>0.84071214417027285</v>
      </c>
      <c r="P19" s="421">
        <f t="shared" si="38"/>
        <v>0.84255362609515871</v>
      </c>
      <c r="Q19" s="421">
        <f t="shared" si="38"/>
        <v>0.84486115171790799</v>
      </c>
      <c r="R19" s="421">
        <f t="shared" si="38"/>
        <v>0.84671172156005348</v>
      </c>
      <c r="S19" s="422">
        <f t="shared" si="38"/>
        <v>0.84370660002565767</v>
      </c>
      <c r="T19" s="422">
        <f t="shared" si="38"/>
        <v>0.85298737262593993</v>
      </c>
      <c r="U19" s="422">
        <f t="shared" si="38"/>
        <v>0.86237023372482524</v>
      </c>
      <c r="V19" s="422">
        <f t="shared" si="38"/>
        <v>0.87185630629579824</v>
      </c>
      <c r="W19" s="422">
        <f t="shared" si="38"/>
        <v>0.88144672566505211</v>
      </c>
      <c r="X19" s="422">
        <f t="shared" si="38"/>
        <v>0.89114263964736751</v>
      </c>
      <c r="Y19" s="422">
        <f t="shared" si="38"/>
        <v>0.90094520868348837</v>
      </c>
      <c r="Z19" s="422">
        <f t="shared" si="38"/>
        <v>0.9108556059790065</v>
      </c>
      <c r="AA19" s="422">
        <f t="shared" si="38"/>
        <v>0.92087501764477564</v>
      </c>
      <c r="AB19" s="422">
        <f t="shared" si="38"/>
        <v>0.93100464283886797</v>
      </c>
      <c r="AH19" s="397">
        <f>AH20/35.6</f>
        <v>6426.9662921348308</v>
      </c>
    </row>
    <row r="20" spans="1:38">
      <c r="B20" s="405" t="s">
        <v>329</v>
      </c>
      <c r="C20" s="419">
        <f>C16*0.08</f>
        <v>0.80758236000000017</v>
      </c>
      <c r="D20" s="419">
        <f t="shared" ref="D20:AB20" si="39">D16*0.08</f>
        <v>0.81646576595999987</v>
      </c>
      <c r="E20" s="421">
        <f t="shared" si="39"/>
        <v>0.82251724029764861</v>
      </c>
      <c r="F20" s="421">
        <f t="shared" si="39"/>
        <v>0.82431886840712465</v>
      </c>
      <c r="G20" s="421">
        <f t="shared" si="39"/>
        <v>0.82657645397942914</v>
      </c>
      <c r="H20" s="421">
        <f t="shared" si="39"/>
        <v>0.82838697332317157</v>
      </c>
      <c r="I20" s="422">
        <f t="shared" si="39"/>
        <v>0.82544688938555999</v>
      </c>
      <c r="J20" s="421">
        <f t="shared" ref="J20:M20" si="40">J16*0.08</f>
        <v>0.83156492994092268</v>
      </c>
      <c r="K20" s="421">
        <f t="shared" si="40"/>
        <v>0.83338637595960297</v>
      </c>
      <c r="L20" s="421">
        <f t="shared" si="40"/>
        <v>0.8356687949732029</v>
      </c>
      <c r="M20" s="421">
        <f t="shared" si="40"/>
        <v>0.83749923002972637</v>
      </c>
      <c r="N20" s="422">
        <f t="shared" si="39"/>
        <v>0.83452680516880107</v>
      </c>
      <c r="O20" s="421">
        <f t="shared" si="39"/>
        <v>0.84071214417027285</v>
      </c>
      <c r="P20" s="421">
        <f t="shared" si="39"/>
        <v>0.84255362609515871</v>
      </c>
      <c r="Q20" s="421">
        <f t="shared" si="39"/>
        <v>0.84486115171790799</v>
      </c>
      <c r="R20" s="421">
        <f t="shared" si="39"/>
        <v>0.84671172156005348</v>
      </c>
      <c r="S20" s="422">
        <f t="shared" ref="S20" si="41">S16*0.08</f>
        <v>0.84370660002565767</v>
      </c>
      <c r="T20" s="422">
        <f t="shared" si="39"/>
        <v>0.85298737262593993</v>
      </c>
      <c r="U20" s="422">
        <f t="shared" si="39"/>
        <v>0.86237023372482524</v>
      </c>
      <c r="V20" s="422">
        <f t="shared" si="39"/>
        <v>0.87185630629579824</v>
      </c>
      <c r="W20" s="422">
        <f t="shared" si="39"/>
        <v>0.88144672566505211</v>
      </c>
      <c r="X20" s="422">
        <f t="shared" si="39"/>
        <v>0.89114263964736751</v>
      </c>
      <c r="Y20" s="422">
        <f t="shared" si="39"/>
        <v>0.90094520868348837</v>
      </c>
      <c r="Z20" s="422">
        <f t="shared" si="39"/>
        <v>0.9108556059790065</v>
      </c>
      <c r="AA20" s="422">
        <f t="shared" si="39"/>
        <v>0.92087501764477564</v>
      </c>
      <c r="AB20" s="422">
        <f t="shared" si="39"/>
        <v>0.93100464283886797</v>
      </c>
      <c r="AH20" s="397">
        <f>17600*13</f>
        <v>228800</v>
      </c>
      <c r="AI20" s="397">
        <f>AH20*4</f>
        <v>915200</v>
      </c>
    </row>
    <row r="21" spans="1:38">
      <c r="B21" s="405"/>
      <c r="C21" s="407"/>
      <c r="D21" s="407"/>
      <c r="E21" s="408"/>
      <c r="F21" s="408"/>
      <c r="G21" s="408"/>
      <c r="H21" s="408"/>
      <c r="I21" s="407"/>
      <c r="J21" s="408"/>
      <c r="K21" s="408"/>
      <c r="L21" s="408"/>
      <c r="M21" s="408"/>
      <c r="N21" s="407"/>
      <c r="O21" s="408"/>
      <c r="P21" s="408"/>
      <c r="Q21" s="408"/>
      <c r="R21" s="408"/>
      <c r="S21" s="407"/>
      <c r="T21" s="407"/>
      <c r="U21" s="407"/>
      <c r="V21" s="407"/>
      <c r="W21" s="407"/>
      <c r="X21" s="407"/>
      <c r="Y21" s="407"/>
      <c r="Z21" s="407"/>
      <c r="AA21" s="407"/>
      <c r="AB21" s="407"/>
      <c r="AH21" s="397">
        <f>AH19/20</f>
        <v>321.34831460674155</v>
      </c>
    </row>
    <row r="22" spans="1:38">
      <c r="B22" s="405" t="s">
        <v>362</v>
      </c>
      <c r="C22" s="415">
        <f t="shared" ref="C22:AB22" si="42">C13*0.13</f>
        <v>0.65004576000000003</v>
      </c>
      <c r="D22" s="415">
        <f t="shared" si="42"/>
        <v>0.65719626336000003</v>
      </c>
      <c r="E22" s="416">
        <f t="shared" si="42"/>
        <v>0.66206726529092041</v>
      </c>
      <c r="F22" s="416">
        <f t="shared" si="42"/>
        <v>0.66351744643858912</v>
      </c>
      <c r="G22" s="416">
        <f t="shared" si="42"/>
        <v>0.66533464057481773</v>
      </c>
      <c r="H22" s="416">
        <f t="shared" si="42"/>
        <v>0.66679197852707028</v>
      </c>
      <c r="I22" s="415">
        <f t="shared" si="42"/>
        <v>0.66442542225696</v>
      </c>
      <c r="J22" s="416">
        <f t="shared" si="42"/>
        <v>0.66935000520912047</v>
      </c>
      <c r="K22" s="416">
        <f t="shared" si="42"/>
        <v>0.67081613834941356</v>
      </c>
      <c r="L22" s="416">
        <f t="shared" si="42"/>
        <v>0.67265332162114067</v>
      </c>
      <c r="M22" s="416">
        <f t="shared" si="42"/>
        <v>0.67412669029086802</v>
      </c>
      <c r="N22" s="415">
        <f t="shared" si="42"/>
        <v>0.67173410190178651</v>
      </c>
      <c r="O22" s="416">
        <f t="shared" si="42"/>
        <v>0.67671285526642078</v>
      </c>
      <c r="P22" s="416">
        <f t="shared" si="42"/>
        <v>0.67819511587125714</v>
      </c>
      <c r="Q22" s="416">
        <f t="shared" si="42"/>
        <v>0.68005250815897322</v>
      </c>
      <c r="R22" s="416">
        <f t="shared" si="42"/>
        <v>0.68154208388406767</v>
      </c>
      <c r="S22" s="415">
        <f t="shared" si="42"/>
        <v>0.67912317702270608</v>
      </c>
      <c r="T22" s="415">
        <f t="shared" si="42"/>
        <v>0.68659353196995576</v>
      </c>
      <c r="U22" s="415">
        <f t="shared" si="42"/>
        <v>0.69414606082162533</v>
      </c>
      <c r="V22" s="415">
        <f t="shared" si="42"/>
        <v>0.70178166749066306</v>
      </c>
      <c r="W22" s="415">
        <f t="shared" si="42"/>
        <v>0.70950126583306039</v>
      </c>
      <c r="X22" s="415">
        <f t="shared" si="42"/>
        <v>0.71730577975722398</v>
      </c>
      <c r="Y22" s="415">
        <f t="shared" si="42"/>
        <v>0.72519614333455329</v>
      </c>
      <c r="Z22" s="415">
        <f t="shared" si="42"/>
        <v>0.73317330091123323</v>
      </c>
      <c r="AA22" s="415">
        <f t="shared" si="42"/>
        <v>0.74123820722125677</v>
      </c>
      <c r="AB22" s="415">
        <f t="shared" si="42"/>
        <v>0.74939182750069044</v>
      </c>
    </row>
    <row r="23" spans="1:38">
      <c r="B23" s="405" t="s">
        <v>363</v>
      </c>
      <c r="C23" s="415">
        <f t="shared" ref="C23:AB23" si="43">(C14+C15)*0.13</f>
        <v>0.66227557500000001</v>
      </c>
      <c r="D23" s="415">
        <f t="shared" si="43"/>
        <v>0.66956060632500003</v>
      </c>
      <c r="E23" s="416">
        <f t="shared" si="43"/>
        <v>0.67452325019275861</v>
      </c>
      <c r="F23" s="416">
        <f t="shared" si="43"/>
        <v>0.6760007147229885</v>
      </c>
      <c r="G23" s="416">
        <f t="shared" si="43"/>
        <v>0.67785209714175454</v>
      </c>
      <c r="H23" s="416">
        <f t="shared" si="43"/>
        <v>0.67933685312308356</v>
      </c>
      <c r="I23" s="415">
        <f t="shared" si="43"/>
        <v>0.6769257729945749</v>
      </c>
      <c r="J23" s="416">
        <f t="shared" si="43"/>
        <v>0.68194300594487878</v>
      </c>
      <c r="K23" s="416">
        <f t="shared" si="43"/>
        <v>0.68343672258494137</v>
      </c>
      <c r="L23" s="416">
        <f t="shared" si="43"/>
        <v>0.68530847021031394</v>
      </c>
      <c r="M23" s="416">
        <f t="shared" si="43"/>
        <v>0.6868095585074373</v>
      </c>
      <c r="N23" s="415">
        <f t="shared" si="43"/>
        <v>0.68437195649751525</v>
      </c>
      <c r="O23" s="416">
        <f t="shared" si="43"/>
        <v>0.68944437901027245</v>
      </c>
      <c r="P23" s="416">
        <f t="shared" si="43"/>
        <v>0.69095452653337586</v>
      </c>
      <c r="Q23" s="416">
        <f t="shared" si="43"/>
        <v>0.69284686338262735</v>
      </c>
      <c r="R23" s="416">
        <f t="shared" si="43"/>
        <v>0.69436446365101911</v>
      </c>
      <c r="S23" s="415">
        <f t="shared" si="43"/>
        <v>0.69190004801898786</v>
      </c>
      <c r="T23" s="415">
        <f t="shared" si="43"/>
        <v>0.69951094854719664</v>
      </c>
      <c r="U23" s="415">
        <f t="shared" si="43"/>
        <v>0.70720556898121578</v>
      </c>
      <c r="V23" s="415">
        <f t="shared" si="43"/>
        <v>0.71498483024000903</v>
      </c>
      <c r="W23" s="415">
        <f t="shared" si="43"/>
        <v>0.72284966337264922</v>
      </c>
      <c r="X23" s="415">
        <f t="shared" si="43"/>
        <v>0.73080100966974815</v>
      </c>
      <c r="Y23" s="415">
        <f t="shared" si="43"/>
        <v>0.73883982077611543</v>
      </c>
      <c r="Z23" s="415">
        <f t="shared" si="43"/>
        <v>0.74696705880465253</v>
      </c>
      <c r="AA23" s="415">
        <f t="shared" si="43"/>
        <v>0.75518369645150374</v>
      </c>
      <c r="AB23" s="415">
        <f t="shared" si="43"/>
        <v>0.76349071711247007</v>
      </c>
    </row>
    <row r="24" spans="1:38">
      <c r="B24" s="405" t="s">
        <v>399</v>
      </c>
      <c r="C24" s="415">
        <f t="shared" ref="C24:H24" si="44">C13*0.16</f>
        <v>0.80005632000000004</v>
      </c>
      <c r="D24" s="415">
        <f t="shared" si="44"/>
        <v>0.80885693952000004</v>
      </c>
      <c r="E24" s="416">
        <f t="shared" si="44"/>
        <v>0.81485201881959424</v>
      </c>
      <c r="F24" s="416">
        <f t="shared" si="44"/>
        <v>0.81663685715518652</v>
      </c>
      <c r="G24" s="416">
        <f t="shared" si="44"/>
        <v>0.81887340378439111</v>
      </c>
      <c r="H24" s="416">
        <f t="shared" si="44"/>
        <v>0.82066705049485578</v>
      </c>
      <c r="I24" s="415">
        <f t="shared" ref="I24:AB24" si="45">I13*0.08</f>
        <v>0.40887718292735997</v>
      </c>
      <c r="J24" s="416">
        <f t="shared" si="45"/>
        <v>0.41190769551330492</v>
      </c>
      <c r="K24" s="416">
        <f t="shared" si="45"/>
        <v>0.41280993129194676</v>
      </c>
      <c r="L24" s="416">
        <f t="shared" si="45"/>
        <v>0.41394050561300966</v>
      </c>
      <c r="M24" s="416">
        <f t="shared" si="45"/>
        <v>0.41484719402514958</v>
      </c>
      <c r="N24" s="415">
        <f t="shared" si="45"/>
        <v>0.41337483193956093</v>
      </c>
      <c r="O24" s="416">
        <f t="shared" si="45"/>
        <v>0.41643868016395125</v>
      </c>
      <c r="P24" s="416">
        <f t="shared" si="45"/>
        <v>0.41735084053615823</v>
      </c>
      <c r="Q24" s="416">
        <f t="shared" si="45"/>
        <v>0.41849385117475274</v>
      </c>
      <c r="R24" s="416">
        <f t="shared" si="45"/>
        <v>0.41941051315942623</v>
      </c>
      <c r="S24" s="415">
        <f t="shared" si="45"/>
        <v>0.41792195509089602</v>
      </c>
      <c r="T24" s="415">
        <f t="shared" si="45"/>
        <v>0.42251909659689579</v>
      </c>
      <c r="U24" s="415">
        <f t="shared" si="45"/>
        <v>0.42716680665946172</v>
      </c>
      <c r="V24" s="415">
        <f t="shared" si="45"/>
        <v>0.43186564153271567</v>
      </c>
      <c r="W24" s="415">
        <f t="shared" si="45"/>
        <v>0.43661616358957561</v>
      </c>
      <c r="X24" s="415">
        <f t="shared" si="45"/>
        <v>0.4414189413890609</v>
      </c>
      <c r="Y24" s="415">
        <f t="shared" si="45"/>
        <v>0.44627454974434044</v>
      </c>
      <c r="Z24" s="415">
        <f t="shared" si="45"/>
        <v>0.45118356979152813</v>
      </c>
      <c r="AA24" s="415">
        <f t="shared" si="45"/>
        <v>0.45614658905923494</v>
      </c>
      <c r="AB24" s="415">
        <f t="shared" si="45"/>
        <v>0.46116420153888643</v>
      </c>
      <c r="AH24" s="397">
        <f>30</f>
        <v>30</v>
      </c>
      <c r="AJ24" s="397">
        <v>1100</v>
      </c>
    </row>
    <row r="25" spans="1:38">
      <c r="B25" s="405" t="s">
        <v>397</v>
      </c>
      <c r="C25" s="415"/>
      <c r="D25" s="415"/>
      <c r="E25" s="416"/>
      <c r="F25" s="416"/>
      <c r="G25" s="416"/>
      <c r="H25" s="416"/>
      <c r="I25" s="415">
        <f t="shared" ref="I25:AB25" si="46">I13*0.08</f>
        <v>0.40887718292735997</v>
      </c>
      <c r="J25" s="416">
        <f t="shared" si="46"/>
        <v>0.41190769551330492</v>
      </c>
      <c r="K25" s="416">
        <f t="shared" si="46"/>
        <v>0.41280993129194676</v>
      </c>
      <c r="L25" s="416">
        <f t="shared" si="46"/>
        <v>0.41394050561300966</v>
      </c>
      <c r="M25" s="416">
        <f t="shared" si="46"/>
        <v>0.41484719402514958</v>
      </c>
      <c r="N25" s="415">
        <f t="shared" si="46"/>
        <v>0.41337483193956093</v>
      </c>
      <c r="O25" s="416">
        <f t="shared" si="46"/>
        <v>0.41643868016395125</v>
      </c>
      <c r="P25" s="416">
        <f t="shared" si="46"/>
        <v>0.41735084053615823</v>
      </c>
      <c r="Q25" s="416">
        <f t="shared" si="46"/>
        <v>0.41849385117475274</v>
      </c>
      <c r="R25" s="416">
        <f t="shared" si="46"/>
        <v>0.41941051315942623</v>
      </c>
      <c r="S25" s="415">
        <f t="shared" si="46"/>
        <v>0.41792195509089602</v>
      </c>
      <c r="T25" s="415">
        <f t="shared" si="46"/>
        <v>0.42251909659689579</v>
      </c>
      <c r="U25" s="415">
        <f t="shared" si="46"/>
        <v>0.42716680665946172</v>
      </c>
      <c r="V25" s="415">
        <f t="shared" si="46"/>
        <v>0.43186564153271567</v>
      </c>
      <c r="W25" s="415">
        <f t="shared" si="46"/>
        <v>0.43661616358957561</v>
      </c>
      <c r="X25" s="415">
        <f t="shared" si="46"/>
        <v>0.4414189413890609</v>
      </c>
      <c r="Y25" s="415">
        <f t="shared" si="46"/>
        <v>0.44627454974434044</v>
      </c>
      <c r="Z25" s="415">
        <f t="shared" si="46"/>
        <v>0.45118356979152813</v>
      </c>
      <c r="AA25" s="415">
        <f t="shared" si="46"/>
        <v>0.45614658905923494</v>
      </c>
      <c r="AB25" s="415">
        <f t="shared" si="46"/>
        <v>0.46116420153888643</v>
      </c>
    </row>
    <row r="26" spans="1:38">
      <c r="B26" s="405" t="s">
        <v>405</v>
      </c>
      <c r="C26" s="415">
        <f t="shared" ref="C26:H26" si="47">(C14+C15)*0.14</f>
        <v>0.7132198500000001</v>
      </c>
      <c r="D26" s="415">
        <f t="shared" si="47"/>
        <v>0.72106526835000007</v>
      </c>
      <c r="E26" s="416">
        <f t="shared" si="47"/>
        <v>0.72640965405374014</v>
      </c>
      <c r="F26" s="416">
        <f t="shared" si="47"/>
        <v>0.72800076970168004</v>
      </c>
      <c r="G26" s="416">
        <f t="shared" si="47"/>
        <v>0.72999456615265879</v>
      </c>
      <c r="H26" s="416">
        <f t="shared" si="47"/>
        <v>0.73159353413255157</v>
      </c>
      <c r="I26" s="415">
        <f t="shared" ref="I26:AB26" si="48">(I14+I15)*0.08</f>
        <v>0.41656970645819996</v>
      </c>
      <c r="J26" s="416">
        <f t="shared" si="48"/>
        <v>0.41965723442761771</v>
      </c>
      <c r="K26" s="416">
        <f t="shared" si="48"/>
        <v>0.42057644466765626</v>
      </c>
      <c r="L26" s="416">
        <f t="shared" si="48"/>
        <v>0.42172828936019313</v>
      </c>
      <c r="M26" s="416">
        <f t="shared" si="48"/>
        <v>0.42265203600457685</v>
      </c>
      <c r="N26" s="415">
        <f t="shared" si="48"/>
        <v>0.42115197322924014</v>
      </c>
      <c r="O26" s="416">
        <f t="shared" si="48"/>
        <v>0.42427346400632149</v>
      </c>
      <c r="P26" s="416">
        <f t="shared" si="48"/>
        <v>0.42520278555900048</v>
      </c>
      <c r="Q26" s="416">
        <f t="shared" si="48"/>
        <v>0.4263673005431553</v>
      </c>
      <c r="R26" s="416">
        <f t="shared" si="48"/>
        <v>0.42730120840062713</v>
      </c>
      <c r="S26" s="415">
        <f t="shared" si="48"/>
        <v>0.42578464493476176</v>
      </c>
      <c r="T26" s="415">
        <f t="shared" si="48"/>
        <v>0.43046827602904408</v>
      </c>
      <c r="U26" s="415">
        <f t="shared" si="48"/>
        <v>0.43520342706536352</v>
      </c>
      <c r="V26" s="415">
        <f t="shared" si="48"/>
        <v>0.43999066476308246</v>
      </c>
      <c r="W26" s="415">
        <f t="shared" si="48"/>
        <v>0.44483056207547644</v>
      </c>
      <c r="X26" s="415">
        <f t="shared" si="48"/>
        <v>0.44972369825830655</v>
      </c>
      <c r="Y26" s="415">
        <f t="shared" si="48"/>
        <v>0.45467065893914793</v>
      </c>
      <c r="Z26" s="415">
        <f t="shared" si="48"/>
        <v>0.45967203618747848</v>
      </c>
      <c r="AA26" s="415">
        <f t="shared" si="48"/>
        <v>0.46472842858554075</v>
      </c>
      <c r="AB26" s="415">
        <f t="shared" si="48"/>
        <v>0.46984044129998154</v>
      </c>
      <c r="AH26" s="397">
        <v>35.6</v>
      </c>
      <c r="AJ26" s="397">
        <f>AJ24/50</f>
        <v>22</v>
      </c>
    </row>
    <row r="27" spans="1:38">
      <c r="B27" s="405" t="s">
        <v>398</v>
      </c>
      <c r="C27" s="415"/>
      <c r="D27" s="415"/>
      <c r="E27" s="416"/>
      <c r="F27" s="416"/>
      <c r="G27" s="416"/>
      <c r="H27" s="416"/>
      <c r="I27" s="415">
        <f t="shared" ref="I27:AB27" si="49">(I14+I15)*0.08</f>
        <v>0.41656970645819996</v>
      </c>
      <c r="J27" s="416">
        <f t="shared" si="49"/>
        <v>0.41965723442761771</v>
      </c>
      <c r="K27" s="416">
        <f t="shared" si="49"/>
        <v>0.42057644466765626</v>
      </c>
      <c r="L27" s="416">
        <f t="shared" si="49"/>
        <v>0.42172828936019313</v>
      </c>
      <c r="M27" s="416">
        <f t="shared" si="49"/>
        <v>0.42265203600457685</v>
      </c>
      <c r="N27" s="415">
        <f t="shared" si="49"/>
        <v>0.42115197322924014</v>
      </c>
      <c r="O27" s="416">
        <f t="shared" si="49"/>
        <v>0.42427346400632149</v>
      </c>
      <c r="P27" s="416">
        <f t="shared" si="49"/>
        <v>0.42520278555900048</v>
      </c>
      <c r="Q27" s="416">
        <f t="shared" si="49"/>
        <v>0.4263673005431553</v>
      </c>
      <c r="R27" s="416">
        <f t="shared" si="49"/>
        <v>0.42730120840062713</v>
      </c>
      <c r="S27" s="415">
        <f t="shared" si="49"/>
        <v>0.42578464493476176</v>
      </c>
      <c r="T27" s="415">
        <f t="shared" si="49"/>
        <v>0.43046827602904408</v>
      </c>
      <c r="U27" s="415">
        <f t="shared" si="49"/>
        <v>0.43520342706536352</v>
      </c>
      <c r="V27" s="415">
        <f t="shared" si="49"/>
        <v>0.43999066476308246</v>
      </c>
      <c r="W27" s="415">
        <f t="shared" si="49"/>
        <v>0.44483056207547644</v>
      </c>
      <c r="X27" s="415">
        <f t="shared" si="49"/>
        <v>0.44972369825830655</v>
      </c>
      <c r="Y27" s="415">
        <f t="shared" si="49"/>
        <v>0.45467065893914793</v>
      </c>
      <c r="Z27" s="415">
        <f t="shared" si="49"/>
        <v>0.45967203618747848</v>
      </c>
      <c r="AA27" s="415">
        <f t="shared" si="49"/>
        <v>0.46472842858554075</v>
      </c>
      <c r="AB27" s="415">
        <f t="shared" si="49"/>
        <v>0.46984044129998154</v>
      </c>
    </row>
    <row r="28" spans="1:38">
      <c r="B28" s="405"/>
      <c r="C28" s="415"/>
      <c r="D28" s="415"/>
      <c r="E28" s="416"/>
      <c r="F28" s="416"/>
      <c r="G28" s="416"/>
      <c r="H28" s="416"/>
      <c r="I28" s="415"/>
      <c r="J28" s="416"/>
      <c r="K28" s="416"/>
      <c r="L28" s="416"/>
      <c r="M28" s="416"/>
      <c r="N28" s="415"/>
      <c r="O28" s="416"/>
      <c r="P28" s="416"/>
      <c r="Q28" s="416"/>
      <c r="R28" s="416"/>
      <c r="S28" s="415"/>
      <c r="T28" s="415"/>
      <c r="U28" s="415"/>
      <c r="V28" s="415"/>
      <c r="W28" s="415"/>
      <c r="X28" s="415"/>
      <c r="Y28" s="415"/>
      <c r="Z28" s="415"/>
      <c r="AA28" s="415"/>
      <c r="AB28" s="415"/>
      <c r="AH28" s="397">
        <f>AH26*AH24</f>
        <v>1068</v>
      </c>
      <c r="AJ28" s="397">
        <f>AJ26*800</f>
        <v>17600</v>
      </c>
    </row>
    <row r="29" spans="1:38">
      <c r="B29" s="423" t="s">
        <v>335</v>
      </c>
      <c r="C29" s="424"/>
      <c r="D29" s="424"/>
      <c r="E29" s="425"/>
      <c r="F29" s="425"/>
      <c r="G29" s="425"/>
      <c r="H29" s="425"/>
      <c r="I29" s="426"/>
      <c r="J29" s="425"/>
      <c r="K29" s="425"/>
      <c r="L29" s="425"/>
      <c r="M29" s="425"/>
      <c r="N29" s="426"/>
      <c r="O29" s="425"/>
      <c r="P29" s="425"/>
      <c r="Q29" s="425"/>
      <c r="R29" s="425"/>
      <c r="S29" s="426"/>
      <c r="T29" s="426"/>
      <c r="U29" s="426"/>
      <c r="V29" s="426"/>
      <c r="W29" s="426"/>
      <c r="X29" s="426"/>
      <c r="Y29" s="426"/>
      <c r="Z29" s="426"/>
      <c r="AA29" s="426"/>
      <c r="AB29" s="426"/>
      <c r="AH29" s="397">
        <f>22*800</f>
        <v>17600</v>
      </c>
      <c r="AI29" s="397">
        <f>AH29/35.6</f>
        <v>494.38202247191009</v>
      </c>
      <c r="AJ29" s="397">
        <f>AJ28/35.6</f>
        <v>494.38202247191009</v>
      </c>
      <c r="AK29" s="397">
        <f>AJ29*35.6</f>
        <v>17600</v>
      </c>
      <c r="AL29" s="397">
        <f>AK29*20</f>
        <v>352000</v>
      </c>
    </row>
    <row r="30" spans="1:38" s="427" customFormat="1" hidden="1" outlineLevel="1">
      <c r="A30" s="427" t="s">
        <v>319</v>
      </c>
      <c r="B30" s="534" t="s">
        <v>64</v>
      </c>
      <c r="C30" s="535"/>
      <c r="D30" s="536">
        <f>D31*2</f>
        <v>0</v>
      </c>
      <c r="E30" s="536">
        <f>E31*2</f>
        <v>0</v>
      </c>
      <c r="F30" s="536">
        <f>F31*2</f>
        <v>0</v>
      </c>
      <c r="G30" s="536">
        <f>G31*2</f>
        <v>0</v>
      </c>
      <c r="H30" s="536">
        <f>H31</f>
        <v>8.7499999999999994E-2</v>
      </c>
      <c r="I30" s="537">
        <f>(H30+G30+F30+E30)/4</f>
        <v>2.1874999999999999E-2</v>
      </c>
      <c r="J30" s="536">
        <f>J31</f>
        <v>0.13750000000000001</v>
      </c>
      <c r="K30" s="536">
        <f>K31</f>
        <v>0.26</v>
      </c>
      <c r="L30" s="536">
        <f>L31</f>
        <v>0.32</v>
      </c>
      <c r="M30" s="536">
        <v>0.9</v>
      </c>
      <c r="N30" s="537">
        <f>(M30+L30+K30+J30)/4</f>
        <v>0.40437499999999998</v>
      </c>
      <c r="O30" s="536">
        <v>0.9</v>
      </c>
      <c r="P30" s="536">
        <v>0.9</v>
      </c>
      <c r="Q30" s="536">
        <v>0.9</v>
      </c>
      <c r="R30" s="536">
        <v>0.9</v>
      </c>
      <c r="S30" s="537">
        <f>(R30+Q30+P30+O30)/4</f>
        <v>0.9</v>
      </c>
      <c r="T30" s="536">
        <f>S30</f>
        <v>0.9</v>
      </c>
      <c r="U30" s="536">
        <f t="shared" ref="U30:AB30" si="50">T30</f>
        <v>0.9</v>
      </c>
      <c r="V30" s="536">
        <f t="shared" si="50"/>
        <v>0.9</v>
      </c>
      <c r="W30" s="536">
        <f t="shared" si="50"/>
        <v>0.9</v>
      </c>
      <c r="X30" s="536">
        <f t="shared" si="50"/>
        <v>0.9</v>
      </c>
      <c r="Y30" s="536">
        <f t="shared" si="50"/>
        <v>0.9</v>
      </c>
      <c r="Z30" s="536">
        <f t="shared" si="50"/>
        <v>0.9</v>
      </c>
      <c r="AA30" s="536">
        <f t="shared" si="50"/>
        <v>0.9</v>
      </c>
      <c r="AB30" s="536">
        <f t="shared" si="50"/>
        <v>0.9</v>
      </c>
    </row>
    <row r="31" spans="1:38" s="427" customFormat="1" hidden="1" outlineLevel="1">
      <c r="B31" s="534" t="s">
        <v>65</v>
      </c>
      <c r="C31" s="535"/>
      <c r="D31" s="536">
        <v>0</v>
      </c>
      <c r="E31" s="536">
        <v>0</v>
      </c>
      <c r="F31" s="536">
        <v>0</v>
      </c>
      <c r="G31" s="536">
        <v>0</v>
      </c>
      <c r="H31" s="536">
        <v>8.7499999999999994E-2</v>
      </c>
      <c r="I31" s="537">
        <f t="shared" ref="I31:I32" si="51">(H31+G31+F31+E31)/4</f>
        <v>2.1874999999999999E-2</v>
      </c>
      <c r="J31" s="536">
        <f>H31+5%</f>
        <v>0.13750000000000001</v>
      </c>
      <c r="K31" s="536">
        <v>0.26</v>
      </c>
      <c r="L31" s="536">
        <v>0.32</v>
      </c>
      <c r="M31" s="536">
        <v>0.45</v>
      </c>
      <c r="N31" s="537">
        <f t="shared" ref="N31" si="52">(M31+L31+K31+J31)/4</f>
        <v>0.291875</v>
      </c>
      <c r="O31" s="536">
        <f>M31-J31*0.05+5%</f>
        <v>0.49312499999999998</v>
      </c>
      <c r="P31" s="536">
        <f>O31+5%</f>
        <v>0.54312499999999997</v>
      </c>
      <c r="Q31" s="536">
        <f>P31+5%</f>
        <v>0.59312500000000001</v>
      </c>
      <c r="R31" s="536">
        <f>Q31+5%</f>
        <v>0.64312500000000006</v>
      </c>
      <c r="S31" s="537">
        <f t="shared" ref="S31:S33" si="53">(R31+Q31+P31+O31)/4</f>
        <v>0.56812499999999999</v>
      </c>
      <c r="T31" s="536">
        <f>R31+0.075</f>
        <v>0.71812500000000001</v>
      </c>
      <c r="U31" s="536">
        <f>T31-S31*0.05+0.075</f>
        <v>0.76471875</v>
      </c>
      <c r="V31" s="536">
        <f>U31-T31*0.05+0.075</f>
        <v>0.80381249999999993</v>
      </c>
      <c r="W31" s="536">
        <f>V31-U31*0.025</f>
        <v>0.78469453124999988</v>
      </c>
      <c r="X31" s="536">
        <f>W31-V31*0.025</f>
        <v>0.76459921874999992</v>
      </c>
      <c r="Y31" s="536">
        <f>X31-W31*0.025</f>
        <v>0.74498185546874995</v>
      </c>
      <c r="Z31" s="536">
        <f>Y31</f>
        <v>0.74498185546874995</v>
      </c>
      <c r="AA31" s="536">
        <f>Z31</f>
        <v>0.74498185546874995</v>
      </c>
      <c r="AB31" s="536">
        <f>AA31</f>
        <v>0.74498185546874995</v>
      </c>
    </row>
    <row r="32" spans="1:38" s="427" customFormat="1" hidden="1" outlineLevel="1">
      <c r="B32" s="534" t="s">
        <v>66</v>
      </c>
      <c r="C32" s="535"/>
      <c r="D32" s="536">
        <f>D31*0.5</f>
        <v>0</v>
      </c>
      <c r="E32" s="536">
        <f>E31*0.5</f>
        <v>0</v>
      </c>
      <c r="F32" s="536">
        <f>F31*0.5</f>
        <v>0</v>
      </c>
      <c r="G32" s="536">
        <f>G31*0.5</f>
        <v>0</v>
      </c>
      <c r="H32" s="536">
        <v>0</v>
      </c>
      <c r="I32" s="537">
        <f t="shared" si="51"/>
        <v>0</v>
      </c>
      <c r="J32" s="536">
        <f>J31</f>
        <v>0.13750000000000001</v>
      </c>
      <c r="K32" s="536">
        <f>K31</f>
        <v>0.26</v>
      </c>
      <c r="L32" s="536">
        <f>L31</f>
        <v>0.32</v>
      </c>
      <c r="M32" s="536">
        <v>0.4</v>
      </c>
      <c r="N32" s="537">
        <f t="shared" ref="N32:N33" si="54">(M32+L32+K32+J32)/4</f>
        <v>0.27937499999999998</v>
      </c>
      <c r="O32" s="536">
        <v>0.45</v>
      </c>
      <c r="P32" s="536">
        <v>0.47</v>
      </c>
      <c r="Q32" s="536">
        <v>0.49</v>
      </c>
      <c r="R32" s="536">
        <v>0.51</v>
      </c>
      <c r="S32" s="537">
        <f t="shared" si="53"/>
        <v>0.48</v>
      </c>
      <c r="T32" s="536">
        <v>0.54</v>
      </c>
      <c r="U32" s="536">
        <v>0.55000000000000004</v>
      </c>
      <c r="V32" s="536">
        <f>U32*0.9</f>
        <v>0.49500000000000005</v>
      </c>
      <c r="W32" s="536">
        <f t="shared" ref="W32:AB32" si="55">V32*0.99</f>
        <v>0.49005000000000004</v>
      </c>
      <c r="X32" s="536">
        <f t="shared" si="55"/>
        <v>0.48514950000000001</v>
      </c>
      <c r="Y32" s="536">
        <f t="shared" si="55"/>
        <v>0.48029800500000003</v>
      </c>
      <c r="Z32" s="536">
        <f t="shared" si="55"/>
        <v>0.47549502495000001</v>
      </c>
      <c r="AA32" s="536">
        <f t="shared" si="55"/>
        <v>0.4707400747005</v>
      </c>
      <c r="AB32" s="536">
        <f t="shared" si="55"/>
        <v>0.46603267395349501</v>
      </c>
    </row>
    <row r="33" spans="1:34" s="427" customFormat="1" collapsed="1">
      <c r="A33" s="428" t="s">
        <v>313</v>
      </c>
      <c r="B33" s="538" t="s">
        <v>318</v>
      </c>
      <c r="C33" s="539"/>
      <c r="D33" s="540">
        <f>CHOOSE($N$2,D30,D31,D32)</f>
        <v>0</v>
      </c>
      <c r="E33" s="541">
        <f>CHOOSE($N$2,E30,E31,E32)</f>
        <v>0</v>
      </c>
      <c r="F33" s="541">
        <f>CHOOSE($N$2,F30,F31,F32)</f>
        <v>0</v>
      </c>
      <c r="G33" s="541">
        <f>CHOOSE($N$2,G30,G31,G32)</f>
        <v>0</v>
      </c>
      <c r="H33" s="541">
        <f>CHOOSE($N$2,H30,H31,H32)</f>
        <v>8.7499999999999994E-2</v>
      </c>
      <c r="I33" s="540">
        <f>(I37/1000)/I22</f>
        <v>8.781165826396474E-2</v>
      </c>
      <c r="J33" s="541">
        <f>CHOOSE($N$2,J30,J31,J32)</f>
        <v>0.13750000000000001</v>
      </c>
      <c r="K33" s="541">
        <f>CHOOSE($N$2,K30,K31,K32)</f>
        <v>0.26</v>
      </c>
      <c r="L33" s="541">
        <f>CHOOSE($N$2,L30,L31,L32)</f>
        <v>0.32</v>
      </c>
      <c r="M33" s="541">
        <f>CHOOSE($N$2,M30,M31,M32)</f>
        <v>0.45</v>
      </c>
      <c r="N33" s="540">
        <f t="shared" si="54"/>
        <v>0.291875</v>
      </c>
      <c r="O33" s="541">
        <f>CHOOSE($N$2,O30,O31,O32)</f>
        <v>0.49312499999999998</v>
      </c>
      <c r="P33" s="541">
        <f>CHOOSE($N$2,P30,P31,P32)</f>
        <v>0.54312499999999997</v>
      </c>
      <c r="Q33" s="541">
        <f>CHOOSE($N$2,Q30,Q31,Q32)</f>
        <v>0.59312500000000001</v>
      </c>
      <c r="R33" s="541">
        <f>CHOOSE($N$2,R30,R31,R32)</f>
        <v>0.64312500000000006</v>
      </c>
      <c r="S33" s="540">
        <f t="shared" si="53"/>
        <v>0.56812499999999999</v>
      </c>
      <c r="T33" s="540">
        <f t="shared" ref="T33:AB33" si="56">CHOOSE($N$2,T30,T31,T32)</f>
        <v>0.71812500000000001</v>
      </c>
      <c r="U33" s="540">
        <f t="shared" si="56"/>
        <v>0.76471875</v>
      </c>
      <c r="V33" s="540">
        <f t="shared" si="56"/>
        <v>0.80381249999999993</v>
      </c>
      <c r="W33" s="540">
        <f t="shared" si="56"/>
        <v>0.78469453124999988</v>
      </c>
      <c r="X33" s="540">
        <f t="shared" si="56"/>
        <v>0.76459921874999992</v>
      </c>
      <c r="Y33" s="540">
        <f t="shared" si="56"/>
        <v>0.74498185546874995</v>
      </c>
      <c r="Z33" s="540">
        <f t="shared" si="56"/>
        <v>0.74498185546874995</v>
      </c>
      <c r="AA33" s="540">
        <f t="shared" si="56"/>
        <v>0.74498185546874995</v>
      </c>
      <c r="AB33" s="540">
        <f t="shared" si="56"/>
        <v>0.74498185546874995</v>
      </c>
    </row>
    <row r="34" spans="1:34">
      <c r="B34" s="405"/>
      <c r="C34" s="395"/>
      <c r="D34" s="395"/>
      <c r="E34" s="429"/>
      <c r="F34" s="429"/>
      <c r="G34" s="429"/>
      <c r="H34" s="429"/>
      <c r="I34" s="418"/>
      <c r="J34" s="429"/>
      <c r="K34" s="429"/>
      <c r="L34" s="429"/>
      <c r="M34" s="429"/>
      <c r="N34" s="418"/>
      <c r="O34" s="429"/>
      <c r="P34" s="429"/>
      <c r="Q34" s="429"/>
      <c r="R34" s="429"/>
      <c r="S34" s="418"/>
      <c r="T34" s="418"/>
      <c r="U34" s="418"/>
      <c r="V34" s="418"/>
      <c r="W34" s="418"/>
      <c r="X34" s="418"/>
      <c r="Y34" s="418"/>
      <c r="Z34" s="418"/>
      <c r="AA34" s="418"/>
      <c r="AB34" s="418"/>
    </row>
    <row r="35" spans="1:34" hidden="1" outlineLevel="1">
      <c r="B35" s="405" t="s">
        <v>365</v>
      </c>
      <c r="C35" s="395"/>
      <c r="D35" s="395"/>
      <c r="E35" s="430"/>
      <c r="F35" s="430"/>
      <c r="G35" s="430"/>
      <c r="H35" s="430">
        <f>H37</f>
        <v>58.344298121118648</v>
      </c>
      <c r="I35" s="431">
        <f>H35</f>
        <v>58.344298121118648</v>
      </c>
      <c r="J35" s="430">
        <f>J37-J36</f>
        <v>33.691327595135412</v>
      </c>
      <c r="K35" s="430">
        <f>K37-K36</f>
        <v>82.376570254593474</v>
      </c>
      <c r="L35" s="430">
        <f>L37-L36</f>
        <v>40.836866947917486</v>
      </c>
      <c r="M35" s="430">
        <f>M37-M36</f>
        <v>88.107947712125593</v>
      </c>
      <c r="N35" s="431">
        <f>(M35+L35+K35+J35)/4</f>
        <v>61.253178127442993</v>
      </c>
      <c r="O35" s="430">
        <f>O37-O36</f>
        <v>30.347016122363129</v>
      </c>
      <c r="P35" s="430">
        <f>P37-P36</f>
        <v>34.640695554322804</v>
      </c>
      <c r="Q35" s="430">
        <f t="shared" ref="Q35:S35" si="57">Q37-Q36</f>
        <v>35.011421594214426</v>
      </c>
      <c r="R35" s="430">
        <f t="shared" si="57"/>
        <v>34.960608796150098</v>
      </c>
      <c r="S35" s="431">
        <f t="shared" si="57"/>
        <v>33.739935516762671</v>
      </c>
      <c r="T35" s="418"/>
      <c r="U35" s="418"/>
      <c r="V35" s="418"/>
      <c r="W35" s="418"/>
      <c r="X35" s="418"/>
      <c r="Y35" s="418"/>
      <c r="Z35" s="418"/>
      <c r="AA35" s="418"/>
      <c r="AB35" s="418"/>
      <c r="AH35" s="549"/>
    </row>
    <row r="36" spans="1:34" hidden="1" outlineLevel="1">
      <c r="B36" s="405" t="s">
        <v>364</v>
      </c>
      <c r="C36" s="395"/>
      <c r="D36" s="395"/>
      <c r="E36" s="430"/>
      <c r="F36" s="430"/>
      <c r="G36" s="430"/>
      <c r="H36" s="430">
        <f>H37-H35</f>
        <v>0</v>
      </c>
      <c r="I36" s="431">
        <f>(H36+G36+F36+E36)/4</f>
        <v>0</v>
      </c>
      <c r="J36" s="430">
        <f>H35</f>
        <v>58.344298121118648</v>
      </c>
      <c r="K36" s="430">
        <f>J36+J35</f>
        <v>92.03562571625406</v>
      </c>
      <c r="L36" s="430">
        <f>K36+K35</f>
        <v>174.41219597084753</v>
      </c>
      <c r="M36" s="430">
        <f>L36+L35</f>
        <v>215.24906291876502</v>
      </c>
      <c r="N36" s="431">
        <f>(M36+L36+K36+J36)/4</f>
        <v>135.01029568174633</v>
      </c>
      <c r="O36" s="430">
        <f>M35+M36</f>
        <v>303.35701063089061</v>
      </c>
      <c r="P36" s="430">
        <f>O36+O35</f>
        <v>333.70402675325374</v>
      </c>
      <c r="Q36" s="430">
        <f>P36+P35</f>
        <v>368.34472230757655</v>
      </c>
      <c r="R36" s="430">
        <f>Q36+Q35</f>
        <v>403.35614390179097</v>
      </c>
      <c r="S36" s="431">
        <f>(R36+Q36+P36+O36)/4</f>
        <v>352.19047589837794</v>
      </c>
      <c r="T36" s="418"/>
      <c r="U36" s="418"/>
      <c r="V36" s="418"/>
      <c r="W36" s="418"/>
      <c r="X36" s="418"/>
      <c r="Y36" s="418"/>
      <c r="Z36" s="418"/>
      <c r="AA36" s="418"/>
      <c r="AB36" s="418"/>
    </row>
    <row r="37" spans="1:34" collapsed="1">
      <c r="B37" s="405" t="s">
        <v>366</v>
      </c>
      <c r="C37" s="395"/>
      <c r="D37" s="395"/>
      <c r="E37" s="430"/>
      <c r="F37" s="430"/>
      <c r="G37" s="430"/>
      <c r="H37" s="430">
        <f>H22*H33*1000</f>
        <v>58.344298121118648</v>
      </c>
      <c r="I37" s="431">
        <f>H37</f>
        <v>58.344298121118648</v>
      </c>
      <c r="J37" s="430">
        <f>J22*J33*1000</f>
        <v>92.03562571625406</v>
      </c>
      <c r="K37" s="430">
        <f>K22*K33*1000</f>
        <v>174.41219597084753</v>
      </c>
      <c r="L37" s="430">
        <f>L22*L33*1000</f>
        <v>215.24906291876502</v>
      </c>
      <c r="M37" s="430">
        <f>M22*M33*1000</f>
        <v>303.35701063089061</v>
      </c>
      <c r="N37" s="431">
        <f>(M37+L37+K37+J37)/4</f>
        <v>196.26347380918929</v>
      </c>
      <c r="O37" s="430">
        <f>O22*O33*1000</f>
        <v>333.70402675325374</v>
      </c>
      <c r="P37" s="430">
        <f>P22*P33*1000</f>
        <v>368.34472230757655</v>
      </c>
      <c r="Q37" s="430">
        <f>Q22*Q33*1000</f>
        <v>403.35614390179097</v>
      </c>
      <c r="R37" s="430">
        <f>R22*R33*1000</f>
        <v>438.31675269794107</v>
      </c>
      <c r="S37" s="431">
        <f>(R37+Q37+P37+O37)/4</f>
        <v>385.93041141514061</v>
      </c>
      <c r="T37" s="530">
        <f t="shared" ref="T37:AB37" si="58">T22*T33*1000</f>
        <v>493.0599801459245</v>
      </c>
      <c r="U37" s="530">
        <f t="shared" si="58"/>
        <v>530.82650794893732</v>
      </c>
      <c r="V37" s="530">
        <f t="shared" si="58"/>
        <v>564.10087659983856</v>
      </c>
      <c r="W37" s="530">
        <f t="shared" si="58"/>
        <v>556.74176321415496</v>
      </c>
      <c r="X37" s="530">
        <f t="shared" si="58"/>
        <v>548.45143880723299</v>
      </c>
      <c r="Y37" s="530">
        <f t="shared" si="58"/>
        <v>540.25796844015701</v>
      </c>
      <c r="Z37" s="530">
        <f t="shared" si="58"/>
        <v>546.20080609299873</v>
      </c>
      <c r="AA37" s="530">
        <f t="shared" si="58"/>
        <v>552.20901496002159</v>
      </c>
      <c r="AB37" s="530">
        <f t="shared" si="58"/>
        <v>558.28331412458181</v>
      </c>
    </row>
    <row r="38" spans="1:34">
      <c r="B38" s="405"/>
      <c r="C38" s="395"/>
      <c r="D38" s="395"/>
      <c r="E38" s="429"/>
      <c r="F38" s="429"/>
      <c r="G38" s="429"/>
      <c r="H38" s="429"/>
      <c r="I38" s="418"/>
      <c r="J38" s="429"/>
      <c r="K38" s="429"/>
      <c r="L38" s="429"/>
      <c r="M38" s="429"/>
      <c r="N38" s="418"/>
      <c r="O38" s="429"/>
      <c r="P38" s="429"/>
      <c r="Q38" s="429"/>
      <c r="R38" s="429"/>
      <c r="S38" s="418"/>
      <c r="T38" s="418"/>
      <c r="U38" s="418"/>
      <c r="V38" s="418"/>
      <c r="W38" s="418"/>
      <c r="X38" s="418"/>
      <c r="Y38" s="418"/>
      <c r="Z38" s="418"/>
      <c r="AA38" s="418"/>
      <c r="AB38" s="418"/>
    </row>
    <row r="39" spans="1:34">
      <c r="B39" s="405" t="s">
        <v>334</v>
      </c>
      <c r="C39" s="395"/>
      <c r="D39" s="432"/>
      <c r="E39" s="433"/>
      <c r="F39" s="433"/>
      <c r="G39" s="433"/>
      <c r="H39" s="433">
        <v>35.6</v>
      </c>
      <c r="I39" s="434">
        <f>H39</f>
        <v>35.6</v>
      </c>
      <c r="J39" s="433">
        <f>N39</f>
        <v>35.6</v>
      </c>
      <c r="K39" s="433">
        <f>N39</f>
        <v>35.6</v>
      </c>
      <c r="L39" s="433">
        <f>N39</f>
        <v>35.6</v>
      </c>
      <c r="M39" s="433">
        <f>N39</f>
        <v>35.6</v>
      </c>
      <c r="N39" s="436">
        <f>I39</f>
        <v>35.6</v>
      </c>
      <c r="O39" s="435">
        <f>S39</f>
        <v>35.6</v>
      </c>
      <c r="P39" s="435">
        <f>S39</f>
        <v>35.6</v>
      </c>
      <c r="Q39" s="435">
        <f>S39</f>
        <v>35.6</v>
      </c>
      <c r="R39" s="435">
        <f>S39</f>
        <v>35.6</v>
      </c>
      <c r="S39" s="436">
        <f>N39</f>
        <v>35.6</v>
      </c>
      <c r="T39" s="436">
        <f>S39*0.99</f>
        <v>35.244</v>
      </c>
      <c r="U39" s="436">
        <f t="shared" ref="U39:AB39" si="59">T39*0.99</f>
        <v>34.891559999999998</v>
      </c>
      <c r="V39" s="436">
        <f t="shared" si="59"/>
        <v>34.5426444</v>
      </c>
      <c r="W39" s="436">
        <f t="shared" si="59"/>
        <v>34.197217956000003</v>
      </c>
      <c r="X39" s="436">
        <f t="shared" si="59"/>
        <v>33.85524577644</v>
      </c>
      <c r="Y39" s="436">
        <f t="shared" si="59"/>
        <v>33.5166933186756</v>
      </c>
      <c r="Z39" s="436">
        <f t="shared" si="59"/>
        <v>33.181526385488844</v>
      </c>
      <c r="AA39" s="436">
        <f t="shared" si="59"/>
        <v>32.849711121633959</v>
      </c>
      <c r="AB39" s="436">
        <f t="shared" si="59"/>
        <v>32.521214010417616</v>
      </c>
    </row>
    <row r="40" spans="1:34">
      <c r="B40" s="405"/>
      <c r="C40" s="395"/>
      <c r="D40" s="395"/>
      <c r="E40" s="429"/>
      <c r="F40" s="429"/>
      <c r="G40" s="429"/>
      <c r="H40" s="429"/>
      <c r="I40" s="418"/>
      <c r="J40" s="429"/>
      <c r="K40" s="429"/>
      <c r="L40" s="429"/>
      <c r="M40" s="429"/>
      <c r="N40" s="418"/>
      <c r="O40" s="429"/>
      <c r="P40" s="429"/>
      <c r="Q40" s="429"/>
      <c r="R40" s="429"/>
      <c r="S40" s="418"/>
      <c r="T40" s="418"/>
      <c r="U40" s="418"/>
      <c r="V40" s="418"/>
      <c r="W40" s="418"/>
      <c r="X40" s="418"/>
      <c r="Y40" s="418"/>
      <c r="Z40" s="418"/>
      <c r="AA40" s="418"/>
      <c r="AB40" s="418"/>
    </row>
    <row r="41" spans="1:34">
      <c r="B41" s="405" t="s">
        <v>372</v>
      </c>
      <c r="C41" s="395"/>
      <c r="D41" s="437"/>
      <c r="E41" s="430"/>
      <c r="F41" s="430"/>
      <c r="G41" s="430"/>
      <c r="H41" s="430">
        <f>17600/35.6</f>
        <v>494.38202247191009</v>
      </c>
      <c r="I41" s="438">
        <f>H41</f>
        <v>494.38202247191009</v>
      </c>
      <c r="J41" s="430">
        <f>N41</f>
        <v>494.38202247191009</v>
      </c>
      <c r="K41" s="430">
        <f>N41</f>
        <v>494.38202247191009</v>
      </c>
      <c r="L41" s="430">
        <f>N41</f>
        <v>494.38202247191009</v>
      </c>
      <c r="M41" s="430">
        <f>N41</f>
        <v>494.38202247191009</v>
      </c>
      <c r="N41" s="439">
        <f>I41*(1+N42)</f>
        <v>494.38202247191009</v>
      </c>
      <c r="O41" s="435">
        <f>S41</f>
        <v>494.38202247191009</v>
      </c>
      <c r="P41" s="435">
        <f>S41</f>
        <v>494.38202247191009</v>
      </c>
      <c r="Q41" s="435">
        <f>S41</f>
        <v>494.38202247191009</v>
      </c>
      <c r="R41" s="435">
        <f>S41</f>
        <v>494.38202247191009</v>
      </c>
      <c r="S41" s="439">
        <f>N41*(1+S42)</f>
        <v>494.38202247191009</v>
      </c>
      <c r="T41" s="439">
        <f>S41*(1+T42)</f>
        <v>494.38202247191009</v>
      </c>
      <c r="U41" s="439">
        <f t="shared" ref="U41:AB41" si="60">T41*(1+U42)</f>
        <v>494.38202247191009</v>
      </c>
      <c r="V41" s="439">
        <f t="shared" si="60"/>
        <v>494.38202247191009</v>
      </c>
      <c r="W41" s="439">
        <f t="shared" si="60"/>
        <v>494.38202247191009</v>
      </c>
      <c r="X41" s="439">
        <f t="shared" si="60"/>
        <v>494.38202247191009</v>
      </c>
      <c r="Y41" s="439">
        <f t="shared" si="60"/>
        <v>494.38202247191009</v>
      </c>
      <c r="Z41" s="439">
        <f t="shared" si="60"/>
        <v>494.38202247191009</v>
      </c>
      <c r="AA41" s="439">
        <f t="shared" si="60"/>
        <v>494.38202247191009</v>
      </c>
      <c r="AB41" s="439">
        <f t="shared" si="60"/>
        <v>494.38202247191009</v>
      </c>
    </row>
    <row r="42" spans="1:34" s="414" customFormat="1">
      <c r="B42" s="409" t="s">
        <v>312</v>
      </c>
      <c r="C42" s="410"/>
      <c r="D42" s="440"/>
      <c r="E42" s="441"/>
      <c r="F42" s="441"/>
      <c r="G42" s="441"/>
      <c r="H42" s="441"/>
      <c r="I42" s="413"/>
      <c r="J42" s="441"/>
      <c r="K42" s="441"/>
      <c r="L42" s="441"/>
      <c r="M42" s="441"/>
      <c r="N42" s="413">
        <v>0</v>
      </c>
      <c r="O42" s="441"/>
      <c r="P42" s="441"/>
      <c r="Q42" s="441"/>
      <c r="R42" s="441"/>
      <c r="S42" s="413">
        <f>N42</f>
        <v>0</v>
      </c>
      <c r="T42" s="413">
        <f>S42</f>
        <v>0</v>
      </c>
      <c r="U42" s="413">
        <f t="shared" ref="U42:AB42" si="61">T42</f>
        <v>0</v>
      </c>
      <c r="V42" s="413">
        <f t="shared" si="61"/>
        <v>0</v>
      </c>
      <c r="W42" s="413">
        <f t="shared" si="61"/>
        <v>0</v>
      </c>
      <c r="X42" s="413">
        <f t="shared" si="61"/>
        <v>0</v>
      </c>
      <c r="Y42" s="413">
        <f t="shared" si="61"/>
        <v>0</v>
      </c>
      <c r="Z42" s="413">
        <f t="shared" si="61"/>
        <v>0</v>
      </c>
      <c r="AA42" s="413">
        <f t="shared" si="61"/>
        <v>0</v>
      </c>
      <c r="AB42" s="413">
        <f t="shared" si="61"/>
        <v>0</v>
      </c>
    </row>
    <row r="43" spans="1:34">
      <c r="B43" s="405"/>
      <c r="C43" s="395"/>
      <c r="D43" s="395"/>
      <c r="E43" s="429"/>
      <c r="F43" s="429"/>
      <c r="G43" s="429"/>
      <c r="H43" s="429"/>
      <c r="I43" s="418"/>
      <c r="J43" s="429"/>
      <c r="K43" s="429"/>
      <c r="L43" s="429"/>
      <c r="M43" s="429"/>
      <c r="N43" s="418"/>
      <c r="O43" s="429"/>
      <c r="P43" s="429"/>
      <c r="Q43" s="429"/>
      <c r="R43" s="429"/>
      <c r="S43" s="418"/>
      <c r="T43" s="418"/>
      <c r="U43" s="418"/>
      <c r="V43" s="418"/>
      <c r="W43" s="418"/>
      <c r="X43" s="418"/>
      <c r="Y43" s="418"/>
      <c r="Z43" s="418"/>
      <c r="AA43" s="418"/>
      <c r="AB43" s="418"/>
    </row>
    <row r="44" spans="1:34">
      <c r="B44" s="405" t="s">
        <v>320</v>
      </c>
      <c r="C44" s="395"/>
      <c r="D44" s="442">
        <f>D39*D41</f>
        <v>0</v>
      </c>
      <c r="E44" s="443"/>
      <c r="F44" s="443"/>
      <c r="G44" s="443"/>
      <c r="H44" s="443">
        <f>H39*H41*13/1000</f>
        <v>228.8</v>
      </c>
      <c r="I44" s="444"/>
      <c r="J44" s="443">
        <f>J39*J41*13/1000</f>
        <v>228.8</v>
      </c>
      <c r="K44" s="443">
        <f>K39*K41*13/1000</f>
        <v>228.8</v>
      </c>
      <c r="L44" s="443">
        <f>L39*L41*13/1000</f>
        <v>228.8</v>
      </c>
      <c r="M44" s="443">
        <f>M39*M41*13/1000</f>
        <v>228.8</v>
      </c>
      <c r="N44" s="444">
        <f>N41*N39*52/1000</f>
        <v>915.2</v>
      </c>
      <c r="O44" s="443">
        <f>O39*O41*13/1000</f>
        <v>228.8</v>
      </c>
      <c r="P44" s="443">
        <f>P39*P41*13/1000</f>
        <v>228.8</v>
      </c>
      <c r="Q44" s="443">
        <f>Q39*Q41*13/1000</f>
        <v>228.8</v>
      </c>
      <c r="R44" s="443">
        <f>R39*R41*13/1000</f>
        <v>228.8</v>
      </c>
      <c r="S44" s="444">
        <f t="shared" ref="S44:AB44" si="62">S41*S39*52/1000</f>
        <v>915.2</v>
      </c>
      <c r="T44" s="444">
        <f t="shared" si="62"/>
        <v>906.048</v>
      </c>
      <c r="U44" s="444">
        <f t="shared" si="62"/>
        <v>896.9875199999999</v>
      </c>
      <c r="V44" s="444">
        <f t="shared" si="62"/>
        <v>888.01764479999997</v>
      </c>
      <c r="W44" s="444">
        <f t="shared" si="62"/>
        <v>879.13746835200016</v>
      </c>
      <c r="X44" s="444">
        <f t="shared" si="62"/>
        <v>870.34609366847997</v>
      </c>
      <c r="Y44" s="444">
        <f t="shared" si="62"/>
        <v>861.64263273179517</v>
      </c>
      <c r="Z44" s="444">
        <f t="shared" si="62"/>
        <v>853.02620640447708</v>
      </c>
      <c r="AA44" s="444">
        <f t="shared" si="62"/>
        <v>844.49594434043252</v>
      </c>
      <c r="AB44" s="444">
        <f t="shared" si="62"/>
        <v>836.05098489702812</v>
      </c>
    </row>
    <row r="45" spans="1:34">
      <c r="B45" s="405"/>
      <c r="C45" s="395"/>
      <c r="D45" s="445"/>
      <c r="E45" s="446"/>
      <c r="F45" s="446"/>
      <c r="G45" s="446"/>
      <c r="H45" s="446"/>
      <c r="I45" s="418"/>
      <c r="J45" s="446"/>
      <c r="K45" s="446"/>
      <c r="L45" s="446"/>
      <c r="M45" s="446"/>
      <c r="N45" s="418"/>
      <c r="O45" s="446"/>
      <c r="P45" s="446"/>
      <c r="Q45" s="446"/>
      <c r="R45" s="446"/>
      <c r="S45" s="418"/>
      <c r="T45" s="418"/>
      <c r="U45" s="418"/>
      <c r="V45" s="418"/>
      <c r="W45" s="418"/>
      <c r="X45" s="418"/>
      <c r="Y45" s="418"/>
      <c r="Z45" s="418"/>
      <c r="AA45" s="418"/>
      <c r="AB45" s="418"/>
    </row>
    <row r="46" spans="1:34">
      <c r="B46" s="405" t="s">
        <v>367</v>
      </c>
      <c r="C46" s="395"/>
      <c r="D46" s="445"/>
      <c r="E46" s="446"/>
      <c r="F46" s="446"/>
      <c r="G46" s="446"/>
      <c r="H46" s="533">
        <v>0.5</v>
      </c>
      <c r="I46" s="449">
        <f>H46</f>
        <v>0.5</v>
      </c>
      <c r="J46" s="533">
        <f>H46</f>
        <v>0.5</v>
      </c>
      <c r="K46" s="533">
        <f>J46</f>
        <v>0.5</v>
      </c>
      <c r="L46" s="533">
        <f t="shared" ref="L46:M48" si="63">K46</f>
        <v>0.5</v>
      </c>
      <c r="M46" s="533">
        <f t="shared" si="63"/>
        <v>0.5</v>
      </c>
      <c r="N46" s="449">
        <f>(J46+K46+L46+M46)/4</f>
        <v>0.5</v>
      </c>
      <c r="O46" s="448">
        <f>M46</f>
        <v>0.5</v>
      </c>
      <c r="P46" s="448">
        <f>O46</f>
        <v>0.5</v>
      </c>
      <c r="Q46" s="448">
        <f t="shared" ref="Q46:Q48" si="64">P46</f>
        <v>0.5</v>
      </c>
      <c r="R46" s="448">
        <f t="shared" ref="R46:R48" si="65">Q46</f>
        <v>0.5</v>
      </c>
      <c r="S46" s="449">
        <f>(O46+P46+Q46+R46)/4</f>
        <v>0.5</v>
      </c>
      <c r="T46" s="418"/>
      <c r="U46" s="418"/>
      <c r="V46" s="418"/>
      <c r="W46" s="418"/>
      <c r="X46" s="418"/>
      <c r="Y46" s="418"/>
      <c r="Z46" s="418"/>
      <c r="AA46" s="418"/>
      <c r="AB46" s="418"/>
    </row>
    <row r="47" spans="1:34" s="454" customFormat="1">
      <c r="B47" s="450" t="s">
        <v>314</v>
      </c>
      <c r="C47" s="451"/>
      <c r="D47" s="452">
        <v>0.1</v>
      </c>
      <c r="E47" s="453"/>
      <c r="F47" s="453"/>
      <c r="G47" s="453"/>
      <c r="H47" s="453">
        <v>0.05</v>
      </c>
      <c r="I47" s="451">
        <f>H47</f>
        <v>0.05</v>
      </c>
      <c r="J47" s="453">
        <f>H47+5.625%</f>
        <v>0.10625000000000001</v>
      </c>
      <c r="K47" s="453">
        <f>J47+5.625%</f>
        <v>0.16250000000000001</v>
      </c>
      <c r="L47" s="453">
        <f>K47+5.625%</f>
        <v>0.21875</v>
      </c>
      <c r="M47" s="453">
        <v>0.27500000000000002</v>
      </c>
      <c r="N47" s="451">
        <f>(J47*J33+K47*K33+L47*L33+M33*M47)/SUM(J33:M33)</f>
        <v>0.2146547109207709</v>
      </c>
      <c r="O47" s="448">
        <v>0.32</v>
      </c>
      <c r="P47" s="448">
        <f>O47</f>
        <v>0.32</v>
      </c>
      <c r="Q47" s="448">
        <f>P47</f>
        <v>0.32</v>
      </c>
      <c r="R47" s="448">
        <f>Q47</f>
        <v>0.32</v>
      </c>
      <c r="S47" s="451">
        <f>(O47*O33+P47*P33+Q47*Q33+R33*R47)/SUM(O33:R33)</f>
        <v>0.32</v>
      </c>
      <c r="T47" s="451">
        <f>R47</f>
        <v>0.32</v>
      </c>
      <c r="U47" s="451">
        <f t="shared" ref="U47:AB48" si="66">T47</f>
        <v>0.32</v>
      </c>
      <c r="V47" s="451">
        <f t="shared" si="66"/>
        <v>0.32</v>
      </c>
      <c r="W47" s="451">
        <f t="shared" si="66"/>
        <v>0.32</v>
      </c>
      <c r="X47" s="451">
        <f t="shared" si="66"/>
        <v>0.32</v>
      </c>
      <c r="Y47" s="451">
        <f t="shared" si="66"/>
        <v>0.32</v>
      </c>
      <c r="Z47" s="451">
        <f t="shared" si="66"/>
        <v>0.32</v>
      </c>
      <c r="AA47" s="451">
        <f t="shared" si="66"/>
        <v>0.32</v>
      </c>
      <c r="AB47" s="451">
        <f t="shared" si="66"/>
        <v>0.32</v>
      </c>
    </row>
    <row r="48" spans="1:34">
      <c r="B48" s="405" t="s">
        <v>315</v>
      </c>
      <c r="C48" s="395"/>
      <c r="D48" s="455">
        <v>0.9</v>
      </c>
      <c r="E48" s="456"/>
      <c r="F48" s="456"/>
      <c r="G48" s="456"/>
      <c r="H48" s="456">
        <v>0.85</v>
      </c>
      <c r="I48" s="447">
        <f>H48</f>
        <v>0.85</v>
      </c>
      <c r="J48" s="456">
        <f>H48</f>
        <v>0.85</v>
      </c>
      <c r="K48" s="456">
        <f>J48</f>
        <v>0.85</v>
      </c>
      <c r="L48" s="456">
        <f t="shared" si="63"/>
        <v>0.85</v>
      </c>
      <c r="M48" s="456">
        <f t="shared" si="63"/>
        <v>0.85</v>
      </c>
      <c r="N48" s="447">
        <f>I48</f>
        <v>0.85</v>
      </c>
      <c r="O48" s="448">
        <v>0.8</v>
      </c>
      <c r="P48" s="448">
        <f>O48</f>
        <v>0.8</v>
      </c>
      <c r="Q48" s="448">
        <f t="shared" si="64"/>
        <v>0.8</v>
      </c>
      <c r="R48" s="448">
        <f t="shared" si="65"/>
        <v>0.8</v>
      </c>
      <c r="S48" s="447">
        <f>R48</f>
        <v>0.8</v>
      </c>
      <c r="T48" s="447">
        <f>S48</f>
        <v>0.8</v>
      </c>
      <c r="U48" s="447">
        <f t="shared" si="66"/>
        <v>0.8</v>
      </c>
      <c r="V48" s="447">
        <f t="shared" si="66"/>
        <v>0.8</v>
      </c>
      <c r="W48" s="447">
        <f t="shared" si="66"/>
        <v>0.8</v>
      </c>
      <c r="X48" s="447">
        <f t="shared" si="66"/>
        <v>0.8</v>
      </c>
      <c r="Y48" s="447">
        <f t="shared" si="66"/>
        <v>0.8</v>
      </c>
      <c r="Z48" s="447">
        <f t="shared" si="66"/>
        <v>0.8</v>
      </c>
      <c r="AA48" s="447">
        <f t="shared" si="66"/>
        <v>0.8</v>
      </c>
      <c r="AB48" s="447">
        <f t="shared" si="66"/>
        <v>0.8</v>
      </c>
    </row>
    <row r="49" spans="1:32">
      <c r="B49" s="457"/>
      <c r="C49" s="458"/>
      <c r="D49" s="458"/>
      <c r="E49" s="459"/>
      <c r="F49" s="459"/>
      <c r="G49" s="459"/>
      <c r="H49" s="459"/>
      <c r="I49" s="460"/>
      <c r="J49" s="459"/>
      <c r="K49" s="459"/>
      <c r="L49" s="459"/>
      <c r="M49" s="459"/>
      <c r="N49" s="460"/>
      <c r="O49" s="459"/>
      <c r="P49" s="459"/>
      <c r="Q49" s="459"/>
      <c r="R49" s="459"/>
      <c r="S49" s="460"/>
      <c r="T49" s="460"/>
      <c r="U49" s="460"/>
      <c r="V49" s="460"/>
      <c r="W49" s="460"/>
      <c r="X49" s="460"/>
      <c r="Y49" s="460"/>
      <c r="Z49" s="460"/>
      <c r="AA49" s="460"/>
      <c r="AB49" s="418"/>
    </row>
    <row r="50" spans="1:32">
      <c r="B50" s="461" t="s">
        <v>402</v>
      </c>
      <c r="C50" s="462"/>
      <c r="D50" s="463">
        <f>D48*(1-D47)*D33*D44*D22</f>
        <v>0</v>
      </c>
      <c r="E50" s="464"/>
      <c r="F50" s="464"/>
      <c r="G50" s="464"/>
      <c r="H50" s="568">
        <f t="shared" ref="H50:M50" si="67">((H44*(1-H47)*H48*H46*H35)+(H36*H44*(1-H47)*H48))/1000</f>
        <v>5.3897295718326985</v>
      </c>
      <c r="I50" s="463">
        <f>H50</f>
        <v>5.3897295718326985</v>
      </c>
      <c r="J50" s="464">
        <f t="shared" si="67"/>
        <v>13.069256015839349</v>
      </c>
      <c r="K50" s="464">
        <f t="shared" si="67"/>
        <v>21.699110926465021</v>
      </c>
      <c r="L50" s="464">
        <f t="shared" si="67"/>
        <v>29.602078761270253</v>
      </c>
      <c r="M50" s="464">
        <f t="shared" si="67"/>
        <v>36.561209579177174</v>
      </c>
      <c r="N50" s="463">
        <f>M50+L50+K50+J50</f>
        <v>100.93165528275179</v>
      </c>
      <c r="O50" s="464">
        <f t="shared" ref="O50:R50" si="68">((O44*(1-O47)*O48*O46*O35)+(O36*O44*(1-O47)*O48))/1000</f>
        <v>39.646601776149886</v>
      </c>
      <c r="P50" s="464">
        <f t="shared" si="68"/>
        <v>43.69102102955209</v>
      </c>
      <c r="Q50" s="464">
        <f t="shared" si="68"/>
        <v>48.025723027327302</v>
      </c>
      <c r="R50" s="464">
        <f t="shared" si="68"/>
        <v>52.380334377829087</v>
      </c>
      <c r="S50" s="463">
        <f>R50+Q50+P50+O50</f>
        <v>183.74368021085834</v>
      </c>
      <c r="T50" s="463">
        <f t="shared" ref="T50:AB50" si="69">T48*(1-T47)*T44*T37/1000</f>
        <v>243.02438883684246</v>
      </c>
      <c r="U50" s="463">
        <f>U48*(1-U47)*U44*U37/1000</f>
        <v>259.02274558596537</v>
      </c>
      <c r="V50" s="463">
        <f t="shared" si="69"/>
        <v>272.50675333608535</v>
      </c>
      <c r="W50" s="463">
        <f t="shared" si="69"/>
        <v>266.26218406542898</v>
      </c>
      <c r="X50" s="463">
        <f t="shared" si="69"/>
        <v>259.67435662900652</v>
      </c>
      <c r="Y50" s="463">
        <f t="shared" si="69"/>
        <v>253.23705826492269</v>
      </c>
      <c r="Z50" s="463">
        <f t="shared" si="69"/>
        <v>253.46243924677844</v>
      </c>
      <c r="AA50" s="463">
        <f t="shared" si="69"/>
        <v>253.68802081770806</v>
      </c>
      <c r="AB50" s="463">
        <f t="shared" si="69"/>
        <v>253.91380315623582</v>
      </c>
    </row>
    <row r="51" spans="1:32" s="427" customFormat="1">
      <c r="B51" s="465" t="s">
        <v>316</v>
      </c>
      <c r="C51" s="466"/>
      <c r="D51" s="466"/>
      <c r="E51" s="467"/>
      <c r="F51" s="467"/>
      <c r="G51" s="467"/>
      <c r="H51" s="467"/>
      <c r="I51" s="468"/>
      <c r="J51" s="467"/>
      <c r="K51" s="467"/>
      <c r="L51" s="467"/>
      <c r="M51" s="467"/>
      <c r="N51" s="468">
        <f>N50/I50-1</f>
        <v>17.726664100223392</v>
      </c>
      <c r="O51" s="467">
        <f t="shared" ref="O51:R51" si="70">O50/J50-1</f>
        <v>2.0335775600462638</v>
      </c>
      <c r="P51" s="467">
        <f t="shared" si="70"/>
        <v>1.0134936024620687</v>
      </c>
      <c r="Q51" s="467">
        <f t="shared" si="70"/>
        <v>0.62237670586031757</v>
      </c>
      <c r="R51" s="467">
        <f t="shared" si="70"/>
        <v>0.43267509419768846</v>
      </c>
      <c r="S51" s="468">
        <f>S50/N50-1</f>
        <v>0.8204762390561755</v>
      </c>
      <c r="T51" s="468">
        <f>T50/S50-1</f>
        <v>0.32262719761547975</v>
      </c>
      <c r="U51" s="468">
        <f>U50/T50-1</f>
        <v>6.5830251958224784E-2</v>
      </c>
      <c r="V51" s="468">
        <f t="shared" ref="V51:AB51" si="71">V50/U50-1</f>
        <v>5.2057234277307352E-2</v>
      </c>
      <c r="W51" s="468">
        <f t="shared" si="71"/>
        <v>-2.2915282627711142E-2</v>
      </c>
      <c r="X51" s="468">
        <f t="shared" si="71"/>
        <v>-2.4741881613964511E-2</v>
      </c>
      <c r="Y51" s="468">
        <f t="shared" si="71"/>
        <v>-2.4789888565241447E-2</v>
      </c>
      <c r="Z51" s="468">
        <f t="shared" si="71"/>
        <v>8.8999999999983537E-4</v>
      </c>
      <c r="AA51" s="468">
        <f t="shared" si="71"/>
        <v>8.9000000000005741E-4</v>
      </c>
      <c r="AB51" s="468">
        <f t="shared" si="71"/>
        <v>8.9000000000005741E-4</v>
      </c>
    </row>
    <row r="52" spans="1:32" s="427" customFormat="1">
      <c r="B52" s="465"/>
      <c r="C52" s="466"/>
      <c r="D52" s="466"/>
      <c r="E52" s="467"/>
      <c r="F52" s="467"/>
      <c r="G52" s="467"/>
      <c r="H52" s="467"/>
      <c r="I52" s="468"/>
      <c r="J52" s="467"/>
      <c r="K52" s="467"/>
      <c r="L52" s="467"/>
      <c r="M52" s="467"/>
      <c r="N52" s="468"/>
      <c r="O52" s="467"/>
      <c r="P52" s="467"/>
      <c r="Q52" s="467"/>
      <c r="R52" s="467"/>
      <c r="S52" s="468"/>
      <c r="T52" s="468"/>
      <c r="U52" s="468"/>
      <c r="V52" s="468"/>
      <c r="W52" s="468"/>
      <c r="X52" s="468"/>
      <c r="Y52" s="468"/>
      <c r="Z52" s="468"/>
      <c r="AA52" s="468"/>
      <c r="AB52" s="468"/>
    </row>
    <row r="53" spans="1:32">
      <c r="B53" s="423" t="s">
        <v>412</v>
      </c>
      <c r="C53" s="424"/>
      <c r="D53" s="424"/>
      <c r="E53" s="425"/>
      <c r="F53" s="425"/>
      <c r="G53" s="425"/>
      <c r="H53" s="425"/>
      <c r="I53" s="426"/>
      <c r="J53" s="425"/>
      <c r="K53" s="425"/>
      <c r="L53" s="425"/>
      <c r="M53" s="425"/>
      <c r="N53" s="567"/>
      <c r="O53" s="425"/>
      <c r="P53" s="425"/>
      <c r="Q53" s="425"/>
      <c r="R53" s="425"/>
      <c r="S53" s="567"/>
      <c r="T53" s="567"/>
      <c r="U53" s="426"/>
      <c r="V53" s="426"/>
      <c r="W53" s="426"/>
      <c r="X53" s="426"/>
      <c r="Y53" s="426"/>
      <c r="Z53" s="426"/>
      <c r="AA53" s="426"/>
      <c r="AB53" s="426"/>
    </row>
    <row r="54" spans="1:32" s="427" customFormat="1" hidden="1" outlineLevel="1">
      <c r="A54" s="427" t="s">
        <v>319</v>
      </c>
      <c r="B54" s="534" t="s">
        <v>64</v>
      </c>
      <c r="C54" s="535"/>
      <c r="D54" s="536">
        <v>0</v>
      </c>
      <c r="E54" s="536"/>
      <c r="F54" s="536"/>
      <c r="G54" s="536"/>
      <c r="H54" s="536"/>
      <c r="I54" s="537">
        <v>0</v>
      </c>
      <c r="J54" s="536"/>
      <c r="K54" s="536"/>
      <c r="L54" s="536"/>
      <c r="M54" s="536"/>
      <c r="N54" s="537">
        <v>0</v>
      </c>
      <c r="O54" s="536"/>
      <c r="P54" s="536"/>
      <c r="Q54" s="536"/>
      <c r="R54" s="536"/>
      <c r="S54" s="537">
        <v>0</v>
      </c>
      <c r="T54" s="536">
        <v>0.1</v>
      </c>
      <c r="U54" s="536">
        <v>0.3</v>
      </c>
      <c r="V54" s="536">
        <v>0.5</v>
      </c>
      <c r="W54" s="536">
        <v>0.55000000000000004</v>
      </c>
      <c r="X54" s="536">
        <v>0.7</v>
      </c>
      <c r="Y54" s="536">
        <f t="shared" ref="Y54:AB54" si="72">U30*0.9</f>
        <v>0.81</v>
      </c>
      <c r="Z54" s="536">
        <f t="shared" si="72"/>
        <v>0.81</v>
      </c>
      <c r="AA54" s="536">
        <f t="shared" si="72"/>
        <v>0.81</v>
      </c>
      <c r="AB54" s="536">
        <f t="shared" si="72"/>
        <v>0.81</v>
      </c>
      <c r="AF54" s="427" t="s">
        <v>70</v>
      </c>
    </row>
    <row r="55" spans="1:32" s="427" customFormat="1" hidden="1" outlineLevel="1">
      <c r="B55" s="534" t="s">
        <v>65</v>
      </c>
      <c r="C55" s="535"/>
      <c r="D55" s="536">
        <v>0</v>
      </c>
      <c r="E55" s="536"/>
      <c r="F55" s="536"/>
      <c r="G55" s="536"/>
      <c r="H55" s="536"/>
      <c r="I55" s="537">
        <v>0</v>
      </c>
      <c r="J55" s="536"/>
      <c r="K55" s="536"/>
      <c r="L55" s="536"/>
      <c r="M55" s="536"/>
      <c r="N55" s="537">
        <v>0</v>
      </c>
      <c r="O55" s="536"/>
      <c r="P55" s="536"/>
      <c r="Q55" s="536"/>
      <c r="R55" s="536"/>
      <c r="S55" s="537">
        <v>0</v>
      </c>
      <c r="T55" s="536">
        <v>0.06</v>
      </c>
      <c r="U55" s="536">
        <f>20%</f>
        <v>0.2</v>
      </c>
      <c r="V55" s="536">
        <v>0.3</v>
      </c>
      <c r="W55" s="536">
        <v>0.4</v>
      </c>
      <c r="X55" s="536">
        <v>0.5</v>
      </c>
      <c r="Y55" s="536">
        <v>0.65</v>
      </c>
      <c r="Z55" s="536">
        <f>V31*0.95</f>
        <v>0.76362187499999989</v>
      </c>
      <c r="AA55" s="536">
        <f>W31*0.95</f>
        <v>0.74545980468749984</v>
      </c>
      <c r="AB55" s="536">
        <f>X31*0.95</f>
        <v>0.72636925781249984</v>
      </c>
    </row>
    <row r="56" spans="1:32" s="427" customFormat="1" hidden="1" outlineLevel="1">
      <c r="B56" s="534" t="s">
        <v>66</v>
      </c>
      <c r="C56" s="535"/>
      <c r="D56" s="536">
        <v>0</v>
      </c>
      <c r="E56" s="536"/>
      <c r="F56" s="536"/>
      <c r="G56" s="536"/>
      <c r="H56" s="536"/>
      <c r="I56" s="537">
        <v>0</v>
      </c>
      <c r="J56" s="536"/>
      <c r="K56" s="536"/>
      <c r="L56" s="536"/>
      <c r="M56" s="536"/>
      <c r="N56" s="537">
        <v>0</v>
      </c>
      <c r="O56" s="536"/>
      <c r="P56" s="536"/>
      <c r="Q56" s="536"/>
      <c r="R56" s="536"/>
      <c r="S56" s="537">
        <v>0</v>
      </c>
      <c r="T56" s="536">
        <f t="shared" ref="T56:AB56" si="73">T55*0.25</f>
        <v>1.4999999999999999E-2</v>
      </c>
      <c r="U56" s="536">
        <f t="shared" si="73"/>
        <v>0.05</v>
      </c>
      <c r="V56" s="536">
        <f t="shared" si="73"/>
        <v>7.4999999999999997E-2</v>
      </c>
      <c r="W56" s="536">
        <f t="shared" si="73"/>
        <v>0.1</v>
      </c>
      <c r="X56" s="536">
        <f t="shared" si="73"/>
        <v>0.125</v>
      </c>
      <c r="Y56" s="536">
        <f t="shared" si="73"/>
        <v>0.16250000000000001</v>
      </c>
      <c r="Z56" s="536">
        <f t="shared" si="73"/>
        <v>0.19090546874999997</v>
      </c>
      <c r="AA56" s="536">
        <f t="shared" si="73"/>
        <v>0.18636495117187496</v>
      </c>
      <c r="AB56" s="536">
        <f t="shared" si="73"/>
        <v>0.18159231445312496</v>
      </c>
    </row>
    <row r="57" spans="1:32" s="427" customFormat="1" collapsed="1">
      <c r="A57" s="428" t="s">
        <v>313</v>
      </c>
      <c r="B57" s="538" t="s">
        <v>318</v>
      </c>
      <c r="C57" s="539"/>
      <c r="D57" s="540">
        <f>CHOOSE($N$2,D54,D55,D56)</f>
        <v>0</v>
      </c>
      <c r="E57" s="541"/>
      <c r="F57" s="541"/>
      <c r="G57" s="541"/>
      <c r="H57" s="541"/>
      <c r="I57" s="540">
        <f>CHOOSE($N$2,I54,I55,I56)</f>
        <v>0</v>
      </c>
      <c r="J57" s="541"/>
      <c r="K57" s="541"/>
      <c r="L57" s="541"/>
      <c r="M57" s="541"/>
      <c r="N57" s="540">
        <f>CHOOSE($N$2,N54,N55,N56)</f>
        <v>0</v>
      </c>
      <c r="O57" s="541"/>
      <c r="P57" s="541"/>
      <c r="Q57" s="541"/>
      <c r="R57" s="541"/>
      <c r="S57" s="540">
        <f t="shared" ref="S57:AB57" si="74">CHOOSE($N$2,S54,S55,S56)</f>
        <v>0</v>
      </c>
      <c r="T57" s="540">
        <f t="shared" si="74"/>
        <v>0.06</v>
      </c>
      <c r="U57" s="540">
        <f t="shared" si="74"/>
        <v>0.2</v>
      </c>
      <c r="V57" s="540">
        <f t="shared" si="74"/>
        <v>0.3</v>
      </c>
      <c r="W57" s="540">
        <f t="shared" si="74"/>
        <v>0.4</v>
      </c>
      <c r="X57" s="540">
        <f t="shared" si="74"/>
        <v>0.5</v>
      </c>
      <c r="Y57" s="540">
        <f t="shared" si="74"/>
        <v>0.65</v>
      </c>
      <c r="Z57" s="540">
        <f t="shared" si="74"/>
        <v>0.76362187499999989</v>
      </c>
      <c r="AA57" s="540">
        <f t="shared" si="74"/>
        <v>0.74545980468749984</v>
      </c>
      <c r="AB57" s="540">
        <f t="shared" si="74"/>
        <v>0.72636925781249984</v>
      </c>
    </row>
    <row r="58" spans="1:32">
      <c r="B58" s="405"/>
      <c r="C58" s="395"/>
      <c r="D58" s="395"/>
      <c r="E58" s="429"/>
      <c r="F58" s="429"/>
      <c r="G58" s="429"/>
      <c r="H58" s="429"/>
      <c r="I58" s="418"/>
      <c r="J58" s="429"/>
      <c r="K58" s="429"/>
      <c r="L58" s="429"/>
      <c r="M58" s="429"/>
      <c r="N58" s="418"/>
      <c r="O58" s="429"/>
      <c r="P58" s="429"/>
      <c r="Q58" s="429"/>
      <c r="R58" s="429"/>
      <c r="S58" s="418"/>
      <c r="T58" s="418"/>
      <c r="U58" s="418"/>
      <c r="V58" s="418"/>
      <c r="W58" s="418"/>
      <c r="X58" s="418"/>
      <c r="Y58" s="418"/>
      <c r="Z58" s="418"/>
      <c r="AA58" s="418"/>
      <c r="AB58" s="418"/>
    </row>
    <row r="59" spans="1:32" hidden="1" outlineLevel="1">
      <c r="B59" s="405" t="s">
        <v>365</v>
      </c>
      <c r="C59" s="395"/>
      <c r="D59" s="395"/>
      <c r="E59" s="429"/>
      <c r="F59" s="429"/>
      <c r="G59" s="429"/>
      <c r="H59" s="429"/>
      <c r="I59" s="418"/>
      <c r="J59" s="429"/>
      <c r="K59" s="429"/>
      <c r="L59" s="429"/>
      <c r="M59" s="429"/>
      <c r="N59" s="418"/>
      <c r="O59" s="429"/>
      <c r="P59" s="429"/>
      <c r="Q59" s="429"/>
      <c r="R59" s="429"/>
      <c r="S59" s="418"/>
      <c r="T59" s="418"/>
      <c r="U59" s="418"/>
      <c r="V59" s="418"/>
      <c r="W59" s="418"/>
      <c r="X59" s="418"/>
      <c r="Y59" s="418"/>
      <c r="Z59" s="418"/>
      <c r="AA59" s="418"/>
      <c r="AB59" s="418"/>
    </row>
    <row r="60" spans="1:32" hidden="1" outlineLevel="1">
      <c r="B60" s="405" t="s">
        <v>364</v>
      </c>
      <c r="C60" s="395"/>
      <c r="D60" s="395"/>
      <c r="E60" s="429"/>
      <c r="F60" s="429"/>
      <c r="G60" s="429"/>
      <c r="H60" s="429"/>
      <c r="I60" s="418"/>
      <c r="J60" s="429"/>
      <c r="K60" s="429"/>
      <c r="L60" s="429"/>
      <c r="M60" s="429"/>
      <c r="N60" s="418"/>
      <c r="O60" s="429"/>
      <c r="P60" s="429"/>
      <c r="Q60" s="429"/>
      <c r="R60" s="429"/>
      <c r="S60" s="418"/>
      <c r="T60" s="418"/>
      <c r="U60" s="418"/>
      <c r="V60" s="418"/>
      <c r="W60" s="418"/>
      <c r="X60" s="418"/>
      <c r="Y60" s="418"/>
      <c r="Z60" s="418"/>
      <c r="AA60" s="418"/>
      <c r="AB60" s="418"/>
    </row>
    <row r="61" spans="1:32" collapsed="1">
      <c r="B61" s="405" t="s">
        <v>366</v>
      </c>
      <c r="C61" s="395"/>
      <c r="D61" s="395"/>
      <c r="E61" s="429"/>
      <c r="F61" s="429"/>
      <c r="G61" s="429"/>
      <c r="H61" s="429"/>
      <c r="I61" s="418"/>
      <c r="J61" s="429"/>
      <c r="K61" s="429"/>
      <c r="L61" s="429"/>
      <c r="M61" s="429"/>
      <c r="N61" s="418"/>
      <c r="O61" s="429"/>
      <c r="P61" s="429"/>
      <c r="Q61" s="429"/>
      <c r="R61" s="429"/>
      <c r="S61" s="418"/>
      <c r="T61" s="530">
        <f t="shared" ref="T61:AA61" si="75">T24*T57*1000</f>
        <v>25.351145795813746</v>
      </c>
      <c r="U61" s="530">
        <f t="shared" si="75"/>
        <v>85.433361331892343</v>
      </c>
      <c r="V61" s="530">
        <f t="shared" si="75"/>
        <v>129.5596924598147</v>
      </c>
      <c r="W61" s="530">
        <f t="shared" si="75"/>
        <v>174.64646543583027</v>
      </c>
      <c r="X61" s="530">
        <f t="shared" si="75"/>
        <v>220.70947069453044</v>
      </c>
      <c r="Y61" s="530">
        <f t="shared" si="75"/>
        <v>290.07845733382129</v>
      </c>
      <c r="Z61" s="530">
        <f t="shared" si="75"/>
        <v>344.53364353340004</v>
      </c>
      <c r="AA61" s="530">
        <f t="shared" si="75"/>
        <v>340.03894718896652</v>
      </c>
      <c r="AB61" s="530">
        <f>AB24*AB57*1000</f>
        <v>334.97549880149501</v>
      </c>
    </row>
    <row r="62" spans="1:32">
      <c r="B62" s="405"/>
      <c r="C62" s="395"/>
      <c r="D62" s="395"/>
      <c r="E62" s="429"/>
      <c r="F62" s="429"/>
      <c r="G62" s="429"/>
      <c r="H62" s="429"/>
      <c r="I62" s="418"/>
      <c r="J62" s="429"/>
      <c r="K62" s="429"/>
      <c r="L62" s="429"/>
      <c r="M62" s="429"/>
      <c r="N62" s="418"/>
      <c r="O62" s="429"/>
      <c r="P62" s="429"/>
      <c r="Q62" s="429"/>
      <c r="R62" s="429"/>
      <c r="S62" s="418"/>
      <c r="T62" s="418"/>
      <c r="U62" s="418"/>
      <c r="V62" s="418"/>
      <c r="W62" s="418"/>
      <c r="X62" s="418"/>
      <c r="Y62" s="418"/>
      <c r="Z62" s="418"/>
      <c r="AA62" s="418"/>
      <c r="AB62" s="418"/>
    </row>
    <row r="63" spans="1:32">
      <c r="B63" s="405" t="s">
        <v>321</v>
      </c>
      <c r="C63" s="395"/>
      <c r="D63" s="469"/>
      <c r="E63" s="470"/>
      <c r="F63" s="470"/>
      <c r="G63" s="470"/>
      <c r="H63" s="470"/>
      <c r="I63" s="471"/>
      <c r="J63" s="470"/>
      <c r="K63" s="470"/>
      <c r="L63" s="470"/>
      <c r="M63" s="470"/>
      <c r="N63" s="471"/>
      <c r="O63" s="470"/>
      <c r="P63" s="470"/>
      <c r="Q63" s="470"/>
      <c r="R63" s="470"/>
      <c r="S63" s="471"/>
      <c r="T63" s="471">
        <f>I39</f>
        <v>35.6</v>
      </c>
      <c r="U63" s="436">
        <f t="shared" ref="U63:AB63" si="76">T63*0.99</f>
        <v>35.244</v>
      </c>
      <c r="V63" s="436">
        <f t="shared" si="76"/>
        <v>34.891559999999998</v>
      </c>
      <c r="W63" s="436">
        <f t="shared" si="76"/>
        <v>34.5426444</v>
      </c>
      <c r="X63" s="436">
        <f t="shared" si="76"/>
        <v>34.197217956000003</v>
      </c>
      <c r="Y63" s="436">
        <f t="shared" si="76"/>
        <v>33.85524577644</v>
      </c>
      <c r="Z63" s="436">
        <f t="shared" si="76"/>
        <v>33.5166933186756</v>
      </c>
      <c r="AA63" s="436">
        <f t="shared" si="76"/>
        <v>33.181526385488844</v>
      </c>
      <c r="AB63" s="436">
        <f t="shared" si="76"/>
        <v>32.849711121633959</v>
      </c>
    </row>
    <row r="64" spans="1:32">
      <c r="B64" s="405"/>
      <c r="C64" s="395"/>
      <c r="D64" s="395"/>
      <c r="E64" s="429"/>
      <c r="F64" s="429"/>
      <c r="G64" s="429"/>
      <c r="H64" s="429"/>
      <c r="I64" s="418"/>
      <c r="J64" s="429"/>
      <c r="K64" s="429"/>
      <c r="L64" s="429"/>
      <c r="M64" s="429"/>
      <c r="N64" s="418"/>
      <c r="O64" s="429"/>
      <c r="P64" s="429"/>
      <c r="Q64" s="429"/>
      <c r="R64" s="429"/>
      <c r="S64" s="418"/>
      <c r="T64" s="418"/>
      <c r="U64" s="418"/>
      <c r="V64" s="418"/>
      <c r="W64" s="418"/>
      <c r="X64" s="418"/>
      <c r="Y64" s="418"/>
      <c r="Z64" s="418"/>
      <c r="AA64" s="418"/>
      <c r="AB64" s="418"/>
    </row>
    <row r="65" spans="1:32">
      <c r="B65" s="405" t="s">
        <v>322</v>
      </c>
      <c r="C65" s="395"/>
      <c r="D65" s="437"/>
      <c r="E65" s="430"/>
      <c r="F65" s="430"/>
      <c r="G65" s="430"/>
      <c r="H65" s="430"/>
      <c r="I65" s="438"/>
      <c r="J65" s="430"/>
      <c r="K65" s="430"/>
      <c r="L65" s="430"/>
      <c r="M65" s="430"/>
      <c r="N65" s="439"/>
      <c r="O65" s="435"/>
      <c r="P65" s="435"/>
      <c r="Q65" s="435"/>
      <c r="R65" s="435"/>
      <c r="S65" s="439"/>
      <c r="T65" s="471">
        <f t="shared" ref="T65:AB65" si="77">T41</f>
        <v>494.38202247191009</v>
      </c>
      <c r="U65" s="436">
        <f t="shared" si="77"/>
        <v>494.38202247191009</v>
      </c>
      <c r="V65" s="436">
        <f t="shared" si="77"/>
        <v>494.38202247191009</v>
      </c>
      <c r="W65" s="436">
        <f t="shared" si="77"/>
        <v>494.38202247191009</v>
      </c>
      <c r="X65" s="436">
        <f t="shared" si="77"/>
        <v>494.38202247191009</v>
      </c>
      <c r="Y65" s="436">
        <f t="shared" si="77"/>
        <v>494.38202247191009</v>
      </c>
      <c r="Z65" s="436">
        <f t="shared" si="77"/>
        <v>494.38202247191009</v>
      </c>
      <c r="AA65" s="436">
        <f t="shared" si="77"/>
        <v>494.38202247191009</v>
      </c>
      <c r="AB65" s="436">
        <f t="shared" si="77"/>
        <v>494.38202247191009</v>
      </c>
    </row>
    <row r="66" spans="1:32" s="414" customFormat="1">
      <c r="B66" s="409" t="s">
        <v>312</v>
      </c>
      <c r="C66" s="410"/>
      <c r="D66" s="440"/>
      <c r="E66" s="441"/>
      <c r="F66" s="441"/>
      <c r="G66" s="441"/>
      <c r="H66" s="441"/>
      <c r="I66" s="413"/>
      <c r="J66" s="441"/>
      <c r="K66" s="441"/>
      <c r="L66" s="441"/>
      <c r="M66" s="441"/>
      <c r="N66" s="413"/>
      <c r="O66" s="441"/>
      <c r="P66" s="441"/>
      <c r="Q66" s="441"/>
      <c r="R66" s="441"/>
      <c r="S66" s="413"/>
      <c r="T66" s="413"/>
      <c r="U66" s="413"/>
      <c r="V66" s="413">
        <f>V65/U65-1</f>
        <v>0</v>
      </c>
      <c r="W66" s="413">
        <f t="shared" ref="W66:AB66" si="78">W65/V65-1</f>
        <v>0</v>
      </c>
      <c r="X66" s="413">
        <f t="shared" si="78"/>
        <v>0</v>
      </c>
      <c r="Y66" s="413">
        <f t="shared" si="78"/>
        <v>0</v>
      </c>
      <c r="Z66" s="413">
        <f t="shared" si="78"/>
        <v>0</v>
      </c>
      <c r="AA66" s="413">
        <f t="shared" si="78"/>
        <v>0</v>
      </c>
      <c r="AB66" s="413">
        <f t="shared" si="78"/>
        <v>0</v>
      </c>
    </row>
    <row r="67" spans="1:32" s="427" customFormat="1">
      <c r="B67" s="465"/>
      <c r="C67" s="466"/>
      <c r="D67" s="466"/>
      <c r="E67" s="467"/>
      <c r="F67" s="467"/>
      <c r="G67" s="467"/>
      <c r="H67" s="467"/>
      <c r="I67" s="468"/>
      <c r="J67" s="467"/>
      <c r="K67" s="467"/>
      <c r="L67" s="467"/>
      <c r="M67" s="467"/>
      <c r="N67" s="468"/>
      <c r="O67" s="467"/>
      <c r="P67" s="467"/>
      <c r="Q67" s="467"/>
      <c r="R67" s="467"/>
      <c r="S67" s="468"/>
      <c r="T67" s="468"/>
      <c r="U67" s="468"/>
      <c r="V67" s="468"/>
      <c r="W67" s="468"/>
      <c r="X67" s="468"/>
      <c r="Y67" s="468"/>
      <c r="Z67" s="468"/>
      <c r="AA67" s="468"/>
      <c r="AB67" s="468"/>
    </row>
    <row r="68" spans="1:32">
      <c r="B68" s="405" t="s">
        <v>401</v>
      </c>
      <c r="C68" s="395"/>
      <c r="D68" s="474"/>
      <c r="E68" s="475"/>
      <c r="F68" s="475"/>
      <c r="G68" s="475"/>
      <c r="H68" s="475"/>
      <c r="I68" s="444"/>
      <c r="J68" s="475"/>
      <c r="K68" s="475"/>
      <c r="L68" s="475"/>
      <c r="M68" s="475"/>
      <c r="N68" s="444"/>
      <c r="O68" s="475"/>
      <c r="P68" s="475"/>
      <c r="Q68" s="475"/>
      <c r="R68" s="475"/>
      <c r="S68" s="444"/>
      <c r="T68" s="444">
        <f t="shared" ref="T68:AB68" si="79">T63*T65*52/1000</f>
        <v>915.2</v>
      </c>
      <c r="U68" s="444">
        <f t="shared" si="79"/>
        <v>906.048</v>
      </c>
      <c r="V68" s="444">
        <f t="shared" si="79"/>
        <v>896.9875199999999</v>
      </c>
      <c r="W68" s="444">
        <f t="shared" si="79"/>
        <v>888.01764479999997</v>
      </c>
      <c r="X68" s="444">
        <f t="shared" si="79"/>
        <v>879.13746835200016</v>
      </c>
      <c r="Y68" s="444">
        <f t="shared" si="79"/>
        <v>870.34609366847997</v>
      </c>
      <c r="Z68" s="444">
        <f t="shared" si="79"/>
        <v>861.64263273179517</v>
      </c>
      <c r="AA68" s="444">
        <f t="shared" si="79"/>
        <v>853.02620640447708</v>
      </c>
      <c r="AB68" s="444">
        <f t="shared" si="79"/>
        <v>844.49594434043252</v>
      </c>
    </row>
    <row r="69" spans="1:32">
      <c r="B69" s="405"/>
      <c r="C69" s="395"/>
      <c r="D69" s="395"/>
      <c r="E69" s="429"/>
      <c r="F69" s="429"/>
      <c r="G69" s="429"/>
      <c r="H69" s="429"/>
      <c r="I69" s="418"/>
      <c r="J69" s="429"/>
      <c r="K69" s="429"/>
      <c r="L69" s="429"/>
      <c r="M69" s="429"/>
      <c r="N69" s="418"/>
      <c r="O69" s="429"/>
      <c r="P69" s="429"/>
      <c r="Q69" s="429"/>
      <c r="R69" s="429"/>
      <c r="S69" s="418"/>
      <c r="T69" s="418"/>
      <c r="U69" s="418"/>
      <c r="V69" s="418"/>
      <c r="W69" s="418"/>
      <c r="X69" s="418"/>
      <c r="Y69" s="418"/>
      <c r="Z69" s="418"/>
      <c r="AA69" s="418"/>
      <c r="AB69" s="418"/>
    </row>
    <row r="70" spans="1:32" hidden="1" outlineLevel="1">
      <c r="B70" s="405" t="s">
        <v>367</v>
      </c>
      <c r="C70" s="395"/>
      <c r="D70" s="445"/>
      <c r="E70" s="446"/>
      <c r="F70" s="446"/>
      <c r="G70" s="446"/>
      <c r="H70" s="533"/>
      <c r="I70" s="449"/>
      <c r="J70" s="533"/>
      <c r="K70" s="533"/>
      <c r="L70" s="533"/>
      <c r="M70" s="533"/>
      <c r="N70" s="449"/>
      <c r="O70" s="533"/>
      <c r="P70" s="533"/>
      <c r="Q70" s="533"/>
      <c r="R70" s="533"/>
      <c r="S70" s="449"/>
      <c r="T70" s="418"/>
      <c r="U70" s="418"/>
      <c r="V70" s="418"/>
      <c r="W70" s="418"/>
      <c r="X70" s="418"/>
      <c r="Y70" s="418"/>
      <c r="Z70" s="418"/>
      <c r="AA70" s="418"/>
      <c r="AB70" s="418"/>
    </row>
    <row r="71" spans="1:32" s="454" customFormat="1" collapsed="1">
      <c r="B71" s="450" t="s">
        <v>314</v>
      </c>
      <c r="C71" s="451"/>
      <c r="D71" s="476"/>
      <c r="E71" s="477"/>
      <c r="F71" s="477"/>
      <c r="G71" s="477"/>
      <c r="H71" s="477"/>
      <c r="I71" s="451"/>
      <c r="J71" s="477"/>
      <c r="K71" s="477"/>
      <c r="L71" s="477"/>
      <c r="M71" s="477"/>
      <c r="N71" s="451"/>
      <c r="O71" s="477"/>
      <c r="P71" s="477"/>
      <c r="Q71" s="477"/>
      <c r="R71" s="477"/>
      <c r="S71" s="451"/>
      <c r="T71" s="451">
        <f t="shared" ref="T71" si="80">T47</f>
        <v>0.32</v>
      </c>
      <c r="U71" s="451">
        <f t="shared" ref="U71:AB72" si="81">U47</f>
        <v>0.32</v>
      </c>
      <c r="V71" s="451">
        <f t="shared" si="81"/>
        <v>0.32</v>
      </c>
      <c r="W71" s="451">
        <f t="shared" si="81"/>
        <v>0.32</v>
      </c>
      <c r="X71" s="451">
        <f t="shared" si="81"/>
        <v>0.32</v>
      </c>
      <c r="Y71" s="451">
        <f t="shared" si="81"/>
        <v>0.32</v>
      </c>
      <c r="Z71" s="451">
        <f t="shared" si="81"/>
        <v>0.32</v>
      </c>
      <c r="AA71" s="451">
        <f t="shared" si="81"/>
        <v>0.32</v>
      </c>
      <c r="AB71" s="451">
        <f t="shared" si="81"/>
        <v>0.32</v>
      </c>
    </row>
    <row r="72" spans="1:32">
      <c r="B72" s="405" t="s">
        <v>315</v>
      </c>
      <c r="C72" s="395"/>
      <c r="D72" s="478"/>
      <c r="E72" s="479"/>
      <c r="F72" s="479"/>
      <c r="G72" s="479"/>
      <c r="H72" s="479"/>
      <c r="I72" s="447"/>
      <c r="J72" s="479"/>
      <c r="K72" s="479"/>
      <c r="L72" s="479"/>
      <c r="M72" s="479"/>
      <c r="N72" s="447"/>
      <c r="O72" s="479"/>
      <c r="P72" s="479"/>
      <c r="Q72" s="479"/>
      <c r="R72" s="479"/>
      <c r="S72" s="447"/>
      <c r="T72" s="447">
        <f t="shared" ref="T72" si="82">T48</f>
        <v>0.8</v>
      </c>
      <c r="U72" s="447">
        <f t="shared" si="81"/>
        <v>0.8</v>
      </c>
      <c r="V72" s="447">
        <f t="shared" si="81"/>
        <v>0.8</v>
      </c>
      <c r="W72" s="447">
        <f t="shared" si="81"/>
        <v>0.8</v>
      </c>
      <c r="X72" s="447">
        <f t="shared" si="81"/>
        <v>0.8</v>
      </c>
      <c r="Y72" s="447">
        <f t="shared" si="81"/>
        <v>0.8</v>
      </c>
      <c r="Z72" s="447">
        <f t="shared" si="81"/>
        <v>0.8</v>
      </c>
      <c r="AA72" s="447">
        <f t="shared" si="81"/>
        <v>0.8</v>
      </c>
      <c r="AB72" s="447">
        <f t="shared" si="81"/>
        <v>0.8</v>
      </c>
    </row>
    <row r="73" spans="1:32" s="427" customFormat="1">
      <c r="B73" s="465"/>
      <c r="C73" s="466"/>
      <c r="D73" s="466"/>
      <c r="E73" s="467"/>
      <c r="F73" s="467"/>
      <c r="G73" s="467"/>
      <c r="H73" s="467"/>
      <c r="I73" s="468"/>
      <c r="J73" s="467"/>
      <c r="K73" s="467"/>
      <c r="L73" s="467"/>
      <c r="M73" s="467"/>
      <c r="N73" s="468"/>
      <c r="O73" s="467"/>
      <c r="P73" s="467"/>
      <c r="Q73" s="467"/>
      <c r="R73" s="467"/>
      <c r="S73" s="468"/>
      <c r="T73" s="468"/>
      <c r="U73" s="468"/>
      <c r="V73" s="468"/>
      <c r="W73" s="468"/>
      <c r="X73" s="468"/>
      <c r="Y73" s="468"/>
      <c r="Z73" s="468"/>
      <c r="AA73" s="468"/>
      <c r="AB73" s="468"/>
    </row>
    <row r="74" spans="1:32">
      <c r="B74" s="461" t="s">
        <v>413</v>
      </c>
      <c r="C74" s="462"/>
      <c r="D74" s="463"/>
      <c r="E74" s="464"/>
      <c r="F74" s="464"/>
      <c r="G74" s="464"/>
      <c r="H74" s="464"/>
      <c r="I74" s="463"/>
      <c r="J74" s="464"/>
      <c r="K74" s="464"/>
      <c r="L74" s="464"/>
      <c r="M74" s="464"/>
      <c r="N74" s="463"/>
      <c r="O74" s="464"/>
      <c r="P74" s="464"/>
      <c r="Q74" s="464"/>
      <c r="R74" s="464"/>
      <c r="S74" s="463"/>
      <c r="T74" s="463">
        <f t="shared" ref="T74:AB74" si="83">T72*(1-T71)*T68*T61/1000</f>
        <v>12.621544535986834</v>
      </c>
      <c r="U74" s="463">
        <f t="shared" si="83"/>
        <v>42.109259035412876</v>
      </c>
      <c r="V74" s="463">
        <f t="shared" si="83"/>
        <v>63.220104413931573</v>
      </c>
      <c r="W74" s="463">
        <f t="shared" si="83"/>
        <v>84.368493742479998</v>
      </c>
      <c r="X74" s="463">
        <f t="shared" si="83"/>
        <v>105.55447712738849</v>
      </c>
      <c r="Y74" s="463">
        <f t="shared" si="83"/>
        <v>137.34294679564135</v>
      </c>
      <c r="Z74" s="463">
        <f t="shared" si="83"/>
        <v>161.49449236926534</v>
      </c>
      <c r="AA74" s="463">
        <f t="shared" si="83"/>
        <v>157.79380043380473</v>
      </c>
      <c r="AB74" s="463">
        <f t="shared" si="83"/>
        <v>153.88968490405409</v>
      </c>
    </row>
    <row r="75" spans="1:32" s="427" customFormat="1">
      <c r="B75" s="465" t="s">
        <v>316</v>
      </c>
      <c r="C75" s="466"/>
      <c r="D75" s="466"/>
      <c r="E75" s="467"/>
      <c r="F75" s="467"/>
      <c r="G75" s="467"/>
      <c r="H75" s="467"/>
      <c r="I75" s="468"/>
      <c r="J75" s="467"/>
      <c r="K75" s="467"/>
      <c r="L75" s="467"/>
      <c r="M75" s="467"/>
      <c r="N75" s="468"/>
      <c r="O75" s="467"/>
      <c r="P75" s="467"/>
      <c r="Q75" s="467"/>
      <c r="R75" s="467"/>
      <c r="S75" s="468"/>
      <c r="T75" s="468"/>
      <c r="U75" s="468"/>
      <c r="V75" s="468">
        <f t="shared" ref="V75" si="84">V74/U74-1</f>
        <v>0.50133499999999964</v>
      </c>
      <c r="W75" s="468">
        <f t="shared" ref="W75" si="85">W74/V74-1</f>
        <v>0.33452000000000059</v>
      </c>
      <c r="X75" s="468">
        <f t="shared" ref="X75" si="86">X74/W74-1</f>
        <v>0.25111249999999985</v>
      </c>
      <c r="Y75" s="468">
        <f t="shared" ref="Y75" si="87">Y74/X74-1</f>
        <v>0.30115699999999923</v>
      </c>
      <c r="Z75" s="468">
        <f t="shared" ref="Z75" si="88">Z74/Y74-1</f>
        <v>0.1758484591826921</v>
      </c>
      <c r="AA75" s="468">
        <f t="shared" ref="AA75" si="89">AA74/Z74-1</f>
        <v>-2.2915282627712141E-2</v>
      </c>
      <c r="AB75" s="468">
        <f t="shared" ref="AB75" si="90">AB74/AA74-1</f>
        <v>-2.4741881613963845E-2</v>
      </c>
    </row>
    <row r="76" spans="1:32" s="427" customFormat="1">
      <c r="B76" s="465"/>
      <c r="C76" s="466"/>
      <c r="D76" s="466"/>
      <c r="E76" s="467"/>
      <c r="F76" s="467"/>
      <c r="G76" s="467"/>
      <c r="H76" s="467"/>
      <c r="I76" s="468"/>
      <c r="J76" s="467"/>
      <c r="K76" s="467"/>
      <c r="L76" s="467"/>
      <c r="M76" s="467"/>
      <c r="N76" s="468"/>
      <c r="O76" s="467"/>
      <c r="P76" s="467"/>
      <c r="Q76" s="467"/>
      <c r="R76" s="467"/>
      <c r="S76" s="468"/>
      <c r="T76" s="468"/>
      <c r="U76" s="468"/>
      <c r="V76" s="468"/>
      <c r="W76" s="468"/>
      <c r="X76" s="468"/>
      <c r="Y76" s="468"/>
      <c r="Z76" s="468"/>
      <c r="AA76" s="468"/>
      <c r="AB76" s="468"/>
    </row>
    <row r="77" spans="1:32">
      <c r="B77" s="423" t="s">
        <v>400</v>
      </c>
      <c r="C77" s="424"/>
      <c r="D77" s="424"/>
      <c r="E77" s="425"/>
      <c r="F77" s="425"/>
      <c r="G77" s="425"/>
      <c r="H77" s="425"/>
      <c r="I77" s="426"/>
      <c r="J77" s="425"/>
      <c r="K77" s="425"/>
      <c r="L77" s="425"/>
      <c r="M77" s="425"/>
      <c r="N77" s="567"/>
      <c r="O77" s="425"/>
      <c r="P77" s="425"/>
      <c r="Q77" s="425"/>
      <c r="R77" s="425"/>
      <c r="S77" s="567"/>
      <c r="T77" s="567"/>
      <c r="U77" s="426"/>
      <c r="V77" s="426"/>
      <c r="W77" s="426"/>
      <c r="X77" s="426"/>
      <c r="Y77" s="426"/>
      <c r="Z77" s="426"/>
      <c r="AA77" s="426"/>
      <c r="AB77" s="426"/>
    </row>
    <row r="78" spans="1:32" s="427" customFormat="1" hidden="1" outlineLevel="1">
      <c r="A78" s="427" t="s">
        <v>319</v>
      </c>
      <c r="B78" s="534" t="s">
        <v>64</v>
      </c>
      <c r="C78" s="535"/>
      <c r="D78" s="536">
        <v>0</v>
      </c>
      <c r="E78" s="536"/>
      <c r="F78" s="536"/>
      <c r="G78" s="536"/>
      <c r="H78" s="536"/>
      <c r="I78" s="537">
        <v>0</v>
      </c>
      <c r="J78" s="536"/>
      <c r="K78" s="536"/>
      <c r="L78" s="536"/>
      <c r="M78" s="536"/>
      <c r="N78" s="537">
        <v>0</v>
      </c>
      <c r="O78" s="536"/>
      <c r="P78" s="536"/>
      <c r="Q78" s="536"/>
      <c r="R78" s="536"/>
      <c r="S78" s="537">
        <v>0</v>
      </c>
      <c r="T78" s="536">
        <v>0</v>
      </c>
      <c r="U78" s="536">
        <v>0</v>
      </c>
      <c r="V78" s="536">
        <f>T54</f>
        <v>0.1</v>
      </c>
      <c r="W78" s="536">
        <f t="shared" ref="W78:AB78" si="91">U54</f>
        <v>0.3</v>
      </c>
      <c r="X78" s="536">
        <f t="shared" si="91"/>
        <v>0.5</v>
      </c>
      <c r="Y78" s="536">
        <f t="shared" si="91"/>
        <v>0.55000000000000004</v>
      </c>
      <c r="Z78" s="536">
        <f t="shared" si="91"/>
        <v>0.7</v>
      </c>
      <c r="AA78" s="536">
        <f t="shared" si="91"/>
        <v>0.81</v>
      </c>
      <c r="AB78" s="536">
        <f t="shared" si="91"/>
        <v>0.81</v>
      </c>
      <c r="AF78" s="427" t="s">
        <v>70</v>
      </c>
    </row>
    <row r="79" spans="1:32" s="427" customFormat="1" hidden="1" outlineLevel="1">
      <c r="B79" s="534" t="s">
        <v>65</v>
      </c>
      <c r="C79" s="535"/>
      <c r="D79" s="536">
        <v>0</v>
      </c>
      <c r="E79" s="536"/>
      <c r="F79" s="536"/>
      <c r="G79" s="536"/>
      <c r="H79" s="536"/>
      <c r="I79" s="537">
        <v>0</v>
      </c>
      <c r="J79" s="536"/>
      <c r="K79" s="536"/>
      <c r="L79" s="536"/>
      <c r="M79" s="536"/>
      <c r="N79" s="537">
        <v>0</v>
      </c>
      <c r="O79" s="536"/>
      <c r="P79" s="536"/>
      <c r="Q79" s="536"/>
      <c r="R79" s="536"/>
      <c r="S79" s="537">
        <v>0</v>
      </c>
      <c r="T79" s="536">
        <v>0</v>
      </c>
      <c r="U79" s="536">
        <v>0</v>
      </c>
      <c r="V79" s="536">
        <f>T55</f>
        <v>0.06</v>
      </c>
      <c r="W79" s="536">
        <f t="shared" ref="W79:AB79" si="92">U55</f>
        <v>0.2</v>
      </c>
      <c r="X79" s="536">
        <f t="shared" si="92"/>
        <v>0.3</v>
      </c>
      <c r="Y79" s="536">
        <f t="shared" si="92"/>
        <v>0.4</v>
      </c>
      <c r="Z79" s="536">
        <f t="shared" si="92"/>
        <v>0.5</v>
      </c>
      <c r="AA79" s="536">
        <f t="shared" si="92"/>
        <v>0.65</v>
      </c>
      <c r="AB79" s="536">
        <f t="shared" si="92"/>
        <v>0.76362187499999989</v>
      </c>
    </row>
    <row r="80" spans="1:32" s="427" customFormat="1" hidden="1" outlineLevel="1">
      <c r="B80" s="534" t="s">
        <v>66</v>
      </c>
      <c r="C80" s="535"/>
      <c r="D80" s="536">
        <v>0</v>
      </c>
      <c r="E80" s="536"/>
      <c r="F80" s="536"/>
      <c r="G80" s="536"/>
      <c r="H80" s="536"/>
      <c r="I80" s="537">
        <v>0</v>
      </c>
      <c r="J80" s="536"/>
      <c r="K80" s="536"/>
      <c r="L80" s="536"/>
      <c r="M80" s="536"/>
      <c r="N80" s="537">
        <v>0</v>
      </c>
      <c r="O80" s="536"/>
      <c r="P80" s="536"/>
      <c r="Q80" s="536"/>
      <c r="R80" s="536"/>
      <c r="S80" s="537">
        <v>0</v>
      </c>
      <c r="T80" s="536">
        <v>0</v>
      </c>
      <c r="U80" s="536">
        <v>0</v>
      </c>
      <c r="V80" s="536">
        <v>0</v>
      </c>
      <c r="W80" s="536">
        <v>0</v>
      </c>
      <c r="X80" s="536">
        <v>0</v>
      </c>
      <c r="Y80" s="536">
        <v>0</v>
      </c>
      <c r="Z80" s="536">
        <v>0</v>
      </c>
      <c r="AA80" s="536">
        <v>0</v>
      </c>
      <c r="AB80" s="536">
        <v>0</v>
      </c>
    </row>
    <row r="81" spans="1:28" s="427" customFormat="1" collapsed="1">
      <c r="A81" s="428" t="s">
        <v>313</v>
      </c>
      <c r="B81" s="538" t="s">
        <v>318</v>
      </c>
      <c r="C81" s="539"/>
      <c r="D81" s="540">
        <f>CHOOSE($N$2,D78,D79,D80)</f>
        <v>0</v>
      </c>
      <c r="E81" s="541"/>
      <c r="F81" s="541"/>
      <c r="G81" s="541"/>
      <c r="H81" s="541"/>
      <c r="I81" s="540">
        <f>CHOOSE($N$2,I78,I79,I80)</f>
        <v>0</v>
      </c>
      <c r="J81" s="541"/>
      <c r="K81" s="541"/>
      <c r="L81" s="541"/>
      <c r="M81" s="541"/>
      <c r="N81" s="540">
        <f>CHOOSE($N$2,N78,N79,N80)</f>
        <v>0</v>
      </c>
      <c r="O81" s="541"/>
      <c r="P81" s="541"/>
      <c r="Q81" s="541"/>
      <c r="R81" s="541"/>
      <c r="S81" s="540">
        <f t="shared" ref="S81:AB81" si="93">CHOOSE($N$2,S78,S79,S80)</f>
        <v>0</v>
      </c>
      <c r="T81" s="540">
        <f t="shared" si="93"/>
        <v>0</v>
      </c>
      <c r="U81" s="540">
        <f t="shared" si="93"/>
        <v>0</v>
      </c>
      <c r="V81" s="540">
        <f t="shared" si="93"/>
        <v>0.06</v>
      </c>
      <c r="W81" s="540">
        <f t="shared" si="93"/>
        <v>0.2</v>
      </c>
      <c r="X81" s="540">
        <f t="shared" si="93"/>
        <v>0.3</v>
      </c>
      <c r="Y81" s="540">
        <f t="shared" si="93"/>
        <v>0.4</v>
      </c>
      <c r="Z81" s="540">
        <f t="shared" si="93"/>
        <v>0.5</v>
      </c>
      <c r="AA81" s="540">
        <f t="shared" si="93"/>
        <v>0.65</v>
      </c>
      <c r="AB81" s="540">
        <f t="shared" si="93"/>
        <v>0.76362187499999989</v>
      </c>
    </row>
    <row r="82" spans="1:28">
      <c r="B82" s="405"/>
      <c r="C82" s="395"/>
      <c r="D82" s="395"/>
      <c r="E82" s="429"/>
      <c r="F82" s="429"/>
      <c r="G82" s="429"/>
      <c r="H82" s="429"/>
      <c r="I82" s="418"/>
      <c r="J82" s="429"/>
      <c r="K82" s="429"/>
      <c r="L82" s="429"/>
      <c r="M82" s="429"/>
      <c r="N82" s="418"/>
      <c r="O82" s="429"/>
      <c r="P82" s="429"/>
      <c r="Q82" s="429"/>
      <c r="R82" s="429"/>
      <c r="S82" s="418"/>
      <c r="T82" s="418"/>
      <c r="U82" s="418"/>
      <c r="V82" s="418"/>
      <c r="W82" s="418"/>
      <c r="X82" s="418"/>
      <c r="Y82" s="418"/>
      <c r="Z82" s="418"/>
      <c r="AA82" s="418"/>
      <c r="AB82" s="418"/>
    </row>
    <row r="83" spans="1:28" hidden="1" outlineLevel="1">
      <c r="B83" s="405" t="s">
        <v>365</v>
      </c>
      <c r="C83" s="395"/>
      <c r="D83" s="395"/>
      <c r="E83" s="429"/>
      <c r="F83" s="429"/>
      <c r="G83" s="429"/>
      <c r="H83" s="429"/>
      <c r="I83" s="418"/>
      <c r="J83" s="429"/>
      <c r="K83" s="429"/>
      <c r="L83" s="429"/>
      <c r="M83" s="429"/>
      <c r="N83" s="418"/>
      <c r="O83" s="429"/>
      <c r="P83" s="429"/>
      <c r="Q83" s="429"/>
      <c r="R83" s="429"/>
      <c r="S83" s="418"/>
      <c r="T83" s="418"/>
      <c r="U83" s="418"/>
      <c r="V83" s="418"/>
      <c r="W83" s="418"/>
      <c r="X83" s="418"/>
      <c r="Y83" s="418"/>
      <c r="Z83" s="418"/>
      <c r="AA83" s="418"/>
      <c r="AB83" s="418"/>
    </row>
    <row r="84" spans="1:28" hidden="1" outlineLevel="1">
      <c r="B84" s="405" t="s">
        <v>364</v>
      </c>
      <c r="C84" s="395"/>
      <c r="D84" s="395"/>
      <c r="E84" s="429"/>
      <c r="F84" s="429"/>
      <c r="G84" s="429"/>
      <c r="H84" s="429"/>
      <c r="I84" s="418"/>
      <c r="J84" s="429"/>
      <c r="K84" s="429"/>
      <c r="L84" s="429"/>
      <c r="M84" s="429"/>
      <c r="N84" s="418"/>
      <c r="O84" s="429"/>
      <c r="P84" s="429"/>
      <c r="Q84" s="429"/>
      <c r="R84" s="429"/>
      <c r="S84" s="418"/>
      <c r="T84" s="418"/>
      <c r="U84" s="418"/>
      <c r="V84" s="418"/>
      <c r="W84" s="418"/>
      <c r="X84" s="418"/>
      <c r="Y84" s="418"/>
      <c r="Z84" s="418"/>
      <c r="AA84" s="418"/>
      <c r="AB84" s="418"/>
    </row>
    <row r="85" spans="1:28" collapsed="1">
      <c r="B85" s="405" t="s">
        <v>366</v>
      </c>
      <c r="C85" s="395"/>
      <c r="D85" s="395"/>
      <c r="E85" s="429"/>
      <c r="F85" s="429"/>
      <c r="G85" s="429"/>
      <c r="H85" s="429"/>
      <c r="I85" s="418"/>
      <c r="J85" s="429"/>
      <c r="K85" s="429"/>
      <c r="L85" s="429"/>
      <c r="M85" s="429"/>
      <c r="N85" s="418"/>
      <c r="O85" s="429"/>
      <c r="P85" s="429"/>
      <c r="Q85" s="429"/>
      <c r="R85" s="429"/>
      <c r="S85" s="418"/>
      <c r="T85" s="530">
        <f t="shared" ref="T85:AB85" si="94">T25*T81*1000</f>
        <v>0</v>
      </c>
      <c r="U85" s="530">
        <f t="shared" si="94"/>
        <v>0</v>
      </c>
      <c r="V85" s="530">
        <f t="shared" si="94"/>
        <v>25.911938491962939</v>
      </c>
      <c r="W85" s="530">
        <f t="shared" si="94"/>
        <v>87.323232717915133</v>
      </c>
      <c r="X85" s="530">
        <f t="shared" si="94"/>
        <v>132.42568241671825</v>
      </c>
      <c r="Y85" s="530">
        <f t="shared" si="94"/>
        <v>178.50981989773618</v>
      </c>
      <c r="Z85" s="530">
        <f t="shared" si="94"/>
        <v>225.59178489576405</v>
      </c>
      <c r="AA85" s="530">
        <f t="shared" si="94"/>
        <v>296.49528288850274</v>
      </c>
      <c r="AB85" s="530">
        <f t="shared" si="94"/>
        <v>352.15507226200225</v>
      </c>
    </row>
    <row r="86" spans="1:28">
      <c r="B86" s="405"/>
      <c r="C86" s="395"/>
      <c r="D86" s="395"/>
      <c r="E86" s="429"/>
      <c r="F86" s="429"/>
      <c r="G86" s="429"/>
      <c r="H86" s="429"/>
      <c r="I86" s="418"/>
      <c r="J86" s="429"/>
      <c r="K86" s="429"/>
      <c r="L86" s="429"/>
      <c r="M86" s="429"/>
      <c r="N86" s="418"/>
      <c r="O86" s="429"/>
      <c r="P86" s="429"/>
      <c r="Q86" s="429"/>
      <c r="R86" s="429"/>
      <c r="S86" s="418"/>
      <c r="T86" s="418"/>
      <c r="U86" s="418"/>
      <c r="V86" s="418"/>
      <c r="W86" s="418"/>
      <c r="X86" s="418"/>
      <c r="Y86" s="418"/>
      <c r="Z86" s="418"/>
      <c r="AA86" s="418"/>
      <c r="AB86" s="418"/>
    </row>
    <row r="87" spans="1:28">
      <c r="B87" s="405" t="s">
        <v>321</v>
      </c>
      <c r="C87" s="395"/>
      <c r="D87" s="469"/>
      <c r="E87" s="470"/>
      <c r="F87" s="470"/>
      <c r="G87" s="470"/>
      <c r="H87" s="470"/>
      <c r="I87" s="471"/>
      <c r="J87" s="470"/>
      <c r="K87" s="470"/>
      <c r="L87" s="470"/>
      <c r="M87" s="470"/>
      <c r="N87" s="471"/>
      <c r="O87" s="470"/>
      <c r="P87" s="470"/>
      <c r="Q87" s="470"/>
      <c r="R87" s="470"/>
      <c r="S87" s="471"/>
      <c r="T87" s="471">
        <f>U87</f>
        <v>35.6</v>
      </c>
      <c r="U87" s="436">
        <f>V87</f>
        <v>35.6</v>
      </c>
      <c r="V87" s="436">
        <f>T63</f>
        <v>35.6</v>
      </c>
      <c r="W87" s="436">
        <f t="shared" ref="W87:AB87" si="95">U63</f>
        <v>35.244</v>
      </c>
      <c r="X87" s="436">
        <f t="shared" si="95"/>
        <v>34.891559999999998</v>
      </c>
      <c r="Y87" s="436">
        <f t="shared" si="95"/>
        <v>34.5426444</v>
      </c>
      <c r="Z87" s="436">
        <f t="shared" si="95"/>
        <v>34.197217956000003</v>
      </c>
      <c r="AA87" s="436">
        <f t="shared" si="95"/>
        <v>33.85524577644</v>
      </c>
      <c r="AB87" s="436">
        <f t="shared" si="95"/>
        <v>33.5166933186756</v>
      </c>
    </row>
    <row r="88" spans="1:28">
      <c r="B88" s="405"/>
      <c r="C88" s="395"/>
      <c r="D88" s="395"/>
      <c r="E88" s="429"/>
      <c r="F88" s="429"/>
      <c r="G88" s="429"/>
      <c r="H88" s="429"/>
      <c r="I88" s="418"/>
      <c r="J88" s="429"/>
      <c r="K88" s="429"/>
      <c r="L88" s="429"/>
      <c r="M88" s="429"/>
      <c r="N88" s="418"/>
      <c r="O88" s="429"/>
      <c r="P88" s="429"/>
      <c r="Q88" s="429"/>
      <c r="R88" s="429"/>
      <c r="S88" s="418"/>
      <c r="T88" s="418"/>
      <c r="U88" s="418"/>
      <c r="V88" s="418"/>
      <c r="W88" s="418"/>
      <c r="X88" s="418"/>
      <c r="Y88" s="418"/>
      <c r="Z88" s="418"/>
      <c r="AA88" s="418"/>
      <c r="AB88" s="418"/>
    </row>
    <row r="89" spans="1:28">
      <c r="B89" s="405" t="s">
        <v>322</v>
      </c>
      <c r="C89" s="395"/>
      <c r="D89" s="437"/>
      <c r="E89" s="430"/>
      <c r="F89" s="430"/>
      <c r="G89" s="430"/>
      <c r="H89" s="430"/>
      <c r="I89" s="438"/>
      <c r="J89" s="430"/>
      <c r="K89" s="430"/>
      <c r="L89" s="430"/>
      <c r="M89" s="430"/>
      <c r="N89" s="439"/>
      <c r="O89" s="435"/>
      <c r="P89" s="435"/>
      <c r="Q89" s="435"/>
      <c r="R89" s="435"/>
      <c r="S89" s="439"/>
      <c r="T89" s="471">
        <f t="shared" ref="T89:AB89" si="96">T65</f>
        <v>494.38202247191009</v>
      </c>
      <c r="U89" s="436">
        <f t="shared" si="96"/>
        <v>494.38202247191009</v>
      </c>
      <c r="V89" s="436">
        <f t="shared" si="96"/>
        <v>494.38202247191009</v>
      </c>
      <c r="W89" s="436">
        <f t="shared" si="96"/>
        <v>494.38202247191009</v>
      </c>
      <c r="X89" s="436">
        <f t="shared" si="96"/>
        <v>494.38202247191009</v>
      </c>
      <c r="Y89" s="436">
        <f t="shared" si="96"/>
        <v>494.38202247191009</v>
      </c>
      <c r="Z89" s="436">
        <f t="shared" si="96"/>
        <v>494.38202247191009</v>
      </c>
      <c r="AA89" s="436">
        <f t="shared" si="96"/>
        <v>494.38202247191009</v>
      </c>
      <c r="AB89" s="436">
        <f t="shared" si="96"/>
        <v>494.38202247191009</v>
      </c>
    </row>
    <row r="90" spans="1:28" s="414" customFormat="1">
      <c r="B90" s="409" t="s">
        <v>312</v>
      </c>
      <c r="C90" s="410"/>
      <c r="D90" s="440"/>
      <c r="E90" s="441"/>
      <c r="F90" s="441"/>
      <c r="G90" s="441"/>
      <c r="H90" s="441"/>
      <c r="I90" s="413"/>
      <c r="J90" s="441"/>
      <c r="K90" s="441"/>
      <c r="L90" s="441"/>
      <c r="M90" s="441"/>
      <c r="N90" s="413"/>
      <c r="O90" s="441"/>
      <c r="P90" s="441"/>
      <c r="Q90" s="441"/>
      <c r="R90" s="441"/>
      <c r="S90" s="413"/>
      <c r="T90" s="413"/>
      <c r="U90" s="413"/>
      <c r="V90" s="413">
        <f>V89/U89-1</f>
        <v>0</v>
      </c>
      <c r="W90" s="413">
        <f t="shared" ref="W90" si="97">W89/V89-1</f>
        <v>0</v>
      </c>
      <c r="X90" s="413">
        <f t="shared" ref="X90" si="98">X89/W89-1</f>
        <v>0</v>
      </c>
      <c r="Y90" s="413">
        <f t="shared" ref="Y90" si="99">Y89/X89-1</f>
        <v>0</v>
      </c>
      <c r="Z90" s="413">
        <f t="shared" ref="Z90" si="100">Z89/Y89-1</f>
        <v>0</v>
      </c>
      <c r="AA90" s="413">
        <f t="shared" ref="AA90" si="101">AA89/Z89-1</f>
        <v>0</v>
      </c>
      <c r="AB90" s="413">
        <f t="shared" ref="AB90" si="102">AB89/AA89-1</f>
        <v>0</v>
      </c>
    </row>
    <row r="91" spans="1:28" s="427" customFormat="1">
      <c r="B91" s="465"/>
      <c r="C91" s="466"/>
      <c r="D91" s="466"/>
      <c r="E91" s="467"/>
      <c r="F91" s="467"/>
      <c r="G91" s="467"/>
      <c r="H91" s="467"/>
      <c r="I91" s="468"/>
      <c r="J91" s="467"/>
      <c r="K91" s="467"/>
      <c r="L91" s="467"/>
      <c r="M91" s="467"/>
      <c r="N91" s="468"/>
      <c r="O91" s="467"/>
      <c r="P91" s="467"/>
      <c r="Q91" s="467"/>
      <c r="R91" s="467"/>
      <c r="S91" s="468"/>
      <c r="T91" s="468"/>
      <c r="U91" s="468"/>
      <c r="V91" s="468"/>
      <c r="W91" s="468"/>
      <c r="X91" s="468"/>
      <c r="Y91" s="468"/>
      <c r="Z91" s="468"/>
      <c r="AA91" s="468"/>
      <c r="AB91" s="468"/>
    </row>
    <row r="92" spans="1:28">
      <c r="B92" s="405" t="s">
        <v>403</v>
      </c>
      <c r="C92" s="395"/>
      <c r="D92" s="474"/>
      <c r="E92" s="475"/>
      <c r="F92" s="475"/>
      <c r="G92" s="475"/>
      <c r="H92" s="475"/>
      <c r="I92" s="444"/>
      <c r="J92" s="475"/>
      <c r="K92" s="475"/>
      <c r="L92" s="475"/>
      <c r="M92" s="475"/>
      <c r="N92" s="444"/>
      <c r="O92" s="475"/>
      <c r="P92" s="475"/>
      <c r="Q92" s="475"/>
      <c r="R92" s="475"/>
      <c r="S92" s="444"/>
      <c r="T92" s="444">
        <f t="shared" ref="T92:AB92" si="103">T87*T89*52/1000</f>
        <v>915.2</v>
      </c>
      <c r="U92" s="444">
        <f t="shared" si="103"/>
        <v>915.2</v>
      </c>
      <c r="V92" s="444">
        <f t="shared" si="103"/>
        <v>915.2</v>
      </c>
      <c r="W92" s="444">
        <f t="shared" si="103"/>
        <v>906.048</v>
      </c>
      <c r="X92" s="444">
        <f t="shared" si="103"/>
        <v>896.9875199999999</v>
      </c>
      <c r="Y92" s="444">
        <f t="shared" si="103"/>
        <v>888.01764479999997</v>
      </c>
      <c r="Z92" s="444">
        <f t="shared" si="103"/>
        <v>879.13746835200016</v>
      </c>
      <c r="AA92" s="444">
        <f t="shared" si="103"/>
        <v>870.34609366847997</v>
      </c>
      <c r="AB92" s="444">
        <f t="shared" si="103"/>
        <v>861.64263273179517</v>
      </c>
    </row>
    <row r="93" spans="1:28">
      <c r="B93" s="405"/>
      <c r="C93" s="395"/>
      <c r="D93" s="395"/>
      <c r="E93" s="429"/>
      <c r="F93" s="429"/>
      <c r="G93" s="429"/>
      <c r="H93" s="429"/>
      <c r="I93" s="418"/>
      <c r="J93" s="429"/>
      <c r="K93" s="429"/>
      <c r="L93" s="429"/>
      <c r="M93" s="429"/>
      <c r="N93" s="418"/>
      <c r="O93" s="429"/>
      <c r="P93" s="429"/>
      <c r="Q93" s="429"/>
      <c r="R93" s="429"/>
      <c r="S93" s="418"/>
      <c r="T93" s="418"/>
      <c r="U93" s="418"/>
      <c r="V93" s="418"/>
      <c r="W93" s="418"/>
      <c r="X93" s="418"/>
      <c r="Y93" s="418"/>
      <c r="Z93" s="418"/>
      <c r="AA93" s="418"/>
      <c r="AB93" s="418"/>
    </row>
    <row r="94" spans="1:28" hidden="1" outlineLevel="1">
      <c r="B94" s="405" t="s">
        <v>367</v>
      </c>
      <c r="C94" s="395"/>
      <c r="D94" s="445"/>
      <c r="E94" s="446"/>
      <c r="F94" s="446"/>
      <c r="G94" s="446"/>
      <c r="H94" s="533"/>
      <c r="I94" s="449"/>
      <c r="J94" s="533"/>
      <c r="K94" s="533"/>
      <c r="L94" s="533"/>
      <c r="M94" s="533"/>
      <c r="N94" s="449"/>
      <c r="O94" s="533"/>
      <c r="P94" s="533"/>
      <c r="Q94" s="533"/>
      <c r="R94" s="533"/>
      <c r="S94" s="449"/>
      <c r="T94" s="418"/>
      <c r="U94" s="418"/>
      <c r="V94" s="418"/>
      <c r="W94" s="418"/>
      <c r="X94" s="418"/>
      <c r="Y94" s="418"/>
      <c r="Z94" s="418"/>
      <c r="AA94" s="418"/>
      <c r="AB94" s="418"/>
    </row>
    <row r="95" spans="1:28" s="454" customFormat="1" collapsed="1">
      <c r="B95" s="450" t="s">
        <v>314</v>
      </c>
      <c r="C95" s="451"/>
      <c r="D95" s="476"/>
      <c r="E95" s="477"/>
      <c r="F95" s="477"/>
      <c r="G95" s="477"/>
      <c r="H95" s="477"/>
      <c r="I95" s="451"/>
      <c r="J95" s="477"/>
      <c r="K95" s="477"/>
      <c r="L95" s="477"/>
      <c r="M95" s="477"/>
      <c r="N95" s="451"/>
      <c r="O95" s="477"/>
      <c r="P95" s="477"/>
      <c r="Q95" s="477"/>
      <c r="R95" s="477"/>
      <c r="S95" s="451"/>
      <c r="T95" s="451">
        <f t="shared" ref="T95:AB96" si="104">T71</f>
        <v>0.32</v>
      </c>
      <c r="U95" s="451">
        <f t="shared" si="104"/>
        <v>0.32</v>
      </c>
      <c r="V95" s="451">
        <f t="shared" si="104"/>
        <v>0.32</v>
      </c>
      <c r="W95" s="451">
        <f t="shared" si="104"/>
        <v>0.32</v>
      </c>
      <c r="X95" s="451">
        <f t="shared" si="104"/>
        <v>0.32</v>
      </c>
      <c r="Y95" s="451">
        <f t="shared" si="104"/>
        <v>0.32</v>
      </c>
      <c r="Z95" s="451">
        <f t="shared" si="104"/>
        <v>0.32</v>
      </c>
      <c r="AA95" s="451">
        <f t="shared" si="104"/>
        <v>0.32</v>
      </c>
      <c r="AB95" s="451">
        <f t="shared" si="104"/>
        <v>0.32</v>
      </c>
    </row>
    <row r="96" spans="1:28">
      <c r="B96" s="405" t="s">
        <v>315</v>
      </c>
      <c r="C96" s="395"/>
      <c r="D96" s="478"/>
      <c r="E96" s="479"/>
      <c r="F96" s="479"/>
      <c r="G96" s="479"/>
      <c r="H96" s="479"/>
      <c r="I96" s="447"/>
      <c r="J96" s="479"/>
      <c r="K96" s="479"/>
      <c r="L96" s="479"/>
      <c r="M96" s="479"/>
      <c r="N96" s="447"/>
      <c r="O96" s="479"/>
      <c r="P96" s="479"/>
      <c r="Q96" s="479"/>
      <c r="R96" s="479"/>
      <c r="S96" s="447"/>
      <c r="T96" s="447">
        <f t="shared" si="104"/>
        <v>0.8</v>
      </c>
      <c r="U96" s="447">
        <f t="shared" si="104"/>
        <v>0.8</v>
      </c>
      <c r="V96" s="447">
        <f t="shared" si="104"/>
        <v>0.8</v>
      </c>
      <c r="W96" s="447">
        <f t="shared" si="104"/>
        <v>0.8</v>
      </c>
      <c r="X96" s="447">
        <f t="shared" si="104"/>
        <v>0.8</v>
      </c>
      <c r="Y96" s="447">
        <f t="shared" si="104"/>
        <v>0.8</v>
      </c>
      <c r="Z96" s="447">
        <f t="shared" si="104"/>
        <v>0.8</v>
      </c>
      <c r="AA96" s="447">
        <f t="shared" si="104"/>
        <v>0.8</v>
      </c>
      <c r="AB96" s="447">
        <f t="shared" si="104"/>
        <v>0.8</v>
      </c>
    </row>
    <row r="97" spans="1:28" s="427" customFormat="1">
      <c r="B97" s="465"/>
      <c r="C97" s="466"/>
      <c r="D97" s="466"/>
      <c r="E97" s="467"/>
      <c r="F97" s="467"/>
      <c r="G97" s="467"/>
      <c r="H97" s="467"/>
      <c r="I97" s="468"/>
      <c r="J97" s="467"/>
      <c r="K97" s="467"/>
      <c r="L97" s="467"/>
      <c r="M97" s="467"/>
      <c r="N97" s="468"/>
      <c r="O97" s="467"/>
      <c r="P97" s="467"/>
      <c r="Q97" s="467"/>
      <c r="R97" s="467"/>
      <c r="S97" s="468"/>
      <c r="T97" s="468"/>
      <c r="U97" s="468"/>
      <c r="V97" s="468"/>
      <c r="W97" s="468"/>
      <c r="X97" s="468"/>
      <c r="Y97" s="468"/>
      <c r="Z97" s="468"/>
      <c r="AA97" s="468"/>
      <c r="AB97" s="468"/>
    </row>
    <row r="98" spans="1:28">
      <c r="B98" s="461" t="s">
        <v>416</v>
      </c>
      <c r="C98" s="462"/>
      <c r="D98" s="463"/>
      <c r="E98" s="464"/>
      <c r="F98" s="464"/>
      <c r="G98" s="464"/>
      <c r="H98" s="464"/>
      <c r="I98" s="463"/>
      <c r="J98" s="464"/>
      <c r="K98" s="464"/>
      <c r="L98" s="464"/>
      <c r="M98" s="464"/>
      <c r="N98" s="463"/>
      <c r="O98" s="464"/>
      <c r="P98" s="464"/>
      <c r="Q98" s="464"/>
      <c r="R98" s="464"/>
      <c r="S98" s="463"/>
      <c r="T98" s="463">
        <f t="shared" ref="T98:AB98" si="105">T96*(1-T95)*T92*T85/1000</f>
        <v>0</v>
      </c>
      <c r="U98" s="463">
        <f t="shared" si="105"/>
        <v>0</v>
      </c>
      <c r="V98" s="463">
        <f t="shared" si="105"/>
        <v>12.900745722667398</v>
      </c>
      <c r="W98" s="463">
        <f t="shared" si="105"/>
        <v>43.040757954535252</v>
      </c>
      <c r="X98" s="463">
        <f t="shared" si="105"/>
        <v>64.618596343672138</v>
      </c>
      <c r="Y98" s="463">
        <f t="shared" si="105"/>
        <v>86.23480919255735</v>
      </c>
      <c r="Z98" s="463">
        <f t="shared" si="105"/>
        <v>107.88944771592341</v>
      </c>
      <c r="AA98" s="463">
        <f t="shared" si="105"/>
        <v>140.38111012170776</v>
      </c>
      <c r="AB98" s="463">
        <f t="shared" si="105"/>
        <v>165.06691203496578</v>
      </c>
    </row>
    <row r="99" spans="1:28" s="427" customFormat="1">
      <c r="B99" s="465" t="s">
        <v>316</v>
      </c>
      <c r="C99" s="466"/>
      <c r="D99" s="466"/>
      <c r="E99" s="467"/>
      <c r="F99" s="467"/>
      <c r="G99" s="467"/>
      <c r="H99" s="467"/>
      <c r="I99" s="468"/>
      <c r="J99" s="467"/>
      <c r="K99" s="467"/>
      <c r="L99" s="467"/>
      <c r="M99" s="467"/>
      <c r="N99" s="468"/>
      <c r="O99" s="467"/>
      <c r="P99" s="467"/>
      <c r="Q99" s="467"/>
      <c r="R99" s="467"/>
      <c r="S99" s="468"/>
      <c r="T99" s="468"/>
      <c r="U99" s="468"/>
      <c r="V99" s="468"/>
      <c r="W99" s="468">
        <f t="shared" ref="W99" si="106">W98/V98-1</f>
        <v>2.3363000000000009</v>
      </c>
      <c r="X99" s="468">
        <f t="shared" ref="X99" si="107">X98/W98-1</f>
        <v>0.50133499999999898</v>
      </c>
      <c r="Y99" s="468">
        <f t="shared" ref="Y99" si="108">Y98/X98-1</f>
        <v>0.33452000000000015</v>
      </c>
      <c r="Z99" s="468">
        <f t="shared" ref="Z99" si="109">Z98/Y98-1</f>
        <v>0.25111250000000007</v>
      </c>
      <c r="AA99" s="468">
        <f t="shared" ref="AA99" si="110">AA98/Z98-1</f>
        <v>0.30115700000000012</v>
      </c>
      <c r="AB99" s="468">
        <f t="shared" ref="AB99" si="111">AB98/AA98-1</f>
        <v>0.17584845918269121</v>
      </c>
    </row>
    <row r="100" spans="1:28" s="427" customFormat="1">
      <c r="B100" s="465"/>
      <c r="C100" s="466"/>
      <c r="D100" s="466"/>
      <c r="E100" s="467"/>
      <c r="F100" s="467"/>
      <c r="G100" s="467"/>
      <c r="H100" s="467"/>
      <c r="I100" s="468"/>
      <c r="J100" s="467"/>
      <c r="K100" s="467"/>
      <c r="L100" s="467"/>
      <c r="M100" s="467"/>
      <c r="N100" s="468"/>
      <c r="O100" s="467"/>
      <c r="P100" s="467"/>
      <c r="Q100" s="467"/>
      <c r="R100" s="467"/>
      <c r="S100" s="468"/>
      <c r="T100" s="468"/>
      <c r="U100" s="468"/>
      <c r="V100" s="468"/>
      <c r="W100" s="468"/>
      <c r="X100" s="468"/>
      <c r="Y100" s="468"/>
      <c r="Z100" s="468"/>
      <c r="AA100" s="468"/>
      <c r="AB100" s="468"/>
    </row>
    <row r="101" spans="1:28">
      <c r="B101" s="423" t="s">
        <v>336</v>
      </c>
      <c r="C101" s="424"/>
      <c r="D101" s="424"/>
      <c r="E101" s="425"/>
      <c r="F101" s="425"/>
      <c r="G101" s="425"/>
      <c r="H101" s="425"/>
      <c r="I101" s="426"/>
      <c r="J101" s="425"/>
      <c r="K101" s="425"/>
      <c r="L101" s="425"/>
      <c r="M101" s="425"/>
      <c r="N101" s="426"/>
      <c r="O101" s="425"/>
      <c r="P101" s="425"/>
      <c r="Q101" s="425"/>
      <c r="R101" s="425"/>
      <c r="S101" s="426"/>
      <c r="T101" s="426"/>
      <c r="U101" s="426"/>
      <c r="V101" s="426"/>
      <c r="W101" s="426"/>
      <c r="X101" s="426"/>
      <c r="Y101" s="426"/>
      <c r="Z101" s="426"/>
      <c r="AA101" s="426"/>
      <c r="AB101" s="426"/>
    </row>
    <row r="102" spans="1:28" s="427" customFormat="1" hidden="1" outlineLevel="1">
      <c r="A102" s="427" t="s">
        <v>319</v>
      </c>
      <c r="B102" s="534" t="s">
        <v>64</v>
      </c>
      <c r="C102" s="535"/>
      <c r="D102" s="536"/>
      <c r="E102" s="536">
        <f>E103*2</f>
        <v>0</v>
      </c>
      <c r="F102" s="536">
        <f>F103*2</f>
        <v>0</v>
      </c>
      <c r="G102" s="536">
        <f>G103*2</f>
        <v>0</v>
      </c>
      <c r="H102" s="536">
        <v>0</v>
      </c>
      <c r="I102" s="537">
        <f>(H102+G102+F102+E102)/4</f>
        <v>0</v>
      </c>
      <c r="J102" s="536">
        <f>J103</f>
        <v>0.03</v>
      </c>
      <c r="K102" s="536">
        <f>K103</f>
        <v>0.104</v>
      </c>
      <c r="L102" s="536">
        <f>L103</f>
        <v>0.13</v>
      </c>
      <c r="M102" s="536">
        <v>0.5</v>
      </c>
      <c r="N102" s="537">
        <f>(M102+L102+K102+J102)/4</f>
        <v>0.191</v>
      </c>
      <c r="O102" s="536">
        <v>0.55000000000000004</v>
      </c>
      <c r="P102" s="536">
        <v>0.55000000000000004</v>
      </c>
      <c r="Q102" s="536">
        <v>0.55000000000000004</v>
      </c>
      <c r="R102" s="536">
        <v>0.55000000000000004</v>
      </c>
      <c r="S102" s="537">
        <f>(R102+Q102+P102+O102)/4</f>
        <v>0.55000000000000004</v>
      </c>
      <c r="T102" s="536">
        <f>S102</f>
        <v>0.55000000000000004</v>
      </c>
      <c r="U102" s="536">
        <f t="shared" ref="U102:AB102" si="112">T102</f>
        <v>0.55000000000000004</v>
      </c>
      <c r="V102" s="536">
        <f t="shared" si="112"/>
        <v>0.55000000000000004</v>
      </c>
      <c r="W102" s="536">
        <f t="shared" si="112"/>
        <v>0.55000000000000004</v>
      </c>
      <c r="X102" s="536">
        <f t="shared" si="112"/>
        <v>0.55000000000000004</v>
      </c>
      <c r="Y102" s="536">
        <f t="shared" si="112"/>
        <v>0.55000000000000004</v>
      </c>
      <c r="Z102" s="536">
        <f t="shared" si="112"/>
        <v>0.55000000000000004</v>
      </c>
      <c r="AA102" s="536">
        <f t="shared" si="112"/>
        <v>0.55000000000000004</v>
      </c>
      <c r="AB102" s="536">
        <f t="shared" si="112"/>
        <v>0.55000000000000004</v>
      </c>
    </row>
    <row r="103" spans="1:28" s="427" customFormat="1" hidden="1" outlineLevel="1">
      <c r="B103" s="534" t="s">
        <v>65</v>
      </c>
      <c r="C103" s="535"/>
      <c r="D103" s="536"/>
      <c r="E103" s="536">
        <v>0</v>
      </c>
      <c r="F103" s="536">
        <v>0</v>
      </c>
      <c r="G103" s="536">
        <v>0</v>
      </c>
      <c r="H103" s="536">
        <v>0</v>
      </c>
      <c r="I103" s="537">
        <f t="shared" ref="I103:I104" si="113">(H103+G103+F103+E103)/4</f>
        <v>0</v>
      </c>
      <c r="J103" s="536">
        <v>0.03</v>
      </c>
      <c r="K103" s="536">
        <v>0.104</v>
      </c>
      <c r="L103" s="536">
        <v>0.13</v>
      </c>
      <c r="M103" s="536">
        <v>0.17</v>
      </c>
      <c r="N103" s="537">
        <f t="shared" ref="N103:N105" si="114">(M103+L103+K103+J103)/4</f>
        <v>0.10850000000000001</v>
      </c>
      <c r="O103" s="536">
        <f>M103+2.5%-J103*0.05</f>
        <v>0.19350000000000001</v>
      </c>
      <c r="P103" s="536">
        <f>O103+2.5%-K103*0.075</f>
        <v>0.2107</v>
      </c>
      <c r="Q103" s="536">
        <v>0.22500000000000001</v>
      </c>
      <c r="R103" s="536">
        <v>0.23499999999999999</v>
      </c>
      <c r="S103" s="537">
        <f t="shared" ref="S103:S105" si="115">(R103+Q103+P103+O103)/4</f>
        <v>0.21604999999999999</v>
      </c>
      <c r="T103" s="536">
        <f>R103+2.5%</f>
        <v>0.26</v>
      </c>
      <c r="U103" s="536">
        <f t="shared" ref="U103:W103" si="116">T103*0.95</f>
        <v>0.247</v>
      </c>
      <c r="V103" s="536">
        <f t="shared" si="116"/>
        <v>0.23465</v>
      </c>
      <c r="W103" s="536">
        <f t="shared" si="116"/>
        <v>0.22291749999999999</v>
      </c>
      <c r="X103" s="536">
        <f>W103</f>
        <v>0.22291749999999999</v>
      </c>
      <c r="Y103" s="536">
        <f>X103</f>
        <v>0.22291749999999999</v>
      </c>
      <c r="Z103" s="536">
        <f>Y103</f>
        <v>0.22291749999999999</v>
      </c>
      <c r="AA103" s="536">
        <f>Z103</f>
        <v>0.22291749999999999</v>
      </c>
      <c r="AB103" s="536">
        <f>AA103</f>
        <v>0.22291749999999999</v>
      </c>
    </row>
    <row r="104" spans="1:28" s="427" customFormat="1" hidden="1" outlineLevel="1">
      <c r="B104" s="534" t="s">
        <v>66</v>
      </c>
      <c r="C104" s="535"/>
      <c r="D104" s="536"/>
      <c r="E104" s="536">
        <f>E103*0.5</f>
        <v>0</v>
      </c>
      <c r="F104" s="536">
        <f>F103*0.5</f>
        <v>0</v>
      </c>
      <c r="G104" s="536">
        <f>G103*0.5</f>
        <v>0</v>
      </c>
      <c r="H104" s="536">
        <v>0</v>
      </c>
      <c r="I104" s="537">
        <f t="shared" si="113"/>
        <v>0</v>
      </c>
      <c r="J104" s="536">
        <f>J103</f>
        <v>0.03</v>
      </c>
      <c r="K104" s="536">
        <f>K103</f>
        <v>0.104</v>
      </c>
      <c r="L104" s="536">
        <f>L103</f>
        <v>0.13</v>
      </c>
      <c r="M104" s="536">
        <v>0.12</v>
      </c>
      <c r="N104" s="537">
        <f t="shared" si="114"/>
        <v>9.6000000000000002E-2</v>
      </c>
      <c r="O104" s="536">
        <v>0.15</v>
      </c>
      <c r="P104" s="536">
        <v>0.16</v>
      </c>
      <c r="Q104" s="536">
        <v>0.17</v>
      </c>
      <c r="R104" s="536">
        <v>0.18</v>
      </c>
      <c r="S104" s="537">
        <f t="shared" si="115"/>
        <v>0.16500000000000001</v>
      </c>
      <c r="T104" s="536">
        <v>0.19</v>
      </c>
      <c r="U104" s="536">
        <v>0.2</v>
      </c>
      <c r="V104" s="536">
        <f t="shared" ref="V104:AB104" si="117">U104*0.99</f>
        <v>0.19800000000000001</v>
      </c>
      <c r="W104" s="536">
        <f t="shared" si="117"/>
        <v>0.19602</v>
      </c>
      <c r="X104" s="536">
        <f t="shared" si="117"/>
        <v>0.1940598</v>
      </c>
      <c r="Y104" s="536">
        <f t="shared" si="117"/>
        <v>0.19211920199999999</v>
      </c>
      <c r="Z104" s="536">
        <f t="shared" si="117"/>
        <v>0.19019800998</v>
      </c>
      <c r="AA104" s="536">
        <f t="shared" si="117"/>
        <v>0.1882960298802</v>
      </c>
      <c r="AB104" s="536">
        <f t="shared" si="117"/>
        <v>0.186413069581398</v>
      </c>
    </row>
    <row r="105" spans="1:28" s="427" customFormat="1" collapsed="1">
      <c r="A105" s="428" t="s">
        <v>313</v>
      </c>
      <c r="B105" s="538" t="s">
        <v>373</v>
      </c>
      <c r="C105" s="539"/>
      <c r="D105" s="540"/>
      <c r="E105" s="541">
        <f>CHOOSE($N$2,E102,E103,E104)</f>
        <v>0</v>
      </c>
      <c r="F105" s="541">
        <f>CHOOSE($N$2,F102,F103,F104)</f>
        <v>0</v>
      </c>
      <c r="G105" s="541">
        <f>CHOOSE($N$2,G102,G103,G104)</f>
        <v>0</v>
      </c>
      <c r="H105" s="541">
        <f>CHOOSE($N$2,H102,H103,H104)</f>
        <v>0</v>
      </c>
      <c r="I105" s="540">
        <f>(I109/1000)/I23</f>
        <v>0</v>
      </c>
      <c r="J105" s="541">
        <f>CHOOSE($N$2,J102,J103,J104)</f>
        <v>0.03</v>
      </c>
      <c r="K105" s="541">
        <f>CHOOSE($N$2,K102,K103,K104)</f>
        <v>0.104</v>
      </c>
      <c r="L105" s="541">
        <f>CHOOSE($N$2,L102,L103,L104)</f>
        <v>0.13</v>
      </c>
      <c r="M105" s="541">
        <f>CHOOSE($N$2,M102,M103,M104)</f>
        <v>0.17</v>
      </c>
      <c r="N105" s="540">
        <f t="shared" si="114"/>
        <v>0.10850000000000001</v>
      </c>
      <c r="O105" s="541">
        <f>CHOOSE($N$2,O102,O103,O104)</f>
        <v>0.19350000000000001</v>
      </c>
      <c r="P105" s="541">
        <f>CHOOSE($N$2,P102,P103,P104)</f>
        <v>0.2107</v>
      </c>
      <c r="Q105" s="541">
        <f>CHOOSE($N$2,Q102,Q103,Q104)</f>
        <v>0.22500000000000001</v>
      </c>
      <c r="R105" s="541">
        <f>CHOOSE($N$2,R102,R103,R104)</f>
        <v>0.23499999999999999</v>
      </c>
      <c r="S105" s="540">
        <f t="shared" si="115"/>
        <v>0.21604999999999999</v>
      </c>
      <c r="T105" s="540">
        <f t="shared" ref="T105:AB105" si="118">CHOOSE($N$2,T102,T103,T104)</f>
        <v>0.26</v>
      </c>
      <c r="U105" s="540">
        <f t="shared" si="118"/>
        <v>0.247</v>
      </c>
      <c r="V105" s="540">
        <f t="shared" si="118"/>
        <v>0.23465</v>
      </c>
      <c r="W105" s="540">
        <f t="shared" si="118"/>
        <v>0.22291749999999999</v>
      </c>
      <c r="X105" s="540">
        <f t="shared" si="118"/>
        <v>0.22291749999999999</v>
      </c>
      <c r="Y105" s="540">
        <f t="shared" si="118"/>
        <v>0.22291749999999999</v>
      </c>
      <c r="Z105" s="540">
        <f t="shared" si="118"/>
        <v>0.22291749999999999</v>
      </c>
      <c r="AA105" s="540">
        <f t="shared" si="118"/>
        <v>0.22291749999999999</v>
      </c>
      <c r="AB105" s="540">
        <f t="shared" si="118"/>
        <v>0.22291749999999999</v>
      </c>
    </row>
    <row r="106" spans="1:28">
      <c r="B106" s="405"/>
      <c r="C106" s="395"/>
      <c r="D106" s="395"/>
      <c r="E106" s="429"/>
      <c r="F106" s="429"/>
      <c r="G106" s="429"/>
      <c r="H106" s="429"/>
      <c r="I106" s="418"/>
      <c r="J106" s="429"/>
      <c r="K106" s="429"/>
      <c r="L106" s="429"/>
      <c r="M106" s="429"/>
      <c r="N106" s="418"/>
      <c r="O106" s="429"/>
      <c r="P106" s="429"/>
      <c r="Q106" s="429"/>
      <c r="R106" s="429"/>
      <c r="S106" s="418"/>
      <c r="T106" s="418"/>
      <c r="U106" s="418"/>
      <c r="V106" s="418"/>
      <c r="W106" s="418"/>
      <c r="X106" s="418"/>
      <c r="Y106" s="418"/>
      <c r="Z106" s="418"/>
      <c r="AA106" s="418"/>
      <c r="AB106" s="418"/>
    </row>
    <row r="107" spans="1:28" hidden="1" outlineLevel="1">
      <c r="B107" s="405" t="s">
        <v>365</v>
      </c>
      <c r="C107" s="395"/>
      <c r="D107" s="395"/>
      <c r="E107" s="429"/>
      <c r="F107" s="429"/>
      <c r="G107" s="429"/>
      <c r="H107" s="430">
        <f>H109</f>
        <v>0</v>
      </c>
      <c r="I107" s="431">
        <f>(H107+G107+F107+E107)/4</f>
        <v>0</v>
      </c>
      <c r="J107" s="430">
        <f>J109-J108</f>
        <v>20.458290178346363</v>
      </c>
      <c r="K107" s="430">
        <f>K109-K108</f>
        <v>50.619128970487537</v>
      </c>
      <c r="L107" s="430">
        <f>L109-L108</f>
        <v>18.012681978506919</v>
      </c>
      <c r="M107" s="430">
        <f>M109-M108</f>
        <v>27.667523818923527</v>
      </c>
      <c r="N107" s="431">
        <f>(M107+L107+K107+J107)/4</f>
        <v>29.189406236566086</v>
      </c>
      <c r="O107" s="430">
        <f>O109-O108</f>
        <v>16.649862392223383</v>
      </c>
      <c r="P107" s="430">
        <f>P109-P108</f>
        <v>12.176631402094586</v>
      </c>
      <c r="Q107" s="430">
        <f>Q109-Q108</f>
        <v>10.306425520508867</v>
      </c>
      <c r="R107" s="430">
        <f>R109-R108</f>
        <v>7.2851046968982871</v>
      </c>
      <c r="S107" s="431">
        <f>(R107+Q107+P107+O107)/4</f>
        <v>11.604506002931281</v>
      </c>
      <c r="T107" s="418"/>
      <c r="U107" s="418"/>
      <c r="V107" s="418"/>
      <c r="W107" s="418"/>
      <c r="X107" s="418"/>
      <c r="Y107" s="418"/>
      <c r="Z107" s="418"/>
      <c r="AA107" s="418"/>
      <c r="AB107" s="418"/>
    </row>
    <row r="108" spans="1:28" hidden="1" outlineLevel="1">
      <c r="B108" s="405" t="s">
        <v>364</v>
      </c>
      <c r="C108" s="395"/>
      <c r="D108" s="395"/>
      <c r="E108" s="429"/>
      <c r="F108" s="429"/>
      <c r="G108" s="429"/>
      <c r="H108" s="430">
        <f>H109-H107</f>
        <v>0</v>
      </c>
      <c r="I108" s="431">
        <f>(H108+G108+F108+E108)/4</f>
        <v>0</v>
      </c>
      <c r="J108" s="430">
        <f>H107</f>
        <v>0</v>
      </c>
      <c r="K108" s="430">
        <f>J108+J107</f>
        <v>20.458290178346363</v>
      </c>
      <c r="L108" s="430">
        <f>K108+K107</f>
        <v>71.077419148833897</v>
      </c>
      <c r="M108" s="430">
        <f>L108+L107</f>
        <v>89.090101127340816</v>
      </c>
      <c r="N108" s="431">
        <f>(M108+L108+K108+J108)/4</f>
        <v>45.156452613630272</v>
      </c>
      <c r="O108" s="430">
        <f>M108+M107</f>
        <v>116.75762494626434</v>
      </c>
      <c r="P108" s="430">
        <f>O108+O107</f>
        <v>133.40748733848773</v>
      </c>
      <c r="Q108" s="430">
        <f>P108+P107</f>
        <v>145.58411874058231</v>
      </c>
      <c r="R108" s="430">
        <f>Q108+Q107</f>
        <v>155.89054426109118</v>
      </c>
      <c r="S108" s="431">
        <f>(R108+Q108+P108+O108)/4</f>
        <v>137.90994382160639</v>
      </c>
      <c r="T108" s="418"/>
      <c r="U108" s="418"/>
      <c r="V108" s="418"/>
      <c r="W108" s="418"/>
      <c r="X108" s="418"/>
      <c r="Y108" s="418"/>
      <c r="Z108" s="418"/>
      <c r="AA108" s="418"/>
      <c r="AB108" s="418"/>
    </row>
    <row r="109" spans="1:28" collapsed="1">
      <c r="B109" s="405" t="s">
        <v>366</v>
      </c>
      <c r="C109" s="395"/>
      <c r="D109" s="395"/>
      <c r="E109" s="429"/>
      <c r="F109" s="429"/>
      <c r="G109" s="429"/>
      <c r="H109" s="430">
        <f>H23*H105*1000</f>
        <v>0</v>
      </c>
      <c r="I109" s="431">
        <f>(H109+G109+F109+E109)/4</f>
        <v>0</v>
      </c>
      <c r="J109" s="430">
        <f>J23*J105*1000</f>
        <v>20.458290178346363</v>
      </c>
      <c r="K109" s="430">
        <f>K23*K105*1000</f>
        <v>71.077419148833897</v>
      </c>
      <c r="L109" s="430">
        <f>L23*L105*1000</f>
        <v>89.090101127340816</v>
      </c>
      <c r="M109" s="430">
        <f>M23*M105*1000</f>
        <v>116.75762494626434</v>
      </c>
      <c r="N109" s="431">
        <f>(M109+L109+K109+J109)/4</f>
        <v>74.34585885019635</v>
      </c>
      <c r="O109" s="430">
        <f>O23*O105*1000</f>
        <v>133.40748733848773</v>
      </c>
      <c r="P109" s="430">
        <f>P23*P105*1000</f>
        <v>145.58411874058231</v>
      </c>
      <c r="Q109" s="430">
        <f>Q23*Q105*1000</f>
        <v>155.89054426109118</v>
      </c>
      <c r="R109" s="430">
        <f>R23*R105*1000</f>
        <v>163.17564895798947</v>
      </c>
      <c r="S109" s="431">
        <f>(R109+Q109+P109+O109)/4</f>
        <v>149.51444982453768</v>
      </c>
      <c r="T109" s="530">
        <f t="shared" ref="T109:AB109" si="119">T23*T105*1000</f>
        <v>181.87284662227114</v>
      </c>
      <c r="U109" s="530">
        <f t="shared" si="119"/>
        <v>174.67977553836027</v>
      </c>
      <c r="V109" s="530">
        <f t="shared" si="119"/>
        <v>167.77119041581813</v>
      </c>
      <c r="W109" s="530">
        <f t="shared" si="119"/>
        <v>161.13583983487254</v>
      </c>
      <c r="X109" s="530">
        <f t="shared" si="119"/>
        <v>162.90833407305607</v>
      </c>
      <c r="Y109" s="530">
        <f t="shared" si="119"/>
        <v>164.70032574785969</v>
      </c>
      <c r="Z109" s="530">
        <f t="shared" si="119"/>
        <v>166.51202933108613</v>
      </c>
      <c r="AA109" s="530">
        <f t="shared" si="119"/>
        <v>168.34366165372808</v>
      </c>
      <c r="AB109" s="530">
        <f t="shared" si="119"/>
        <v>170.19544193191905</v>
      </c>
    </row>
    <row r="110" spans="1:28">
      <c r="B110" s="405"/>
      <c r="C110" s="395"/>
      <c r="D110" s="395"/>
      <c r="E110" s="429"/>
      <c r="F110" s="429"/>
      <c r="G110" s="429"/>
      <c r="H110" s="429"/>
      <c r="I110" s="418"/>
      <c r="J110" s="429"/>
      <c r="K110" s="429"/>
      <c r="L110" s="429"/>
      <c r="M110" s="429"/>
      <c r="N110" s="418"/>
      <c r="O110" s="429"/>
      <c r="P110" s="429"/>
      <c r="Q110" s="429"/>
      <c r="R110" s="429"/>
      <c r="S110" s="418"/>
      <c r="T110" s="418"/>
      <c r="U110" s="418"/>
      <c r="V110" s="418"/>
      <c r="W110" s="418"/>
      <c r="X110" s="418"/>
      <c r="Y110" s="418"/>
      <c r="Z110" s="418"/>
      <c r="AA110" s="418"/>
      <c r="AB110" s="418"/>
    </row>
    <row r="111" spans="1:28">
      <c r="B111" s="405" t="s">
        <v>334</v>
      </c>
      <c r="C111" s="395"/>
      <c r="D111" s="469"/>
      <c r="E111" s="433"/>
      <c r="F111" s="433"/>
      <c r="G111" s="433"/>
      <c r="H111" s="433">
        <v>58.7</v>
      </c>
      <c r="I111" s="434">
        <f>H111</f>
        <v>58.7</v>
      </c>
      <c r="J111" s="433">
        <f>N111</f>
        <v>58.113</v>
      </c>
      <c r="K111" s="433">
        <f>N111</f>
        <v>58.113</v>
      </c>
      <c r="L111" s="433">
        <f>N111</f>
        <v>58.113</v>
      </c>
      <c r="M111" s="433">
        <f>N111</f>
        <v>58.113</v>
      </c>
      <c r="N111" s="436">
        <f>I111*0.99</f>
        <v>58.113</v>
      </c>
      <c r="O111" s="433">
        <f>S111</f>
        <v>57.531869999999998</v>
      </c>
      <c r="P111" s="433">
        <f>S111</f>
        <v>57.531869999999998</v>
      </c>
      <c r="Q111" s="433">
        <f>S111</f>
        <v>57.531869999999998</v>
      </c>
      <c r="R111" s="433">
        <f>S111</f>
        <v>57.531869999999998</v>
      </c>
      <c r="S111" s="436">
        <f t="shared" ref="S111:AB111" si="120">N111*0.99</f>
        <v>57.531869999999998</v>
      </c>
      <c r="T111" s="436">
        <f>O111*0.99</f>
        <v>56.956551299999994</v>
      </c>
      <c r="U111" s="436">
        <f>P111*0.99</f>
        <v>56.956551299999994</v>
      </c>
      <c r="V111" s="436">
        <f>Q111*0.99</f>
        <v>56.956551299999994</v>
      </c>
      <c r="W111" s="436">
        <f>R111*0.99</f>
        <v>56.956551299999994</v>
      </c>
      <c r="X111" s="436">
        <f>S111*0.99</f>
        <v>56.956551299999994</v>
      </c>
      <c r="Y111" s="436">
        <f t="shared" si="120"/>
        <v>56.386985786999993</v>
      </c>
      <c r="Z111" s="436">
        <f t="shared" si="120"/>
        <v>56.386985786999993</v>
      </c>
      <c r="AA111" s="436">
        <f t="shared" si="120"/>
        <v>56.386985786999993</v>
      </c>
      <c r="AB111" s="436">
        <f t="shared" si="120"/>
        <v>56.386985786999993</v>
      </c>
    </row>
    <row r="112" spans="1:28">
      <c r="B112" s="405"/>
      <c r="C112" s="395"/>
      <c r="D112" s="437"/>
      <c r="E112" s="429"/>
      <c r="F112" s="429"/>
      <c r="G112" s="429"/>
      <c r="H112" s="429"/>
      <c r="I112" s="418"/>
      <c r="J112" s="429"/>
      <c r="K112" s="429"/>
      <c r="L112" s="429"/>
      <c r="M112" s="429"/>
      <c r="N112" s="418"/>
      <c r="O112" s="429"/>
      <c r="P112" s="429"/>
      <c r="Q112" s="429"/>
      <c r="R112" s="429"/>
      <c r="S112" s="418"/>
      <c r="T112" s="418"/>
      <c r="U112" s="418"/>
      <c r="V112" s="418"/>
      <c r="W112" s="418"/>
      <c r="X112" s="418"/>
      <c r="Y112" s="418"/>
      <c r="Z112" s="418"/>
      <c r="AA112" s="418"/>
      <c r="AB112" s="418"/>
    </row>
    <row r="113" spans="1:28">
      <c r="B113" s="405" t="s">
        <v>322</v>
      </c>
      <c r="C113" s="395"/>
      <c r="D113" s="437">
        <f>D41</f>
        <v>0</v>
      </c>
      <c r="E113" s="430"/>
      <c r="F113" s="430"/>
      <c r="G113" s="430"/>
      <c r="H113" s="430">
        <f>H41</f>
        <v>494.38202247191009</v>
      </c>
      <c r="I113" s="439">
        <f t="shared" ref="I113" si="121">I41</f>
        <v>494.38202247191009</v>
      </c>
      <c r="J113" s="430">
        <f>N113</f>
        <v>494.38202247191009</v>
      </c>
      <c r="K113" s="430">
        <f>N113</f>
        <v>494.38202247191009</v>
      </c>
      <c r="L113" s="430">
        <f>N113</f>
        <v>494.38202247191009</v>
      </c>
      <c r="M113" s="430">
        <f>N113</f>
        <v>494.38202247191009</v>
      </c>
      <c r="N113" s="439">
        <f t="shared" ref="N113:AA113" si="122">N41</f>
        <v>494.38202247191009</v>
      </c>
      <c r="O113" s="439">
        <f t="shared" si="122"/>
        <v>494.38202247191009</v>
      </c>
      <c r="P113" s="439">
        <f t="shared" si="122"/>
        <v>494.38202247191009</v>
      </c>
      <c r="Q113" s="439">
        <f t="shared" si="122"/>
        <v>494.38202247191009</v>
      </c>
      <c r="R113" s="439">
        <f t="shared" si="122"/>
        <v>494.38202247191009</v>
      </c>
      <c r="S113" s="439">
        <f t="shared" si="122"/>
        <v>494.38202247191009</v>
      </c>
      <c r="T113" s="439">
        <f t="shared" si="122"/>
        <v>494.38202247191009</v>
      </c>
      <c r="U113" s="439">
        <f t="shared" si="122"/>
        <v>494.38202247191009</v>
      </c>
      <c r="V113" s="439">
        <f t="shared" si="122"/>
        <v>494.38202247191009</v>
      </c>
      <c r="W113" s="439">
        <f t="shared" si="122"/>
        <v>494.38202247191009</v>
      </c>
      <c r="X113" s="439">
        <f t="shared" si="122"/>
        <v>494.38202247191009</v>
      </c>
      <c r="Y113" s="439">
        <f t="shared" si="122"/>
        <v>494.38202247191009</v>
      </c>
      <c r="Z113" s="439">
        <f t="shared" si="122"/>
        <v>494.38202247191009</v>
      </c>
      <c r="AA113" s="439">
        <f t="shared" si="122"/>
        <v>494.38202247191009</v>
      </c>
      <c r="AB113" s="439">
        <f>AB41</f>
        <v>494.38202247191009</v>
      </c>
    </row>
    <row r="114" spans="1:28" s="414" customFormat="1">
      <c r="B114" s="409" t="s">
        <v>312</v>
      </c>
      <c r="C114" s="410"/>
      <c r="D114" s="440"/>
      <c r="E114" s="441"/>
      <c r="F114" s="441"/>
      <c r="G114" s="441"/>
      <c r="H114" s="441"/>
      <c r="I114" s="413"/>
      <c r="J114" s="441"/>
      <c r="K114" s="441"/>
      <c r="L114" s="441"/>
      <c r="M114" s="441"/>
      <c r="N114" s="413">
        <f t="shared" ref="N114" si="123">N113/M113-1</f>
        <v>0</v>
      </c>
      <c r="O114" s="413">
        <f t="shared" ref="O114" si="124">O113/N113-1</f>
        <v>0</v>
      </c>
      <c r="P114" s="413">
        <f t="shared" ref="P114" si="125">P113/O113-1</f>
        <v>0</v>
      </c>
      <c r="Q114" s="413">
        <f t="shared" ref="Q114" si="126">Q113/P113-1</f>
        <v>0</v>
      </c>
      <c r="R114" s="413">
        <f t="shared" ref="R114" si="127">R113/Q113-1</f>
        <v>0</v>
      </c>
      <c r="S114" s="413">
        <f t="shared" ref="S114" si="128">S113/R113-1</f>
        <v>0</v>
      </c>
      <c r="T114" s="413">
        <f t="shared" ref="T114" si="129">T113/S113-1</f>
        <v>0</v>
      </c>
      <c r="U114" s="413">
        <f t="shared" ref="U114" si="130">U113/T113-1</f>
        <v>0</v>
      </c>
      <c r="V114" s="413">
        <f t="shared" ref="V114" si="131">V113/U113-1</f>
        <v>0</v>
      </c>
      <c r="W114" s="413">
        <f t="shared" ref="W114" si="132">W113/V113-1</f>
        <v>0</v>
      </c>
      <c r="X114" s="413">
        <f t="shared" ref="X114" si="133">X113/W113-1</f>
        <v>0</v>
      </c>
      <c r="Y114" s="413">
        <f t="shared" ref="Y114" si="134">Y113/X113-1</f>
        <v>0</v>
      </c>
      <c r="Z114" s="413">
        <f t="shared" ref="Z114" si="135">Z113/Y113-1</f>
        <v>0</v>
      </c>
      <c r="AA114" s="413">
        <f t="shared" ref="AA114" si="136">AA113/Z113-1</f>
        <v>0</v>
      </c>
      <c r="AB114" s="413">
        <f t="shared" ref="AB114" si="137">AB113/AA113-1</f>
        <v>0</v>
      </c>
    </row>
    <row r="115" spans="1:28">
      <c r="B115" s="405"/>
      <c r="C115" s="395"/>
      <c r="D115" s="395"/>
      <c r="E115" s="429"/>
      <c r="F115" s="429"/>
      <c r="G115" s="429"/>
      <c r="H115" s="429"/>
      <c r="I115" s="418"/>
      <c r="J115" s="429"/>
      <c r="K115" s="429"/>
      <c r="L115" s="429"/>
      <c r="M115" s="429"/>
      <c r="N115" s="418"/>
      <c r="O115" s="429"/>
      <c r="P115" s="429"/>
      <c r="Q115" s="429"/>
      <c r="R115" s="429"/>
      <c r="S115" s="418"/>
      <c r="T115" s="418"/>
      <c r="U115" s="418"/>
      <c r="V115" s="418"/>
      <c r="W115" s="418"/>
      <c r="X115" s="418"/>
      <c r="Y115" s="418"/>
      <c r="Z115" s="418"/>
      <c r="AA115" s="418"/>
      <c r="AB115" s="418"/>
    </row>
    <row r="116" spans="1:28">
      <c r="B116" s="405" t="s">
        <v>320</v>
      </c>
      <c r="C116" s="395"/>
      <c r="D116" s="442">
        <f>D111*D113</f>
        <v>0</v>
      </c>
      <c r="E116" s="443"/>
      <c r="F116" s="443"/>
      <c r="G116" s="443"/>
      <c r="H116" s="443">
        <f>H111*H113*13/1000</f>
        <v>377.26292134831459</v>
      </c>
      <c r="I116" s="444"/>
      <c r="J116" s="443">
        <f>J111*J113*13/1000</f>
        <v>373.49029213483141</v>
      </c>
      <c r="K116" s="443">
        <f>K111*K113*13/1000</f>
        <v>373.49029213483141</v>
      </c>
      <c r="L116" s="443">
        <f>L111*L113*13/1000</f>
        <v>373.49029213483141</v>
      </c>
      <c r="M116" s="443">
        <f>M111*M113*13/1000</f>
        <v>373.49029213483141</v>
      </c>
      <c r="N116" s="444">
        <f>N113*N111*52/1000</f>
        <v>1493.9611685393256</v>
      </c>
      <c r="O116" s="443">
        <f>O111*O113*13/1000</f>
        <v>369.75538921348311</v>
      </c>
      <c r="P116" s="443">
        <f>P111*P113*13/1000</f>
        <v>369.75538921348311</v>
      </c>
      <c r="Q116" s="443">
        <f>Q111*Q113*13/1000</f>
        <v>369.75538921348311</v>
      </c>
      <c r="R116" s="443">
        <f>R111*R113*13/1000</f>
        <v>369.75538921348311</v>
      </c>
      <c r="S116" s="444">
        <f t="shared" ref="S116:AB116" si="138">S113*S111*52/1000</f>
        <v>1479.0215568539325</v>
      </c>
      <c r="T116" s="444">
        <f t="shared" si="138"/>
        <v>1464.231341285393</v>
      </c>
      <c r="U116" s="444">
        <f t="shared" si="138"/>
        <v>1464.231341285393</v>
      </c>
      <c r="V116" s="444">
        <f t="shared" si="138"/>
        <v>1464.231341285393</v>
      </c>
      <c r="W116" s="444">
        <f t="shared" si="138"/>
        <v>1464.231341285393</v>
      </c>
      <c r="X116" s="444">
        <f t="shared" si="138"/>
        <v>1464.231341285393</v>
      </c>
      <c r="Y116" s="444">
        <f t="shared" si="138"/>
        <v>1449.5890278725392</v>
      </c>
      <c r="Z116" s="444">
        <f t="shared" si="138"/>
        <v>1449.5890278725392</v>
      </c>
      <c r="AA116" s="444">
        <f t="shared" si="138"/>
        <v>1449.5890278725392</v>
      </c>
      <c r="AB116" s="444">
        <f t="shared" si="138"/>
        <v>1449.5890278725392</v>
      </c>
    </row>
    <row r="117" spans="1:28">
      <c r="B117" s="405"/>
      <c r="C117" s="395"/>
      <c r="D117" s="445"/>
      <c r="E117" s="446"/>
      <c r="F117" s="446"/>
      <c r="G117" s="446"/>
      <c r="H117" s="446"/>
      <c r="I117" s="418"/>
      <c r="J117" s="446"/>
      <c r="K117" s="446"/>
      <c r="L117" s="446"/>
      <c r="M117" s="446"/>
      <c r="N117" s="418"/>
      <c r="O117" s="446"/>
      <c r="P117" s="446"/>
      <c r="Q117" s="446"/>
      <c r="R117" s="446"/>
      <c r="S117" s="418"/>
      <c r="T117" s="418"/>
      <c r="U117" s="418"/>
      <c r="V117" s="418"/>
      <c r="W117" s="418"/>
      <c r="X117" s="418"/>
      <c r="Y117" s="418"/>
      <c r="Z117" s="418"/>
      <c r="AA117" s="418"/>
      <c r="AB117" s="418"/>
    </row>
    <row r="118" spans="1:28">
      <c r="B118" s="405" t="s">
        <v>367</v>
      </c>
      <c r="C118" s="395"/>
      <c r="D118" s="445"/>
      <c r="E118" s="446"/>
      <c r="F118" s="446"/>
      <c r="G118" s="446"/>
      <c r="H118" s="533">
        <f>H46</f>
        <v>0.5</v>
      </c>
      <c r="I118" s="449">
        <f>H118</f>
        <v>0.5</v>
      </c>
      <c r="J118" s="533">
        <f>J46</f>
        <v>0.5</v>
      </c>
      <c r="K118" s="533">
        <f>K46</f>
        <v>0.5</v>
      </c>
      <c r="L118" s="533">
        <f>L46</f>
        <v>0.5</v>
      </c>
      <c r="M118" s="533">
        <f>M46</f>
        <v>0.5</v>
      </c>
      <c r="N118" s="449">
        <f>(J118+K118+L118+M118)/4</f>
        <v>0.5</v>
      </c>
      <c r="O118" s="533">
        <f>O46</f>
        <v>0.5</v>
      </c>
      <c r="P118" s="533">
        <f>P46</f>
        <v>0.5</v>
      </c>
      <c r="Q118" s="533">
        <f>Q46</f>
        <v>0.5</v>
      </c>
      <c r="R118" s="533">
        <f>R46</f>
        <v>0.5</v>
      </c>
      <c r="S118" s="449">
        <f>(O118+P118+Q118+R118)/4</f>
        <v>0.5</v>
      </c>
      <c r="T118" s="418"/>
      <c r="U118" s="418"/>
      <c r="V118" s="418"/>
      <c r="W118" s="418"/>
      <c r="X118" s="418"/>
      <c r="Y118" s="418"/>
      <c r="Z118" s="418"/>
      <c r="AA118" s="418"/>
      <c r="AB118" s="418"/>
    </row>
    <row r="119" spans="1:28" s="454" customFormat="1">
      <c r="B119" s="450" t="s">
        <v>314</v>
      </c>
      <c r="C119" s="451"/>
      <c r="D119" s="452">
        <v>0.1</v>
      </c>
      <c r="E119" s="453"/>
      <c r="F119" s="453"/>
      <c r="G119" s="453"/>
      <c r="H119" s="533">
        <f>H47*1.35</f>
        <v>6.7500000000000004E-2</v>
      </c>
      <c r="I119" s="451">
        <f>H119</f>
        <v>6.7500000000000004E-2</v>
      </c>
      <c r="J119" s="533">
        <f>J47*1.35</f>
        <v>0.14343750000000002</v>
      </c>
      <c r="K119" s="533">
        <f>K47*1.35</f>
        <v>0.21937500000000001</v>
      </c>
      <c r="L119" s="533">
        <f>L47*1.35</f>
        <v>0.29531250000000003</v>
      </c>
      <c r="M119" s="533">
        <f>M47*1.35</f>
        <v>0.37125000000000008</v>
      </c>
      <c r="N119" s="451">
        <f>(J119*J105+K119*K105+L119*L105+M105*M119)/SUM(J105:M105)</f>
        <v>0.29636232718894012</v>
      </c>
      <c r="O119" s="533">
        <f>O47*1.35</f>
        <v>0.43200000000000005</v>
      </c>
      <c r="P119" s="533">
        <f>P47*1.35</f>
        <v>0.43200000000000005</v>
      </c>
      <c r="Q119" s="533">
        <f>Q47*1.35</f>
        <v>0.43200000000000005</v>
      </c>
      <c r="R119" s="533">
        <f>R47*1.35</f>
        <v>0.43200000000000005</v>
      </c>
      <c r="S119" s="451">
        <f>(O119*O105+P119*P105+Q119*Q105+R105*R119)/SUM(O105:R105)</f>
        <v>0.43200000000000005</v>
      </c>
      <c r="T119" s="451">
        <f t="shared" ref="T119:AB119" si="139">T47*1.35</f>
        <v>0.43200000000000005</v>
      </c>
      <c r="U119" s="451">
        <f t="shared" si="139"/>
        <v>0.43200000000000005</v>
      </c>
      <c r="V119" s="451">
        <f t="shared" si="139"/>
        <v>0.43200000000000005</v>
      </c>
      <c r="W119" s="451">
        <f t="shared" si="139"/>
        <v>0.43200000000000005</v>
      </c>
      <c r="X119" s="451">
        <f t="shared" si="139"/>
        <v>0.43200000000000005</v>
      </c>
      <c r="Y119" s="451">
        <f t="shared" si="139"/>
        <v>0.43200000000000005</v>
      </c>
      <c r="Z119" s="451">
        <f t="shared" si="139"/>
        <v>0.43200000000000005</v>
      </c>
      <c r="AA119" s="451">
        <f t="shared" si="139"/>
        <v>0.43200000000000005</v>
      </c>
      <c r="AB119" s="451">
        <f t="shared" si="139"/>
        <v>0.43200000000000005</v>
      </c>
    </row>
    <row r="120" spans="1:28">
      <c r="B120" s="405" t="s">
        <v>315</v>
      </c>
      <c r="C120" s="395"/>
      <c r="D120" s="455">
        <v>0.9</v>
      </c>
      <c r="E120" s="456"/>
      <c r="F120" s="456"/>
      <c r="G120" s="456"/>
      <c r="H120" s="533">
        <f>H48</f>
        <v>0.85</v>
      </c>
      <c r="I120" s="447">
        <f>H120</f>
        <v>0.85</v>
      </c>
      <c r="J120" s="533">
        <f>J48</f>
        <v>0.85</v>
      </c>
      <c r="K120" s="533">
        <f>K48</f>
        <v>0.85</v>
      </c>
      <c r="L120" s="533">
        <f>L48</f>
        <v>0.85</v>
      </c>
      <c r="M120" s="533">
        <f>M48</f>
        <v>0.85</v>
      </c>
      <c r="N120" s="447">
        <f>I120</f>
        <v>0.85</v>
      </c>
      <c r="O120" s="533">
        <f>O48</f>
        <v>0.8</v>
      </c>
      <c r="P120" s="533">
        <f>P48</f>
        <v>0.8</v>
      </c>
      <c r="Q120" s="533">
        <f>Q48</f>
        <v>0.8</v>
      </c>
      <c r="R120" s="533">
        <f>R48</f>
        <v>0.8</v>
      </c>
      <c r="S120" s="447">
        <f>N120</f>
        <v>0.85</v>
      </c>
      <c r="T120" s="447">
        <f t="shared" ref="T120:AB120" si="140">T48</f>
        <v>0.8</v>
      </c>
      <c r="U120" s="447">
        <f t="shared" si="140"/>
        <v>0.8</v>
      </c>
      <c r="V120" s="447">
        <f t="shared" si="140"/>
        <v>0.8</v>
      </c>
      <c r="W120" s="447">
        <f t="shared" si="140"/>
        <v>0.8</v>
      </c>
      <c r="X120" s="447">
        <f t="shared" si="140"/>
        <v>0.8</v>
      </c>
      <c r="Y120" s="447">
        <f t="shared" si="140"/>
        <v>0.8</v>
      </c>
      <c r="Z120" s="447">
        <f t="shared" si="140"/>
        <v>0.8</v>
      </c>
      <c r="AA120" s="447">
        <f t="shared" si="140"/>
        <v>0.8</v>
      </c>
      <c r="AB120" s="447">
        <f t="shared" si="140"/>
        <v>0.8</v>
      </c>
    </row>
    <row r="121" spans="1:28">
      <c r="B121" s="457"/>
      <c r="C121" s="458"/>
      <c r="D121" s="458"/>
      <c r="E121" s="459"/>
      <c r="F121" s="459"/>
      <c r="G121" s="459"/>
      <c r="H121" s="459"/>
      <c r="I121" s="447"/>
      <c r="J121" s="459"/>
      <c r="K121" s="459"/>
      <c r="L121" s="459"/>
      <c r="M121" s="459"/>
      <c r="N121" s="447"/>
      <c r="O121" s="459"/>
      <c r="P121" s="459"/>
      <c r="Q121" s="459"/>
      <c r="R121" s="459"/>
      <c r="S121" s="447"/>
      <c r="T121" s="460"/>
      <c r="U121" s="460"/>
      <c r="V121" s="460"/>
      <c r="W121" s="460"/>
      <c r="X121" s="460"/>
      <c r="Y121" s="460"/>
      <c r="Z121" s="460"/>
      <c r="AA121" s="460"/>
      <c r="AB121" s="418"/>
    </row>
    <row r="122" spans="1:28">
      <c r="B122" s="461" t="s">
        <v>404</v>
      </c>
      <c r="C122" s="462"/>
      <c r="D122" s="463">
        <f>D119*(1-D118)*D105*D116*D23</f>
        <v>0</v>
      </c>
      <c r="E122" s="464"/>
      <c r="F122" s="464"/>
      <c r="G122" s="464"/>
      <c r="H122" s="464">
        <f t="shared" ref="H122:M122" si="141">((H116*(1-H119)*H120*H118*H107)+(H108*H116*(1-H119)*H120))/1000</f>
        <v>0</v>
      </c>
      <c r="I122" s="463">
        <f>H122</f>
        <v>0</v>
      </c>
      <c r="J122" s="464">
        <f t="shared" si="141"/>
        <v>2.7816125657044983</v>
      </c>
      <c r="K122" s="464">
        <f t="shared" si="141"/>
        <v>11.34230326545903</v>
      </c>
      <c r="L122" s="464">
        <f t="shared" si="141"/>
        <v>17.915926322897384</v>
      </c>
      <c r="M122" s="464">
        <f t="shared" si="141"/>
        <v>20.544345966878303</v>
      </c>
      <c r="N122" s="463">
        <f>M122+L122+K122+J122</f>
        <v>52.584188120939217</v>
      </c>
      <c r="O122" s="464">
        <f t="shared" ref="O122:R122" si="142">((O116*(1-O119)*O120*O118*O107)+(O108*O116*(1-O119)*O120))/1000</f>
        <v>21.015976930221782</v>
      </c>
      <c r="P122" s="464">
        <f t="shared" si="142"/>
        <v>23.437645255703522</v>
      </c>
      <c r="Q122" s="464">
        <f t="shared" si="142"/>
        <v>25.326411444125789</v>
      </c>
      <c r="R122" s="464">
        <f t="shared" si="142"/>
        <v>26.804248180990641</v>
      </c>
      <c r="S122" s="463">
        <f>R122+Q122+P122+O122</f>
        <v>96.584281811041734</v>
      </c>
      <c r="T122" s="463">
        <f t="shared" ref="T122:AB122" si="143">T120*(1-T119)*T116*T109/1000</f>
        <v>121.00850222637801</v>
      </c>
      <c r="U122" s="463">
        <f t="shared" si="143"/>
        <v>116.22261596332473</v>
      </c>
      <c r="V122" s="463">
        <f t="shared" si="143"/>
        <v>111.62601150197524</v>
      </c>
      <c r="W122" s="463">
        <f t="shared" si="143"/>
        <v>107.21120274707214</v>
      </c>
      <c r="X122" s="463">
        <f t="shared" si="143"/>
        <v>108.39052597728988</v>
      </c>
      <c r="Y122" s="463">
        <f t="shared" si="143"/>
        <v>108.48699354540969</v>
      </c>
      <c r="Z122" s="463">
        <f t="shared" si="143"/>
        <v>109.68035047440918</v>
      </c>
      <c r="AA122" s="463">
        <f t="shared" si="143"/>
        <v>110.88683432962767</v>
      </c>
      <c r="AB122" s="463">
        <f t="shared" si="143"/>
        <v>112.10658950725355</v>
      </c>
    </row>
    <row r="123" spans="1:28" s="427" customFormat="1">
      <c r="B123" s="465" t="s">
        <v>316</v>
      </c>
      <c r="C123" s="466"/>
      <c r="D123" s="466"/>
      <c r="E123" s="467"/>
      <c r="F123" s="467"/>
      <c r="G123" s="467"/>
      <c r="H123" s="467"/>
      <c r="I123" s="532"/>
      <c r="J123" s="467"/>
      <c r="K123" s="467"/>
      <c r="L123" s="467"/>
      <c r="M123" s="467"/>
      <c r="N123" s="468"/>
      <c r="O123" s="467">
        <f t="shared" ref="O123:R123" si="144">O122/J122-1</f>
        <v>6.5553213949833706</v>
      </c>
      <c r="P123" s="467">
        <f t="shared" si="144"/>
        <v>1.0663920464090135</v>
      </c>
      <c r="Q123" s="467">
        <f t="shared" si="144"/>
        <v>0.41362556351649316</v>
      </c>
      <c r="R123" s="467">
        <f t="shared" si="144"/>
        <v>0.30470194691057984</v>
      </c>
      <c r="S123" s="468">
        <f>S122/N122-1</f>
        <v>0.83675521601485969</v>
      </c>
      <c r="T123" s="468">
        <f>T122/S122-1</f>
        <v>0.25287986779380955</v>
      </c>
      <c r="U123" s="468">
        <f>U122/T122-1</f>
        <v>-3.9550000000000307E-2</v>
      </c>
      <c r="V123" s="468">
        <f t="shared" ref="V123" si="145">V122/U122-1</f>
        <v>-3.9549999999999974E-2</v>
      </c>
      <c r="W123" s="468">
        <f t="shared" ref="W123" si="146">W122/V122-1</f>
        <v>-3.9549999999999863E-2</v>
      </c>
      <c r="X123" s="468">
        <f t="shared" ref="X123" si="147">X122/W122-1</f>
        <v>1.0999999999999677E-2</v>
      </c>
      <c r="Y123" s="468">
        <f t="shared" ref="Y123" si="148">Y122/X122-1</f>
        <v>8.9000000000005741E-4</v>
      </c>
      <c r="Z123" s="468">
        <f t="shared" ref="Z123" si="149">Z122/Y122-1</f>
        <v>1.0999999999999899E-2</v>
      </c>
      <c r="AA123" s="468">
        <f t="shared" ref="AA123" si="150">AA122/Z122-1</f>
        <v>1.0999999999999899E-2</v>
      </c>
      <c r="AB123" s="468">
        <f t="shared" ref="AB123" si="151">AB122/AA122-1</f>
        <v>1.0999999999999677E-2</v>
      </c>
    </row>
    <row r="124" spans="1:28" s="427" customFormat="1">
      <c r="B124" s="465"/>
      <c r="C124" s="466"/>
      <c r="D124" s="466"/>
      <c r="E124" s="467"/>
      <c r="F124" s="467"/>
      <c r="G124" s="467"/>
      <c r="H124" s="467"/>
      <c r="I124" s="468"/>
      <c r="J124" s="467"/>
      <c r="K124" s="467"/>
      <c r="L124" s="467"/>
      <c r="M124" s="467"/>
      <c r="O124" s="467"/>
      <c r="P124" s="467"/>
      <c r="Q124" s="467"/>
      <c r="R124" s="467"/>
      <c r="S124" s="468"/>
      <c r="T124" s="468"/>
      <c r="U124" s="468"/>
      <c r="V124" s="468"/>
      <c r="W124" s="468"/>
      <c r="X124" s="468"/>
      <c r="Y124" s="468"/>
      <c r="Z124" s="468"/>
      <c r="AA124" s="468"/>
      <c r="AB124" s="468"/>
    </row>
    <row r="125" spans="1:28">
      <c r="B125" s="423" t="s">
        <v>411</v>
      </c>
      <c r="C125" s="424"/>
      <c r="D125" s="424"/>
      <c r="E125" s="425"/>
      <c r="F125" s="425"/>
      <c r="G125" s="425"/>
      <c r="H125" s="425"/>
      <c r="I125" s="426"/>
      <c r="J125" s="425"/>
      <c r="K125" s="425"/>
      <c r="L125" s="425"/>
      <c r="M125" s="425"/>
      <c r="N125" s="426"/>
      <c r="O125" s="425"/>
      <c r="P125" s="425"/>
      <c r="Q125" s="425"/>
      <c r="R125" s="425"/>
      <c r="S125" s="426"/>
      <c r="T125" s="426"/>
      <c r="U125" s="426"/>
      <c r="V125" s="426"/>
      <c r="W125" s="426"/>
      <c r="X125" s="426"/>
      <c r="Y125" s="426"/>
      <c r="Z125" s="426"/>
      <c r="AA125" s="426"/>
      <c r="AB125" s="426"/>
    </row>
    <row r="126" spans="1:28" s="427" customFormat="1" hidden="1" outlineLevel="1">
      <c r="A126" s="427" t="s">
        <v>319</v>
      </c>
      <c r="B126" s="534" t="s">
        <v>64</v>
      </c>
      <c r="C126" s="535"/>
      <c r="D126" s="536">
        <v>0</v>
      </c>
      <c r="E126" s="536"/>
      <c r="F126" s="536"/>
      <c r="G126" s="536"/>
      <c r="H126" s="536"/>
      <c r="I126" s="537">
        <v>0</v>
      </c>
      <c r="J126" s="536"/>
      <c r="K126" s="536"/>
      <c r="L126" s="536"/>
      <c r="M126" s="536"/>
      <c r="N126" s="537">
        <v>0</v>
      </c>
      <c r="O126" s="536"/>
      <c r="P126" s="536"/>
      <c r="Q126" s="536"/>
      <c r="R126" s="536"/>
      <c r="S126" s="537">
        <v>0</v>
      </c>
      <c r="T126" s="536">
        <f t="shared" ref="T126" si="152">T127*1.35</f>
        <v>6.7500000000000004E-2</v>
      </c>
      <c r="U126" s="536">
        <f>N102</f>
        <v>0.191</v>
      </c>
      <c r="V126" s="536">
        <f t="shared" ref="V126:AB126" si="153">O102</f>
        <v>0.55000000000000004</v>
      </c>
      <c r="W126" s="536">
        <f t="shared" si="153"/>
        <v>0.55000000000000004</v>
      </c>
      <c r="X126" s="536">
        <f t="shared" si="153"/>
        <v>0.55000000000000004</v>
      </c>
      <c r="Y126" s="536">
        <f t="shared" si="153"/>
        <v>0.55000000000000004</v>
      </c>
      <c r="Z126" s="536">
        <f t="shared" si="153"/>
        <v>0.55000000000000004</v>
      </c>
      <c r="AA126" s="536">
        <f t="shared" si="153"/>
        <v>0.55000000000000004</v>
      </c>
      <c r="AB126" s="536">
        <f t="shared" si="153"/>
        <v>0.55000000000000004</v>
      </c>
    </row>
    <row r="127" spans="1:28" s="427" customFormat="1" hidden="1" outlineLevel="1">
      <c r="B127" s="534" t="s">
        <v>65</v>
      </c>
      <c r="C127" s="535"/>
      <c r="D127" s="536">
        <v>0</v>
      </c>
      <c r="E127" s="536"/>
      <c r="F127" s="536"/>
      <c r="G127" s="536"/>
      <c r="H127" s="536"/>
      <c r="I127" s="537">
        <v>0</v>
      </c>
      <c r="J127" s="536"/>
      <c r="K127" s="536"/>
      <c r="L127" s="536"/>
      <c r="M127" s="536"/>
      <c r="N127" s="537">
        <v>0</v>
      </c>
      <c r="O127" s="536"/>
      <c r="P127" s="536"/>
      <c r="Q127" s="536"/>
      <c r="R127" s="536"/>
      <c r="S127" s="537">
        <v>0</v>
      </c>
      <c r="T127" s="536">
        <v>0.05</v>
      </c>
      <c r="U127" s="536">
        <f>N103</f>
        <v>0.10850000000000001</v>
      </c>
      <c r="V127" s="536">
        <f t="shared" ref="V127:AB127" si="154">O103</f>
        <v>0.19350000000000001</v>
      </c>
      <c r="W127" s="536">
        <f t="shared" si="154"/>
        <v>0.2107</v>
      </c>
      <c r="X127" s="536">
        <f t="shared" si="154"/>
        <v>0.22500000000000001</v>
      </c>
      <c r="Y127" s="536">
        <f t="shared" si="154"/>
        <v>0.23499999999999999</v>
      </c>
      <c r="Z127" s="536">
        <f t="shared" si="154"/>
        <v>0.21604999999999999</v>
      </c>
      <c r="AA127" s="536">
        <f t="shared" si="154"/>
        <v>0.26</v>
      </c>
      <c r="AB127" s="536">
        <f t="shared" si="154"/>
        <v>0.247</v>
      </c>
    </row>
    <row r="128" spans="1:28" s="427" customFormat="1" hidden="1" outlineLevel="1">
      <c r="B128" s="534" t="s">
        <v>66</v>
      </c>
      <c r="C128" s="535"/>
      <c r="D128" s="536">
        <v>0</v>
      </c>
      <c r="E128" s="536"/>
      <c r="F128" s="536"/>
      <c r="G128" s="536"/>
      <c r="H128" s="536"/>
      <c r="I128" s="537">
        <v>0</v>
      </c>
      <c r="J128" s="536"/>
      <c r="K128" s="536"/>
      <c r="L128" s="536"/>
      <c r="M128" s="536"/>
      <c r="N128" s="537">
        <v>0</v>
      </c>
      <c r="O128" s="536"/>
      <c r="P128" s="536"/>
      <c r="Q128" s="536"/>
      <c r="R128" s="536"/>
      <c r="S128" s="537">
        <v>0</v>
      </c>
      <c r="T128" s="536">
        <f>T127*0.25</f>
        <v>1.2500000000000001E-2</v>
      </c>
      <c r="U128" s="536">
        <f t="shared" ref="U128:AB128" si="155">U127*0.25</f>
        <v>2.7125000000000003E-2</v>
      </c>
      <c r="V128" s="536">
        <f t="shared" si="155"/>
        <v>4.8375000000000001E-2</v>
      </c>
      <c r="W128" s="536">
        <f t="shared" si="155"/>
        <v>5.2675E-2</v>
      </c>
      <c r="X128" s="536">
        <f t="shared" si="155"/>
        <v>5.6250000000000001E-2</v>
      </c>
      <c r="Y128" s="536">
        <f t="shared" si="155"/>
        <v>5.8749999999999997E-2</v>
      </c>
      <c r="Z128" s="536">
        <f t="shared" si="155"/>
        <v>5.4012499999999998E-2</v>
      </c>
      <c r="AA128" s="536">
        <f t="shared" si="155"/>
        <v>6.5000000000000002E-2</v>
      </c>
      <c r="AB128" s="536">
        <f t="shared" si="155"/>
        <v>6.1749999999999999E-2</v>
      </c>
    </row>
    <row r="129" spans="1:28" s="427" customFormat="1" collapsed="1">
      <c r="A129" s="428" t="s">
        <v>313</v>
      </c>
      <c r="B129" s="538" t="s">
        <v>318</v>
      </c>
      <c r="C129" s="539"/>
      <c r="D129" s="540">
        <f>CHOOSE($N$2,D126,D127,D128)</f>
        <v>0</v>
      </c>
      <c r="E129" s="541"/>
      <c r="F129" s="541"/>
      <c r="G129" s="541"/>
      <c r="H129" s="541"/>
      <c r="I129" s="540">
        <f>CHOOSE($N$2,I126,I127,I128)</f>
        <v>0</v>
      </c>
      <c r="J129" s="541"/>
      <c r="K129" s="541"/>
      <c r="L129" s="541"/>
      <c r="M129" s="541"/>
      <c r="N129" s="540">
        <f>CHOOSE($N$2,N126,N127,N128)</f>
        <v>0</v>
      </c>
      <c r="O129" s="541"/>
      <c r="P129" s="541"/>
      <c r="Q129" s="541"/>
      <c r="R129" s="541"/>
      <c r="S129" s="540">
        <f t="shared" ref="S129:AB129" si="156">CHOOSE($N$2,S126,S127,S128)</f>
        <v>0</v>
      </c>
      <c r="T129" s="540">
        <f t="shared" si="156"/>
        <v>0.05</v>
      </c>
      <c r="U129" s="540">
        <f t="shared" si="156"/>
        <v>0.10850000000000001</v>
      </c>
      <c r="V129" s="540">
        <f t="shared" si="156"/>
        <v>0.19350000000000001</v>
      </c>
      <c r="W129" s="540">
        <f t="shared" si="156"/>
        <v>0.2107</v>
      </c>
      <c r="X129" s="540">
        <f t="shared" si="156"/>
        <v>0.22500000000000001</v>
      </c>
      <c r="Y129" s="540">
        <f t="shared" si="156"/>
        <v>0.23499999999999999</v>
      </c>
      <c r="Z129" s="540">
        <f t="shared" si="156"/>
        <v>0.21604999999999999</v>
      </c>
      <c r="AA129" s="540">
        <f t="shared" si="156"/>
        <v>0.26</v>
      </c>
      <c r="AB129" s="540">
        <f t="shared" si="156"/>
        <v>0.247</v>
      </c>
    </row>
    <row r="130" spans="1:28">
      <c r="B130" s="405"/>
      <c r="C130" s="395"/>
      <c r="D130" s="395"/>
      <c r="E130" s="429"/>
      <c r="F130" s="429"/>
      <c r="G130" s="429"/>
      <c r="H130" s="429"/>
      <c r="I130" s="418"/>
      <c r="J130" s="429"/>
      <c r="K130" s="429"/>
      <c r="L130" s="429"/>
      <c r="M130" s="429"/>
      <c r="N130" s="418"/>
      <c r="O130" s="429"/>
      <c r="P130" s="429"/>
      <c r="Q130" s="429"/>
      <c r="R130" s="429"/>
      <c r="S130" s="418"/>
      <c r="T130" s="418"/>
      <c r="U130" s="418"/>
      <c r="V130" s="418"/>
      <c r="W130" s="418"/>
      <c r="X130" s="418"/>
      <c r="Y130" s="418"/>
      <c r="Z130" s="418"/>
      <c r="AA130" s="418"/>
      <c r="AB130" s="418"/>
    </row>
    <row r="131" spans="1:28" hidden="1" outlineLevel="1">
      <c r="B131" s="405" t="s">
        <v>365</v>
      </c>
      <c r="C131" s="395"/>
      <c r="D131" s="395"/>
      <c r="E131" s="429"/>
      <c r="F131" s="429"/>
      <c r="G131" s="429"/>
      <c r="H131" s="430"/>
      <c r="I131" s="431"/>
      <c r="J131" s="430"/>
      <c r="K131" s="430"/>
      <c r="L131" s="430"/>
      <c r="M131" s="430"/>
      <c r="N131" s="431"/>
      <c r="O131" s="430"/>
      <c r="P131" s="430"/>
      <c r="Q131" s="430"/>
      <c r="R131" s="430"/>
      <c r="S131" s="431"/>
      <c r="T131" s="418"/>
      <c r="U131" s="418"/>
      <c r="V131" s="418"/>
      <c r="W131" s="418"/>
      <c r="X131" s="418"/>
      <c r="Y131" s="418"/>
      <c r="Z131" s="418"/>
      <c r="AA131" s="418"/>
      <c r="AB131" s="418"/>
    </row>
    <row r="132" spans="1:28" hidden="1" outlineLevel="1">
      <c r="B132" s="405" t="s">
        <v>364</v>
      </c>
      <c r="C132" s="395"/>
      <c r="D132" s="395"/>
      <c r="E132" s="429"/>
      <c r="F132" s="429"/>
      <c r="G132" s="429"/>
      <c r="H132" s="430"/>
      <c r="I132" s="431"/>
      <c r="J132" s="430"/>
      <c r="K132" s="430"/>
      <c r="L132" s="430"/>
      <c r="M132" s="430"/>
      <c r="N132" s="431"/>
      <c r="O132" s="430"/>
      <c r="P132" s="430"/>
      <c r="Q132" s="430"/>
      <c r="R132" s="430"/>
      <c r="S132" s="431"/>
      <c r="T132" s="418"/>
      <c r="U132" s="418"/>
      <c r="V132" s="418"/>
      <c r="W132" s="418"/>
      <c r="X132" s="418"/>
      <c r="Y132" s="418"/>
      <c r="Z132" s="418"/>
      <c r="AA132" s="418"/>
      <c r="AB132" s="418"/>
    </row>
    <row r="133" spans="1:28" collapsed="1">
      <c r="B133" s="405" t="s">
        <v>366</v>
      </c>
      <c r="C133" s="395"/>
      <c r="D133" s="395"/>
      <c r="E133" s="429"/>
      <c r="F133" s="429"/>
      <c r="G133" s="429"/>
      <c r="H133" s="430"/>
      <c r="I133" s="431"/>
      <c r="J133" s="430"/>
      <c r="K133" s="430"/>
      <c r="L133" s="430"/>
      <c r="M133" s="430"/>
      <c r="N133" s="431"/>
      <c r="O133" s="430"/>
      <c r="P133" s="430"/>
      <c r="Q133" s="430"/>
      <c r="R133" s="430"/>
      <c r="S133" s="431"/>
      <c r="T133" s="530">
        <f t="shared" ref="T133:AB133" si="157">T26*T129*1000</f>
        <v>21.523413801452204</v>
      </c>
      <c r="U133" s="530">
        <f t="shared" si="157"/>
        <v>47.219571836591953</v>
      </c>
      <c r="V133" s="530">
        <f t="shared" si="157"/>
        <v>85.138193631656463</v>
      </c>
      <c r="W133" s="530">
        <f t="shared" si="157"/>
        <v>93.725799429302882</v>
      </c>
      <c r="X133" s="530">
        <f t="shared" si="157"/>
        <v>101.18783210811898</v>
      </c>
      <c r="Y133" s="530">
        <f t="shared" si="157"/>
        <v>106.84760485069975</v>
      </c>
      <c r="Z133" s="530">
        <f t="shared" si="157"/>
        <v>99.312143418304714</v>
      </c>
      <c r="AA133" s="530">
        <f t="shared" si="157"/>
        <v>120.8293914322406</v>
      </c>
      <c r="AB133" s="530">
        <f t="shared" si="157"/>
        <v>116.05058900109543</v>
      </c>
    </row>
    <row r="134" spans="1:28">
      <c r="B134" s="405"/>
      <c r="C134" s="395"/>
      <c r="D134" s="395"/>
      <c r="E134" s="429"/>
      <c r="F134" s="429"/>
      <c r="G134" s="429"/>
      <c r="H134" s="429"/>
      <c r="I134" s="418"/>
      <c r="J134" s="429"/>
      <c r="K134" s="429"/>
      <c r="L134" s="429"/>
      <c r="M134" s="429"/>
      <c r="N134" s="418"/>
      <c r="O134" s="429"/>
      <c r="P134" s="429"/>
      <c r="Q134" s="429"/>
      <c r="R134" s="429"/>
      <c r="S134" s="418"/>
      <c r="T134" s="418"/>
      <c r="U134" s="418"/>
      <c r="V134" s="418"/>
      <c r="W134" s="418"/>
      <c r="X134" s="418"/>
      <c r="Y134" s="418"/>
      <c r="Z134" s="418"/>
      <c r="AA134" s="418"/>
      <c r="AB134" s="418"/>
    </row>
    <row r="135" spans="1:28">
      <c r="B135" s="405" t="s">
        <v>321</v>
      </c>
      <c r="C135" s="395"/>
      <c r="D135" s="469"/>
      <c r="E135" s="470"/>
      <c r="F135" s="470"/>
      <c r="G135" s="470"/>
      <c r="H135" s="470"/>
      <c r="I135" s="471"/>
      <c r="J135" s="470"/>
      <c r="K135" s="470"/>
      <c r="L135" s="470"/>
      <c r="M135" s="470"/>
      <c r="N135" s="471"/>
      <c r="O135" s="470"/>
      <c r="P135" s="470"/>
      <c r="Q135" s="470"/>
      <c r="R135" s="470"/>
      <c r="S135" s="471"/>
      <c r="T135" s="471">
        <f>I111</f>
        <v>58.7</v>
      </c>
      <c r="U135" s="471">
        <f t="shared" ref="U135:AB135" si="158">T135*0.99</f>
        <v>58.113</v>
      </c>
      <c r="V135" s="471">
        <f t="shared" si="158"/>
        <v>57.531869999999998</v>
      </c>
      <c r="W135" s="471">
        <f t="shared" si="158"/>
        <v>56.956551299999994</v>
      </c>
      <c r="X135" s="471">
        <f t="shared" si="158"/>
        <v>56.386985786999993</v>
      </c>
      <c r="Y135" s="471">
        <f t="shared" si="158"/>
        <v>55.82311592912999</v>
      </c>
      <c r="Z135" s="471">
        <f t="shared" si="158"/>
        <v>55.264884769838687</v>
      </c>
      <c r="AA135" s="471">
        <f t="shared" si="158"/>
        <v>54.712235922140302</v>
      </c>
      <c r="AB135" s="471">
        <f t="shared" si="158"/>
        <v>54.165113562918897</v>
      </c>
    </row>
    <row r="136" spans="1:28">
      <c r="B136" s="405"/>
      <c r="C136" s="395"/>
      <c r="D136" s="395"/>
      <c r="E136" s="429"/>
      <c r="F136" s="429"/>
      <c r="G136" s="429"/>
      <c r="H136" s="429"/>
      <c r="I136" s="418"/>
      <c r="J136" s="429"/>
      <c r="K136" s="429"/>
      <c r="L136" s="429"/>
      <c r="M136" s="429"/>
      <c r="N136" s="480"/>
      <c r="O136" s="429"/>
      <c r="P136" s="429"/>
      <c r="Q136" s="429"/>
      <c r="R136" s="429"/>
      <c r="S136" s="418"/>
      <c r="T136" s="418"/>
      <c r="U136" s="418"/>
      <c r="V136" s="418"/>
      <c r="W136" s="418"/>
      <c r="X136" s="418"/>
      <c r="Y136" s="418"/>
      <c r="Z136" s="418"/>
      <c r="AA136" s="418"/>
      <c r="AB136" s="418"/>
    </row>
    <row r="137" spans="1:28">
      <c r="B137" s="405" t="s">
        <v>322</v>
      </c>
      <c r="C137" s="395"/>
      <c r="D137" s="437"/>
      <c r="E137" s="430"/>
      <c r="F137" s="430"/>
      <c r="G137" s="430"/>
      <c r="H137" s="430"/>
      <c r="I137" s="438"/>
      <c r="J137" s="430"/>
      <c r="K137" s="430"/>
      <c r="L137" s="430"/>
      <c r="M137" s="430"/>
      <c r="N137" s="439"/>
      <c r="O137" s="435"/>
      <c r="P137" s="435"/>
      <c r="Q137" s="435"/>
      <c r="R137" s="435"/>
      <c r="S137" s="439"/>
      <c r="T137" s="439">
        <f t="shared" ref="T137:AB137" si="159">T113</f>
        <v>494.38202247191009</v>
      </c>
      <c r="U137" s="439">
        <f t="shared" si="159"/>
        <v>494.38202247191009</v>
      </c>
      <c r="V137" s="439">
        <f t="shared" si="159"/>
        <v>494.38202247191009</v>
      </c>
      <c r="W137" s="439">
        <f t="shared" si="159"/>
        <v>494.38202247191009</v>
      </c>
      <c r="X137" s="439">
        <f t="shared" si="159"/>
        <v>494.38202247191009</v>
      </c>
      <c r="Y137" s="439">
        <f t="shared" si="159"/>
        <v>494.38202247191009</v>
      </c>
      <c r="Z137" s="439">
        <f t="shared" si="159"/>
        <v>494.38202247191009</v>
      </c>
      <c r="AA137" s="439">
        <f t="shared" si="159"/>
        <v>494.38202247191009</v>
      </c>
      <c r="AB137" s="439">
        <f t="shared" si="159"/>
        <v>494.38202247191009</v>
      </c>
    </row>
    <row r="138" spans="1:28" s="414" customFormat="1">
      <c r="B138" s="409" t="s">
        <v>312</v>
      </c>
      <c r="C138" s="410"/>
      <c r="D138" s="440"/>
      <c r="E138" s="441"/>
      <c r="F138" s="441"/>
      <c r="G138" s="441"/>
      <c r="H138" s="441"/>
      <c r="I138" s="413"/>
      <c r="J138" s="441"/>
      <c r="K138" s="441"/>
      <c r="L138" s="441"/>
      <c r="M138" s="441"/>
      <c r="N138" s="413"/>
      <c r="O138" s="441"/>
      <c r="P138" s="441"/>
      <c r="Q138" s="441"/>
      <c r="R138" s="441"/>
      <c r="S138" s="413"/>
      <c r="T138" s="413"/>
      <c r="U138" s="413">
        <f t="shared" ref="U138:W138" si="160">U137/T137-1</f>
        <v>0</v>
      </c>
      <c r="V138" s="413">
        <f t="shared" si="160"/>
        <v>0</v>
      </c>
      <c r="W138" s="413">
        <f t="shared" si="160"/>
        <v>0</v>
      </c>
      <c r="X138" s="413">
        <f t="shared" ref="X138" si="161">X137/W137-1</f>
        <v>0</v>
      </c>
      <c r="Y138" s="413">
        <f t="shared" ref="Y138" si="162">Y137/X137-1</f>
        <v>0</v>
      </c>
      <c r="Z138" s="413">
        <f t="shared" ref="Z138" si="163">Z137/Y137-1</f>
        <v>0</v>
      </c>
      <c r="AA138" s="413">
        <f t="shared" ref="AA138" si="164">AA137/Z137-1</f>
        <v>0</v>
      </c>
      <c r="AB138" s="413">
        <f t="shared" ref="AB138" si="165">AB137/AA137-1</f>
        <v>0</v>
      </c>
    </row>
    <row r="139" spans="1:28" s="427" customFormat="1">
      <c r="B139" s="465"/>
      <c r="C139" s="466"/>
      <c r="D139" s="466"/>
      <c r="E139" s="467"/>
      <c r="F139" s="467"/>
      <c r="G139" s="467"/>
      <c r="H139" s="467"/>
      <c r="I139" s="468"/>
      <c r="J139" s="467"/>
      <c r="K139" s="467"/>
      <c r="L139" s="467"/>
      <c r="M139" s="467"/>
      <c r="N139" s="468"/>
      <c r="O139" s="467"/>
      <c r="P139" s="467"/>
      <c r="Q139" s="467"/>
      <c r="R139" s="467"/>
      <c r="S139" s="468"/>
      <c r="T139" s="468"/>
      <c r="U139" s="468"/>
      <c r="V139" s="468"/>
      <c r="W139" s="468"/>
      <c r="X139" s="468"/>
      <c r="Y139" s="468"/>
      <c r="Z139" s="468"/>
      <c r="AA139" s="468"/>
      <c r="AB139" s="468"/>
    </row>
    <row r="140" spans="1:28">
      <c r="B140" s="405" t="s">
        <v>401</v>
      </c>
      <c r="C140" s="395"/>
      <c r="D140" s="474"/>
      <c r="E140" s="475"/>
      <c r="F140" s="475"/>
      <c r="G140" s="475"/>
      <c r="H140" s="475"/>
      <c r="I140" s="444"/>
      <c r="J140" s="475"/>
      <c r="K140" s="475"/>
      <c r="L140" s="475"/>
      <c r="M140" s="475"/>
      <c r="N140" s="444"/>
      <c r="O140" s="475"/>
      <c r="P140" s="475"/>
      <c r="Q140" s="475"/>
      <c r="R140" s="475"/>
      <c r="S140" s="444"/>
      <c r="T140" s="444">
        <f t="shared" ref="T140:AB140" si="166">T135*T137*52/1000</f>
        <v>1509.0516853932584</v>
      </c>
      <c r="U140" s="444">
        <f t="shared" si="166"/>
        <v>1493.9611685393256</v>
      </c>
      <c r="V140" s="444">
        <f t="shared" si="166"/>
        <v>1479.0215568539325</v>
      </c>
      <c r="W140" s="444">
        <f t="shared" si="166"/>
        <v>1464.231341285393</v>
      </c>
      <c r="X140" s="444">
        <f t="shared" si="166"/>
        <v>1449.5890278725392</v>
      </c>
      <c r="Y140" s="444">
        <f t="shared" si="166"/>
        <v>1435.0931375938137</v>
      </c>
      <c r="Z140" s="444">
        <f t="shared" si="166"/>
        <v>1420.7422062178755</v>
      </c>
      <c r="AA140" s="444">
        <f t="shared" si="166"/>
        <v>1406.5347841556966</v>
      </c>
      <c r="AB140" s="444">
        <f t="shared" si="166"/>
        <v>1392.4694363141396</v>
      </c>
    </row>
    <row r="141" spans="1:28">
      <c r="B141" s="405"/>
      <c r="C141" s="395"/>
      <c r="D141" s="395"/>
      <c r="E141" s="429"/>
      <c r="F141" s="429"/>
      <c r="G141" s="429"/>
      <c r="H141" s="429"/>
      <c r="I141" s="418"/>
      <c r="J141" s="429"/>
      <c r="K141" s="429"/>
      <c r="L141" s="429"/>
      <c r="M141" s="429"/>
      <c r="N141" s="418"/>
      <c r="O141" s="429"/>
      <c r="P141" s="429"/>
      <c r="Q141" s="429"/>
      <c r="R141" s="429"/>
      <c r="S141" s="418"/>
      <c r="T141" s="418"/>
      <c r="U141" s="418"/>
      <c r="V141" s="418"/>
      <c r="W141" s="418"/>
      <c r="X141" s="418"/>
      <c r="Y141" s="418"/>
      <c r="Z141" s="418"/>
      <c r="AA141" s="418"/>
      <c r="AB141" s="418"/>
    </row>
    <row r="142" spans="1:28" hidden="1" outlineLevel="1">
      <c r="B142" s="405" t="s">
        <v>367</v>
      </c>
      <c r="C142" s="395"/>
      <c r="D142" s="445"/>
      <c r="E142" s="446"/>
      <c r="F142" s="446"/>
      <c r="G142" s="446"/>
      <c r="H142" s="533"/>
      <c r="I142" s="449"/>
      <c r="J142" s="533"/>
      <c r="K142" s="533"/>
      <c r="L142" s="533"/>
      <c r="M142" s="533"/>
      <c r="N142" s="449"/>
      <c r="O142" s="533"/>
      <c r="P142" s="533"/>
      <c r="Q142" s="533"/>
      <c r="R142" s="533"/>
      <c r="S142" s="449"/>
      <c r="T142" s="418"/>
      <c r="U142" s="418"/>
      <c r="V142" s="418"/>
      <c r="W142" s="418"/>
      <c r="X142" s="418"/>
      <c r="Y142" s="418"/>
      <c r="Z142" s="418"/>
      <c r="AA142" s="418"/>
      <c r="AB142" s="418"/>
    </row>
    <row r="143" spans="1:28" s="454" customFormat="1" collapsed="1">
      <c r="B143" s="450" t="s">
        <v>314</v>
      </c>
      <c r="C143" s="451"/>
      <c r="D143" s="476"/>
      <c r="E143" s="477"/>
      <c r="F143" s="477"/>
      <c r="G143" s="477"/>
      <c r="H143" s="477"/>
      <c r="I143" s="451"/>
      <c r="J143" s="477"/>
      <c r="K143" s="477"/>
      <c r="L143" s="477"/>
      <c r="M143" s="477"/>
      <c r="N143" s="451"/>
      <c r="O143" s="477"/>
      <c r="P143" s="477"/>
      <c r="Q143" s="477"/>
      <c r="R143" s="477"/>
      <c r="S143" s="451"/>
      <c r="T143" s="451">
        <f t="shared" ref="T143" si="167">T119</f>
        <v>0.43200000000000005</v>
      </c>
      <c r="U143" s="451">
        <f t="shared" ref="U143" si="168">U119</f>
        <v>0.43200000000000005</v>
      </c>
      <c r="V143" s="451">
        <f t="shared" ref="V143:AB144" si="169">V119</f>
        <v>0.43200000000000005</v>
      </c>
      <c r="W143" s="451">
        <f t="shared" si="169"/>
        <v>0.43200000000000005</v>
      </c>
      <c r="X143" s="451">
        <f t="shared" si="169"/>
        <v>0.43200000000000005</v>
      </c>
      <c r="Y143" s="451">
        <f t="shared" si="169"/>
        <v>0.43200000000000005</v>
      </c>
      <c r="Z143" s="451">
        <f t="shared" si="169"/>
        <v>0.43200000000000005</v>
      </c>
      <c r="AA143" s="451">
        <f t="shared" si="169"/>
        <v>0.43200000000000005</v>
      </c>
      <c r="AB143" s="451">
        <f t="shared" si="169"/>
        <v>0.43200000000000005</v>
      </c>
    </row>
    <row r="144" spans="1:28">
      <c r="B144" s="405" t="s">
        <v>315</v>
      </c>
      <c r="C144" s="395"/>
      <c r="D144" s="478"/>
      <c r="E144" s="479"/>
      <c r="F144" s="479"/>
      <c r="G144" s="479"/>
      <c r="H144" s="479"/>
      <c r="I144" s="447"/>
      <c r="J144" s="479"/>
      <c r="K144" s="479"/>
      <c r="L144" s="479"/>
      <c r="M144" s="479"/>
      <c r="N144" s="447"/>
      <c r="O144" s="479"/>
      <c r="P144" s="479"/>
      <c r="Q144" s="479"/>
      <c r="R144" s="479"/>
      <c r="S144" s="447"/>
      <c r="T144" s="447">
        <f t="shared" ref="T144" si="170">T120</f>
        <v>0.8</v>
      </c>
      <c r="U144" s="447">
        <f t="shared" ref="U144" si="171">U120</f>
        <v>0.8</v>
      </c>
      <c r="V144" s="447">
        <f t="shared" si="169"/>
        <v>0.8</v>
      </c>
      <c r="W144" s="447">
        <f t="shared" si="169"/>
        <v>0.8</v>
      </c>
      <c r="X144" s="447">
        <f t="shared" si="169"/>
        <v>0.8</v>
      </c>
      <c r="Y144" s="447">
        <f t="shared" si="169"/>
        <v>0.8</v>
      </c>
      <c r="Z144" s="447">
        <f t="shared" si="169"/>
        <v>0.8</v>
      </c>
      <c r="AA144" s="447">
        <f t="shared" si="169"/>
        <v>0.8</v>
      </c>
      <c r="AB144" s="447">
        <f t="shared" si="169"/>
        <v>0.8</v>
      </c>
    </row>
    <row r="145" spans="1:28" s="427" customFormat="1">
      <c r="B145" s="465"/>
      <c r="C145" s="466"/>
      <c r="D145" s="466"/>
      <c r="E145" s="467"/>
      <c r="F145" s="467"/>
      <c r="G145" s="467"/>
      <c r="H145" s="467"/>
      <c r="I145" s="468"/>
      <c r="J145" s="467"/>
      <c r="K145" s="467"/>
      <c r="L145" s="467"/>
      <c r="M145" s="467"/>
      <c r="N145" s="468"/>
      <c r="O145" s="467"/>
      <c r="P145" s="467"/>
      <c r="Q145" s="467"/>
      <c r="R145" s="467"/>
      <c r="S145" s="468"/>
      <c r="T145" s="468"/>
      <c r="U145" s="468"/>
      <c r="V145" s="468"/>
      <c r="W145" s="468"/>
      <c r="X145" s="468"/>
      <c r="Y145" s="468"/>
      <c r="Z145" s="468"/>
      <c r="AA145" s="468"/>
      <c r="AB145" s="468"/>
    </row>
    <row r="146" spans="1:28">
      <c r="B146" s="461" t="s">
        <v>415</v>
      </c>
      <c r="C146" s="462"/>
      <c r="D146" s="463"/>
      <c r="E146" s="464"/>
      <c r="F146" s="464"/>
      <c r="G146" s="464"/>
      <c r="H146" s="464"/>
      <c r="I146" s="463"/>
      <c r="J146" s="464"/>
      <c r="K146" s="464"/>
      <c r="L146" s="464"/>
      <c r="M146" s="464"/>
      <c r="N146" s="463"/>
      <c r="O146" s="464"/>
      <c r="P146" s="464"/>
      <c r="Q146" s="464"/>
      <c r="R146" s="464"/>
      <c r="S146" s="463"/>
      <c r="T146" s="463">
        <f t="shared" ref="T146:AB146" si="172">T144*(1-T143)*T140*T133/1000</f>
        <v>14.758886495663077</v>
      </c>
      <c r="U146" s="463">
        <f t="shared" si="172"/>
        <v>32.055287533077944</v>
      </c>
      <c r="V146" s="463">
        <f t="shared" si="172"/>
        <v>57.218604046019266</v>
      </c>
      <c r="W146" s="463">
        <f t="shared" si="172"/>
        <v>62.36015336838647</v>
      </c>
      <c r="X146" s="463">
        <f t="shared" si="172"/>
        <v>66.651742423345866</v>
      </c>
      <c r="Y146" s="463">
        <f t="shared" si="172"/>
        <v>69.675998584062739</v>
      </c>
      <c r="Z146" s="463">
        <f t="shared" si="172"/>
        <v>64.114455781431872</v>
      </c>
      <c r="AA146" s="463">
        <f t="shared" si="172"/>
        <v>77.225617163805182</v>
      </c>
      <c r="AB146" s="463">
        <f t="shared" si="172"/>
        <v>73.429630564926882</v>
      </c>
    </row>
    <row r="147" spans="1:28" s="427" customFormat="1">
      <c r="B147" s="465" t="s">
        <v>316</v>
      </c>
      <c r="C147" s="466"/>
      <c r="D147" s="466"/>
      <c r="E147" s="467"/>
      <c r="F147" s="467"/>
      <c r="G147" s="467"/>
      <c r="H147" s="467"/>
      <c r="I147" s="468"/>
      <c r="J147" s="467"/>
      <c r="K147" s="467"/>
      <c r="L147" s="467"/>
      <c r="M147" s="467"/>
      <c r="N147" s="468"/>
      <c r="O147" s="467"/>
      <c r="P147" s="467"/>
      <c r="Q147" s="467"/>
      <c r="R147" s="467"/>
      <c r="S147" s="468"/>
      <c r="T147" s="468"/>
      <c r="U147" s="468"/>
      <c r="V147" s="468"/>
      <c r="W147" s="468">
        <f t="shared" ref="W147" si="173">W146/V146-1</f>
        <v>8.9857999999999993E-2</v>
      </c>
      <c r="X147" s="468">
        <f t="shared" ref="X147" si="174">X146/W146-1</f>
        <v>6.8819411485524284E-2</v>
      </c>
      <c r="Y147" s="468">
        <f t="shared" ref="Y147" si="175">Y146/X146-1</f>
        <v>4.5373999999999581E-2</v>
      </c>
      <c r="Z147" s="468">
        <f t="shared" ref="Z147" si="176">Z146/Y146-1</f>
        <v>-7.9820065957446951E-2</v>
      </c>
      <c r="AA147" s="468">
        <f t="shared" ref="AA147" si="177">AA146/Z146-1</f>
        <v>0.20449618143948167</v>
      </c>
      <c r="AB147" s="468">
        <f t="shared" ref="AB147" si="178">AB146/AA146-1</f>
        <v>-4.9154500000000545E-2</v>
      </c>
    </row>
    <row r="148" spans="1:28" s="427" customFormat="1">
      <c r="B148" s="465"/>
      <c r="C148" s="466"/>
      <c r="D148" s="466"/>
      <c r="E148" s="467"/>
      <c r="F148" s="467"/>
      <c r="G148" s="467"/>
      <c r="H148" s="467"/>
      <c r="I148" s="468"/>
      <c r="J148" s="467"/>
      <c r="K148" s="467"/>
      <c r="L148" s="467"/>
      <c r="M148" s="467"/>
      <c r="N148" s="468"/>
      <c r="O148" s="467"/>
      <c r="P148" s="467"/>
      <c r="Q148" s="467"/>
      <c r="R148" s="467"/>
      <c r="S148" s="468"/>
      <c r="T148" s="468"/>
      <c r="U148" s="468"/>
      <c r="V148" s="468"/>
      <c r="W148" s="468"/>
      <c r="X148" s="468"/>
      <c r="Y148" s="468"/>
      <c r="Z148" s="468"/>
      <c r="AA148" s="468"/>
      <c r="AB148" s="468"/>
    </row>
    <row r="149" spans="1:28">
      <c r="B149" s="423" t="s">
        <v>410</v>
      </c>
      <c r="C149" s="424"/>
      <c r="D149" s="424"/>
      <c r="E149" s="425"/>
      <c r="F149" s="425"/>
      <c r="G149" s="425"/>
      <c r="H149" s="425"/>
      <c r="I149" s="426"/>
      <c r="J149" s="425"/>
      <c r="K149" s="425"/>
      <c r="L149" s="425"/>
      <c r="M149" s="425"/>
      <c r="N149" s="426"/>
      <c r="O149" s="425"/>
      <c r="P149" s="425"/>
      <c r="Q149" s="425"/>
      <c r="R149" s="425"/>
      <c r="S149" s="426"/>
      <c r="T149" s="426"/>
      <c r="U149" s="426"/>
      <c r="V149" s="426"/>
      <c r="W149" s="426"/>
      <c r="X149" s="426"/>
      <c r="Y149" s="426"/>
      <c r="Z149" s="426"/>
      <c r="AA149" s="426"/>
      <c r="AB149" s="426"/>
    </row>
    <row r="150" spans="1:28" s="427" customFormat="1" hidden="1" outlineLevel="1">
      <c r="A150" s="427" t="s">
        <v>319</v>
      </c>
      <c r="B150" s="534" t="s">
        <v>64</v>
      </c>
      <c r="C150" s="535"/>
      <c r="D150" s="536">
        <v>0</v>
      </c>
      <c r="E150" s="536"/>
      <c r="F150" s="536"/>
      <c r="G150" s="536"/>
      <c r="H150" s="536"/>
      <c r="I150" s="537">
        <v>0</v>
      </c>
      <c r="J150" s="536"/>
      <c r="K150" s="536"/>
      <c r="L150" s="536"/>
      <c r="M150" s="536"/>
      <c r="N150" s="537">
        <v>0</v>
      </c>
      <c r="O150" s="536"/>
      <c r="P150" s="536"/>
      <c r="Q150" s="536"/>
      <c r="R150" s="536"/>
      <c r="S150" s="537">
        <v>0</v>
      </c>
      <c r="T150" s="536">
        <v>0</v>
      </c>
      <c r="U150" s="536">
        <v>0</v>
      </c>
      <c r="V150" s="536">
        <f>T126</f>
        <v>6.7500000000000004E-2</v>
      </c>
      <c r="W150" s="536">
        <f t="shared" ref="W150:AB150" si="179">U126</f>
        <v>0.191</v>
      </c>
      <c r="X150" s="536">
        <f t="shared" si="179"/>
        <v>0.55000000000000004</v>
      </c>
      <c r="Y150" s="536">
        <f t="shared" si="179"/>
        <v>0.55000000000000004</v>
      </c>
      <c r="Z150" s="536">
        <f t="shared" si="179"/>
        <v>0.55000000000000004</v>
      </c>
      <c r="AA150" s="536">
        <f t="shared" si="179"/>
        <v>0.55000000000000004</v>
      </c>
      <c r="AB150" s="536">
        <f t="shared" si="179"/>
        <v>0.55000000000000004</v>
      </c>
    </row>
    <row r="151" spans="1:28" s="427" customFormat="1" hidden="1" outlineLevel="1">
      <c r="B151" s="534" t="s">
        <v>65</v>
      </c>
      <c r="C151" s="535"/>
      <c r="D151" s="536">
        <v>0</v>
      </c>
      <c r="E151" s="536"/>
      <c r="F151" s="536"/>
      <c r="G151" s="536"/>
      <c r="H151" s="536"/>
      <c r="I151" s="537">
        <v>0</v>
      </c>
      <c r="J151" s="536"/>
      <c r="K151" s="536"/>
      <c r="L151" s="536"/>
      <c r="M151" s="536"/>
      <c r="N151" s="537">
        <v>0</v>
      </c>
      <c r="O151" s="536"/>
      <c r="P151" s="536"/>
      <c r="Q151" s="536"/>
      <c r="R151" s="536"/>
      <c r="S151" s="537">
        <v>0</v>
      </c>
      <c r="T151" s="536">
        <v>0</v>
      </c>
      <c r="U151" s="536">
        <v>0</v>
      </c>
      <c r="V151" s="536">
        <f>T127</f>
        <v>0.05</v>
      </c>
      <c r="W151" s="536">
        <f t="shared" ref="W151:AB151" si="180">U127</f>
        <v>0.10850000000000001</v>
      </c>
      <c r="X151" s="536">
        <f t="shared" si="180"/>
        <v>0.19350000000000001</v>
      </c>
      <c r="Y151" s="536">
        <f t="shared" si="180"/>
        <v>0.2107</v>
      </c>
      <c r="Z151" s="536">
        <f t="shared" si="180"/>
        <v>0.22500000000000001</v>
      </c>
      <c r="AA151" s="536">
        <f t="shared" si="180"/>
        <v>0.23499999999999999</v>
      </c>
      <c r="AB151" s="536">
        <f t="shared" si="180"/>
        <v>0.21604999999999999</v>
      </c>
    </row>
    <row r="152" spans="1:28" s="427" customFormat="1" hidden="1" outlineLevel="1">
      <c r="B152" s="534" t="s">
        <v>66</v>
      </c>
      <c r="C152" s="535"/>
      <c r="D152" s="536">
        <v>0</v>
      </c>
      <c r="E152" s="536"/>
      <c r="F152" s="536"/>
      <c r="G152" s="536"/>
      <c r="H152" s="536"/>
      <c r="I152" s="537">
        <v>0</v>
      </c>
      <c r="J152" s="536"/>
      <c r="K152" s="536"/>
      <c r="L152" s="536"/>
      <c r="M152" s="536"/>
      <c r="N152" s="537">
        <v>0</v>
      </c>
      <c r="O152" s="536"/>
      <c r="P152" s="536"/>
      <c r="Q152" s="536"/>
      <c r="R152" s="536"/>
      <c r="S152" s="537">
        <v>0</v>
      </c>
      <c r="T152" s="536">
        <v>0</v>
      </c>
      <c r="U152" s="536">
        <v>0</v>
      </c>
      <c r="V152" s="536">
        <v>0</v>
      </c>
      <c r="W152" s="536">
        <v>0</v>
      </c>
      <c r="X152" s="536">
        <v>0</v>
      </c>
      <c r="Y152" s="536">
        <v>0</v>
      </c>
      <c r="Z152" s="536">
        <v>0</v>
      </c>
      <c r="AA152" s="536">
        <v>0</v>
      </c>
      <c r="AB152" s="536">
        <v>0</v>
      </c>
    </row>
    <row r="153" spans="1:28" s="427" customFormat="1" collapsed="1">
      <c r="A153" s="428" t="s">
        <v>313</v>
      </c>
      <c r="B153" s="538" t="s">
        <v>318</v>
      </c>
      <c r="C153" s="539"/>
      <c r="D153" s="540">
        <f>CHOOSE($N$2,D150,D151,D152)</f>
        <v>0</v>
      </c>
      <c r="E153" s="541"/>
      <c r="F153" s="541"/>
      <c r="G153" s="541"/>
      <c r="H153" s="541"/>
      <c r="I153" s="540">
        <f>CHOOSE($N$2,I150,I151,I152)</f>
        <v>0</v>
      </c>
      <c r="J153" s="541"/>
      <c r="K153" s="541"/>
      <c r="L153" s="541"/>
      <c r="M153" s="541"/>
      <c r="N153" s="540">
        <f>CHOOSE($N$2,N150,N151,N152)</f>
        <v>0</v>
      </c>
      <c r="O153" s="541"/>
      <c r="P153" s="541"/>
      <c r="Q153" s="541"/>
      <c r="R153" s="541"/>
      <c r="S153" s="540">
        <f t="shared" ref="S153:AB153" si="181">CHOOSE($N$2,S150,S151,S152)</f>
        <v>0</v>
      </c>
      <c r="T153" s="540">
        <f t="shared" si="181"/>
        <v>0</v>
      </c>
      <c r="U153" s="540">
        <f t="shared" si="181"/>
        <v>0</v>
      </c>
      <c r="V153" s="540">
        <f t="shared" si="181"/>
        <v>0.05</v>
      </c>
      <c r="W153" s="540">
        <f t="shared" si="181"/>
        <v>0.10850000000000001</v>
      </c>
      <c r="X153" s="540">
        <f t="shared" si="181"/>
        <v>0.19350000000000001</v>
      </c>
      <c r="Y153" s="540">
        <f t="shared" si="181"/>
        <v>0.2107</v>
      </c>
      <c r="Z153" s="540">
        <f t="shared" si="181"/>
        <v>0.22500000000000001</v>
      </c>
      <c r="AA153" s="540">
        <f t="shared" si="181"/>
        <v>0.23499999999999999</v>
      </c>
      <c r="AB153" s="540">
        <f t="shared" si="181"/>
        <v>0.21604999999999999</v>
      </c>
    </row>
    <row r="154" spans="1:28">
      <c r="B154" s="405"/>
      <c r="C154" s="395"/>
      <c r="D154" s="395"/>
      <c r="E154" s="429"/>
      <c r="F154" s="429"/>
      <c r="G154" s="429"/>
      <c r="H154" s="429"/>
      <c r="I154" s="418"/>
      <c r="J154" s="429"/>
      <c r="K154" s="429"/>
      <c r="L154" s="429"/>
      <c r="M154" s="429"/>
      <c r="N154" s="418"/>
      <c r="O154" s="429"/>
      <c r="P154" s="429"/>
      <c r="Q154" s="429"/>
      <c r="R154" s="429"/>
      <c r="S154" s="418"/>
      <c r="T154" s="418"/>
      <c r="U154" s="418"/>
      <c r="V154" s="418"/>
      <c r="W154" s="418"/>
      <c r="X154" s="418"/>
      <c r="Y154" s="418"/>
      <c r="Z154" s="418"/>
      <c r="AA154" s="418"/>
      <c r="AB154" s="418"/>
    </row>
    <row r="155" spans="1:28" hidden="1" outlineLevel="1">
      <c r="B155" s="405" t="s">
        <v>365</v>
      </c>
      <c r="C155" s="395"/>
      <c r="D155" s="395"/>
      <c r="E155" s="429"/>
      <c r="F155" s="429"/>
      <c r="G155" s="429"/>
      <c r="H155" s="430"/>
      <c r="I155" s="431"/>
      <c r="J155" s="430"/>
      <c r="K155" s="430"/>
      <c r="L155" s="430"/>
      <c r="M155" s="430"/>
      <c r="N155" s="431"/>
      <c r="O155" s="430"/>
      <c r="P155" s="430"/>
      <c r="Q155" s="430"/>
      <c r="R155" s="430"/>
      <c r="S155" s="431"/>
      <c r="T155" s="418"/>
      <c r="U155" s="418"/>
      <c r="V155" s="418"/>
      <c r="W155" s="418"/>
      <c r="X155" s="418"/>
      <c r="Y155" s="418"/>
      <c r="Z155" s="418"/>
      <c r="AA155" s="418"/>
      <c r="AB155" s="418"/>
    </row>
    <row r="156" spans="1:28" hidden="1" outlineLevel="1">
      <c r="B156" s="405" t="s">
        <v>364</v>
      </c>
      <c r="C156" s="395"/>
      <c r="D156" s="395"/>
      <c r="E156" s="429"/>
      <c r="F156" s="429"/>
      <c r="G156" s="429"/>
      <c r="H156" s="430"/>
      <c r="I156" s="431"/>
      <c r="J156" s="430"/>
      <c r="K156" s="430"/>
      <c r="L156" s="430"/>
      <c r="M156" s="430"/>
      <c r="N156" s="431"/>
      <c r="O156" s="430"/>
      <c r="P156" s="430"/>
      <c r="Q156" s="430"/>
      <c r="R156" s="430"/>
      <c r="S156" s="431"/>
      <c r="T156" s="418"/>
      <c r="U156" s="418"/>
      <c r="V156" s="418"/>
      <c r="W156" s="418"/>
      <c r="X156" s="418"/>
      <c r="Y156" s="418"/>
      <c r="Z156" s="418"/>
      <c r="AA156" s="418"/>
      <c r="AB156" s="418"/>
    </row>
    <row r="157" spans="1:28" collapsed="1">
      <c r="B157" s="405" t="s">
        <v>366</v>
      </c>
      <c r="C157" s="395"/>
      <c r="D157" s="395"/>
      <c r="E157" s="429"/>
      <c r="F157" s="429"/>
      <c r="G157" s="429"/>
      <c r="H157" s="430"/>
      <c r="I157" s="431"/>
      <c r="J157" s="430"/>
      <c r="K157" s="430"/>
      <c r="L157" s="430"/>
      <c r="M157" s="430"/>
      <c r="N157" s="431"/>
      <c r="O157" s="430"/>
      <c r="P157" s="430"/>
      <c r="Q157" s="430"/>
      <c r="R157" s="430"/>
      <c r="S157" s="431"/>
      <c r="T157" s="530">
        <f t="shared" ref="T157:AB157" si="182">T27*T153*1000</f>
        <v>0</v>
      </c>
      <c r="U157" s="530">
        <f t="shared" si="182"/>
        <v>0</v>
      </c>
      <c r="V157" s="530">
        <f t="shared" si="182"/>
        <v>21.999533238154122</v>
      </c>
      <c r="W157" s="530">
        <f t="shared" si="182"/>
        <v>48.2641159851892</v>
      </c>
      <c r="X157" s="530">
        <f t="shared" si="182"/>
        <v>87.021535612982319</v>
      </c>
      <c r="Y157" s="530">
        <f t="shared" si="182"/>
        <v>95.799107838478463</v>
      </c>
      <c r="Z157" s="530">
        <f t="shared" si="182"/>
        <v>103.42620814218266</v>
      </c>
      <c r="AA157" s="530">
        <f t="shared" si="182"/>
        <v>109.21118071760206</v>
      </c>
      <c r="AB157" s="530">
        <f t="shared" si="182"/>
        <v>101.509027342861</v>
      </c>
    </row>
    <row r="158" spans="1:28">
      <c r="B158" s="405"/>
      <c r="C158" s="395"/>
      <c r="D158" s="395"/>
      <c r="E158" s="429"/>
      <c r="F158" s="429"/>
      <c r="G158" s="429"/>
      <c r="H158" s="429"/>
      <c r="I158" s="418"/>
      <c r="J158" s="429"/>
      <c r="K158" s="429"/>
      <c r="L158" s="429"/>
      <c r="M158" s="429"/>
      <c r="N158" s="418"/>
      <c r="O158" s="429"/>
      <c r="P158" s="429"/>
      <c r="Q158" s="429"/>
      <c r="R158" s="429"/>
      <c r="S158" s="418"/>
      <c r="T158" s="418"/>
      <c r="U158" s="418"/>
      <c r="V158" s="418"/>
      <c r="W158" s="418"/>
      <c r="X158" s="418"/>
      <c r="Y158" s="418"/>
      <c r="Z158" s="418"/>
      <c r="AA158" s="418"/>
      <c r="AB158" s="418"/>
    </row>
    <row r="159" spans="1:28">
      <c r="B159" s="405" t="s">
        <v>321</v>
      </c>
      <c r="C159" s="395"/>
      <c r="D159" s="469"/>
      <c r="E159" s="470"/>
      <c r="F159" s="470"/>
      <c r="G159" s="470"/>
      <c r="H159" s="470"/>
      <c r="I159" s="471"/>
      <c r="J159" s="470"/>
      <c r="K159" s="470"/>
      <c r="L159" s="470"/>
      <c r="M159" s="470"/>
      <c r="N159" s="471"/>
      <c r="O159" s="470"/>
      <c r="P159" s="470"/>
      <c r="Q159" s="470"/>
      <c r="R159" s="470"/>
      <c r="S159" s="471"/>
      <c r="T159" s="471"/>
      <c r="U159" s="471"/>
      <c r="V159" s="471">
        <f>T135</f>
        <v>58.7</v>
      </c>
      <c r="W159" s="471">
        <f t="shared" ref="W159:AB159" si="183">U135</f>
        <v>58.113</v>
      </c>
      <c r="X159" s="471">
        <f t="shared" si="183"/>
        <v>57.531869999999998</v>
      </c>
      <c r="Y159" s="471">
        <f t="shared" si="183"/>
        <v>56.956551299999994</v>
      </c>
      <c r="Z159" s="471">
        <f t="shared" si="183"/>
        <v>56.386985786999993</v>
      </c>
      <c r="AA159" s="471">
        <f t="shared" si="183"/>
        <v>55.82311592912999</v>
      </c>
      <c r="AB159" s="471">
        <f t="shared" si="183"/>
        <v>55.264884769838687</v>
      </c>
    </row>
    <row r="160" spans="1:28">
      <c r="B160" s="405"/>
      <c r="C160" s="395"/>
      <c r="D160" s="395"/>
      <c r="E160" s="429"/>
      <c r="F160" s="429"/>
      <c r="G160" s="429"/>
      <c r="H160" s="429"/>
      <c r="I160" s="418"/>
      <c r="J160" s="429"/>
      <c r="K160" s="429"/>
      <c r="L160" s="429"/>
      <c r="M160" s="429"/>
      <c r="N160" s="480"/>
      <c r="O160" s="429"/>
      <c r="P160" s="429"/>
      <c r="Q160" s="429"/>
      <c r="R160" s="429"/>
      <c r="S160" s="418"/>
      <c r="T160" s="418"/>
      <c r="U160" s="418"/>
      <c r="V160" s="418"/>
      <c r="W160" s="418"/>
      <c r="X160" s="418"/>
      <c r="Y160" s="418"/>
      <c r="Z160" s="418"/>
      <c r="AA160" s="418"/>
      <c r="AB160" s="418"/>
    </row>
    <row r="161" spans="2:28">
      <c r="B161" s="405" t="s">
        <v>322</v>
      </c>
      <c r="C161" s="395"/>
      <c r="D161" s="437"/>
      <c r="E161" s="430"/>
      <c r="F161" s="430"/>
      <c r="G161" s="430"/>
      <c r="H161" s="430"/>
      <c r="I161" s="438"/>
      <c r="J161" s="430"/>
      <c r="K161" s="430"/>
      <c r="L161" s="430"/>
      <c r="M161" s="430"/>
      <c r="N161" s="439"/>
      <c r="O161" s="435"/>
      <c r="P161" s="435"/>
      <c r="Q161" s="435"/>
      <c r="R161" s="435"/>
      <c r="S161" s="439"/>
      <c r="T161" s="439">
        <f t="shared" ref="T161:AB161" si="184">T137</f>
        <v>494.38202247191009</v>
      </c>
      <c r="U161" s="439">
        <f t="shared" si="184"/>
        <v>494.38202247191009</v>
      </c>
      <c r="V161" s="439">
        <f t="shared" si="184"/>
        <v>494.38202247191009</v>
      </c>
      <c r="W161" s="439">
        <f t="shared" si="184"/>
        <v>494.38202247191009</v>
      </c>
      <c r="X161" s="439">
        <f t="shared" si="184"/>
        <v>494.38202247191009</v>
      </c>
      <c r="Y161" s="439">
        <f t="shared" si="184"/>
        <v>494.38202247191009</v>
      </c>
      <c r="Z161" s="439">
        <f t="shared" si="184"/>
        <v>494.38202247191009</v>
      </c>
      <c r="AA161" s="439">
        <f t="shared" si="184"/>
        <v>494.38202247191009</v>
      </c>
      <c r="AB161" s="439">
        <f t="shared" si="184"/>
        <v>494.38202247191009</v>
      </c>
    </row>
    <row r="162" spans="2:28" s="414" customFormat="1">
      <c r="B162" s="409" t="s">
        <v>312</v>
      </c>
      <c r="C162" s="410"/>
      <c r="D162" s="440"/>
      <c r="E162" s="441"/>
      <c r="F162" s="441"/>
      <c r="G162" s="441"/>
      <c r="H162" s="441"/>
      <c r="I162" s="413"/>
      <c r="J162" s="441"/>
      <c r="K162" s="441"/>
      <c r="L162" s="441"/>
      <c r="M162" s="441"/>
      <c r="N162" s="413"/>
      <c r="O162" s="441"/>
      <c r="P162" s="441"/>
      <c r="Q162" s="441"/>
      <c r="R162" s="441"/>
      <c r="S162" s="413"/>
      <c r="T162" s="413"/>
      <c r="U162" s="413">
        <f t="shared" ref="U162" si="185">U161/T161-1</f>
        <v>0</v>
      </c>
      <c r="V162" s="413">
        <f t="shared" ref="V162" si="186">V161/U161-1</f>
        <v>0</v>
      </c>
      <c r="W162" s="413">
        <f t="shared" ref="W162" si="187">W161/V161-1</f>
        <v>0</v>
      </c>
      <c r="X162" s="413">
        <f t="shared" ref="X162" si="188">X161/W161-1</f>
        <v>0</v>
      </c>
      <c r="Y162" s="413">
        <f t="shared" ref="Y162" si="189">Y161/X161-1</f>
        <v>0</v>
      </c>
      <c r="Z162" s="413">
        <f t="shared" ref="Z162" si="190">Z161/Y161-1</f>
        <v>0</v>
      </c>
      <c r="AA162" s="413">
        <f t="shared" ref="AA162" si="191">AA161/Z161-1</f>
        <v>0</v>
      </c>
      <c r="AB162" s="413">
        <f t="shared" ref="AB162" si="192">AB161/AA161-1</f>
        <v>0</v>
      </c>
    </row>
    <row r="163" spans="2:28" s="427" customFormat="1">
      <c r="B163" s="465"/>
      <c r="C163" s="466"/>
      <c r="D163" s="466"/>
      <c r="E163" s="467"/>
      <c r="F163" s="467"/>
      <c r="G163" s="467"/>
      <c r="H163" s="467"/>
      <c r="I163" s="468"/>
      <c r="J163" s="467"/>
      <c r="K163" s="467"/>
      <c r="L163" s="467"/>
      <c r="M163" s="467"/>
      <c r="N163" s="468"/>
      <c r="O163" s="467"/>
      <c r="P163" s="467"/>
      <c r="Q163" s="467"/>
      <c r="R163" s="467"/>
      <c r="S163" s="468"/>
      <c r="T163" s="468"/>
      <c r="U163" s="468"/>
      <c r="V163" s="468"/>
      <c r="W163" s="468"/>
      <c r="X163" s="468"/>
      <c r="Y163" s="468"/>
      <c r="Z163" s="468"/>
      <c r="AA163" s="468"/>
      <c r="AB163" s="468"/>
    </row>
    <row r="164" spans="2:28">
      <c r="B164" s="405" t="s">
        <v>403</v>
      </c>
      <c r="C164" s="395"/>
      <c r="D164" s="474"/>
      <c r="E164" s="475"/>
      <c r="F164" s="475"/>
      <c r="G164" s="475"/>
      <c r="H164" s="475"/>
      <c r="I164" s="444"/>
      <c r="J164" s="475"/>
      <c r="K164" s="475"/>
      <c r="L164" s="475"/>
      <c r="M164" s="475"/>
      <c r="N164" s="444"/>
      <c r="O164" s="475"/>
      <c r="P164" s="475"/>
      <c r="Q164" s="475"/>
      <c r="R164" s="475"/>
      <c r="S164" s="444"/>
      <c r="T164" s="444">
        <f t="shared" ref="T164:AB164" si="193">T159*T161*52/1000</f>
        <v>0</v>
      </c>
      <c r="U164" s="444">
        <f t="shared" si="193"/>
        <v>0</v>
      </c>
      <c r="V164" s="444">
        <f t="shared" si="193"/>
        <v>1509.0516853932584</v>
      </c>
      <c r="W164" s="444">
        <f t="shared" si="193"/>
        <v>1493.9611685393256</v>
      </c>
      <c r="X164" s="444">
        <f t="shared" si="193"/>
        <v>1479.0215568539325</v>
      </c>
      <c r="Y164" s="444">
        <f t="shared" si="193"/>
        <v>1464.231341285393</v>
      </c>
      <c r="Z164" s="444">
        <f t="shared" si="193"/>
        <v>1449.5890278725392</v>
      </c>
      <c r="AA164" s="444">
        <f t="shared" si="193"/>
        <v>1435.0931375938137</v>
      </c>
      <c r="AB164" s="444">
        <f t="shared" si="193"/>
        <v>1420.7422062178755</v>
      </c>
    </row>
    <row r="165" spans="2:28">
      <c r="B165" s="405"/>
      <c r="C165" s="395"/>
      <c r="D165" s="395"/>
      <c r="E165" s="429"/>
      <c r="F165" s="429"/>
      <c r="G165" s="429"/>
      <c r="H165" s="429"/>
      <c r="I165" s="418"/>
      <c r="J165" s="429"/>
      <c r="K165" s="429"/>
      <c r="L165" s="429"/>
      <c r="M165" s="429"/>
      <c r="N165" s="418"/>
      <c r="O165" s="429"/>
      <c r="P165" s="429"/>
      <c r="Q165" s="429"/>
      <c r="R165" s="429"/>
      <c r="S165" s="418"/>
      <c r="T165" s="418"/>
      <c r="U165" s="418"/>
      <c r="V165" s="418"/>
      <c r="W165" s="418"/>
      <c r="X165" s="418"/>
      <c r="Y165" s="418"/>
      <c r="Z165" s="418"/>
      <c r="AA165" s="418"/>
      <c r="AB165" s="418"/>
    </row>
    <row r="166" spans="2:28" hidden="1" outlineLevel="1">
      <c r="B166" s="405" t="s">
        <v>367</v>
      </c>
      <c r="C166" s="395"/>
      <c r="D166" s="445"/>
      <c r="E166" s="446"/>
      <c r="F166" s="446"/>
      <c r="G166" s="446"/>
      <c r="H166" s="533"/>
      <c r="I166" s="449"/>
      <c r="J166" s="533"/>
      <c r="K166" s="533"/>
      <c r="L166" s="533"/>
      <c r="M166" s="533"/>
      <c r="N166" s="449"/>
      <c r="O166" s="533"/>
      <c r="P166" s="533"/>
      <c r="Q166" s="533"/>
      <c r="R166" s="533"/>
      <c r="S166" s="449"/>
      <c r="T166" s="418"/>
      <c r="U166" s="418"/>
      <c r="V166" s="418"/>
      <c r="W166" s="418"/>
      <c r="X166" s="418"/>
      <c r="Y166" s="418"/>
      <c r="Z166" s="418"/>
      <c r="AA166" s="418"/>
      <c r="AB166" s="418"/>
    </row>
    <row r="167" spans="2:28" s="454" customFormat="1" collapsed="1">
      <c r="B167" s="450" t="s">
        <v>314</v>
      </c>
      <c r="C167" s="451"/>
      <c r="D167" s="476"/>
      <c r="E167" s="477"/>
      <c r="F167" s="477"/>
      <c r="G167" s="477"/>
      <c r="H167" s="477"/>
      <c r="I167" s="451"/>
      <c r="J167" s="477"/>
      <c r="K167" s="477"/>
      <c r="L167" s="477"/>
      <c r="M167" s="477"/>
      <c r="N167" s="451"/>
      <c r="O167" s="477"/>
      <c r="P167" s="477"/>
      <c r="Q167" s="477"/>
      <c r="R167" s="477"/>
      <c r="S167" s="451"/>
      <c r="T167" s="451">
        <f t="shared" ref="T167:AB168" si="194">T143</f>
        <v>0.43200000000000005</v>
      </c>
      <c r="U167" s="451">
        <f t="shared" si="194"/>
        <v>0.43200000000000005</v>
      </c>
      <c r="V167" s="451">
        <f t="shared" si="194"/>
        <v>0.43200000000000005</v>
      </c>
      <c r="W167" s="451">
        <f t="shared" si="194"/>
        <v>0.43200000000000005</v>
      </c>
      <c r="X167" s="451">
        <f t="shared" si="194"/>
        <v>0.43200000000000005</v>
      </c>
      <c r="Y167" s="451">
        <f t="shared" si="194"/>
        <v>0.43200000000000005</v>
      </c>
      <c r="Z167" s="451">
        <f t="shared" si="194"/>
        <v>0.43200000000000005</v>
      </c>
      <c r="AA167" s="451">
        <f>AA143</f>
        <v>0.43200000000000005</v>
      </c>
      <c r="AB167" s="451">
        <f t="shared" si="194"/>
        <v>0.43200000000000005</v>
      </c>
    </row>
    <row r="168" spans="2:28">
      <c r="B168" s="405" t="s">
        <v>315</v>
      </c>
      <c r="C168" s="395"/>
      <c r="D168" s="478"/>
      <c r="E168" s="479"/>
      <c r="F168" s="479"/>
      <c r="G168" s="479"/>
      <c r="H168" s="479"/>
      <c r="I168" s="447"/>
      <c r="J168" s="479"/>
      <c r="K168" s="479"/>
      <c r="L168" s="479"/>
      <c r="M168" s="479"/>
      <c r="N168" s="447"/>
      <c r="O168" s="479"/>
      <c r="P168" s="479"/>
      <c r="Q168" s="479"/>
      <c r="R168" s="479"/>
      <c r="S168" s="447"/>
      <c r="T168" s="447">
        <f t="shared" si="194"/>
        <v>0.8</v>
      </c>
      <c r="U168" s="447">
        <f t="shared" si="194"/>
        <v>0.8</v>
      </c>
      <c r="V168" s="447">
        <f t="shared" si="194"/>
        <v>0.8</v>
      </c>
      <c r="W168" s="447">
        <f t="shared" si="194"/>
        <v>0.8</v>
      </c>
      <c r="X168" s="447">
        <f t="shared" si="194"/>
        <v>0.8</v>
      </c>
      <c r="Y168" s="447">
        <f t="shared" si="194"/>
        <v>0.8</v>
      </c>
      <c r="Z168" s="447">
        <f t="shared" si="194"/>
        <v>0.8</v>
      </c>
      <c r="AA168" s="447">
        <f t="shared" si="194"/>
        <v>0.8</v>
      </c>
      <c r="AB168" s="447">
        <f t="shared" si="194"/>
        <v>0.8</v>
      </c>
    </row>
    <row r="169" spans="2:28" s="427" customFormat="1">
      <c r="B169" s="465"/>
      <c r="C169" s="466"/>
      <c r="D169" s="466"/>
      <c r="E169" s="467"/>
      <c r="F169" s="467"/>
      <c r="G169" s="467"/>
      <c r="H169" s="467"/>
      <c r="I169" s="468"/>
      <c r="J169" s="467"/>
      <c r="K169" s="467"/>
      <c r="L169" s="467"/>
      <c r="M169" s="467"/>
      <c r="N169" s="468"/>
      <c r="O169" s="467"/>
      <c r="P169" s="467"/>
      <c r="Q169" s="467"/>
      <c r="R169" s="467"/>
      <c r="S169" s="468"/>
      <c r="T169" s="468"/>
      <c r="U169" s="468"/>
      <c r="V169" s="468"/>
      <c r="W169" s="468"/>
      <c r="X169" s="468"/>
      <c r="Y169" s="468"/>
      <c r="Z169" s="468"/>
      <c r="AA169" s="468"/>
      <c r="AB169" s="468"/>
    </row>
    <row r="170" spans="2:28">
      <c r="B170" s="461" t="s">
        <v>414</v>
      </c>
      <c r="C170" s="462"/>
      <c r="D170" s="463"/>
      <c r="E170" s="464"/>
      <c r="F170" s="464"/>
      <c r="G170" s="464"/>
      <c r="H170" s="464"/>
      <c r="I170" s="463"/>
      <c r="J170" s="464"/>
      <c r="K170" s="464"/>
      <c r="L170" s="464"/>
      <c r="M170" s="464"/>
      <c r="N170" s="463"/>
      <c r="O170" s="464"/>
      <c r="P170" s="464"/>
      <c r="Q170" s="464"/>
      <c r="R170" s="464"/>
      <c r="S170" s="463"/>
      <c r="T170" s="463">
        <f t="shared" ref="T170:AB170" si="195">T168*(1-T167)*T164*T157/1000</f>
        <v>0</v>
      </c>
      <c r="U170" s="463">
        <f t="shared" si="195"/>
        <v>0</v>
      </c>
      <c r="V170" s="463">
        <f t="shared" si="195"/>
        <v>15.085367823833634</v>
      </c>
      <c r="W170" s="463">
        <f t="shared" si="195"/>
        <v>32.764382548597162</v>
      </c>
      <c r="X170" s="463">
        <f t="shared" si="195"/>
        <v>58.484336786121254</v>
      </c>
      <c r="Y170" s="463">
        <f t="shared" si="195"/>
        <v>63.739622321048529</v>
      </c>
      <c r="Z170" s="463">
        <f t="shared" si="195"/>
        <v>68.126145617492682</v>
      </c>
      <c r="AA170" s="463">
        <f t="shared" si="195"/>
        <v>71.217301348740776</v>
      </c>
      <c r="AB170" s="463">
        <f t="shared" si="195"/>
        <v>65.532731657772914</v>
      </c>
    </row>
    <row r="171" spans="2:28" s="427" customFormat="1">
      <c r="B171" s="465" t="s">
        <v>316</v>
      </c>
      <c r="C171" s="466"/>
      <c r="D171" s="466"/>
      <c r="E171" s="467"/>
      <c r="F171" s="467"/>
      <c r="G171" s="467"/>
      <c r="H171" s="467"/>
      <c r="I171" s="468"/>
      <c r="J171" s="467"/>
      <c r="K171" s="467"/>
      <c r="L171" s="467"/>
      <c r="M171" s="467"/>
      <c r="N171" s="468"/>
      <c r="O171" s="467"/>
      <c r="P171" s="467"/>
      <c r="Q171" s="467"/>
      <c r="R171" s="467"/>
      <c r="S171" s="468"/>
      <c r="T171" s="468"/>
      <c r="U171" s="468"/>
      <c r="V171" s="468"/>
      <c r="W171" s="468">
        <f t="shared" ref="W171" si="196">W170/V170-1</f>
        <v>1.1719313000000002</v>
      </c>
      <c r="X171" s="468">
        <f t="shared" ref="X171" si="197">X170/W170-1</f>
        <v>0.7849973732718889</v>
      </c>
      <c r="Y171" s="468">
        <f t="shared" ref="Y171" si="198">Y170/X170-1</f>
        <v>8.9857999999999771E-2</v>
      </c>
      <c r="Z171" s="468">
        <f t="shared" ref="Z171" si="199">Z170/Y170-1</f>
        <v>6.8819411485524284E-2</v>
      </c>
      <c r="AA171" s="468">
        <f t="shared" ref="AA171" si="200">AA170/Z170-1</f>
        <v>4.5373999999999803E-2</v>
      </c>
      <c r="AB171" s="468">
        <f t="shared" ref="AB171" si="201">AB170/AA170-1</f>
        <v>-7.9820065957446951E-2</v>
      </c>
    </row>
    <row r="172" spans="2:28" s="427" customFormat="1" ht="13.5" thickBot="1">
      <c r="B172" s="465"/>
      <c r="C172" s="466"/>
      <c r="D172" s="466"/>
      <c r="E172" s="467"/>
      <c r="F172" s="467"/>
      <c r="G172" s="467"/>
      <c r="H172" s="467"/>
      <c r="I172" s="468"/>
      <c r="J172" s="467"/>
      <c r="K172" s="467"/>
      <c r="L172" s="467"/>
      <c r="M172" s="467"/>
      <c r="N172" s="468"/>
      <c r="O172" s="467"/>
      <c r="P172" s="467"/>
      <c r="Q172" s="467"/>
      <c r="R172" s="467"/>
      <c r="S172" s="468"/>
      <c r="T172" s="468"/>
      <c r="U172" s="468"/>
      <c r="V172" s="468"/>
      <c r="W172" s="468"/>
      <c r="X172" s="468"/>
      <c r="Y172" s="468"/>
      <c r="Z172" s="468"/>
      <c r="AA172" s="468"/>
      <c r="AB172" s="468"/>
    </row>
    <row r="173" spans="2:28" ht="13.5" thickBot="1">
      <c r="B173" s="484" t="s">
        <v>341</v>
      </c>
      <c r="C173" s="485"/>
      <c r="D173" s="486" t="e">
        <f>#REF!+D122+#REF!+D50</f>
        <v>#REF!</v>
      </c>
      <c r="E173" s="487" t="e">
        <f>#REF!+E122+#REF!+E50</f>
        <v>#REF!</v>
      </c>
      <c r="F173" s="487" t="e">
        <f>#REF!+F122+#REF!+F50</f>
        <v>#REF!</v>
      </c>
      <c r="G173" s="487" t="e">
        <f>#REF!+G122+#REF!+G50</f>
        <v>#REF!</v>
      </c>
      <c r="H173" s="487" t="e">
        <f>#REF!+H122+#REF!+H50</f>
        <v>#REF!</v>
      </c>
      <c r="I173" s="486">
        <f>I146+I122+I50+I74</f>
        <v>5.3897295718326985</v>
      </c>
      <c r="J173" s="487">
        <f t="shared" ref="J173:S173" si="202">J146+J122+J50+J74</f>
        <v>15.850868581543846</v>
      </c>
      <c r="K173" s="487">
        <f t="shared" si="202"/>
        <v>33.041414191924048</v>
      </c>
      <c r="L173" s="487">
        <f t="shared" si="202"/>
        <v>47.51800508416764</v>
      </c>
      <c r="M173" s="487">
        <f t="shared" si="202"/>
        <v>57.105555546055477</v>
      </c>
      <c r="N173" s="486">
        <f t="shared" si="202"/>
        <v>153.51584340369101</v>
      </c>
      <c r="O173" s="487">
        <f t="shared" si="202"/>
        <v>60.662578706371669</v>
      </c>
      <c r="P173" s="487">
        <f t="shared" si="202"/>
        <v>67.128666285255605</v>
      </c>
      <c r="Q173" s="487">
        <f t="shared" si="202"/>
        <v>73.352134471453098</v>
      </c>
      <c r="R173" s="487">
        <f t="shared" si="202"/>
        <v>79.184582558819727</v>
      </c>
      <c r="S173" s="486">
        <f t="shared" si="202"/>
        <v>280.32796202190008</v>
      </c>
      <c r="T173" s="486">
        <f t="shared" ref="T173:Z173" si="203">T146+T122+T50+T74+T98+T170</f>
        <v>391.41332209487041</v>
      </c>
      <c r="U173" s="486">
        <f t="shared" si="203"/>
        <v>449.40990811778096</v>
      </c>
      <c r="V173" s="486">
        <f t="shared" si="203"/>
        <v>532.55758684451246</v>
      </c>
      <c r="W173" s="486">
        <f t="shared" si="203"/>
        <v>596.0071744265</v>
      </c>
      <c r="X173" s="486">
        <f t="shared" si="203"/>
        <v>663.37403528682421</v>
      </c>
      <c r="Y173" s="486">
        <f t="shared" si="203"/>
        <v>718.71742870364233</v>
      </c>
      <c r="Z173" s="486">
        <f t="shared" si="203"/>
        <v>764.76733120530093</v>
      </c>
      <c r="AA173" s="486">
        <f>AA146+AA122+AA50+AA74+AA98+AA170</f>
        <v>811.19268421539402</v>
      </c>
      <c r="AB173" s="488">
        <f>AB146+AB122+AB50+AB74+AB98+AB170</f>
        <v>823.93935182520909</v>
      </c>
    </row>
    <row r="174" spans="2:28">
      <c r="B174" s="405"/>
      <c r="D174" s="466"/>
      <c r="E174" s="467"/>
      <c r="F174" s="467"/>
      <c r="G174" s="467"/>
      <c r="H174" s="467"/>
      <c r="I174" s="468"/>
      <c r="J174" s="467"/>
      <c r="K174" s="467"/>
      <c r="L174" s="467"/>
      <c r="M174" s="467"/>
      <c r="N174" s="468">
        <f t="shared" ref="N174" si="204">N173/I173-1</f>
        <v>27.48303265640287</v>
      </c>
      <c r="O174" s="467"/>
      <c r="P174" s="467"/>
      <c r="Q174" s="467"/>
      <c r="R174" s="467"/>
      <c r="S174" s="468">
        <f>S173/N173-1</f>
        <v>0.82605232011616669</v>
      </c>
      <c r="T174" s="468">
        <f>T173/S173-1</f>
        <v>0.39626928142220796</v>
      </c>
      <c r="U174" s="468">
        <f t="shared" ref="U174" si="205">U173/T173-1</f>
        <v>0.14817223315882289</v>
      </c>
      <c r="V174" s="468">
        <f t="shared" ref="V174" si="206">V173/U173-1</f>
        <v>0.18501523269696185</v>
      </c>
      <c r="W174" s="468">
        <f t="shared" ref="W174" si="207">W173/V173-1</f>
        <v>0.11914127063316537</v>
      </c>
      <c r="X174" s="468">
        <f t="shared" ref="X174" si="208">X173/W173-1</f>
        <v>0.11303028512223379</v>
      </c>
      <c r="Y174" s="468">
        <f t="shared" ref="Y174" si="209">Y173/X173-1</f>
        <v>8.3427132315917696E-2</v>
      </c>
      <c r="Z174" s="468">
        <f t="shared" ref="Z174" si="210">Z173/Y173-1</f>
        <v>6.4072333106933721E-2</v>
      </c>
      <c r="AA174" s="468">
        <f t="shared" ref="AA174" si="211">AA173/Z173-1</f>
        <v>6.0705198974601915E-2</v>
      </c>
      <c r="AB174" s="468">
        <f t="shared" ref="AB174" si="212">AB173/AA173-1</f>
        <v>1.5713489356901533E-2</v>
      </c>
    </row>
    <row r="175" spans="2:28">
      <c r="B175" s="405"/>
      <c r="D175" s="466"/>
      <c r="E175" s="467"/>
      <c r="F175" s="467"/>
      <c r="G175" s="467"/>
      <c r="H175" s="467"/>
      <c r="I175" s="468"/>
      <c r="J175" s="467"/>
      <c r="K175" s="467"/>
      <c r="L175" s="467"/>
      <c r="M175" s="467"/>
      <c r="N175" s="468"/>
      <c r="O175" s="467"/>
      <c r="P175" s="467"/>
      <c r="Q175" s="467"/>
      <c r="R175" s="467"/>
      <c r="S175" s="468"/>
      <c r="T175" s="468"/>
      <c r="U175" s="468"/>
      <c r="V175" s="468"/>
      <c r="W175" s="468"/>
      <c r="X175" s="468"/>
      <c r="Y175" s="468"/>
      <c r="Z175" s="468"/>
      <c r="AA175" s="468"/>
      <c r="AB175" s="468"/>
    </row>
    <row r="176" spans="2:28">
      <c r="B176" s="405" t="s">
        <v>387</v>
      </c>
      <c r="D176" s="466"/>
      <c r="E176" s="467"/>
      <c r="F176" s="467"/>
      <c r="G176" s="467"/>
      <c r="H176" s="467"/>
      <c r="I176" s="468"/>
      <c r="J176" s="467"/>
      <c r="K176" s="467"/>
      <c r="L176" s="573">
        <f>L173-L178</f>
        <v>2.375900254208382</v>
      </c>
      <c r="M176" s="573">
        <f>M173-M178</f>
        <v>2.8552777773027742</v>
      </c>
      <c r="N176" s="574">
        <f>M176+L176+K176+J176</f>
        <v>5.2311780315111562</v>
      </c>
      <c r="O176" s="573">
        <f>O173-O178</f>
        <v>3.0331289353185866</v>
      </c>
      <c r="P176" s="573">
        <f>P173-P178</f>
        <v>3.3564333142627802</v>
      </c>
      <c r="Q176" s="573">
        <f>Q173-Q178</f>
        <v>3.6676067235726606</v>
      </c>
      <c r="R176" s="573">
        <f>R173-R178</f>
        <v>3.9592291279409864</v>
      </c>
      <c r="S176" s="574">
        <f>R176+Q176+P176+O176</f>
        <v>14.016398101095014</v>
      </c>
      <c r="T176" s="574">
        <f t="shared" ref="T176:AB176" si="213">T173-T178</f>
        <v>19.570666104743566</v>
      </c>
      <c r="U176" s="574">
        <f t="shared" si="213"/>
        <v>22.470495405889096</v>
      </c>
      <c r="V176" s="574">
        <f t="shared" si="213"/>
        <v>26.62787934222564</v>
      </c>
      <c r="W176" s="574">
        <f t="shared" si="213"/>
        <v>29.800358721324983</v>
      </c>
      <c r="X176" s="574">
        <f t="shared" si="213"/>
        <v>33.168701764341222</v>
      </c>
      <c r="Y176" s="574">
        <f t="shared" si="213"/>
        <v>0</v>
      </c>
      <c r="Z176" s="574">
        <f t="shared" si="213"/>
        <v>0</v>
      </c>
      <c r="AA176" s="574">
        <f t="shared" si="213"/>
        <v>0</v>
      </c>
      <c r="AB176" s="574">
        <f t="shared" si="213"/>
        <v>0</v>
      </c>
    </row>
    <row r="177" spans="2:28" ht="13.5" thickBot="1">
      <c r="B177" s="405"/>
      <c r="D177" s="466"/>
      <c r="E177" s="467"/>
      <c r="F177" s="467"/>
      <c r="G177" s="467"/>
      <c r="H177" s="467"/>
      <c r="I177" s="468"/>
      <c r="J177" s="467"/>
      <c r="K177" s="467"/>
      <c r="L177" s="467"/>
      <c r="M177" s="467"/>
      <c r="N177" s="468"/>
      <c r="O177" s="467"/>
      <c r="P177" s="467"/>
      <c r="Q177" s="467"/>
      <c r="R177" s="467"/>
      <c r="S177" s="468"/>
      <c r="T177" s="468"/>
      <c r="U177" s="468"/>
      <c r="V177" s="468"/>
      <c r="W177" s="468"/>
      <c r="X177" s="468"/>
      <c r="Y177" s="468"/>
      <c r="Z177" s="468"/>
      <c r="AA177" s="468"/>
      <c r="AB177" s="468"/>
    </row>
    <row r="178" spans="2:28" ht="13.5" thickBot="1">
      <c r="B178" s="484" t="s">
        <v>377</v>
      </c>
      <c r="C178" s="485"/>
      <c r="D178" s="486"/>
      <c r="E178" s="487"/>
      <c r="F178" s="487"/>
      <c r="G178" s="487"/>
      <c r="H178" s="487"/>
      <c r="I178" s="486">
        <f>I173*(1-I179)</f>
        <v>5.3897295718326985</v>
      </c>
      <c r="J178" s="487">
        <f>J173*(1-J179)</f>
        <v>15.850868581543846</v>
      </c>
      <c r="K178" s="487">
        <f>K173*(1-K179)</f>
        <v>33.041414191924048</v>
      </c>
      <c r="L178" s="487">
        <f>L173*(1-L179)</f>
        <v>45.142104829959258</v>
      </c>
      <c r="M178" s="487">
        <f>M173*(1-M179)</f>
        <v>54.250277768752703</v>
      </c>
      <c r="N178" s="486">
        <f>M178+L178+K178+J178</f>
        <v>148.28466537217983</v>
      </c>
      <c r="O178" s="487">
        <f>O173*(1-O179)</f>
        <v>57.629449771053082</v>
      </c>
      <c r="P178" s="487">
        <f>P173*(1-P179)</f>
        <v>63.772232970992825</v>
      </c>
      <c r="Q178" s="487">
        <f>Q173*(1-Q179)</f>
        <v>69.684527747880438</v>
      </c>
      <c r="R178" s="487">
        <f>R173*(1-R179)</f>
        <v>75.225353430878741</v>
      </c>
      <c r="S178" s="486">
        <f>R178+Q178+P178+O178</f>
        <v>266.3115639208051</v>
      </c>
      <c r="T178" s="486">
        <f t="shared" ref="T178:AB178" si="214">T173*(1-T179)</f>
        <v>371.84265599012684</v>
      </c>
      <c r="U178" s="486">
        <f t="shared" si="214"/>
        <v>426.93941271189186</v>
      </c>
      <c r="V178" s="486">
        <f t="shared" si="214"/>
        <v>505.92970750228682</v>
      </c>
      <c r="W178" s="486">
        <f t="shared" si="214"/>
        <v>566.20681570517502</v>
      </c>
      <c r="X178" s="486">
        <f t="shared" si="214"/>
        <v>630.20533352248299</v>
      </c>
      <c r="Y178" s="486">
        <f t="shared" si="214"/>
        <v>718.71742870364233</v>
      </c>
      <c r="Z178" s="486">
        <f t="shared" si="214"/>
        <v>764.76733120530093</v>
      </c>
      <c r="AA178" s="486">
        <f t="shared" si="214"/>
        <v>811.19268421539402</v>
      </c>
      <c r="AB178" s="488">
        <f t="shared" si="214"/>
        <v>823.93935182520909</v>
      </c>
    </row>
    <row r="179" spans="2:28" s="427" customFormat="1">
      <c r="B179" s="465" t="s">
        <v>378</v>
      </c>
      <c r="C179" s="466"/>
      <c r="D179" s="466"/>
      <c r="E179" s="467"/>
      <c r="F179" s="467"/>
      <c r="G179" s="467"/>
      <c r="H179" s="467"/>
      <c r="I179" s="468"/>
      <c r="J179" s="467"/>
      <c r="K179" s="467"/>
      <c r="L179" s="467">
        <v>0.05</v>
      </c>
      <c r="M179" s="467">
        <f>L179</f>
        <v>0.05</v>
      </c>
      <c r="N179" s="468"/>
      <c r="O179" s="467">
        <f>M179</f>
        <v>0.05</v>
      </c>
      <c r="P179" s="467">
        <f>O179</f>
        <v>0.05</v>
      </c>
      <c r="Q179" s="467">
        <f>P179</f>
        <v>0.05</v>
      </c>
      <c r="R179" s="467">
        <f>Q179</f>
        <v>0.05</v>
      </c>
      <c r="S179" s="468">
        <f>(R179+Q179+P179+O179)/4</f>
        <v>0.05</v>
      </c>
      <c r="T179" s="468">
        <f>S179</f>
        <v>0.05</v>
      </c>
      <c r="U179" s="468">
        <f>T179</f>
        <v>0.05</v>
      </c>
      <c r="V179" s="468">
        <f>U179</f>
        <v>0.05</v>
      </c>
      <c r="W179" s="468">
        <f>V179</f>
        <v>0.05</v>
      </c>
      <c r="X179" s="468">
        <f>W179</f>
        <v>0.05</v>
      </c>
      <c r="Y179" s="468"/>
      <c r="Z179" s="468"/>
      <c r="AA179" s="468"/>
      <c r="AB179" s="468"/>
    </row>
    <row r="180" spans="2:28">
      <c r="B180" s="405"/>
      <c r="E180" s="481"/>
      <c r="F180" s="481"/>
      <c r="G180" s="481"/>
      <c r="H180" s="481"/>
      <c r="I180" s="482"/>
      <c r="J180" s="481"/>
      <c r="K180" s="481"/>
      <c r="L180" s="481"/>
      <c r="M180" s="481"/>
      <c r="N180" s="482"/>
      <c r="O180" s="481"/>
      <c r="P180" s="481"/>
      <c r="Q180" s="481"/>
      <c r="R180" s="481"/>
      <c r="S180" s="482"/>
      <c r="T180" s="482"/>
      <c r="U180" s="482"/>
      <c r="V180" s="482"/>
      <c r="W180" s="482"/>
      <c r="X180" s="482"/>
      <c r="Y180" s="482"/>
      <c r="Z180" s="482"/>
      <c r="AA180" s="482"/>
      <c r="AB180" s="483"/>
    </row>
    <row r="181" spans="2:28" s="404" customFormat="1">
      <c r="B181" s="401" t="s">
        <v>343</v>
      </c>
      <c r="C181" s="402">
        <v>2014</v>
      </c>
      <c r="D181" s="402">
        <f>C181+1</f>
        <v>2015</v>
      </c>
      <c r="E181" s="403" t="s">
        <v>241</v>
      </c>
      <c r="F181" s="403" t="s">
        <v>256</v>
      </c>
      <c r="G181" s="403" t="s">
        <v>350</v>
      </c>
      <c r="H181" s="403" t="s">
        <v>361</v>
      </c>
      <c r="I181" s="403">
        <f>D181+1</f>
        <v>2016</v>
      </c>
      <c r="J181" s="403" t="s">
        <v>358</v>
      </c>
      <c r="K181" s="403" t="s">
        <v>328</v>
      </c>
      <c r="L181" s="403" t="s">
        <v>359</v>
      </c>
      <c r="M181" s="403" t="s">
        <v>360</v>
      </c>
      <c r="N181" s="403">
        <f t="shared" ref="N181" si="215">I181+1</f>
        <v>2017</v>
      </c>
      <c r="O181" s="403" t="s">
        <v>368</v>
      </c>
      <c r="P181" s="403" t="s">
        <v>369</v>
      </c>
      <c r="Q181" s="403" t="s">
        <v>370</v>
      </c>
      <c r="R181" s="403" t="s">
        <v>371</v>
      </c>
      <c r="S181" s="403">
        <f>N181+1</f>
        <v>2018</v>
      </c>
      <c r="T181" s="403">
        <f>S181+1</f>
        <v>2019</v>
      </c>
      <c r="U181" s="403">
        <f t="shared" ref="U181" si="216">T181+1</f>
        <v>2020</v>
      </c>
      <c r="V181" s="403">
        <f t="shared" ref="V181" si="217">U181+1</f>
        <v>2021</v>
      </c>
      <c r="W181" s="403">
        <f t="shared" ref="W181" si="218">V181+1</f>
        <v>2022</v>
      </c>
      <c r="X181" s="403">
        <f t="shared" ref="X181" si="219">W181+1</f>
        <v>2023</v>
      </c>
      <c r="Y181" s="403">
        <f t="shared" ref="Y181" si="220">X181+1</f>
        <v>2024</v>
      </c>
      <c r="Z181" s="403">
        <f t="shared" ref="Z181" si="221">Y181+1</f>
        <v>2025</v>
      </c>
      <c r="AA181" s="403">
        <f t="shared" ref="AA181" si="222">Z181+1</f>
        <v>2026</v>
      </c>
      <c r="AB181" s="403">
        <f t="shared" ref="AB181" si="223">AA181+1</f>
        <v>2027</v>
      </c>
    </row>
    <row r="182" spans="2:28">
      <c r="B182" s="405" t="s">
        <v>344</v>
      </c>
      <c r="C182" s="406">
        <v>743100</v>
      </c>
      <c r="D182" s="407">
        <f>C182*(1+D183)</f>
        <v>751274.1</v>
      </c>
      <c r="E182" s="408">
        <f>I182*1.011^-0.325</f>
        <v>756842.38727698638</v>
      </c>
      <c r="F182" s="408">
        <f>I182*1.011^-0.125</f>
        <v>758500.16227859957</v>
      </c>
      <c r="G182" s="408">
        <f>I182*1.011^0.125</f>
        <v>760577.48828505096</v>
      </c>
      <c r="H182" s="408">
        <f>I182*1.011^0.325</f>
        <v>762243.44458990998</v>
      </c>
      <c r="I182" s="407">
        <f>D182*(1+I183)</f>
        <v>759538.11509999994</v>
      </c>
      <c r="J182" s="408">
        <f>N182*1.011^-0.325</f>
        <v>765167.65353703313</v>
      </c>
      <c r="K182" s="408">
        <f>N182*1.011^-0.125</f>
        <v>766843.66406366404</v>
      </c>
      <c r="L182" s="408">
        <f>N182*1.011^0.125</f>
        <v>768943.84065618645</v>
      </c>
      <c r="M182" s="408">
        <f>N182*1.011^0.325</f>
        <v>770628.12248039898</v>
      </c>
      <c r="N182" s="407">
        <f t="shared" ref="N182" si="224">I182*(1+N183)</f>
        <v>767893.03436609986</v>
      </c>
      <c r="O182" s="408">
        <f>S182*1.011^-0.325</f>
        <v>773584.49772594043</v>
      </c>
      <c r="P182" s="408">
        <f>S182*1.011^-0.125</f>
        <v>775278.94436836429</v>
      </c>
      <c r="Q182" s="408">
        <f>S182*1.011^0.125</f>
        <v>777402.2229034045</v>
      </c>
      <c r="R182" s="408">
        <f>S182*1.011^0.325</f>
        <v>779105.03182768333</v>
      </c>
      <c r="S182" s="407">
        <f>N182*(1+S183)</f>
        <v>776339.85774412693</v>
      </c>
      <c r="T182" s="407">
        <f>S182*(1+T183)</f>
        <v>784879.59617931221</v>
      </c>
      <c r="U182" s="407">
        <f t="shared" ref="U182" si="225">T182*(1+U183)</f>
        <v>793513.27173728461</v>
      </c>
      <c r="V182" s="407">
        <f t="shared" ref="V182" si="226">U182*(1+V183)</f>
        <v>802241.9177263946</v>
      </c>
      <c r="W182" s="407">
        <f t="shared" ref="W182" si="227">V182*(1+W183)</f>
        <v>811066.57882138481</v>
      </c>
      <c r="X182" s="407">
        <f t="shared" ref="X182" si="228">W182*(1+X183)</f>
        <v>819988.31118841993</v>
      </c>
      <c r="Y182" s="407">
        <f t="shared" ref="Y182" si="229">X182*(1+Y183)</f>
        <v>829008.18261149246</v>
      </c>
      <c r="Z182" s="407">
        <f t="shared" ref="Z182" si="230">Y182*(1+Z183)</f>
        <v>838127.27262021881</v>
      </c>
      <c r="AA182" s="407">
        <f t="shared" ref="AA182" si="231">Z182*(1+AA183)</f>
        <v>847346.67261904117</v>
      </c>
      <c r="AB182" s="407">
        <f t="shared" ref="AB182" si="232">AA182*(1+AB183)</f>
        <v>856667.48601785058</v>
      </c>
    </row>
    <row r="183" spans="2:28" s="414" customFormat="1">
      <c r="B183" s="409" t="s">
        <v>309</v>
      </c>
      <c r="C183" s="410"/>
      <c r="D183" s="411">
        <v>1.0999999999999999E-2</v>
      </c>
      <c r="E183" s="412"/>
      <c r="F183" s="412"/>
      <c r="G183" s="412"/>
      <c r="H183" s="412"/>
      <c r="I183" s="413">
        <f>D183</f>
        <v>1.0999999999999999E-2</v>
      </c>
      <c r="J183" s="412"/>
      <c r="K183" s="412"/>
      <c r="L183" s="412"/>
      <c r="M183" s="412"/>
      <c r="N183" s="413">
        <f t="shared" ref="N183" si="233">I183</f>
        <v>1.0999999999999999E-2</v>
      </c>
      <c r="O183" s="412"/>
      <c r="P183" s="412"/>
      <c r="Q183" s="412"/>
      <c r="R183" s="412"/>
      <c r="S183" s="413">
        <f>N183</f>
        <v>1.0999999999999999E-2</v>
      </c>
      <c r="T183" s="413">
        <f>S183</f>
        <v>1.0999999999999999E-2</v>
      </c>
      <c r="U183" s="413">
        <f t="shared" ref="U183" si="234">T183</f>
        <v>1.0999999999999999E-2</v>
      </c>
      <c r="V183" s="413">
        <f t="shared" ref="V183" si="235">U183</f>
        <v>1.0999999999999999E-2</v>
      </c>
      <c r="W183" s="413">
        <f t="shared" ref="W183" si="236">V183</f>
        <v>1.0999999999999999E-2</v>
      </c>
      <c r="X183" s="413">
        <f t="shared" ref="X183" si="237">W183</f>
        <v>1.0999999999999999E-2</v>
      </c>
      <c r="Y183" s="413">
        <f t="shared" ref="Y183" si="238">X183</f>
        <v>1.0999999999999999E-2</v>
      </c>
      <c r="Z183" s="413">
        <f t="shared" ref="Z183" si="239">Y183</f>
        <v>1.0999999999999999E-2</v>
      </c>
      <c r="AA183" s="413">
        <f t="shared" ref="AA183" si="240">Z183</f>
        <v>1.0999999999999999E-2</v>
      </c>
      <c r="AB183" s="413">
        <f t="shared" ref="AB183" si="241">AA183</f>
        <v>1.0999999999999999E-2</v>
      </c>
    </row>
    <row r="184" spans="2:28">
      <c r="B184" s="405" t="s">
        <v>310</v>
      </c>
      <c r="C184" s="407">
        <f>0.5*C182</f>
        <v>371550</v>
      </c>
      <c r="D184" s="407">
        <f t="shared" ref="D184:AB184" si="242">0.5*D182</f>
        <v>375637.05</v>
      </c>
      <c r="E184" s="408">
        <f>E182*0.5</f>
        <v>378421.19363849319</v>
      </c>
      <c r="F184" s="408">
        <f>F182*0.5</f>
        <v>379250.08113929979</v>
      </c>
      <c r="G184" s="408">
        <f>G182*0.5</f>
        <v>380288.74414252548</v>
      </c>
      <c r="H184" s="408">
        <f>H182*0.5</f>
        <v>381121.72229495499</v>
      </c>
      <c r="I184" s="407">
        <f t="shared" si="242"/>
        <v>379769.05754999997</v>
      </c>
      <c r="J184" s="408">
        <f>J182*0.5</f>
        <v>382583.82676851656</v>
      </c>
      <c r="K184" s="408">
        <f>K182*0.5</f>
        <v>383421.83203183202</v>
      </c>
      <c r="L184" s="408">
        <f>L182*0.5</f>
        <v>384471.92032809323</v>
      </c>
      <c r="M184" s="408">
        <f>M182*0.5</f>
        <v>385314.06124019949</v>
      </c>
      <c r="N184" s="407">
        <f t="shared" si="242"/>
        <v>383946.51718304993</v>
      </c>
      <c r="O184" s="408">
        <f>O182*0.5</f>
        <v>386792.24886297021</v>
      </c>
      <c r="P184" s="408">
        <f>P182*0.5</f>
        <v>387639.47218418214</v>
      </c>
      <c r="Q184" s="408">
        <f>Q182*0.5</f>
        <v>388701.11145170225</v>
      </c>
      <c r="R184" s="408">
        <f>R182*0.5</f>
        <v>389552.51591384166</v>
      </c>
      <c r="S184" s="407">
        <f t="shared" si="242"/>
        <v>388169.92887206346</v>
      </c>
      <c r="T184" s="407">
        <f t="shared" si="242"/>
        <v>392439.79808965611</v>
      </c>
      <c r="U184" s="407">
        <f t="shared" si="242"/>
        <v>396756.6358686423</v>
      </c>
      <c r="V184" s="407">
        <f t="shared" si="242"/>
        <v>401120.9588631973</v>
      </c>
      <c r="W184" s="407">
        <f t="shared" si="242"/>
        <v>405533.28941069241</v>
      </c>
      <c r="X184" s="407">
        <f t="shared" si="242"/>
        <v>409994.15559420997</v>
      </c>
      <c r="Y184" s="407">
        <f t="shared" si="242"/>
        <v>414504.09130574623</v>
      </c>
      <c r="Z184" s="407">
        <f t="shared" si="242"/>
        <v>419063.6363101094</v>
      </c>
      <c r="AA184" s="407">
        <f t="shared" si="242"/>
        <v>423673.33630952059</v>
      </c>
      <c r="AB184" s="407">
        <f t="shared" si="242"/>
        <v>428333.74300892529</v>
      </c>
    </row>
    <row r="185" spans="2:28">
      <c r="B185" s="405"/>
      <c r="C185" s="407"/>
      <c r="D185" s="407"/>
      <c r="E185" s="408"/>
      <c r="F185" s="408"/>
      <c r="G185" s="408"/>
      <c r="H185" s="408"/>
      <c r="I185" s="407"/>
      <c r="J185" s="408"/>
      <c r="K185" s="408"/>
      <c r="L185" s="408"/>
      <c r="M185" s="408"/>
      <c r="N185" s="407"/>
      <c r="O185" s="408"/>
      <c r="P185" s="408"/>
      <c r="Q185" s="408"/>
      <c r="R185" s="408"/>
      <c r="S185" s="407"/>
      <c r="T185" s="407"/>
      <c r="U185" s="407"/>
      <c r="V185" s="407"/>
      <c r="W185" s="407"/>
      <c r="X185" s="407"/>
      <c r="Y185" s="407"/>
      <c r="Z185" s="407"/>
      <c r="AA185" s="407"/>
      <c r="AB185" s="407"/>
    </row>
    <row r="186" spans="2:28">
      <c r="B186" s="405" t="s">
        <v>352</v>
      </c>
      <c r="C186" s="407">
        <f>0.196*C184</f>
        <v>72823.8</v>
      </c>
      <c r="D186" s="407">
        <f t="shared" ref="D186:AB186" si="243">0.196*D184</f>
        <v>73624.861799999999</v>
      </c>
      <c r="E186" s="408">
        <f t="shared" si="243"/>
        <v>74170.55395314467</v>
      </c>
      <c r="F186" s="408">
        <f t="shared" si="243"/>
        <v>74333.015903302759</v>
      </c>
      <c r="G186" s="408">
        <f t="shared" si="243"/>
        <v>74536.593851935002</v>
      </c>
      <c r="H186" s="408">
        <f t="shared" si="243"/>
        <v>74699.857569811182</v>
      </c>
      <c r="I186" s="407">
        <f t="shared" si="243"/>
        <v>74434.735279799992</v>
      </c>
      <c r="J186" s="408">
        <f t="shared" si="243"/>
        <v>74986.430046629248</v>
      </c>
      <c r="K186" s="408">
        <f t="shared" si="243"/>
        <v>75150.679078239074</v>
      </c>
      <c r="L186" s="408">
        <f t="shared" si="243"/>
        <v>75356.496384306272</v>
      </c>
      <c r="M186" s="408">
        <f t="shared" si="243"/>
        <v>75521.556003079109</v>
      </c>
      <c r="N186" s="407">
        <f t="shared" si="243"/>
        <v>75253.517367877794</v>
      </c>
      <c r="O186" s="408">
        <f t="shared" si="243"/>
        <v>75811.280777142165</v>
      </c>
      <c r="P186" s="408">
        <f t="shared" si="243"/>
        <v>75977.336548099702</v>
      </c>
      <c r="Q186" s="408">
        <f t="shared" si="243"/>
        <v>76185.417844533644</v>
      </c>
      <c r="R186" s="408">
        <f t="shared" si="243"/>
        <v>76352.293119112976</v>
      </c>
      <c r="S186" s="407">
        <f t="shared" si="243"/>
        <v>76081.306058924441</v>
      </c>
      <c r="T186" s="407">
        <f t="shared" si="243"/>
        <v>76918.200425572606</v>
      </c>
      <c r="U186" s="407">
        <f t="shared" si="243"/>
        <v>77764.3006302539</v>
      </c>
      <c r="V186" s="407">
        <f t="shared" si="243"/>
        <v>78619.707937186671</v>
      </c>
      <c r="W186" s="407">
        <f t="shared" si="243"/>
        <v>79484.524724495714</v>
      </c>
      <c r="X186" s="407">
        <f t="shared" si="243"/>
        <v>80358.854496465152</v>
      </c>
      <c r="Y186" s="407">
        <f t="shared" si="243"/>
        <v>81242.80189592627</v>
      </c>
      <c r="Z186" s="407">
        <f t="shared" si="243"/>
        <v>82136.472716781442</v>
      </c>
      <c r="AA186" s="407">
        <f t="shared" si="243"/>
        <v>83039.973916666044</v>
      </c>
      <c r="AB186" s="407">
        <f t="shared" si="243"/>
        <v>83953.413629749353</v>
      </c>
    </row>
    <row r="187" spans="2:28">
      <c r="B187" s="405" t="s">
        <v>353</v>
      </c>
      <c r="C187" s="407">
        <f>C184*0.138</f>
        <v>51273.9</v>
      </c>
      <c r="D187" s="407">
        <f t="shared" ref="D187:AB187" si="244">D184*0.138</f>
        <v>51837.912900000003</v>
      </c>
      <c r="E187" s="408">
        <f t="shared" si="244"/>
        <v>52222.124722112065</v>
      </c>
      <c r="F187" s="408">
        <f t="shared" si="244"/>
        <v>52336.511197223372</v>
      </c>
      <c r="G187" s="408">
        <f t="shared" si="244"/>
        <v>52479.846691668521</v>
      </c>
      <c r="H187" s="408">
        <f t="shared" si="244"/>
        <v>52594.797676703791</v>
      </c>
      <c r="I187" s="407">
        <f t="shared" si="244"/>
        <v>52408.129941899999</v>
      </c>
      <c r="J187" s="408">
        <f t="shared" si="244"/>
        <v>52796.568094055292</v>
      </c>
      <c r="K187" s="408">
        <f t="shared" si="244"/>
        <v>52912.212820392822</v>
      </c>
      <c r="L187" s="408">
        <f t="shared" si="244"/>
        <v>53057.125005276866</v>
      </c>
      <c r="M187" s="408">
        <f t="shared" si="244"/>
        <v>53173.340451147531</v>
      </c>
      <c r="N187" s="407">
        <f t="shared" si="244"/>
        <v>52984.619371260895</v>
      </c>
      <c r="O187" s="408">
        <f t="shared" si="244"/>
        <v>53377.330343089896</v>
      </c>
      <c r="P187" s="408">
        <f t="shared" si="244"/>
        <v>53494.247161417137</v>
      </c>
      <c r="Q187" s="408">
        <f t="shared" si="244"/>
        <v>53640.753380334914</v>
      </c>
      <c r="R187" s="408">
        <f t="shared" si="244"/>
        <v>53758.247196110155</v>
      </c>
      <c r="S187" s="407">
        <f t="shared" si="244"/>
        <v>53567.450184344765</v>
      </c>
      <c r="T187" s="407">
        <f t="shared" si="244"/>
        <v>54156.692136372549</v>
      </c>
      <c r="U187" s="407">
        <f t="shared" si="244"/>
        <v>54752.415749872642</v>
      </c>
      <c r="V187" s="407">
        <f t="shared" si="244"/>
        <v>55354.692323121235</v>
      </c>
      <c r="W187" s="407">
        <f t="shared" si="244"/>
        <v>55963.593938675556</v>
      </c>
      <c r="X187" s="407">
        <f t="shared" si="244"/>
        <v>56579.193472000981</v>
      </c>
      <c r="Y187" s="407">
        <f t="shared" si="244"/>
        <v>57201.564600192985</v>
      </c>
      <c r="Z187" s="407">
        <f t="shared" si="244"/>
        <v>57830.781810795103</v>
      </c>
      <c r="AA187" s="407">
        <f t="shared" si="244"/>
        <v>58466.920410713843</v>
      </c>
      <c r="AB187" s="407">
        <f t="shared" si="244"/>
        <v>59110.056535231692</v>
      </c>
    </row>
    <row r="188" spans="2:28">
      <c r="B188" s="405" t="s">
        <v>354</v>
      </c>
      <c r="C188" s="407">
        <f>C184-C186-C187</f>
        <v>247452.30000000002</v>
      </c>
      <c r="D188" s="407">
        <f t="shared" ref="D188:H188" si="245">D184-D186-D187</f>
        <v>250174.27529999998</v>
      </c>
      <c r="E188" s="408">
        <f t="shared" si="245"/>
        <v>252028.51496323643</v>
      </c>
      <c r="F188" s="408">
        <f t="shared" si="245"/>
        <v>252580.55403877364</v>
      </c>
      <c r="G188" s="408">
        <f t="shared" si="245"/>
        <v>253272.30359892195</v>
      </c>
      <c r="H188" s="408">
        <f t="shared" si="245"/>
        <v>253827.06704844005</v>
      </c>
      <c r="I188" s="407">
        <f t="shared" ref="I188:M188" si="246">I184-I186-I187</f>
        <v>252926.19232830001</v>
      </c>
      <c r="J188" s="408">
        <f t="shared" si="246"/>
        <v>254800.828627832</v>
      </c>
      <c r="K188" s="408">
        <f t="shared" si="246"/>
        <v>255358.94013320011</v>
      </c>
      <c r="L188" s="408">
        <f t="shared" si="246"/>
        <v>256058.29893851007</v>
      </c>
      <c r="M188" s="408">
        <f t="shared" si="246"/>
        <v>256619.16478597285</v>
      </c>
      <c r="N188" s="407">
        <f t="shared" ref="N188:R188" si="247">N184-N186-N187</f>
        <v>255708.38044391127</v>
      </c>
      <c r="O188" s="408">
        <f t="shared" si="247"/>
        <v>257603.63774273818</v>
      </c>
      <c r="P188" s="408">
        <f t="shared" si="247"/>
        <v>258167.88847466529</v>
      </c>
      <c r="Q188" s="408">
        <f t="shared" si="247"/>
        <v>258874.94022683371</v>
      </c>
      <c r="R188" s="408">
        <f t="shared" si="247"/>
        <v>259441.97559861856</v>
      </c>
      <c r="S188" s="407">
        <f t="shared" ref="S188" si="248">S184-S186-S187</f>
        <v>258521.17262879421</v>
      </c>
      <c r="T188" s="407">
        <f t="shared" ref="T188" si="249">T184-T186-T187</f>
        <v>261364.90552771091</v>
      </c>
      <c r="U188" s="407">
        <f t="shared" ref="U188" si="250">U184-U186-U187</f>
        <v>264239.91948851576</v>
      </c>
      <c r="V188" s="407">
        <f t="shared" ref="V188" si="251">V184-V186-V187</f>
        <v>267146.55860288942</v>
      </c>
      <c r="W188" s="407">
        <f t="shared" ref="W188" si="252">W184-W186-W187</f>
        <v>270085.17074752116</v>
      </c>
      <c r="X188" s="407">
        <f t="shared" ref="X188" si="253">X184-X186-X187</f>
        <v>273056.10762574384</v>
      </c>
      <c r="Y188" s="407">
        <f t="shared" ref="Y188" si="254">Y184-Y186-Y187</f>
        <v>276059.72480962699</v>
      </c>
      <c r="Z188" s="407">
        <f t="shared" ref="Z188" si="255">Z184-Z186-Z187</f>
        <v>279096.3817825329</v>
      </c>
      <c r="AA188" s="407">
        <f t="shared" ref="AA188" si="256">AA184-AA186-AA187</f>
        <v>282166.44198214071</v>
      </c>
      <c r="AB188" s="407">
        <f t="shared" ref="AB188" si="257">AB184-AB186-AB187</f>
        <v>285270.2728439442</v>
      </c>
    </row>
    <row r="189" spans="2:28">
      <c r="B189" s="405"/>
      <c r="C189" s="407"/>
      <c r="D189" s="407"/>
      <c r="E189" s="408"/>
      <c r="F189" s="408"/>
      <c r="G189" s="408"/>
      <c r="H189" s="408"/>
      <c r="I189" s="407"/>
      <c r="J189" s="408"/>
      <c r="K189" s="408"/>
      <c r="L189" s="408"/>
      <c r="M189" s="408"/>
      <c r="N189" s="407"/>
      <c r="O189" s="408"/>
      <c r="P189" s="408"/>
      <c r="Q189" s="408"/>
      <c r="R189" s="408"/>
      <c r="S189" s="407"/>
      <c r="T189" s="407"/>
      <c r="U189" s="407"/>
      <c r="V189" s="407"/>
      <c r="W189" s="407"/>
      <c r="X189" s="407"/>
      <c r="Y189" s="407"/>
      <c r="Z189" s="407"/>
      <c r="AA189" s="407"/>
      <c r="AB189" s="407"/>
    </row>
    <row r="190" spans="2:28">
      <c r="B190" s="405" t="s">
        <v>355</v>
      </c>
      <c r="C190" s="415">
        <f>C186*1.6/10000</f>
        <v>11.651808000000001</v>
      </c>
      <c r="D190" s="415">
        <f>D186*1.6/10000</f>
        <v>11.779977887999999</v>
      </c>
      <c r="E190" s="416">
        <f t="shared" ref="E190:H190" si="258">E186*1.6/10000</f>
        <v>11.867288632503147</v>
      </c>
      <c r="F190" s="416">
        <f t="shared" si="258"/>
        <v>11.893282544528443</v>
      </c>
      <c r="G190" s="416">
        <f t="shared" si="258"/>
        <v>11.925855016309601</v>
      </c>
      <c r="H190" s="416">
        <f t="shared" si="258"/>
        <v>11.951977211169789</v>
      </c>
      <c r="I190" s="415">
        <f>I186*1.6/10000</f>
        <v>11.909557644768</v>
      </c>
      <c r="J190" s="416">
        <f t="shared" ref="J190:M190" si="259">J186*1.6/10000</f>
        <v>11.99782880746068</v>
      </c>
      <c r="K190" s="416">
        <f t="shared" si="259"/>
        <v>12.024108652518253</v>
      </c>
      <c r="L190" s="416">
        <f t="shared" si="259"/>
        <v>12.057039421489003</v>
      </c>
      <c r="M190" s="416">
        <f t="shared" si="259"/>
        <v>12.083448960492658</v>
      </c>
      <c r="N190" s="415">
        <f t="shared" ref="N190:AB190" si="260">N186*1.6/10000</f>
        <v>12.040562778860448</v>
      </c>
      <c r="O190" s="416">
        <f t="shared" si="260"/>
        <v>12.129804924342746</v>
      </c>
      <c r="P190" s="416">
        <f t="shared" si="260"/>
        <v>12.156373847695953</v>
      </c>
      <c r="Q190" s="416">
        <f t="shared" si="260"/>
        <v>12.189666855125385</v>
      </c>
      <c r="R190" s="416">
        <f t="shared" si="260"/>
        <v>12.216366899058077</v>
      </c>
      <c r="S190" s="415">
        <f t="shared" si="260"/>
        <v>12.173008969427912</v>
      </c>
      <c r="T190" s="415">
        <f t="shared" si="260"/>
        <v>12.306912068091618</v>
      </c>
      <c r="U190" s="415">
        <f t="shared" si="260"/>
        <v>12.442288100840624</v>
      </c>
      <c r="V190" s="415">
        <f t="shared" si="260"/>
        <v>12.579153269949868</v>
      </c>
      <c r="W190" s="415">
        <f t="shared" si="260"/>
        <v>12.717523955919313</v>
      </c>
      <c r="X190" s="415">
        <f t="shared" si="260"/>
        <v>12.857416719434426</v>
      </c>
      <c r="Y190" s="415">
        <f t="shared" si="260"/>
        <v>12.998848303348204</v>
      </c>
      <c r="Z190" s="415">
        <f t="shared" si="260"/>
        <v>13.141835634685032</v>
      </c>
      <c r="AA190" s="415">
        <f t="shared" si="260"/>
        <v>13.286395826666567</v>
      </c>
      <c r="AB190" s="415">
        <f t="shared" si="260"/>
        <v>13.432546180759896</v>
      </c>
    </row>
    <row r="191" spans="2:28">
      <c r="B191" s="405" t="s">
        <v>356</v>
      </c>
      <c r="C191" s="415">
        <f>C187*1.35/10000</f>
        <v>6.9219764999999995</v>
      </c>
      <c r="D191" s="415">
        <f>D187*1.35/10000</f>
        <v>6.9981182415000003</v>
      </c>
      <c r="E191" s="416">
        <f t="shared" ref="E191:H191" si="261">E187*1.35/10000</f>
        <v>7.0499868374851289</v>
      </c>
      <c r="F191" s="416">
        <f t="shared" si="261"/>
        <v>7.0654290116251559</v>
      </c>
      <c r="G191" s="416">
        <f t="shared" si="261"/>
        <v>7.0847793033752504</v>
      </c>
      <c r="H191" s="416">
        <f t="shared" si="261"/>
        <v>7.1002976863550122</v>
      </c>
      <c r="I191" s="415">
        <f>I187*1.35/10000</f>
        <v>7.0750975421565006</v>
      </c>
      <c r="J191" s="416">
        <f t="shared" ref="J191:M191" si="262">J187*1.35/10000</f>
        <v>7.1275366926974648</v>
      </c>
      <c r="K191" s="416">
        <f t="shared" si="262"/>
        <v>7.1431487307530315</v>
      </c>
      <c r="L191" s="416">
        <f t="shared" si="262"/>
        <v>7.1627118757123771</v>
      </c>
      <c r="M191" s="416">
        <f t="shared" si="262"/>
        <v>7.1784009609049173</v>
      </c>
      <c r="N191" s="415">
        <f t="shared" ref="N191:AB191" si="263">N187*1.35/10000</f>
        <v>7.1529236151202218</v>
      </c>
      <c r="O191" s="416">
        <f t="shared" si="263"/>
        <v>7.2059395963171369</v>
      </c>
      <c r="P191" s="416">
        <f t="shared" si="263"/>
        <v>7.2217233667913137</v>
      </c>
      <c r="Q191" s="416">
        <f t="shared" si="263"/>
        <v>7.2415017063452138</v>
      </c>
      <c r="R191" s="416">
        <f t="shared" si="263"/>
        <v>7.2573633714748711</v>
      </c>
      <c r="S191" s="415">
        <f t="shared" si="263"/>
        <v>7.2316057748865434</v>
      </c>
      <c r="T191" s="415">
        <f t="shared" si="263"/>
        <v>7.3111534384102939</v>
      </c>
      <c r="U191" s="415">
        <f t="shared" si="263"/>
        <v>7.391576126232807</v>
      </c>
      <c r="V191" s="415">
        <f t="shared" si="263"/>
        <v>7.4728834636213666</v>
      </c>
      <c r="W191" s="415">
        <f t="shared" si="263"/>
        <v>7.5550851817212008</v>
      </c>
      <c r="X191" s="415">
        <f t="shared" si="263"/>
        <v>7.6381911187201332</v>
      </c>
      <c r="Y191" s="415">
        <f t="shared" si="263"/>
        <v>7.7222112210260532</v>
      </c>
      <c r="Z191" s="415">
        <f t="shared" si="263"/>
        <v>7.8071555444573386</v>
      </c>
      <c r="AA191" s="415">
        <f t="shared" si="263"/>
        <v>7.8930342554463699</v>
      </c>
      <c r="AB191" s="415">
        <f t="shared" si="263"/>
        <v>7.9798576322562793</v>
      </c>
    </row>
    <row r="192" spans="2:28">
      <c r="B192" s="405" t="s">
        <v>357</v>
      </c>
      <c r="C192" s="415">
        <f>C188*0.2/10000</f>
        <v>4.9490460000000009</v>
      </c>
      <c r="D192" s="415">
        <f t="shared" ref="D192:AB192" si="264">D188*0.2/10000</f>
        <v>5.0034855060000005</v>
      </c>
      <c r="E192" s="416">
        <f t="shared" si="264"/>
        <v>5.0405702992647292</v>
      </c>
      <c r="F192" s="416">
        <f t="shared" si="264"/>
        <v>5.0516110807754728</v>
      </c>
      <c r="G192" s="416">
        <f t="shared" si="264"/>
        <v>5.0654460719784398</v>
      </c>
      <c r="H192" s="416">
        <f t="shared" si="264"/>
        <v>5.0765413409688014</v>
      </c>
      <c r="I192" s="415">
        <f t="shared" si="264"/>
        <v>5.0585238465660005</v>
      </c>
      <c r="J192" s="416">
        <f t="shared" si="264"/>
        <v>5.09601657255664</v>
      </c>
      <c r="K192" s="416">
        <f t="shared" si="264"/>
        <v>5.1071788026640021</v>
      </c>
      <c r="L192" s="416">
        <f t="shared" si="264"/>
        <v>5.1211659787702022</v>
      </c>
      <c r="M192" s="416">
        <f t="shared" si="264"/>
        <v>5.1323832957194568</v>
      </c>
      <c r="N192" s="415">
        <f t="shared" si="264"/>
        <v>5.1141676088782262</v>
      </c>
      <c r="O192" s="416">
        <f t="shared" si="264"/>
        <v>5.152072754854764</v>
      </c>
      <c r="P192" s="416">
        <f t="shared" si="264"/>
        <v>5.1633577694933059</v>
      </c>
      <c r="Q192" s="416">
        <f t="shared" si="264"/>
        <v>5.1774988045366745</v>
      </c>
      <c r="R192" s="416">
        <f t="shared" si="264"/>
        <v>5.1888395119723718</v>
      </c>
      <c r="S192" s="415">
        <f t="shared" si="264"/>
        <v>5.1704234525758848</v>
      </c>
      <c r="T192" s="415">
        <f t="shared" si="264"/>
        <v>5.2272981105542184</v>
      </c>
      <c r="U192" s="415">
        <f t="shared" si="264"/>
        <v>5.284798389770315</v>
      </c>
      <c r="V192" s="415">
        <f t="shared" si="264"/>
        <v>5.3429311720577886</v>
      </c>
      <c r="W192" s="415">
        <f t="shared" si="264"/>
        <v>5.4017034149504237</v>
      </c>
      <c r="X192" s="415">
        <f t="shared" si="264"/>
        <v>5.4611221525148776</v>
      </c>
      <c r="Y192" s="415">
        <f t="shared" si="264"/>
        <v>5.5211944961925399</v>
      </c>
      <c r="Z192" s="415">
        <f t="shared" si="264"/>
        <v>5.5819276356506586</v>
      </c>
      <c r="AA192" s="415">
        <f t="shared" si="264"/>
        <v>5.6433288396428143</v>
      </c>
      <c r="AB192" s="415">
        <f t="shared" si="264"/>
        <v>5.7054054568788848</v>
      </c>
    </row>
    <row r="193" spans="1:28">
      <c r="B193" s="405" t="s">
        <v>311</v>
      </c>
      <c r="C193" s="415">
        <f>C190+C191+C192</f>
        <v>23.522830500000005</v>
      </c>
      <c r="D193" s="415">
        <f t="shared" ref="D193:AB193" si="265">D190+D191+D192</f>
        <v>23.7815816355</v>
      </c>
      <c r="E193" s="416">
        <f t="shared" si="265"/>
        <v>23.957845769253005</v>
      </c>
      <c r="F193" s="416">
        <f t="shared" si="265"/>
        <v>24.010322636929072</v>
      </c>
      <c r="G193" s="416">
        <f t="shared" si="265"/>
        <v>24.07608039166329</v>
      </c>
      <c r="H193" s="416">
        <f t="shared" si="265"/>
        <v>24.128816238493602</v>
      </c>
      <c r="I193" s="415">
        <f t="shared" si="265"/>
        <v>24.0431790334905</v>
      </c>
      <c r="J193" s="416">
        <f t="shared" si="265"/>
        <v>24.221382072714785</v>
      </c>
      <c r="K193" s="416">
        <f t="shared" si="265"/>
        <v>24.274436185935286</v>
      </c>
      <c r="L193" s="416">
        <f t="shared" si="265"/>
        <v>24.340917275971584</v>
      </c>
      <c r="M193" s="416">
        <f t="shared" si="265"/>
        <v>24.394233217117034</v>
      </c>
      <c r="N193" s="415">
        <f t="shared" si="265"/>
        <v>24.307654002858897</v>
      </c>
      <c r="O193" s="416">
        <f t="shared" ref="O193" si="266">O190+O191+O192</f>
        <v>24.487817275514647</v>
      </c>
      <c r="P193" s="416">
        <f t="shared" ref="P193" si="267">P190+P191+P192</f>
        <v>24.541454983980572</v>
      </c>
      <c r="Q193" s="416">
        <f t="shared" ref="Q193" si="268">Q190+Q191+Q192</f>
        <v>24.608667366007275</v>
      </c>
      <c r="R193" s="416">
        <f t="shared" ref="R193" si="269">R190+R191+R192</f>
        <v>24.662569782505319</v>
      </c>
      <c r="S193" s="415">
        <f t="shared" si="265"/>
        <v>24.57503819689034</v>
      </c>
      <c r="T193" s="415">
        <f t="shared" si="265"/>
        <v>24.845363617056133</v>
      </c>
      <c r="U193" s="415">
        <f t="shared" si="265"/>
        <v>25.118662616843746</v>
      </c>
      <c r="V193" s="415">
        <f t="shared" si="265"/>
        <v>25.394967905629024</v>
      </c>
      <c r="W193" s="415">
        <f t="shared" si="265"/>
        <v>25.674312552590941</v>
      </c>
      <c r="X193" s="415">
        <f t="shared" si="265"/>
        <v>25.956729990669437</v>
      </c>
      <c r="Y193" s="415">
        <f t="shared" si="265"/>
        <v>26.242254020566797</v>
      </c>
      <c r="Z193" s="415">
        <f t="shared" si="265"/>
        <v>26.530918814793029</v>
      </c>
      <c r="AA193" s="415">
        <f t="shared" si="265"/>
        <v>26.822758921755749</v>
      </c>
      <c r="AB193" s="415">
        <f t="shared" si="265"/>
        <v>27.117809269895062</v>
      </c>
    </row>
    <row r="194" spans="1:28">
      <c r="B194" s="405"/>
      <c r="C194" s="395"/>
      <c r="D194" s="395"/>
      <c r="E194" s="417"/>
      <c r="F194" s="417"/>
      <c r="G194" s="417"/>
      <c r="H194" s="417"/>
      <c r="I194" s="418"/>
      <c r="J194" s="417"/>
      <c r="K194" s="417"/>
      <c r="L194" s="417"/>
      <c r="M194" s="417"/>
      <c r="N194" s="418"/>
      <c r="O194" s="417"/>
      <c r="P194" s="417"/>
      <c r="Q194" s="417"/>
      <c r="R194" s="417"/>
      <c r="S194" s="418"/>
      <c r="T194" s="418"/>
      <c r="U194" s="418"/>
      <c r="V194" s="418"/>
      <c r="W194" s="418"/>
      <c r="X194" s="418"/>
      <c r="Y194" s="418"/>
      <c r="Z194" s="418"/>
      <c r="AA194" s="418"/>
      <c r="AB194" s="418"/>
    </row>
    <row r="195" spans="1:28">
      <c r="B195" s="405" t="s">
        <v>317</v>
      </c>
      <c r="C195" s="419">
        <f>C193*0.13</f>
        <v>3.0579679650000009</v>
      </c>
      <c r="D195" s="419">
        <f t="shared" ref="D195:AB195" si="270">D193*0.13</f>
        <v>3.091605612615</v>
      </c>
      <c r="E195" s="420">
        <f t="shared" si="270"/>
        <v>3.1145199500028906</v>
      </c>
      <c r="F195" s="420">
        <f t="shared" si="270"/>
        <v>3.1213419428007794</v>
      </c>
      <c r="G195" s="420">
        <f t="shared" si="270"/>
        <v>3.1298904509162275</v>
      </c>
      <c r="H195" s="420">
        <f t="shared" si="270"/>
        <v>3.1367461110041686</v>
      </c>
      <c r="I195" s="419">
        <f t="shared" si="270"/>
        <v>3.125613274353765</v>
      </c>
      <c r="J195" s="420">
        <f t="shared" si="270"/>
        <v>3.1487796694529222</v>
      </c>
      <c r="K195" s="420">
        <f t="shared" si="270"/>
        <v>3.1556767041715874</v>
      </c>
      <c r="L195" s="420">
        <f t="shared" si="270"/>
        <v>3.1643192458763059</v>
      </c>
      <c r="M195" s="420">
        <f t="shared" si="270"/>
        <v>3.1712503182252143</v>
      </c>
      <c r="N195" s="419">
        <f t="shared" si="270"/>
        <v>3.1599950203716567</v>
      </c>
      <c r="O195" s="420">
        <f t="shared" si="270"/>
        <v>3.1834162458169044</v>
      </c>
      <c r="P195" s="420">
        <f t="shared" si="270"/>
        <v>3.1903891479174744</v>
      </c>
      <c r="Q195" s="420">
        <f t="shared" si="270"/>
        <v>3.1991267575809457</v>
      </c>
      <c r="R195" s="420">
        <f t="shared" si="270"/>
        <v>3.2061340717256916</v>
      </c>
      <c r="S195" s="419">
        <f t="shared" si="270"/>
        <v>3.1947549655957443</v>
      </c>
      <c r="T195" s="419">
        <f t="shared" si="270"/>
        <v>3.2298972702172972</v>
      </c>
      <c r="U195" s="419">
        <f t="shared" si="270"/>
        <v>3.2654261401896871</v>
      </c>
      <c r="V195" s="419">
        <f t="shared" si="270"/>
        <v>3.3013458277317733</v>
      </c>
      <c r="W195" s="419">
        <f t="shared" si="270"/>
        <v>3.3376606318368225</v>
      </c>
      <c r="X195" s="419">
        <f t="shared" si="270"/>
        <v>3.374374898787027</v>
      </c>
      <c r="Y195" s="419">
        <f t="shared" si="270"/>
        <v>3.4114930226736839</v>
      </c>
      <c r="Z195" s="419">
        <f t="shared" si="270"/>
        <v>3.4490194459230938</v>
      </c>
      <c r="AA195" s="419">
        <f t="shared" si="270"/>
        <v>3.4869586598282476</v>
      </c>
      <c r="AB195" s="419">
        <f t="shared" si="270"/>
        <v>3.5253152050863581</v>
      </c>
    </row>
    <row r="196" spans="1:28">
      <c r="B196" s="405" t="s">
        <v>330</v>
      </c>
      <c r="C196" s="419">
        <f t="shared" ref="C196:AB196" si="271">C193*0.08</f>
        <v>1.8818264400000004</v>
      </c>
      <c r="D196" s="419">
        <f t="shared" si="271"/>
        <v>1.9025265308400001</v>
      </c>
      <c r="E196" s="421">
        <f t="shared" si="271"/>
        <v>1.9166276615402404</v>
      </c>
      <c r="F196" s="421">
        <f t="shared" si="271"/>
        <v>1.9208258109543257</v>
      </c>
      <c r="G196" s="421">
        <f t="shared" si="271"/>
        <v>1.9260864313330632</v>
      </c>
      <c r="H196" s="421">
        <f t="shared" si="271"/>
        <v>1.9303052990794882</v>
      </c>
      <c r="I196" s="419">
        <f t="shared" si="271"/>
        <v>1.92345432267924</v>
      </c>
      <c r="J196" s="421">
        <f t="shared" si="271"/>
        <v>1.9377105658171829</v>
      </c>
      <c r="K196" s="421">
        <f t="shared" si="271"/>
        <v>1.9419548948748229</v>
      </c>
      <c r="L196" s="421">
        <f t="shared" si="271"/>
        <v>1.9472733820777268</v>
      </c>
      <c r="M196" s="421">
        <f t="shared" si="271"/>
        <v>1.9515386573693627</v>
      </c>
      <c r="N196" s="419">
        <f t="shared" si="271"/>
        <v>1.9446123202287118</v>
      </c>
      <c r="O196" s="421">
        <f t="shared" si="271"/>
        <v>1.9590253820411718</v>
      </c>
      <c r="P196" s="421">
        <f t="shared" si="271"/>
        <v>1.9633163987184459</v>
      </c>
      <c r="Q196" s="421">
        <f t="shared" si="271"/>
        <v>1.968693389280582</v>
      </c>
      <c r="R196" s="421">
        <f t="shared" si="271"/>
        <v>1.9730055826004256</v>
      </c>
      <c r="S196" s="419">
        <f t="shared" si="271"/>
        <v>1.9660030557512271</v>
      </c>
      <c r="T196" s="419">
        <f t="shared" si="271"/>
        <v>1.9876290893644908</v>
      </c>
      <c r="U196" s="419">
        <f t="shared" si="271"/>
        <v>2.0094930093474996</v>
      </c>
      <c r="V196" s="419">
        <f t="shared" si="271"/>
        <v>2.0315974324503219</v>
      </c>
      <c r="W196" s="419">
        <f t="shared" si="271"/>
        <v>2.0539450042072751</v>
      </c>
      <c r="X196" s="419">
        <f t="shared" si="271"/>
        <v>2.0765383992535549</v>
      </c>
      <c r="Y196" s="419">
        <f t="shared" si="271"/>
        <v>2.0993803216453437</v>
      </c>
      <c r="Z196" s="419">
        <f t="shared" si="271"/>
        <v>2.1224735051834425</v>
      </c>
      <c r="AA196" s="419">
        <f t="shared" si="271"/>
        <v>2.1458207137404601</v>
      </c>
      <c r="AB196" s="419">
        <f t="shared" si="271"/>
        <v>2.1694247415916048</v>
      </c>
    </row>
    <row r="197" spans="1:28">
      <c r="B197" s="405" t="s">
        <v>329</v>
      </c>
      <c r="C197" s="419">
        <f>C193*0.08</f>
        <v>1.8818264400000004</v>
      </c>
      <c r="D197" s="419">
        <f t="shared" ref="D197:AB197" si="272">D193*0.08</f>
        <v>1.9025265308400001</v>
      </c>
      <c r="E197" s="421">
        <f t="shared" si="272"/>
        <v>1.9166276615402404</v>
      </c>
      <c r="F197" s="421">
        <f t="shared" si="272"/>
        <v>1.9208258109543257</v>
      </c>
      <c r="G197" s="421">
        <f t="shared" si="272"/>
        <v>1.9260864313330632</v>
      </c>
      <c r="H197" s="421">
        <f t="shared" si="272"/>
        <v>1.9303052990794882</v>
      </c>
      <c r="I197" s="419">
        <f t="shared" si="272"/>
        <v>1.92345432267924</v>
      </c>
      <c r="J197" s="421">
        <f t="shared" si="272"/>
        <v>1.9377105658171829</v>
      </c>
      <c r="K197" s="421">
        <f t="shared" si="272"/>
        <v>1.9419548948748229</v>
      </c>
      <c r="L197" s="421">
        <f t="shared" si="272"/>
        <v>1.9472733820777268</v>
      </c>
      <c r="M197" s="421">
        <f t="shared" si="272"/>
        <v>1.9515386573693627</v>
      </c>
      <c r="N197" s="419">
        <f t="shared" si="272"/>
        <v>1.9446123202287118</v>
      </c>
      <c r="O197" s="421">
        <f t="shared" si="272"/>
        <v>1.9590253820411718</v>
      </c>
      <c r="P197" s="421">
        <f t="shared" si="272"/>
        <v>1.9633163987184459</v>
      </c>
      <c r="Q197" s="421">
        <f t="shared" si="272"/>
        <v>1.968693389280582</v>
      </c>
      <c r="R197" s="421">
        <f t="shared" si="272"/>
        <v>1.9730055826004256</v>
      </c>
      <c r="S197" s="419">
        <f t="shared" si="272"/>
        <v>1.9660030557512271</v>
      </c>
      <c r="T197" s="419">
        <f t="shared" si="272"/>
        <v>1.9876290893644908</v>
      </c>
      <c r="U197" s="419">
        <f t="shared" si="272"/>
        <v>2.0094930093474996</v>
      </c>
      <c r="V197" s="419">
        <f t="shared" si="272"/>
        <v>2.0315974324503219</v>
      </c>
      <c r="W197" s="419">
        <f t="shared" si="272"/>
        <v>2.0539450042072751</v>
      </c>
      <c r="X197" s="419">
        <f t="shared" si="272"/>
        <v>2.0765383992535549</v>
      </c>
      <c r="Y197" s="419">
        <f t="shared" si="272"/>
        <v>2.0993803216453437</v>
      </c>
      <c r="Z197" s="419">
        <f t="shared" si="272"/>
        <v>2.1224735051834425</v>
      </c>
      <c r="AA197" s="419">
        <f t="shared" si="272"/>
        <v>2.1458207137404601</v>
      </c>
      <c r="AB197" s="419">
        <f t="shared" si="272"/>
        <v>2.1694247415916048</v>
      </c>
    </row>
    <row r="198" spans="1:28">
      <c r="B198" s="405"/>
      <c r="C198" s="407"/>
      <c r="D198" s="407"/>
      <c r="E198" s="408"/>
      <c r="F198" s="408"/>
      <c r="G198" s="408"/>
      <c r="H198" s="408"/>
      <c r="I198" s="407"/>
      <c r="J198" s="408"/>
      <c r="K198" s="408"/>
      <c r="L198" s="408"/>
      <c r="M198" s="408"/>
      <c r="N198" s="407"/>
      <c r="O198" s="408"/>
      <c r="P198" s="408"/>
      <c r="Q198" s="408"/>
      <c r="R198" s="408"/>
      <c r="S198" s="407"/>
      <c r="T198" s="407"/>
      <c r="U198" s="407"/>
      <c r="V198" s="407"/>
      <c r="W198" s="407"/>
      <c r="X198" s="407"/>
      <c r="Y198" s="407"/>
      <c r="Z198" s="407"/>
      <c r="AA198" s="407"/>
      <c r="AB198" s="407"/>
    </row>
    <row r="199" spans="1:28">
      <c r="B199" s="405" t="s">
        <v>331</v>
      </c>
      <c r="C199" s="415">
        <f t="shared" ref="C199:AB199" si="273">C190*0.13</f>
        <v>1.5147350400000001</v>
      </c>
      <c r="D199" s="415">
        <f t="shared" si="273"/>
        <v>1.5313971254400001</v>
      </c>
      <c r="E199" s="416">
        <f t="shared" si="273"/>
        <v>1.5427475222254092</v>
      </c>
      <c r="F199" s="416">
        <f t="shared" si="273"/>
        <v>1.5461267307886977</v>
      </c>
      <c r="G199" s="416">
        <f t="shared" si="273"/>
        <v>1.5503611521202483</v>
      </c>
      <c r="H199" s="416">
        <f t="shared" si="273"/>
        <v>1.5537570374520726</v>
      </c>
      <c r="I199" s="415">
        <f t="shared" si="273"/>
        <v>1.54824249381984</v>
      </c>
      <c r="J199" s="416">
        <f t="shared" si="273"/>
        <v>1.5597177449698885</v>
      </c>
      <c r="K199" s="416">
        <f t="shared" si="273"/>
        <v>1.5631341248273729</v>
      </c>
      <c r="L199" s="416">
        <f t="shared" si="273"/>
        <v>1.5674151247935706</v>
      </c>
      <c r="M199" s="416">
        <f t="shared" si="273"/>
        <v>1.5708483648640457</v>
      </c>
      <c r="N199" s="415">
        <f t="shared" si="273"/>
        <v>1.5652731612518582</v>
      </c>
      <c r="O199" s="416">
        <f t="shared" si="273"/>
        <v>1.576874640164557</v>
      </c>
      <c r="P199" s="416">
        <f t="shared" si="273"/>
        <v>1.5803286002004739</v>
      </c>
      <c r="Q199" s="416">
        <f t="shared" si="273"/>
        <v>1.5846566911663</v>
      </c>
      <c r="R199" s="416">
        <f t="shared" si="273"/>
        <v>1.58812769687755</v>
      </c>
      <c r="S199" s="415">
        <f t="shared" si="273"/>
        <v>1.5824911660256284</v>
      </c>
      <c r="T199" s="415">
        <f t="shared" si="273"/>
        <v>1.5998985688519105</v>
      </c>
      <c r="U199" s="415">
        <f t="shared" si="273"/>
        <v>1.6174974531092812</v>
      </c>
      <c r="V199" s="415">
        <f t="shared" si="273"/>
        <v>1.6352899250934829</v>
      </c>
      <c r="W199" s="415">
        <f t="shared" si="273"/>
        <v>1.6532781142695108</v>
      </c>
      <c r="X199" s="415">
        <f t="shared" si="273"/>
        <v>1.6714641735264755</v>
      </c>
      <c r="Y199" s="415">
        <f t="shared" si="273"/>
        <v>1.6898502794352666</v>
      </c>
      <c r="Z199" s="415">
        <f t="shared" si="273"/>
        <v>1.7084386325090541</v>
      </c>
      <c r="AA199" s="415">
        <f t="shared" si="273"/>
        <v>1.7272314574666539</v>
      </c>
      <c r="AB199" s="415">
        <f t="shared" si="273"/>
        <v>1.7462310034987867</v>
      </c>
    </row>
    <row r="200" spans="1:28">
      <c r="B200" s="405" t="s">
        <v>332</v>
      </c>
      <c r="C200" s="415">
        <f t="shared" ref="C200:AB200" si="274">(C191+C192)*0.13</f>
        <v>1.5432329250000001</v>
      </c>
      <c r="D200" s="415">
        <f t="shared" si="274"/>
        <v>1.5602084871750002</v>
      </c>
      <c r="E200" s="416">
        <f t="shared" si="274"/>
        <v>1.5717724277774816</v>
      </c>
      <c r="F200" s="416">
        <f t="shared" si="274"/>
        <v>1.5752152120120817</v>
      </c>
      <c r="G200" s="416">
        <f t="shared" si="274"/>
        <v>1.5795292987959797</v>
      </c>
      <c r="H200" s="416">
        <f t="shared" si="274"/>
        <v>1.5829890735520957</v>
      </c>
      <c r="I200" s="415">
        <f t="shared" si="274"/>
        <v>1.5773707805339252</v>
      </c>
      <c r="J200" s="416">
        <f t="shared" si="274"/>
        <v>1.5890619244830335</v>
      </c>
      <c r="K200" s="416">
        <f t="shared" si="274"/>
        <v>1.5925425793442145</v>
      </c>
      <c r="L200" s="416">
        <f t="shared" si="274"/>
        <v>1.5969041210827353</v>
      </c>
      <c r="M200" s="416">
        <f t="shared" si="274"/>
        <v>1.6004019533611686</v>
      </c>
      <c r="N200" s="415">
        <f t="shared" si="274"/>
        <v>1.5947218591197985</v>
      </c>
      <c r="O200" s="416">
        <f t="shared" si="274"/>
        <v>1.6065416056523472</v>
      </c>
      <c r="P200" s="416">
        <f t="shared" si="274"/>
        <v>1.6100605477170005</v>
      </c>
      <c r="Q200" s="416">
        <f t="shared" si="274"/>
        <v>1.6144700664146456</v>
      </c>
      <c r="R200" s="416">
        <f t="shared" si="274"/>
        <v>1.6180063748481415</v>
      </c>
      <c r="S200" s="415">
        <f t="shared" si="274"/>
        <v>1.6122637995701157</v>
      </c>
      <c r="T200" s="415">
        <f t="shared" si="274"/>
        <v>1.6299987013653867</v>
      </c>
      <c r="U200" s="415">
        <f t="shared" si="274"/>
        <v>1.647928687080406</v>
      </c>
      <c r="V200" s="415">
        <f t="shared" si="274"/>
        <v>1.6660559026382902</v>
      </c>
      <c r="W200" s="415">
        <f t="shared" si="274"/>
        <v>1.6843825175673113</v>
      </c>
      <c r="X200" s="415">
        <f t="shared" si="274"/>
        <v>1.7029107252605515</v>
      </c>
      <c r="Y200" s="415">
        <f t="shared" si="274"/>
        <v>1.7216427432384172</v>
      </c>
      <c r="Z200" s="415">
        <f t="shared" si="274"/>
        <v>1.7405808134140397</v>
      </c>
      <c r="AA200" s="415">
        <f t="shared" si="274"/>
        <v>1.759727202361594</v>
      </c>
      <c r="AB200" s="415">
        <f t="shared" si="274"/>
        <v>1.7790842015875714</v>
      </c>
    </row>
    <row r="201" spans="1:28">
      <c r="B201" s="405" t="s">
        <v>406</v>
      </c>
      <c r="C201" s="415">
        <f t="shared" ref="C201:H201" si="275">C190*0.16</f>
        <v>1.8642892800000002</v>
      </c>
      <c r="D201" s="415">
        <f t="shared" si="275"/>
        <v>1.88479646208</v>
      </c>
      <c r="E201" s="416">
        <f t="shared" si="275"/>
        <v>1.8987661812005037</v>
      </c>
      <c r="F201" s="416">
        <f t="shared" si="275"/>
        <v>1.9029252071245508</v>
      </c>
      <c r="G201" s="416">
        <f t="shared" si="275"/>
        <v>1.9081368026095362</v>
      </c>
      <c r="H201" s="416">
        <f t="shared" si="275"/>
        <v>1.9123163537871661</v>
      </c>
      <c r="I201" s="415">
        <f t="shared" ref="I201:AB201" si="276">I190*0.08</f>
        <v>0.95276461158143999</v>
      </c>
      <c r="J201" s="416">
        <f t="shared" si="276"/>
        <v>0.95982630459685436</v>
      </c>
      <c r="K201" s="416">
        <f t="shared" si="276"/>
        <v>0.96192869220146027</v>
      </c>
      <c r="L201" s="416">
        <f t="shared" si="276"/>
        <v>0.96456315371912027</v>
      </c>
      <c r="M201" s="416">
        <f t="shared" si="276"/>
        <v>0.96667591683941267</v>
      </c>
      <c r="N201" s="415">
        <f t="shared" si="276"/>
        <v>0.9632450223088358</v>
      </c>
      <c r="O201" s="416">
        <f t="shared" si="276"/>
        <v>0.97038439394741971</v>
      </c>
      <c r="P201" s="416">
        <f t="shared" si="276"/>
        <v>0.97250990781567626</v>
      </c>
      <c r="Q201" s="416">
        <f t="shared" si="276"/>
        <v>0.97517334841003078</v>
      </c>
      <c r="R201" s="416">
        <f t="shared" si="276"/>
        <v>0.97730935192464619</v>
      </c>
      <c r="S201" s="415">
        <f t="shared" si="276"/>
        <v>0.97384071755423296</v>
      </c>
      <c r="T201" s="415">
        <f t="shared" si="276"/>
        <v>0.98455296544732951</v>
      </c>
      <c r="U201" s="415">
        <f t="shared" si="276"/>
        <v>0.99538304806724998</v>
      </c>
      <c r="V201" s="415">
        <f t="shared" si="276"/>
        <v>1.0063322615959895</v>
      </c>
      <c r="W201" s="415">
        <f t="shared" si="276"/>
        <v>1.0174019164735451</v>
      </c>
      <c r="X201" s="415">
        <f t="shared" si="276"/>
        <v>1.028593337554754</v>
      </c>
      <c r="Y201" s="415">
        <f t="shared" si="276"/>
        <v>1.0399078642678563</v>
      </c>
      <c r="Z201" s="415">
        <f t="shared" si="276"/>
        <v>1.0513468507748025</v>
      </c>
      <c r="AA201" s="415">
        <f t="shared" si="276"/>
        <v>1.0629116661333253</v>
      </c>
      <c r="AB201" s="415">
        <f t="shared" si="276"/>
        <v>1.0746036944607917</v>
      </c>
    </row>
    <row r="202" spans="1:28">
      <c r="B202" s="405" t="s">
        <v>409</v>
      </c>
      <c r="C202" s="415"/>
      <c r="D202" s="415"/>
      <c r="E202" s="416"/>
      <c r="F202" s="416"/>
      <c r="G202" s="416"/>
      <c r="H202" s="416"/>
      <c r="I202" s="415">
        <f t="shared" ref="I202:AB202" si="277">I190*0.08</f>
        <v>0.95276461158143999</v>
      </c>
      <c r="J202" s="416">
        <f t="shared" si="277"/>
        <v>0.95982630459685436</v>
      </c>
      <c r="K202" s="416">
        <f t="shared" si="277"/>
        <v>0.96192869220146027</v>
      </c>
      <c r="L202" s="416">
        <f t="shared" si="277"/>
        <v>0.96456315371912027</v>
      </c>
      <c r="M202" s="416">
        <f t="shared" si="277"/>
        <v>0.96667591683941267</v>
      </c>
      <c r="N202" s="415">
        <f t="shared" si="277"/>
        <v>0.9632450223088358</v>
      </c>
      <c r="O202" s="416">
        <f t="shared" si="277"/>
        <v>0.97038439394741971</v>
      </c>
      <c r="P202" s="416">
        <f t="shared" si="277"/>
        <v>0.97250990781567626</v>
      </c>
      <c r="Q202" s="416">
        <f t="shared" si="277"/>
        <v>0.97517334841003078</v>
      </c>
      <c r="R202" s="416">
        <f t="shared" si="277"/>
        <v>0.97730935192464619</v>
      </c>
      <c r="S202" s="415">
        <f t="shared" si="277"/>
        <v>0.97384071755423296</v>
      </c>
      <c r="T202" s="415">
        <f t="shared" si="277"/>
        <v>0.98455296544732951</v>
      </c>
      <c r="U202" s="415">
        <f t="shared" si="277"/>
        <v>0.99538304806724998</v>
      </c>
      <c r="V202" s="415">
        <f t="shared" si="277"/>
        <v>1.0063322615959895</v>
      </c>
      <c r="W202" s="415">
        <f t="shared" si="277"/>
        <v>1.0174019164735451</v>
      </c>
      <c r="X202" s="415">
        <f t="shared" si="277"/>
        <v>1.028593337554754</v>
      </c>
      <c r="Y202" s="415">
        <f t="shared" si="277"/>
        <v>1.0399078642678563</v>
      </c>
      <c r="Z202" s="415">
        <f t="shared" si="277"/>
        <v>1.0513468507748025</v>
      </c>
      <c r="AA202" s="415">
        <f t="shared" si="277"/>
        <v>1.0629116661333253</v>
      </c>
      <c r="AB202" s="415">
        <f t="shared" si="277"/>
        <v>1.0746036944607917</v>
      </c>
    </row>
    <row r="203" spans="1:28">
      <c r="B203" s="405" t="s">
        <v>408</v>
      </c>
      <c r="C203" s="415">
        <f>(C191+C192)*0.16</f>
        <v>1.8993636</v>
      </c>
      <c r="D203" s="415">
        <f>(D191+D192)*0.16</f>
        <v>1.9202565996000001</v>
      </c>
      <c r="E203" s="416">
        <f>(E191+E192)*0.14</f>
        <v>1.6926779991449803</v>
      </c>
      <c r="F203" s="416">
        <f>(F191+F192)*0.14</f>
        <v>1.6963856129360881</v>
      </c>
      <c r="G203" s="416">
        <f>(G191+G192)*0.14</f>
        <v>1.7010315525495168</v>
      </c>
      <c r="H203" s="416">
        <f>(H191+H192)*0.14</f>
        <v>1.704757463825334</v>
      </c>
      <c r="I203" s="415">
        <f t="shared" ref="I203:AB203" si="278">(I191+I192)*0.08</f>
        <v>0.97068971109780011</v>
      </c>
      <c r="J203" s="416">
        <f t="shared" si="278"/>
        <v>0.97788426122032834</v>
      </c>
      <c r="K203" s="416">
        <f t="shared" si="278"/>
        <v>0.98002620267336271</v>
      </c>
      <c r="L203" s="416">
        <f t="shared" si="278"/>
        <v>0.98271022835860633</v>
      </c>
      <c r="M203" s="416">
        <f t="shared" si="278"/>
        <v>0.98486274052994993</v>
      </c>
      <c r="N203" s="415">
        <f t="shared" si="278"/>
        <v>0.98136729791987598</v>
      </c>
      <c r="O203" s="416">
        <f t="shared" si="278"/>
        <v>0.98864098809375212</v>
      </c>
      <c r="P203" s="416">
        <f t="shared" si="278"/>
        <v>0.99080649090276951</v>
      </c>
      <c r="Q203" s="416">
        <f t="shared" si="278"/>
        <v>0.99352004087055112</v>
      </c>
      <c r="R203" s="416">
        <f t="shared" si="278"/>
        <v>0.99569623067577939</v>
      </c>
      <c r="S203" s="415">
        <f t="shared" si="278"/>
        <v>0.99216233819699429</v>
      </c>
      <c r="T203" s="415">
        <f t="shared" si="278"/>
        <v>1.0030761239171611</v>
      </c>
      <c r="U203" s="415">
        <f t="shared" si="278"/>
        <v>1.0141099612802498</v>
      </c>
      <c r="V203" s="415">
        <f t="shared" si="278"/>
        <v>1.0252651708543323</v>
      </c>
      <c r="W203" s="415">
        <f t="shared" si="278"/>
        <v>1.0365430877337301</v>
      </c>
      <c r="X203" s="415">
        <f t="shared" si="278"/>
        <v>1.0479450616988009</v>
      </c>
      <c r="Y203" s="415">
        <f t="shared" si="278"/>
        <v>1.0594724573774874</v>
      </c>
      <c r="Z203" s="415">
        <f t="shared" si="278"/>
        <v>1.0711266544086397</v>
      </c>
      <c r="AA203" s="415">
        <f t="shared" si="278"/>
        <v>1.0829090476071348</v>
      </c>
      <c r="AB203" s="415">
        <f t="shared" si="278"/>
        <v>1.0948210471308131</v>
      </c>
    </row>
    <row r="204" spans="1:28">
      <c r="B204" s="405" t="s">
        <v>407</v>
      </c>
      <c r="C204" s="415"/>
      <c r="D204" s="415"/>
      <c r="E204" s="416"/>
      <c r="F204" s="416"/>
      <c r="G204" s="416"/>
      <c r="H204" s="416"/>
      <c r="I204" s="415">
        <f t="shared" ref="I204:AB204" si="279">(I191+I192)*0.08</f>
        <v>0.97068971109780011</v>
      </c>
      <c r="J204" s="416">
        <f t="shared" si="279"/>
        <v>0.97788426122032834</v>
      </c>
      <c r="K204" s="416">
        <f t="shared" si="279"/>
        <v>0.98002620267336271</v>
      </c>
      <c r="L204" s="416">
        <f t="shared" si="279"/>
        <v>0.98271022835860633</v>
      </c>
      <c r="M204" s="416">
        <f t="shared" si="279"/>
        <v>0.98486274052994993</v>
      </c>
      <c r="N204" s="415">
        <f t="shared" si="279"/>
        <v>0.98136729791987598</v>
      </c>
      <c r="O204" s="416">
        <f t="shared" si="279"/>
        <v>0.98864098809375212</v>
      </c>
      <c r="P204" s="416">
        <f t="shared" si="279"/>
        <v>0.99080649090276951</v>
      </c>
      <c r="Q204" s="416">
        <f t="shared" si="279"/>
        <v>0.99352004087055112</v>
      </c>
      <c r="R204" s="416">
        <f t="shared" si="279"/>
        <v>0.99569623067577939</v>
      </c>
      <c r="S204" s="415">
        <f t="shared" si="279"/>
        <v>0.99216233819699429</v>
      </c>
      <c r="T204" s="415">
        <f t="shared" si="279"/>
        <v>1.0030761239171611</v>
      </c>
      <c r="U204" s="415">
        <f t="shared" si="279"/>
        <v>1.0141099612802498</v>
      </c>
      <c r="V204" s="415">
        <f t="shared" si="279"/>
        <v>1.0252651708543323</v>
      </c>
      <c r="W204" s="415">
        <f t="shared" si="279"/>
        <v>1.0365430877337301</v>
      </c>
      <c r="X204" s="415">
        <f t="shared" si="279"/>
        <v>1.0479450616988009</v>
      </c>
      <c r="Y204" s="415">
        <f t="shared" si="279"/>
        <v>1.0594724573774874</v>
      </c>
      <c r="Z204" s="415">
        <f t="shared" si="279"/>
        <v>1.0711266544086397</v>
      </c>
      <c r="AA204" s="415">
        <f t="shared" si="279"/>
        <v>1.0829090476071348</v>
      </c>
      <c r="AB204" s="415">
        <f t="shared" si="279"/>
        <v>1.0948210471308131</v>
      </c>
    </row>
    <row r="205" spans="1:28">
      <c r="B205" s="405"/>
      <c r="C205" s="415"/>
      <c r="D205" s="415"/>
      <c r="E205" s="416"/>
      <c r="F205" s="416"/>
      <c r="G205" s="416"/>
      <c r="H205" s="416"/>
      <c r="I205" s="415"/>
      <c r="J205" s="416"/>
      <c r="K205" s="416"/>
      <c r="L205" s="416"/>
      <c r="M205" s="416"/>
      <c r="N205" s="415"/>
      <c r="O205" s="416"/>
      <c r="P205" s="416"/>
      <c r="Q205" s="416"/>
      <c r="R205" s="416"/>
      <c r="S205" s="415"/>
      <c r="T205" s="415"/>
      <c r="U205" s="415"/>
      <c r="V205" s="415"/>
      <c r="W205" s="415"/>
      <c r="X205" s="415"/>
      <c r="Y205" s="415"/>
      <c r="Z205" s="415"/>
      <c r="AA205" s="415"/>
      <c r="AB205" s="415"/>
    </row>
    <row r="206" spans="1:28">
      <c r="B206" s="423" t="s">
        <v>335</v>
      </c>
      <c r="C206" s="424"/>
      <c r="D206" s="424"/>
      <c r="E206" s="425"/>
      <c r="F206" s="425"/>
      <c r="G206" s="425"/>
      <c r="H206" s="425"/>
      <c r="I206" s="426"/>
      <c r="J206" s="425"/>
      <c r="K206" s="425"/>
      <c r="L206" s="425"/>
      <c r="M206" s="425"/>
      <c r="N206" s="426"/>
      <c r="O206" s="425"/>
      <c r="P206" s="425"/>
      <c r="Q206" s="425"/>
      <c r="R206" s="425"/>
      <c r="S206" s="426"/>
      <c r="T206" s="426"/>
      <c r="U206" s="426"/>
      <c r="V206" s="426"/>
      <c r="W206" s="426"/>
      <c r="X206" s="426"/>
      <c r="Y206" s="426"/>
      <c r="Z206" s="426"/>
      <c r="AA206" s="426"/>
      <c r="AB206" s="426"/>
    </row>
    <row r="207" spans="1:28" s="427" customFormat="1" hidden="1" outlineLevel="1">
      <c r="A207" s="427" t="s">
        <v>319</v>
      </c>
      <c r="B207" s="534" t="s">
        <v>64</v>
      </c>
      <c r="C207" s="535"/>
      <c r="D207" s="536">
        <f>D208*2</f>
        <v>0</v>
      </c>
      <c r="E207" s="536">
        <f>E208*2</f>
        <v>0</v>
      </c>
      <c r="F207" s="536">
        <f>F208*2</f>
        <v>0</v>
      </c>
      <c r="G207" s="536">
        <f>G208*2</f>
        <v>0</v>
      </c>
      <c r="H207" s="536">
        <v>0</v>
      </c>
      <c r="I207" s="537">
        <f>(H207+G207+F207+E207)/4</f>
        <v>0</v>
      </c>
      <c r="J207" s="536">
        <f>J208*2</f>
        <v>0</v>
      </c>
      <c r="K207" s="536">
        <f>K208*2</f>
        <v>0</v>
      </c>
      <c r="L207" s="536">
        <f>L208*2</f>
        <v>0</v>
      </c>
      <c r="M207" s="536">
        <v>0</v>
      </c>
      <c r="N207" s="537">
        <f>(M207+L207+K207+J207)/4</f>
        <v>0</v>
      </c>
      <c r="O207" s="536">
        <v>0.05</v>
      </c>
      <c r="P207" s="536">
        <v>0.1</v>
      </c>
      <c r="Q207" s="536">
        <v>0.15</v>
      </c>
      <c r="R207" s="536">
        <v>0.19</v>
      </c>
      <c r="S207" s="537">
        <f>(R207+Q207+P207+O207)/4</f>
        <v>0.12249999999999998</v>
      </c>
      <c r="T207" s="536">
        <v>0.3</v>
      </c>
      <c r="U207" s="536">
        <v>0.42499999999999999</v>
      </c>
      <c r="V207" s="536">
        <v>0.45</v>
      </c>
      <c r="W207" s="536">
        <f t="shared" ref="W207:AB207" si="280">V207</f>
        <v>0.45</v>
      </c>
      <c r="X207" s="536">
        <f t="shared" si="280"/>
        <v>0.45</v>
      </c>
      <c r="Y207" s="536">
        <f t="shared" si="280"/>
        <v>0.45</v>
      </c>
      <c r="Z207" s="536">
        <f t="shared" si="280"/>
        <v>0.45</v>
      </c>
      <c r="AA207" s="536">
        <f t="shared" si="280"/>
        <v>0.45</v>
      </c>
      <c r="AB207" s="536">
        <f t="shared" si="280"/>
        <v>0.45</v>
      </c>
    </row>
    <row r="208" spans="1:28" s="427" customFormat="1" hidden="1" outlineLevel="1">
      <c r="B208" s="534" t="s">
        <v>65</v>
      </c>
      <c r="C208" s="535"/>
      <c r="D208" s="536">
        <v>0</v>
      </c>
      <c r="E208" s="536">
        <v>0</v>
      </c>
      <c r="F208" s="536">
        <v>0</v>
      </c>
      <c r="G208" s="536">
        <v>0</v>
      </c>
      <c r="H208" s="536">
        <v>0</v>
      </c>
      <c r="I208" s="537">
        <f t="shared" ref="I208:I209" si="281">(H208+G208+F208+E208)/4</f>
        <v>0</v>
      </c>
      <c r="J208" s="536">
        <v>0</v>
      </c>
      <c r="K208" s="536">
        <v>0</v>
      </c>
      <c r="L208" s="536">
        <v>0</v>
      </c>
      <c r="M208" s="536">
        <v>0</v>
      </c>
      <c r="N208" s="537">
        <f t="shared" ref="N208:N210" si="282">(M208+L208+K208+J208)/4</f>
        <v>0</v>
      </c>
      <c r="O208" s="536">
        <v>0</v>
      </c>
      <c r="P208" s="536">
        <v>0</v>
      </c>
      <c r="Q208" s="536">
        <v>0.05</v>
      </c>
      <c r="R208" s="536">
        <v>7.0000000000000007E-2</v>
      </c>
      <c r="S208" s="537">
        <f t="shared" ref="S208:S210" si="283">(R208+Q208+P208+O208)/4</f>
        <v>3.0000000000000002E-2</v>
      </c>
      <c r="T208" s="536">
        <v>0.15</v>
      </c>
      <c r="U208" s="536">
        <v>0.25</v>
      </c>
      <c r="V208" s="536">
        <v>0.3</v>
      </c>
      <c r="W208" s="536">
        <v>0.35</v>
      </c>
      <c r="X208" s="536">
        <v>0.35</v>
      </c>
      <c r="Y208" s="536">
        <v>0.32500000000000001</v>
      </c>
      <c r="Z208" s="536">
        <v>0.3</v>
      </c>
      <c r="AA208" s="536">
        <v>0.27500000000000002</v>
      </c>
      <c r="AB208" s="536">
        <v>0.25</v>
      </c>
    </row>
    <row r="209" spans="1:28" s="427" customFormat="1" hidden="1" outlineLevel="1">
      <c r="B209" s="534" t="s">
        <v>66</v>
      </c>
      <c r="C209" s="535"/>
      <c r="D209" s="536">
        <f>D208*0.5</f>
        <v>0</v>
      </c>
      <c r="E209" s="536">
        <f>E208*0.5</f>
        <v>0</v>
      </c>
      <c r="F209" s="536">
        <f>F208*0.5</f>
        <v>0</v>
      </c>
      <c r="G209" s="536">
        <f>G208*0.5</f>
        <v>0</v>
      </c>
      <c r="H209" s="536">
        <v>0</v>
      </c>
      <c r="I209" s="537">
        <f t="shared" si="281"/>
        <v>0</v>
      </c>
      <c r="J209" s="536">
        <f>J208*0.5</f>
        <v>0</v>
      </c>
      <c r="K209" s="536">
        <f>K208*0.5</f>
        <v>0</v>
      </c>
      <c r="L209" s="536">
        <f>L208*0.5</f>
        <v>0</v>
      </c>
      <c r="M209" s="536">
        <v>0</v>
      </c>
      <c r="N209" s="537">
        <f t="shared" si="282"/>
        <v>0</v>
      </c>
      <c r="O209" s="536">
        <v>0</v>
      </c>
      <c r="P209" s="536">
        <v>0</v>
      </c>
      <c r="Q209" s="536">
        <f>Q208*0.25</f>
        <v>1.2500000000000001E-2</v>
      </c>
      <c r="R209" s="536">
        <f>R208*0.25</f>
        <v>1.7500000000000002E-2</v>
      </c>
      <c r="S209" s="537">
        <f t="shared" si="283"/>
        <v>7.5000000000000006E-3</v>
      </c>
      <c r="T209" s="536">
        <f t="shared" ref="T209:AB209" si="284">T208*0.25</f>
        <v>3.7499999999999999E-2</v>
      </c>
      <c r="U209" s="536">
        <f t="shared" si="284"/>
        <v>6.25E-2</v>
      </c>
      <c r="V209" s="536">
        <f t="shared" si="284"/>
        <v>7.4999999999999997E-2</v>
      </c>
      <c r="W209" s="536">
        <f t="shared" si="284"/>
        <v>8.7499999999999994E-2</v>
      </c>
      <c r="X209" s="536">
        <f t="shared" si="284"/>
        <v>8.7499999999999994E-2</v>
      </c>
      <c r="Y209" s="536">
        <f t="shared" si="284"/>
        <v>8.1250000000000003E-2</v>
      </c>
      <c r="Z209" s="536">
        <f t="shared" si="284"/>
        <v>7.4999999999999997E-2</v>
      </c>
      <c r="AA209" s="536">
        <f t="shared" si="284"/>
        <v>6.8750000000000006E-2</v>
      </c>
      <c r="AB209" s="536">
        <f t="shared" si="284"/>
        <v>6.25E-2</v>
      </c>
    </row>
    <row r="210" spans="1:28" s="427" customFormat="1" collapsed="1">
      <c r="A210" s="428" t="s">
        <v>313</v>
      </c>
      <c r="B210" s="538" t="s">
        <v>318</v>
      </c>
      <c r="C210" s="539"/>
      <c r="D210" s="540">
        <f>CHOOSE($N$2,D207,D208,D209)</f>
        <v>0</v>
      </c>
      <c r="E210" s="541">
        <f>CHOOSE($N$2,E207,E208,E209)</f>
        <v>0</v>
      </c>
      <c r="F210" s="541">
        <f>CHOOSE($N$2,F207,F208,F209)</f>
        <v>0</v>
      </c>
      <c r="G210" s="541">
        <f>CHOOSE($N$2,G207,G208,G209)</f>
        <v>0</v>
      </c>
      <c r="H210" s="541">
        <f>CHOOSE($N$2,H207,H208,H209)</f>
        <v>0</v>
      </c>
      <c r="I210" s="540">
        <f>(I214/1000)/I199</f>
        <v>0</v>
      </c>
      <c r="J210" s="541">
        <f>CHOOSE($N$2,J207,J208,J209)</f>
        <v>0</v>
      </c>
      <c r="K210" s="541">
        <f>CHOOSE($N$2,K207,K208,K209)</f>
        <v>0</v>
      </c>
      <c r="L210" s="541">
        <f>CHOOSE($N$2,L207,L208,L209)</f>
        <v>0</v>
      </c>
      <c r="M210" s="541">
        <f>CHOOSE($N$2,M207,M208,M209)</f>
        <v>0</v>
      </c>
      <c r="N210" s="540">
        <f t="shared" si="282"/>
        <v>0</v>
      </c>
      <c r="O210" s="541">
        <f>CHOOSE($N$2,O207,O208,O209)</f>
        <v>0</v>
      </c>
      <c r="P210" s="541">
        <f>CHOOSE($N$2,P207,P208,P209)</f>
        <v>0</v>
      </c>
      <c r="Q210" s="541">
        <f>CHOOSE($N$2,Q207,Q208,Q209)</f>
        <v>0.05</v>
      </c>
      <c r="R210" s="541">
        <f>CHOOSE($N$2,R207,R208,R209)</f>
        <v>7.0000000000000007E-2</v>
      </c>
      <c r="S210" s="540">
        <f t="shared" si="283"/>
        <v>3.0000000000000002E-2</v>
      </c>
      <c r="T210" s="540">
        <f t="shared" ref="T210:AB210" si="285">CHOOSE($N$2,T207,T208,T209)</f>
        <v>0.15</v>
      </c>
      <c r="U210" s="540">
        <f t="shared" si="285"/>
        <v>0.25</v>
      </c>
      <c r="V210" s="540">
        <f t="shared" si="285"/>
        <v>0.3</v>
      </c>
      <c r="W210" s="540">
        <f t="shared" si="285"/>
        <v>0.35</v>
      </c>
      <c r="X210" s="540">
        <f t="shared" si="285"/>
        <v>0.35</v>
      </c>
      <c r="Y210" s="540">
        <f t="shared" si="285"/>
        <v>0.32500000000000001</v>
      </c>
      <c r="Z210" s="540">
        <f t="shared" si="285"/>
        <v>0.3</v>
      </c>
      <c r="AA210" s="540">
        <f t="shared" si="285"/>
        <v>0.27500000000000002</v>
      </c>
      <c r="AB210" s="540">
        <f t="shared" si="285"/>
        <v>0.25</v>
      </c>
    </row>
    <row r="211" spans="1:28">
      <c r="B211" s="405"/>
      <c r="C211" s="395"/>
      <c r="D211" s="395"/>
      <c r="E211" s="429"/>
      <c r="F211" s="429"/>
      <c r="G211" s="429"/>
      <c r="H211" s="429"/>
      <c r="I211" s="418"/>
      <c r="J211" s="429"/>
      <c r="K211" s="429"/>
      <c r="L211" s="429"/>
      <c r="M211" s="429"/>
      <c r="N211" s="418"/>
      <c r="O211" s="429"/>
      <c r="P211" s="429"/>
      <c r="Q211" s="429"/>
      <c r="R211" s="429"/>
      <c r="S211" s="418"/>
      <c r="T211" s="418"/>
      <c r="U211" s="418"/>
      <c r="V211" s="418"/>
      <c r="W211" s="418"/>
      <c r="X211" s="418"/>
      <c r="Y211" s="418"/>
      <c r="Z211" s="418"/>
      <c r="AA211" s="418"/>
      <c r="AB211" s="418"/>
    </row>
    <row r="212" spans="1:28" hidden="1" outlineLevel="1">
      <c r="B212" s="405" t="s">
        <v>365</v>
      </c>
      <c r="C212" s="395"/>
      <c r="D212" s="395"/>
      <c r="E212" s="430"/>
      <c r="F212" s="430"/>
      <c r="G212" s="430"/>
      <c r="H212" s="430">
        <f>H214</f>
        <v>0</v>
      </c>
      <c r="I212" s="431">
        <f>(H212+G212+F212+E212)/4</f>
        <v>0</v>
      </c>
      <c r="J212" s="430">
        <f>J214-J213</f>
        <v>0</v>
      </c>
      <c r="K212" s="430">
        <f>K214-K213</f>
        <v>0</v>
      </c>
      <c r="L212" s="430">
        <f>L214-L213</f>
        <v>0</v>
      </c>
      <c r="M212" s="430">
        <f>M214-M213</f>
        <v>0</v>
      </c>
      <c r="N212" s="431">
        <f>(M212+L212+K212+J212)/4</f>
        <v>0</v>
      </c>
      <c r="O212" s="430">
        <f>O214-O213</f>
        <v>0</v>
      </c>
      <c r="P212" s="430">
        <f>P214-P213</f>
        <v>0</v>
      </c>
      <c r="Q212" s="430">
        <f>Q214-Q213</f>
        <v>79.232834558315005</v>
      </c>
      <c r="R212" s="430">
        <f>R214-R213</f>
        <v>31.936104223113503</v>
      </c>
      <c r="S212" s="431">
        <f>(R212+Q212+P212+O212)/4</f>
        <v>27.792234695357127</v>
      </c>
      <c r="T212" s="431">
        <f>T214-T213</f>
        <v>192.38434199285066</v>
      </c>
      <c r="U212" s="431">
        <f>U214-U213</f>
        <v>164.38957794953376</v>
      </c>
      <c r="V212" s="431"/>
      <c r="W212" s="418"/>
      <c r="X212" s="418"/>
      <c r="Y212" s="418"/>
      <c r="Z212" s="418"/>
      <c r="AA212" s="418"/>
      <c r="AB212" s="418"/>
    </row>
    <row r="213" spans="1:28" hidden="1" outlineLevel="1">
      <c r="B213" s="405" t="s">
        <v>364</v>
      </c>
      <c r="C213" s="395"/>
      <c r="D213" s="395"/>
      <c r="E213" s="430"/>
      <c r="F213" s="430"/>
      <c r="G213" s="430"/>
      <c r="H213" s="430">
        <f>H214-H212</f>
        <v>0</v>
      </c>
      <c r="I213" s="431">
        <f>(H213+G213+F213+E213)/4</f>
        <v>0</v>
      </c>
      <c r="J213" s="430">
        <f>H212</f>
        <v>0</v>
      </c>
      <c r="K213" s="430">
        <f>J213+J212</f>
        <v>0</v>
      </c>
      <c r="L213" s="430">
        <f>K213+K212</f>
        <v>0</v>
      </c>
      <c r="M213" s="430">
        <f>L213+L212</f>
        <v>0</v>
      </c>
      <c r="N213" s="431">
        <f>(M213+L213+K213+J213)/4</f>
        <v>0</v>
      </c>
      <c r="O213" s="430">
        <f>M212+M213</f>
        <v>0</v>
      </c>
      <c r="P213" s="430">
        <f>O213+O212</f>
        <v>0</v>
      </c>
      <c r="Q213" s="430">
        <f>P213+P212</f>
        <v>0</v>
      </c>
      <c r="R213" s="430">
        <f>Q213+Q212</f>
        <v>79.232834558315005</v>
      </c>
      <c r="S213" s="431">
        <f>(R213+Q213+P213+O213)/4</f>
        <v>19.808208639578751</v>
      </c>
      <c r="T213" s="431">
        <f>S214</f>
        <v>47.600443334935875</v>
      </c>
      <c r="U213" s="431">
        <f>T214</f>
        <v>239.98478532778654</v>
      </c>
      <c r="V213" s="431"/>
      <c r="W213" s="418"/>
      <c r="X213" s="418"/>
      <c r="Y213" s="418"/>
      <c r="Z213" s="418"/>
      <c r="AA213" s="418"/>
      <c r="AB213" s="418"/>
    </row>
    <row r="214" spans="1:28" collapsed="1">
      <c r="B214" s="405" t="s">
        <v>366</v>
      </c>
      <c r="C214" s="395"/>
      <c r="D214" s="395"/>
      <c r="E214" s="430"/>
      <c r="F214" s="430"/>
      <c r="G214" s="430"/>
      <c r="H214" s="430">
        <f>H199*H210*1000</f>
        <v>0</v>
      </c>
      <c r="I214" s="431">
        <f>(H214+G214+F214+E214)/4</f>
        <v>0</v>
      </c>
      <c r="J214" s="430">
        <f>J199*J210*1000</f>
        <v>0</v>
      </c>
      <c r="K214" s="430">
        <f>K199*K210*1000</f>
        <v>0</v>
      </c>
      <c r="L214" s="430">
        <f>L199*L210*1000</f>
        <v>0</v>
      </c>
      <c r="M214" s="430">
        <f>M199*M210*1000</f>
        <v>0</v>
      </c>
      <c r="N214" s="431">
        <f>(M214+L214+K214+J214)/4</f>
        <v>0</v>
      </c>
      <c r="O214" s="430">
        <f>O199*O210*1000</f>
        <v>0</v>
      </c>
      <c r="P214" s="430">
        <f>P199*P210*1000</f>
        <v>0</v>
      </c>
      <c r="Q214" s="430">
        <f>Q199*Q210*1000</f>
        <v>79.232834558315005</v>
      </c>
      <c r="R214" s="430">
        <f>R199*R210*1000</f>
        <v>111.16893878142851</v>
      </c>
      <c r="S214" s="431">
        <f>(R214+Q214+P214+O214)/4</f>
        <v>47.600443334935875</v>
      </c>
      <c r="T214" s="530">
        <f t="shared" ref="T214:AB214" si="286">T199*T210*1000</f>
        <v>239.98478532778654</v>
      </c>
      <c r="U214" s="530">
        <f t="shared" si="286"/>
        <v>404.3743632773203</v>
      </c>
      <c r="V214" s="530">
        <f t="shared" si="286"/>
        <v>490.58697752804488</v>
      </c>
      <c r="W214" s="530">
        <f t="shared" si="286"/>
        <v>578.64733999432872</v>
      </c>
      <c r="X214" s="530">
        <f t="shared" si="286"/>
        <v>585.01246073426637</v>
      </c>
      <c r="Y214" s="530">
        <f t="shared" si="286"/>
        <v>549.20134081646165</v>
      </c>
      <c r="Z214" s="530">
        <f t="shared" si="286"/>
        <v>512.53158975271617</v>
      </c>
      <c r="AA214" s="530">
        <f t="shared" si="286"/>
        <v>474.98865080332985</v>
      </c>
      <c r="AB214" s="530">
        <f t="shared" si="286"/>
        <v>436.55775087469669</v>
      </c>
    </row>
    <row r="215" spans="1:28">
      <c r="B215" s="405"/>
      <c r="C215" s="395"/>
      <c r="D215" s="395"/>
      <c r="E215" s="429"/>
      <c r="F215" s="429"/>
      <c r="G215" s="429"/>
      <c r="H215" s="429"/>
      <c r="I215" s="418"/>
      <c r="J215" s="429"/>
      <c r="K215" s="429"/>
      <c r="L215" s="429"/>
      <c r="M215" s="429"/>
      <c r="N215" s="418"/>
      <c r="O215" s="429"/>
      <c r="P215" s="429"/>
      <c r="Q215" s="429"/>
      <c r="R215" s="429"/>
      <c r="S215" s="418"/>
      <c r="T215" s="418"/>
      <c r="U215" s="418"/>
      <c r="V215" s="418"/>
      <c r="W215" s="418"/>
      <c r="X215" s="418"/>
      <c r="Y215" s="418"/>
      <c r="Z215" s="418"/>
      <c r="AA215" s="418"/>
      <c r="AB215" s="418"/>
    </row>
    <row r="216" spans="1:28">
      <c r="B216" s="405" t="s">
        <v>334</v>
      </c>
      <c r="C216" s="395"/>
      <c r="D216" s="432"/>
      <c r="E216" s="433"/>
      <c r="F216" s="433"/>
      <c r="G216" s="433"/>
      <c r="H216" s="433">
        <f>H39*0.75</f>
        <v>26.700000000000003</v>
      </c>
      <c r="I216" s="434">
        <f>H216</f>
        <v>26.700000000000003</v>
      </c>
      <c r="J216" s="433">
        <f>N216</f>
        <v>26.700000000000003</v>
      </c>
      <c r="K216" s="433">
        <f>N216</f>
        <v>26.700000000000003</v>
      </c>
      <c r="L216" s="433">
        <f>N216</f>
        <v>26.700000000000003</v>
      </c>
      <c r="M216" s="433">
        <f>N216</f>
        <v>26.700000000000003</v>
      </c>
      <c r="N216" s="436">
        <f>I216</f>
        <v>26.700000000000003</v>
      </c>
      <c r="O216" s="435">
        <f>S216</f>
        <v>26.700000000000003</v>
      </c>
      <c r="P216" s="435">
        <f>S216</f>
        <v>26.700000000000003</v>
      </c>
      <c r="Q216" s="435">
        <f>S216</f>
        <v>26.700000000000003</v>
      </c>
      <c r="R216" s="435">
        <f>S216</f>
        <v>26.700000000000003</v>
      </c>
      <c r="S216" s="436">
        <f>N216</f>
        <v>26.700000000000003</v>
      </c>
      <c r="T216" s="436">
        <f>S216*0.99</f>
        <v>26.433000000000003</v>
      </c>
      <c r="U216" s="436">
        <f t="shared" ref="U216:AB216" si="287">T216*0.99</f>
        <v>26.168670000000002</v>
      </c>
      <c r="V216" s="436">
        <f t="shared" si="287"/>
        <v>25.906983300000004</v>
      </c>
      <c r="W216" s="436">
        <f t="shared" si="287"/>
        <v>25.647913467000002</v>
      </c>
      <c r="X216" s="436">
        <f t="shared" si="287"/>
        <v>25.39143433233</v>
      </c>
      <c r="Y216" s="436">
        <f t="shared" si="287"/>
        <v>25.137519989006702</v>
      </c>
      <c r="Z216" s="436">
        <f t="shared" si="287"/>
        <v>24.886144789116635</v>
      </c>
      <c r="AA216" s="436">
        <f t="shared" si="287"/>
        <v>24.637283341225469</v>
      </c>
      <c r="AB216" s="436">
        <f t="shared" si="287"/>
        <v>24.390910507813214</v>
      </c>
    </row>
    <row r="217" spans="1:28">
      <c r="B217" s="405"/>
      <c r="C217" s="395"/>
      <c r="D217" s="395"/>
      <c r="E217" s="429"/>
      <c r="F217" s="429"/>
      <c r="G217" s="429"/>
      <c r="H217" s="429"/>
      <c r="I217" s="418"/>
      <c r="J217" s="429"/>
      <c r="K217" s="429"/>
      <c r="L217" s="429"/>
      <c r="M217" s="429"/>
      <c r="N217" s="418"/>
      <c r="O217" s="429"/>
      <c r="P217" s="429"/>
      <c r="Q217" s="429"/>
      <c r="R217" s="429"/>
      <c r="S217" s="418"/>
      <c r="T217" s="418"/>
      <c r="U217" s="418"/>
      <c r="V217" s="418"/>
      <c r="W217" s="418"/>
      <c r="X217" s="418"/>
      <c r="Y217" s="418"/>
      <c r="Z217" s="418"/>
      <c r="AA217" s="418"/>
      <c r="AB217" s="418"/>
    </row>
    <row r="218" spans="1:28">
      <c r="B218" s="405" t="s">
        <v>322</v>
      </c>
      <c r="C218" s="395"/>
      <c r="D218" s="437"/>
      <c r="E218" s="430"/>
      <c r="F218" s="430"/>
      <c r="G218" s="430"/>
      <c r="H218" s="430">
        <f>H41*0.5</f>
        <v>247.19101123595505</v>
      </c>
      <c r="I218" s="438">
        <f>H218</f>
        <v>247.19101123595505</v>
      </c>
      <c r="J218" s="430">
        <f>N218</f>
        <v>247.19101123595505</v>
      </c>
      <c r="K218" s="430">
        <f>N218</f>
        <v>247.19101123595505</v>
      </c>
      <c r="L218" s="430">
        <f>N218</f>
        <v>247.19101123595505</v>
      </c>
      <c r="M218" s="430">
        <f>N218</f>
        <v>247.19101123595505</v>
      </c>
      <c r="N218" s="439">
        <f>I218*(1+N219)</f>
        <v>247.19101123595505</v>
      </c>
      <c r="O218" s="435">
        <f>S218</f>
        <v>247.19101123595505</v>
      </c>
      <c r="P218" s="435">
        <f>S218</f>
        <v>247.19101123595505</v>
      </c>
      <c r="Q218" s="435">
        <f>S218</f>
        <v>247.19101123595505</v>
      </c>
      <c r="R218" s="435">
        <f>S218</f>
        <v>247.19101123595505</v>
      </c>
      <c r="S218" s="439">
        <f>N218*(1+S219)</f>
        <v>247.19101123595505</v>
      </c>
      <c r="T218" s="439">
        <f>S218*(1+T219)</f>
        <v>243.4831460674157</v>
      </c>
      <c r="U218" s="439">
        <f t="shared" ref="U218" si="288">T218*(1+U219)</f>
        <v>239.83089887640446</v>
      </c>
      <c r="V218" s="439">
        <f t="shared" ref="V218" si="289">U218*(1+V219)</f>
        <v>236.23343539325839</v>
      </c>
      <c r="W218" s="439">
        <f t="shared" ref="W218" si="290">V218*(1+W219)</f>
        <v>232.68993386235951</v>
      </c>
      <c r="X218" s="439">
        <f t="shared" ref="X218" si="291">W218*(1+X219)</f>
        <v>229.1995848544241</v>
      </c>
      <c r="Y218" s="439">
        <f t="shared" ref="Y218" si="292">X218*(1+Y219)</f>
        <v>225.76159108160775</v>
      </c>
      <c r="Z218" s="439">
        <f t="shared" ref="Z218" si="293">Y218*(1+Z219)</f>
        <v>222.37516721538364</v>
      </c>
      <c r="AA218" s="439">
        <f t="shared" ref="AA218" si="294">Z218*(1+AA219)</f>
        <v>219.0395397071529</v>
      </c>
      <c r="AB218" s="439">
        <f t="shared" ref="AB218" si="295">AA218*(1+AB219)</f>
        <v>215.75394661154562</v>
      </c>
    </row>
    <row r="219" spans="1:28" s="414" customFormat="1">
      <c r="B219" s="409" t="s">
        <v>312</v>
      </c>
      <c r="C219" s="410"/>
      <c r="D219" s="440"/>
      <c r="E219" s="441"/>
      <c r="F219" s="441"/>
      <c r="G219" s="441"/>
      <c r="H219" s="441"/>
      <c r="I219" s="413"/>
      <c r="J219" s="441"/>
      <c r="K219" s="441"/>
      <c r="L219" s="441"/>
      <c r="M219" s="441"/>
      <c r="N219" s="413"/>
      <c r="O219" s="441"/>
      <c r="P219" s="441"/>
      <c r="Q219" s="441"/>
      <c r="R219" s="441"/>
      <c r="S219" s="413">
        <v>0</v>
      </c>
      <c r="T219" s="413">
        <v>-1.4999999999999999E-2</v>
      </c>
      <c r="U219" s="413">
        <f t="shared" ref="U219" si="296">T219</f>
        <v>-1.4999999999999999E-2</v>
      </c>
      <c r="V219" s="413">
        <f t="shared" ref="V219" si="297">U219</f>
        <v>-1.4999999999999999E-2</v>
      </c>
      <c r="W219" s="413">
        <f t="shared" ref="W219" si="298">V219</f>
        <v>-1.4999999999999999E-2</v>
      </c>
      <c r="X219" s="413">
        <f t="shared" ref="X219" si="299">W219</f>
        <v>-1.4999999999999999E-2</v>
      </c>
      <c r="Y219" s="413">
        <f t="shared" ref="Y219" si="300">X219</f>
        <v>-1.4999999999999999E-2</v>
      </c>
      <c r="Z219" s="413">
        <f t="shared" ref="Z219" si="301">Y219</f>
        <v>-1.4999999999999999E-2</v>
      </c>
      <c r="AA219" s="413">
        <f t="shared" ref="AA219" si="302">Z219</f>
        <v>-1.4999999999999999E-2</v>
      </c>
      <c r="AB219" s="413">
        <f t="shared" ref="AB219" si="303">AA219</f>
        <v>-1.4999999999999999E-2</v>
      </c>
    </row>
    <row r="220" spans="1:28">
      <c r="B220" s="405"/>
      <c r="C220" s="395"/>
      <c r="D220" s="395"/>
      <c r="E220" s="429"/>
      <c r="F220" s="429"/>
      <c r="G220" s="429"/>
      <c r="H220" s="429"/>
      <c r="I220" s="418"/>
      <c r="J220" s="429"/>
      <c r="K220" s="429"/>
      <c r="L220" s="429"/>
      <c r="M220" s="429"/>
      <c r="N220" s="418"/>
      <c r="O220" s="429"/>
      <c r="P220" s="429"/>
      <c r="Q220" s="429"/>
      <c r="R220" s="429"/>
      <c r="S220" s="418"/>
      <c r="T220" s="418"/>
      <c r="U220" s="418"/>
      <c r="V220" s="418"/>
      <c r="W220" s="418"/>
      <c r="X220" s="418"/>
      <c r="Y220" s="418"/>
      <c r="Z220" s="418"/>
      <c r="AA220" s="418"/>
      <c r="AB220" s="418"/>
    </row>
    <row r="221" spans="1:28">
      <c r="B221" s="405" t="s">
        <v>320</v>
      </c>
      <c r="C221" s="395"/>
      <c r="D221" s="442">
        <f>D216*D218</f>
        <v>0</v>
      </c>
      <c r="E221" s="443"/>
      <c r="F221" s="443"/>
      <c r="G221" s="443"/>
      <c r="H221" s="443">
        <f>H216*H218*13/1000</f>
        <v>85.8</v>
      </c>
      <c r="I221" s="444">
        <f>I218*I216*52/1000</f>
        <v>343.2</v>
      </c>
      <c r="J221" s="443">
        <f>J216*J218*13/1000</f>
        <v>85.8</v>
      </c>
      <c r="K221" s="443">
        <f>K216*K218*13/1000</f>
        <v>85.8</v>
      </c>
      <c r="L221" s="443">
        <f>L216*L218*13/1000</f>
        <v>85.8</v>
      </c>
      <c r="M221" s="443">
        <f>M216*M218*13/1000</f>
        <v>85.8</v>
      </c>
      <c r="N221" s="444">
        <f>N218*N216*52/1000</f>
        <v>343.2</v>
      </c>
      <c r="O221" s="443">
        <f>O216*O218*13/1000</f>
        <v>85.8</v>
      </c>
      <c r="P221" s="443">
        <f>P216*P218*13/1000</f>
        <v>85.8</v>
      </c>
      <c r="Q221" s="443">
        <f>Q216*Q218*13/1000</f>
        <v>85.8</v>
      </c>
      <c r="R221" s="443">
        <f>R216*R218*13/1000</f>
        <v>85.8</v>
      </c>
      <c r="S221" s="444">
        <f t="shared" ref="S221:AB221" si="304">S218*S216*52/1000</f>
        <v>343.2</v>
      </c>
      <c r="T221" s="444">
        <f t="shared" si="304"/>
        <v>334.67147999999997</v>
      </c>
      <c r="U221" s="444">
        <f t="shared" si="304"/>
        <v>326.35489372199999</v>
      </c>
      <c r="V221" s="444">
        <f t="shared" si="304"/>
        <v>318.24497461300831</v>
      </c>
      <c r="W221" s="444">
        <f t="shared" si="304"/>
        <v>310.33658699387502</v>
      </c>
      <c r="X221" s="444">
        <f t="shared" si="304"/>
        <v>302.62472280707715</v>
      </c>
      <c r="Y221" s="444">
        <f t="shared" si="304"/>
        <v>295.10449844532133</v>
      </c>
      <c r="Z221" s="444">
        <f t="shared" si="304"/>
        <v>287.77115165895515</v>
      </c>
      <c r="AA221" s="444">
        <f t="shared" si="304"/>
        <v>280.62003854023015</v>
      </c>
      <c r="AB221" s="444">
        <f t="shared" si="304"/>
        <v>273.6466305825054</v>
      </c>
    </row>
    <row r="222" spans="1:28">
      <c r="B222" s="405"/>
      <c r="C222" s="395"/>
      <c r="D222" s="445"/>
      <c r="E222" s="446"/>
      <c r="F222" s="446"/>
      <c r="G222" s="446"/>
      <c r="H222" s="446"/>
      <c r="I222" s="418"/>
      <c r="J222" s="446"/>
      <c r="K222" s="446"/>
      <c r="L222" s="446"/>
      <c r="M222" s="446"/>
      <c r="N222" s="418"/>
      <c r="O222" s="446"/>
      <c r="P222" s="446"/>
      <c r="Q222" s="446"/>
      <c r="R222" s="446"/>
      <c r="S222" s="418"/>
      <c r="T222" s="418"/>
      <c r="U222" s="418"/>
      <c r="V222" s="418"/>
      <c r="W222" s="418"/>
      <c r="X222" s="418"/>
      <c r="Y222" s="418"/>
      <c r="Z222" s="418"/>
      <c r="AA222" s="418"/>
      <c r="AB222" s="418"/>
    </row>
    <row r="223" spans="1:28">
      <c r="B223" s="405" t="s">
        <v>367</v>
      </c>
      <c r="C223" s="395"/>
      <c r="D223" s="445"/>
      <c r="E223" s="446"/>
      <c r="F223" s="446"/>
      <c r="G223" s="446"/>
      <c r="H223" s="533">
        <v>0.5</v>
      </c>
      <c r="I223" s="449">
        <f>H223</f>
        <v>0.5</v>
      </c>
      <c r="J223" s="533">
        <f>H223</f>
        <v>0.5</v>
      </c>
      <c r="K223" s="533">
        <f>J223</f>
        <v>0.5</v>
      </c>
      <c r="L223" s="533">
        <f t="shared" ref="L223:L225" si="305">K223</f>
        <v>0.5</v>
      </c>
      <c r="M223" s="533">
        <f t="shared" ref="M223:M225" si="306">L223</f>
        <v>0.5</v>
      </c>
      <c r="N223" s="449">
        <f>(J223+K223+L223+M223)/4</f>
        <v>0.5</v>
      </c>
      <c r="O223" s="448">
        <f>M223</f>
        <v>0.5</v>
      </c>
      <c r="P223" s="448">
        <f>O223</f>
        <v>0.5</v>
      </c>
      <c r="Q223" s="448">
        <f t="shared" ref="Q223:Q225" si="307">P223</f>
        <v>0.5</v>
      </c>
      <c r="R223" s="448">
        <f t="shared" ref="R223:R225" si="308">Q223</f>
        <v>0.5</v>
      </c>
      <c r="S223" s="449">
        <f>(O223+P223+Q223+R223)/4</f>
        <v>0.5</v>
      </c>
      <c r="T223" s="447">
        <f>S223</f>
        <v>0.5</v>
      </c>
      <c r="U223" s="447">
        <f>T223</f>
        <v>0.5</v>
      </c>
      <c r="V223" s="447">
        <f>U223</f>
        <v>0.5</v>
      </c>
      <c r="W223" s="418"/>
      <c r="X223" s="418"/>
      <c r="Y223" s="418"/>
      <c r="Z223" s="418"/>
      <c r="AA223" s="418"/>
      <c r="AB223" s="418"/>
    </row>
    <row r="224" spans="1:28" s="454" customFormat="1">
      <c r="B224" s="450" t="s">
        <v>314</v>
      </c>
      <c r="C224" s="451"/>
      <c r="D224" s="452">
        <v>0.1</v>
      </c>
      <c r="E224" s="453"/>
      <c r="F224" s="453"/>
      <c r="G224" s="453"/>
      <c r="H224" s="453">
        <v>0</v>
      </c>
      <c r="I224" s="451">
        <f>H224</f>
        <v>0</v>
      </c>
      <c r="J224" s="453">
        <f>H224</f>
        <v>0</v>
      </c>
      <c r="K224" s="453">
        <f>J224</f>
        <v>0</v>
      </c>
      <c r="L224" s="453">
        <f t="shared" si="305"/>
        <v>0</v>
      </c>
      <c r="M224" s="453">
        <f t="shared" si="306"/>
        <v>0</v>
      </c>
      <c r="N224" s="451">
        <f>I224</f>
        <v>0</v>
      </c>
      <c r="O224" s="448">
        <f>M224</f>
        <v>0</v>
      </c>
      <c r="P224" s="448">
        <f>O224</f>
        <v>0</v>
      </c>
      <c r="Q224" s="448">
        <f t="shared" si="307"/>
        <v>0</v>
      </c>
      <c r="R224" s="448">
        <f t="shared" si="308"/>
        <v>0</v>
      </c>
      <c r="S224" s="451">
        <f>N224</f>
        <v>0</v>
      </c>
      <c r="T224" s="451">
        <f>S224</f>
        <v>0</v>
      </c>
      <c r="U224" s="451">
        <f t="shared" ref="U224:U225" si="309">T224</f>
        <v>0</v>
      </c>
      <c r="V224" s="451">
        <f t="shared" ref="V224:V225" si="310">U224</f>
        <v>0</v>
      </c>
      <c r="W224" s="451">
        <f t="shared" ref="W224:W225" si="311">V224</f>
        <v>0</v>
      </c>
      <c r="X224" s="451">
        <f t="shared" ref="X224:X225" si="312">W224</f>
        <v>0</v>
      </c>
      <c r="Y224" s="451">
        <f t="shared" ref="Y224:Y225" si="313">X224</f>
        <v>0</v>
      </c>
      <c r="Z224" s="451">
        <f t="shared" ref="Z224:Z225" si="314">Y224</f>
        <v>0</v>
      </c>
      <c r="AA224" s="451">
        <f t="shared" ref="AA224:AA225" si="315">Z224</f>
        <v>0</v>
      </c>
      <c r="AB224" s="451">
        <f t="shared" ref="AB224:AB225" si="316">AA224</f>
        <v>0</v>
      </c>
    </row>
    <row r="225" spans="1:32">
      <c r="B225" s="405" t="s">
        <v>315</v>
      </c>
      <c r="C225" s="395"/>
      <c r="D225" s="455">
        <v>0.9</v>
      </c>
      <c r="E225" s="456"/>
      <c r="F225" s="456"/>
      <c r="G225" s="456"/>
      <c r="H225" s="456">
        <v>0.85</v>
      </c>
      <c r="I225" s="447">
        <f>H225</f>
        <v>0.85</v>
      </c>
      <c r="J225" s="456">
        <f>H225</f>
        <v>0.85</v>
      </c>
      <c r="K225" s="456">
        <f>J225</f>
        <v>0.85</v>
      </c>
      <c r="L225" s="456">
        <f t="shared" si="305"/>
        <v>0.85</v>
      </c>
      <c r="M225" s="456">
        <f t="shared" si="306"/>
        <v>0.85</v>
      </c>
      <c r="N225" s="447">
        <f>I225</f>
        <v>0.85</v>
      </c>
      <c r="O225" s="448">
        <f>M225</f>
        <v>0.85</v>
      </c>
      <c r="P225" s="448">
        <f>O225</f>
        <v>0.85</v>
      </c>
      <c r="Q225" s="448">
        <f t="shared" si="307"/>
        <v>0.85</v>
      </c>
      <c r="R225" s="448">
        <f t="shared" si="308"/>
        <v>0.85</v>
      </c>
      <c r="S225" s="447">
        <f>N225</f>
        <v>0.85</v>
      </c>
      <c r="T225" s="447">
        <f>S225</f>
        <v>0.85</v>
      </c>
      <c r="U225" s="447">
        <f t="shared" si="309"/>
        <v>0.85</v>
      </c>
      <c r="V225" s="447">
        <f t="shared" si="310"/>
        <v>0.85</v>
      </c>
      <c r="W225" s="447">
        <f t="shared" si="311"/>
        <v>0.85</v>
      </c>
      <c r="X225" s="447">
        <f t="shared" si="312"/>
        <v>0.85</v>
      </c>
      <c r="Y225" s="447">
        <f t="shared" si="313"/>
        <v>0.85</v>
      </c>
      <c r="Z225" s="447">
        <f t="shared" si="314"/>
        <v>0.85</v>
      </c>
      <c r="AA225" s="447">
        <f t="shared" si="315"/>
        <v>0.85</v>
      </c>
      <c r="AB225" s="447">
        <f t="shared" si="316"/>
        <v>0.85</v>
      </c>
    </row>
    <row r="226" spans="1:32">
      <c r="B226" s="457"/>
      <c r="C226" s="458"/>
      <c r="D226" s="458"/>
      <c r="E226" s="459"/>
      <c r="F226" s="459"/>
      <c r="G226" s="459"/>
      <c r="H226" s="459"/>
      <c r="I226" s="460"/>
      <c r="J226" s="459"/>
      <c r="K226" s="459"/>
      <c r="L226" s="459"/>
      <c r="M226" s="459"/>
      <c r="N226" s="460"/>
      <c r="O226" s="459"/>
      <c r="P226" s="459"/>
      <c r="Q226" s="459"/>
      <c r="R226" s="459"/>
      <c r="S226" s="460"/>
      <c r="T226" s="460"/>
      <c r="U226" s="460"/>
      <c r="V226" s="460"/>
      <c r="W226" s="460"/>
      <c r="X226" s="460"/>
      <c r="Y226" s="460"/>
      <c r="Z226" s="460"/>
      <c r="AA226" s="460"/>
      <c r="AB226" s="418"/>
    </row>
    <row r="227" spans="1:32">
      <c r="B227" s="461" t="s">
        <v>402</v>
      </c>
      <c r="C227" s="462"/>
      <c r="D227" s="463">
        <f>D225*(1-D224)*D210*D221*D199</f>
        <v>0</v>
      </c>
      <c r="E227" s="464"/>
      <c r="F227" s="464"/>
      <c r="G227" s="464"/>
      <c r="H227" s="464">
        <f t="shared" ref="H227:M227" si="317">((H221*(1-H224)*H225*H223*H212)+(H213*H221*(1-H224)*H225))/1000</f>
        <v>0</v>
      </c>
      <c r="I227" s="463">
        <f t="shared" si="317"/>
        <v>0</v>
      </c>
      <c r="J227" s="464">
        <f t="shared" si="317"/>
        <v>0</v>
      </c>
      <c r="K227" s="464">
        <f t="shared" si="317"/>
        <v>0</v>
      </c>
      <c r="L227" s="464">
        <f t="shared" si="317"/>
        <v>0</v>
      </c>
      <c r="M227" s="464">
        <f t="shared" si="317"/>
        <v>0</v>
      </c>
      <c r="N227" s="463">
        <f>M227+L227+K227+J227</f>
        <v>0</v>
      </c>
      <c r="O227" s="464">
        <f t="shared" ref="O227:R227" si="318">((O221*(1-O224)*O225*O223*O212)+(O213*O221*(1-O224)*O225))/1000</f>
        <v>0</v>
      </c>
      <c r="P227" s="464">
        <f t="shared" si="318"/>
        <v>0</v>
      </c>
      <c r="Q227" s="464">
        <f t="shared" si="318"/>
        <v>2.8892253121689566</v>
      </c>
      <c r="R227" s="464">
        <f t="shared" si="318"/>
        <v>6.9430006648337468</v>
      </c>
      <c r="S227" s="463">
        <f>R227+Q227+P227+O227</f>
        <v>9.8322259770027038</v>
      </c>
      <c r="T227" s="463">
        <f>((T221*(1-T224)*T225*T223*T212)+(T213*T221*(1-T224)*T225))/1000</f>
        <v>40.904793993643978</v>
      </c>
      <c r="U227" s="463">
        <f>((U221*(1-U224)*U225*U223*U212)+(U213*U221*(1-U224)*U225))/1000</f>
        <v>89.373148621272662</v>
      </c>
      <c r="V227" s="463">
        <f t="shared" ref="V227:AB227" si="319">V225*(1-V224)*V221*V214/1000</f>
        <v>132.70781417755236</v>
      </c>
      <c r="W227" s="463">
        <f t="shared" si="319"/>
        <v>152.63912448188572</v>
      </c>
      <c r="X227" s="463">
        <f t="shared" si="319"/>
        <v>150.48334870313442</v>
      </c>
      <c r="Y227" s="463">
        <f t="shared" si="319"/>
        <v>137.7610182930689</v>
      </c>
      <c r="Z227" s="463">
        <f t="shared" si="319"/>
        <v>125.36803496802412</v>
      </c>
      <c r="AA227" s="463">
        <f t="shared" si="319"/>
        <v>113.29763347041199</v>
      </c>
      <c r="AB227" s="463">
        <f t="shared" si="319"/>
        <v>101.54317394430691</v>
      </c>
    </row>
    <row r="228" spans="1:32" s="427" customFormat="1">
      <c r="B228" s="465" t="s">
        <v>316</v>
      </c>
      <c r="C228" s="466"/>
      <c r="D228" s="466"/>
      <c r="E228" s="467"/>
      <c r="F228" s="467"/>
      <c r="G228" s="467"/>
      <c r="H228" s="467"/>
      <c r="I228" s="468"/>
      <c r="J228" s="467"/>
      <c r="K228" s="467"/>
      <c r="L228" s="467"/>
      <c r="M228" s="467"/>
      <c r="N228" s="468"/>
      <c r="O228" s="467"/>
      <c r="P228" s="467"/>
      <c r="Q228" s="467"/>
      <c r="R228" s="467"/>
      <c r="S228" s="468"/>
      <c r="T228" s="468">
        <f>T227/S227-1</f>
        <v>3.1602780580225804</v>
      </c>
      <c r="U228" s="468">
        <f>U227/T227-1</f>
        <v>1.1849064595010543</v>
      </c>
      <c r="V228" s="468">
        <f t="shared" ref="V228" si="320">V227/U227-1</f>
        <v>0.48487343486033518</v>
      </c>
      <c r="W228" s="468">
        <f t="shared" ref="W228" si="321">W227/V227-1</f>
        <v>0.15018942499999932</v>
      </c>
      <c r="X228" s="468">
        <f t="shared" ref="X228" si="322">X227/W227-1</f>
        <v>-1.4123350000000312E-2</v>
      </c>
      <c r="Y228" s="468">
        <f t="shared" ref="Y228" si="323">Y227/X227-1</f>
        <v>-8.4543110714285441E-2</v>
      </c>
      <c r="Z228" s="468">
        <f t="shared" ref="Z228" si="324">Z227/Y227-1</f>
        <v>-8.996001538461551E-2</v>
      </c>
      <c r="AA228" s="468">
        <f t="shared" ref="AA228" si="325">AA227/Z227-1</f>
        <v>-9.6279737499999518E-2</v>
      </c>
      <c r="AB228" s="468">
        <f t="shared" ref="AB228" si="326">AB227/AA227-1</f>
        <v>-0.10374850000000035</v>
      </c>
    </row>
    <row r="229" spans="1:32" s="427" customFormat="1">
      <c r="B229" s="465"/>
      <c r="C229" s="466"/>
      <c r="D229" s="466"/>
      <c r="E229" s="467"/>
      <c r="F229" s="467"/>
      <c r="G229" s="467"/>
      <c r="H229" s="467"/>
      <c r="I229" s="468"/>
      <c r="J229" s="467"/>
      <c r="K229" s="467"/>
      <c r="L229" s="467"/>
      <c r="M229" s="467"/>
      <c r="N229" s="468"/>
      <c r="O229" s="467"/>
      <c r="P229" s="467"/>
      <c r="Q229" s="467"/>
      <c r="R229" s="467"/>
      <c r="S229" s="468"/>
      <c r="T229" s="468"/>
      <c r="U229" s="468"/>
      <c r="V229" s="468"/>
      <c r="W229" s="468"/>
      <c r="X229" s="468"/>
      <c r="Y229" s="468"/>
      <c r="Z229" s="468"/>
      <c r="AA229" s="468"/>
      <c r="AB229" s="468"/>
    </row>
    <row r="230" spans="1:32">
      <c r="B230" s="423" t="s">
        <v>412</v>
      </c>
      <c r="C230" s="424"/>
      <c r="D230" s="424"/>
      <c r="E230" s="425"/>
      <c r="F230" s="425"/>
      <c r="G230" s="425"/>
      <c r="H230" s="425"/>
      <c r="I230" s="426"/>
      <c r="J230" s="425"/>
      <c r="K230" s="425"/>
      <c r="L230" s="425"/>
      <c r="M230" s="425"/>
      <c r="N230" s="426"/>
      <c r="O230" s="425"/>
      <c r="P230" s="425"/>
      <c r="Q230" s="425"/>
      <c r="R230" s="425"/>
      <c r="S230" s="426"/>
      <c r="T230" s="426"/>
      <c r="U230" s="426"/>
      <c r="V230" s="426"/>
      <c r="W230" s="426"/>
      <c r="X230" s="426"/>
      <c r="Y230" s="426"/>
      <c r="Z230" s="426"/>
      <c r="AA230" s="426"/>
      <c r="AB230" s="426"/>
    </row>
    <row r="231" spans="1:32" s="427" customFormat="1" hidden="1" outlineLevel="1">
      <c r="A231" s="427" t="s">
        <v>319</v>
      </c>
      <c r="B231" s="534" t="s">
        <v>64</v>
      </c>
      <c r="C231" s="535"/>
      <c r="D231" s="536">
        <v>0</v>
      </c>
      <c r="E231" s="536"/>
      <c r="F231" s="536"/>
      <c r="G231" s="536"/>
      <c r="H231" s="536"/>
      <c r="I231" s="537">
        <v>0</v>
      </c>
      <c r="J231" s="536"/>
      <c r="K231" s="536"/>
      <c r="L231" s="536"/>
      <c r="M231" s="536"/>
      <c r="N231" s="537">
        <v>0</v>
      </c>
      <c r="O231" s="536"/>
      <c r="P231" s="536"/>
      <c r="Q231" s="536"/>
      <c r="R231" s="536"/>
      <c r="S231" s="537">
        <v>0</v>
      </c>
      <c r="T231" s="536">
        <v>0</v>
      </c>
      <c r="U231" s="536">
        <v>0</v>
      </c>
      <c r="V231" s="536">
        <f t="shared" ref="V231:AB232" si="327">S207*0.9</f>
        <v>0.11024999999999999</v>
      </c>
      <c r="W231" s="536">
        <f t="shared" si="327"/>
        <v>0.27</v>
      </c>
      <c r="X231" s="536">
        <f t="shared" si="327"/>
        <v>0.38250000000000001</v>
      </c>
      <c r="Y231" s="536">
        <f t="shared" si="327"/>
        <v>0.40500000000000003</v>
      </c>
      <c r="Z231" s="536">
        <f t="shared" si="327"/>
        <v>0.40500000000000003</v>
      </c>
      <c r="AA231" s="536">
        <f t="shared" si="327"/>
        <v>0.40500000000000003</v>
      </c>
      <c r="AB231" s="536">
        <f t="shared" si="327"/>
        <v>0.40500000000000003</v>
      </c>
      <c r="AF231" s="427" t="s">
        <v>70</v>
      </c>
    </row>
    <row r="232" spans="1:32" s="427" customFormat="1" hidden="1" outlineLevel="1">
      <c r="B232" s="534" t="s">
        <v>65</v>
      </c>
      <c r="C232" s="535"/>
      <c r="D232" s="536">
        <v>0</v>
      </c>
      <c r="E232" s="536"/>
      <c r="F232" s="536"/>
      <c r="G232" s="536"/>
      <c r="H232" s="536"/>
      <c r="I232" s="537">
        <v>0</v>
      </c>
      <c r="J232" s="536"/>
      <c r="K232" s="536"/>
      <c r="L232" s="536"/>
      <c r="M232" s="536"/>
      <c r="N232" s="537">
        <v>0</v>
      </c>
      <c r="O232" s="536"/>
      <c r="P232" s="536"/>
      <c r="Q232" s="536"/>
      <c r="R232" s="536"/>
      <c r="S232" s="537">
        <v>0</v>
      </c>
      <c r="T232" s="536">
        <v>0</v>
      </c>
      <c r="U232" s="536">
        <v>0</v>
      </c>
      <c r="V232" s="536">
        <f t="shared" si="327"/>
        <v>2.7000000000000003E-2</v>
      </c>
      <c r="W232" s="536">
        <f t="shared" si="327"/>
        <v>0.13500000000000001</v>
      </c>
      <c r="X232" s="536">
        <f t="shared" si="327"/>
        <v>0.22500000000000001</v>
      </c>
      <c r="Y232" s="536">
        <f t="shared" si="327"/>
        <v>0.27</v>
      </c>
      <c r="Z232" s="536">
        <f t="shared" si="327"/>
        <v>0.315</v>
      </c>
      <c r="AA232" s="536">
        <f t="shared" si="327"/>
        <v>0.315</v>
      </c>
      <c r="AB232" s="536">
        <f t="shared" si="327"/>
        <v>0.29250000000000004</v>
      </c>
    </row>
    <row r="233" spans="1:32" s="427" customFormat="1" hidden="1" outlineLevel="1">
      <c r="B233" s="534" t="s">
        <v>66</v>
      </c>
      <c r="C233" s="535"/>
      <c r="D233" s="536">
        <v>0</v>
      </c>
      <c r="E233" s="536"/>
      <c r="F233" s="536"/>
      <c r="G233" s="536"/>
      <c r="H233" s="536"/>
      <c r="I233" s="537">
        <v>0</v>
      </c>
      <c r="J233" s="536"/>
      <c r="K233" s="536"/>
      <c r="L233" s="536"/>
      <c r="M233" s="536"/>
      <c r="N233" s="537">
        <v>0</v>
      </c>
      <c r="O233" s="536"/>
      <c r="P233" s="536"/>
      <c r="Q233" s="536"/>
      <c r="R233" s="536"/>
      <c r="S233" s="537">
        <v>0</v>
      </c>
      <c r="T233" s="536">
        <v>0</v>
      </c>
      <c r="U233" s="536">
        <v>0</v>
      </c>
      <c r="V233" s="536">
        <f t="shared" ref="V233:AB233" si="328">V232*0.25</f>
        <v>6.7500000000000008E-3</v>
      </c>
      <c r="W233" s="536">
        <f t="shared" si="328"/>
        <v>3.3750000000000002E-2</v>
      </c>
      <c r="X233" s="536">
        <f t="shared" si="328"/>
        <v>5.6250000000000001E-2</v>
      </c>
      <c r="Y233" s="536">
        <f t="shared" si="328"/>
        <v>6.7500000000000004E-2</v>
      </c>
      <c r="Z233" s="536">
        <f t="shared" si="328"/>
        <v>7.8750000000000001E-2</v>
      </c>
      <c r="AA233" s="536">
        <f t="shared" si="328"/>
        <v>7.8750000000000001E-2</v>
      </c>
      <c r="AB233" s="536">
        <f t="shared" si="328"/>
        <v>7.3125000000000009E-2</v>
      </c>
    </row>
    <row r="234" spans="1:32" s="427" customFormat="1" collapsed="1">
      <c r="A234" s="428" t="s">
        <v>313</v>
      </c>
      <c r="B234" s="538" t="s">
        <v>318</v>
      </c>
      <c r="C234" s="539"/>
      <c r="D234" s="540">
        <f>CHOOSE($N$2,D231,D232,D233)</f>
        <v>0</v>
      </c>
      <c r="E234" s="541"/>
      <c r="F234" s="541"/>
      <c r="G234" s="541"/>
      <c r="H234" s="541"/>
      <c r="I234" s="540">
        <f>CHOOSE($N$2,I231,I232,I233)</f>
        <v>0</v>
      </c>
      <c r="J234" s="541"/>
      <c r="K234" s="541"/>
      <c r="L234" s="541"/>
      <c r="M234" s="541"/>
      <c r="N234" s="540">
        <f>CHOOSE($N$2,N231,N232,N233)</f>
        <v>0</v>
      </c>
      <c r="O234" s="541"/>
      <c r="P234" s="541"/>
      <c r="Q234" s="541"/>
      <c r="R234" s="541"/>
      <c r="S234" s="540">
        <f t="shared" ref="S234:AB234" si="329">CHOOSE($N$2,S231,S232,S233)</f>
        <v>0</v>
      </c>
      <c r="T234" s="540">
        <f t="shared" si="329"/>
        <v>0</v>
      </c>
      <c r="U234" s="540">
        <f t="shared" si="329"/>
        <v>0</v>
      </c>
      <c r="V234" s="540">
        <f t="shared" si="329"/>
        <v>2.7000000000000003E-2</v>
      </c>
      <c r="W234" s="540">
        <f t="shared" si="329"/>
        <v>0.13500000000000001</v>
      </c>
      <c r="X234" s="540">
        <f t="shared" si="329"/>
        <v>0.22500000000000001</v>
      </c>
      <c r="Y234" s="540">
        <f t="shared" si="329"/>
        <v>0.27</v>
      </c>
      <c r="Z234" s="540">
        <f t="shared" si="329"/>
        <v>0.315</v>
      </c>
      <c r="AA234" s="540">
        <f t="shared" si="329"/>
        <v>0.315</v>
      </c>
      <c r="AB234" s="540">
        <f t="shared" si="329"/>
        <v>0.29250000000000004</v>
      </c>
    </row>
    <row r="235" spans="1:32">
      <c r="B235" s="405"/>
      <c r="C235" s="395"/>
      <c r="D235" s="395"/>
      <c r="E235" s="429"/>
      <c r="F235" s="429"/>
      <c r="G235" s="429"/>
      <c r="H235" s="429"/>
      <c r="I235" s="418"/>
      <c r="J235" s="429"/>
      <c r="K235" s="429"/>
      <c r="L235" s="429"/>
      <c r="M235" s="429"/>
      <c r="N235" s="418"/>
      <c r="O235" s="429"/>
      <c r="P235" s="429"/>
      <c r="Q235" s="429"/>
      <c r="R235" s="429"/>
      <c r="S235" s="418"/>
      <c r="T235" s="418"/>
      <c r="U235" s="418"/>
      <c r="V235" s="418"/>
      <c r="W235" s="418"/>
      <c r="X235" s="418"/>
      <c r="Y235" s="418"/>
      <c r="Z235" s="418"/>
      <c r="AA235" s="418"/>
      <c r="AB235" s="418"/>
    </row>
    <row r="236" spans="1:32" hidden="1" outlineLevel="1">
      <c r="B236" s="405" t="s">
        <v>365</v>
      </c>
      <c r="C236" s="395"/>
      <c r="D236" s="395"/>
      <c r="E236" s="429"/>
      <c r="F236" s="429"/>
      <c r="G236" s="429"/>
      <c r="H236" s="429"/>
      <c r="I236" s="418"/>
      <c r="J236" s="429"/>
      <c r="K236" s="429"/>
      <c r="L236" s="429"/>
      <c r="M236" s="429"/>
      <c r="N236" s="418"/>
      <c r="O236" s="429"/>
      <c r="P236" s="429"/>
      <c r="Q236" s="429"/>
      <c r="R236" s="429"/>
      <c r="S236" s="418"/>
      <c r="T236" s="418"/>
      <c r="U236" s="418"/>
      <c r="V236" s="418"/>
      <c r="W236" s="418"/>
      <c r="X236" s="418"/>
      <c r="Y236" s="418"/>
      <c r="Z236" s="418"/>
      <c r="AA236" s="418"/>
      <c r="AB236" s="418"/>
    </row>
    <row r="237" spans="1:32" hidden="1" outlineLevel="1">
      <c r="B237" s="405" t="s">
        <v>364</v>
      </c>
      <c r="C237" s="395"/>
      <c r="D237" s="395"/>
      <c r="E237" s="429"/>
      <c r="F237" s="429"/>
      <c r="G237" s="429"/>
      <c r="H237" s="429"/>
      <c r="I237" s="418"/>
      <c r="J237" s="429"/>
      <c r="K237" s="429"/>
      <c r="L237" s="429"/>
      <c r="M237" s="429"/>
      <c r="N237" s="418"/>
      <c r="O237" s="429"/>
      <c r="P237" s="429"/>
      <c r="Q237" s="429"/>
      <c r="R237" s="429"/>
      <c r="S237" s="418"/>
      <c r="T237" s="418"/>
      <c r="U237" s="418"/>
      <c r="V237" s="418"/>
      <c r="W237" s="418"/>
      <c r="X237" s="418"/>
      <c r="Y237" s="418"/>
      <c r="Z237" s="418"/>
      <c r="AA237" s="418"/>
      <c r="AB237" s="418"/>
    </row>
    <row r="238" spans="1:32" collapsed="1">
      <c r="B238" s="405" t="s">
        <v>366</v>
      </c>
      <c r="C238" s="395"/>
      <c r="D238" s="395"/>
      <c r="E238" s="429"/>
      <c r="F238" s="429"/>
      <c r="G238" s="429"/>
      <c r="H238" s="429"/>
      <c r="I238" s="418"/>
      <c r="J238" s="429"/>
      <c r="K238" s="429"/>
      <c r="L238" s="429"/>
      <c r="M238" s="429"/>
      <c r="N238" s="418"/>
      <c r="O238" s="429"/>
      <c r="P238" s="429"/>
      <c r="Q238" s="429"/>
      <c r="R238" s="429"/>
      <c r="S238" s="418"/>
      <c r="T238" s="418"/>
      <c r="U238" s="530"/>
      <c r="V238" s="530">
        <f t="shared" ref="V238" si="330">V201*V234*1000</f>
        <v>27.17097106309172</v>
      </c>
      <c r="W238" s="530">
        <f t="shared" ref="W238" si="331">W201*W234*1000</f>
        <v>137.34925872392859</v>
      </c>
      <c r="X238" s="530">
        <f t="shared" ref="X238:AB238" si="332">X201*X234*1000</f>
        <v>231.43350094981966</v>
      </c>
      <c r="Y238" s="530">
        <f t="shared" si="332"/>
        <v>280.77512335232126</v>
      </c>
      <c r="Z238" s="530">
        <f t="shared" si="332"/>
        <v>331.17425799406283</v>
      </c>
      <c r="AA238" s="530">
        <f t="shared" si="332"/>
        <v>334.81717483199748</v>
      </c>
      <c r="AB238" s="530">
        <f t="shared" si="332"/>
        <v>314.32158062978158</v>
      </c>
    </row>
    <row r="239" spans="1:32">
      <c r="B239" s="405"/>
      <c r="C239" s="395"/>
      <c r="D239" s="395"/>
      <c r="E239" s="429"/>
      <c r="F239" s="429"/>
      <c r="G239" s="429"/>
      <c r="H239" s="429"/>
      <c r="I239" s="418"/>
      <c r="J239" s="429"/>
      <c r="K239" s="429"/>
      <c r="L239" s="429"/>
      <c r="M239" s="429"/>
      <c r="N239" s="418"/>
      <c r="O239" s="429"/>
      <c r="P239" s="429"/>
      <c r="Q239" s="429"/>
      <c r="R239" s="429"/>
      <c r="S239" s="418"/>
      <c r="T239" s="418"/>
      <c r="U239" s="418"/>
      <c r="V239" s="418"/>
      <c r="W239" s="418"/>
      <c r="X239" s="418"/>
      <c r="Y239" s="418"/>
      <c r="Z239" s="418"/>
      <c r="AA239" s="418"/>
      <c r="AB239" s="418"/>
    </row>
    <row r="240" spans="1:32">
      <c r="B240" s="405" t="s">
        <v>321</v>
      </c>
      <c r="C240" s="395"/>
      <c r="D240" s="469"/>
      <c r="E240" s="470"/>
      <c r="F240" s="470"/>
      <c r="G240" s="470"/>
      <c r="H240" s="470"/>
      <c r="I240" s="471"/>
      <c r="J240" s="470"/>
      <c r="K240" s="470"/>
      <c r="L240" s="470"/>
      <c r="M240" s="470"/>
      <c r="N240" s="471"/>
      <c r="O240" s="470"/>
      <c r="P240" s="470"/>
      <c r="Q240" s="470"/>
      <c r="R240" s="470"/>
      <c r="S240" s="471"/>
      <c r="T240" s="471"/>
      <c r="U240" s="531"/>
      <c r="V240" s="436">
        <f>I216</f>
        <v>26.700000000000003</v>
      </c>
      <c r="W240" s="436">
        <f t="shared" ref="W240:AB240" si="333">J216</f>
        <v>26.700000000000003</v>
      </c>
      <c r="X240" s="436">
        <f t="shared" si="333"/>
        <v>26.700000000000003</v>
      </c>
      <c r="Y240" s="436">
        <f t="shared" si="333"/>
        <v>26.700000000000003</v>
      </c>
      <c r="Z240" s="436">
        <f t="shared" si="333"/>
        <v>26.700000000000003</v>
      </c>
      <c r="AA240" s="436">
        <f t="shared" si="333"/>
        <v>26.700000000000003</v>
      </c>
      <c r="AB240" s="436">
        <f t="shared" si="333"/>
        <v>26.700000000000003</v>
      </c>
    </row>
    <row r="241" spans="2:29">
      <c r="B241" s="405"/>
      <c r="C241" s="395"/>
      <c r="D241" s="395"/>
      <c r="E241" s="429"/>
      <c r="F241" s="429"/>
      <c r="G241" s="429"/>
      <c r="H241" s="429"/>
      <c r="I241" s="418"/>
      <c r="J241" s="429"/>
      <c r="K241" s="429"/>
      <c r="L241" s="429"/>
      <c r="M241" s="429"/>
      <c r="N241" s="418"/>
      <c r="O241" s="429"/>
      <c r="P241" s="429"/>
      <c r="Q241" s="429"/>
      <c r="R241" s="429"/>
      <c r="S241" s="418"/>
      <c r="T241" s="418"/>
      <c r="U241" s="418"/>
      <c r="V241" s="418"/>
      <c r="W241" s="418"/>
      <c r="X241" s="418"/>
      <c r="Y241" s="418"/>
      <c r="Z241" s="418"/>
      <c r="AA241" s="418"/>
      <c r="AB241" s="418"/>
    </row>
    <row r="242" spans="2:29">
      <c r="B242" s="405" t="s">
        <v>322</v>
      </c>
      <c r="C242" s="395"/>
      <c r="D242" s="437"/>
      <c r="E242" s="472"/>
      <c r="F242" s="472"/>
      <c r="G242" s="472"/>
      <c r="H242" s="472"/>
      <c r="I242" s="473"/>
      <c r="J242" s="472"/>
      <c r="K242" s="472"/>
      <c r="L242" s="472"/>
      <c r="M242" s="472"/>
      <c r="N242" s="473"/>
      <c r="O242" s="472"/>
      <c r="P242" s="472"/>
      <c r="Q242" s="472"/>
      <c r="R242" s="472"/>
      <c r="S242" s="473"/>
      <c r="T242" s="473"/>
      <c r="U242" s="439"/>
      <c r="V242" s="439">
        <f t="shared" ref="V242" si="334">V218</f>
        <v>236.23343539325839</v>
      </c>
      <c r="W242" s="439">
        <f t="shared" ref="W242" si="335">W218</f>
        <v>232.68993386235951</v>
      </c>
      <c r="X242" s="439">
        <f t="shared" ref="X242:AB242" si="336">X218</f>
        <v>229.1995848544241</v>
      </c>
      <c r="Y242" s="439">
        <f t="shared" si="336"/>
        <v>225.76159108160775</v>
      </c>
      <c r="Z242" s="439">
        <f t="shared" si="336"/>
        <v>222.37516721538364</v>
      </c>
      <c r="AA242" s="439">
        <f t="shared" si="336"/>
        <v>219.0395397071529</v>
      </c>
      <c r="AB242" s="439">
        <f t="shared" si="336"/>
        <v>215.75394661154562</v>
      </c>
      <c r="AC242" s="439"/>
    </row>
    <row r="243" spans="2:29" s="414" customFormat="1">
      <c r="B243" s="409" t="s">
        <v>312</v>
      </c>
      <c r="C243" s="410"/>
      <c r="D243" s="440"/>
      <c r="E243" s="441"/>
      <c r="F243" s="441"/>
      <c r="G243" s="441"/>
      <c r="H243" s="441"/>
      <c r="I243" s="413"/>
      <c r="J243" s="441"/>
      <c r="K243" s="441"/>
      <c r="L243" s="441"/>
      <c r="M243" s="441"/>
      <c r="N243" s="413"/>
      <c r="O243" s="441"/>
      <c r="P243" s="441"/>
      <c r="Q243" s="441"/>
      <c r="R243" s="441"/>
      <c r="S243" s="413"/>
      <c r="T243" s="413"/>
      <c r="U243" s="413"/>
      <c r="V243" s="413"/>
      <c r="W243" s="413"/>
      <c r="X243" s="413"/>
      <c r="Y243" s="413">
        <f t="shared" ref="Y243" si="337">Y242/X242-1</f>
        <v>-1.5000000000000013E-2</v>
      </c>
      <c r="Z243" s="413">
        <f t="shared" ref="Z243" si="338">Z242/Y242-1</f>
        <v>-1.4999999999999902E-2</v>
      </c>
      <c r="AA243" s="413">
        <f t="shared" ref="AA243" si="339">AA242/Z242-1</f>
        <v>-1.4999999999999902E-2</v>
      </c>
      <c r="AB243" s="413">
        <f t="shared" ref="AB243" si="340">AB242/AA242-1</f>
        <v>-1.4999999999999902E-2</v>
      </c>
    </row>
    <row r="244" spans="2:29" s="427" customFormat="1">
      <c r="B244" s="465"/>
      <c r="C244" s="466"/>
      <c r="D244" s="466"/>
      <c r="E244" s="467"/>
      <c r="F244" s="467"/>
      <c r="G244" s="467"/>
      <c r="H244" s="467"/>
      <c r="I244" s="468"/>
      <c r="J244" s="467"/>
      <c r="K244" s="467"/>
      <c r="L244" s="467"/>
      <c r="M244" s="467"/>
      <c r="N244" s="468"/>
      <c r="O244" s="467"/>
      <c r="P244" s="467"/>
      <c r="Q244" s="467"/>
      <c r="R244" s="467"/>
      <c r="S244" s="468"/>
      <c r="T244" s="468"/>
      <c r="U244" s="468"/>
      <c r="V244" s="468"/>
      <c r="W244" s="468"/>
      <c r="X244" s="468"/>
      <c r="Y244" s="468"/>
      <c r="Z244" s="468"/>
      <c r="AA244" s="468"/>
      <c r="AB244" s="468"/>
    </row>
    <row r="245" spans="2:29">
      <c r="B245" s="405" t="s">
        <v>401</v>
      </c>
      <c r="C245" s="395"/>
      <c r="D245" s="474"/>
      <c r="E245" s="475"/>
      <c r="F245" s="475"/>
      <c r="G245" s="475"/>
      <c r="H245" s="475"/>
      <c r="I245" s="444"/>
      <c r="J245" s="475"/>
      <c r="K245" s="475"/>
      <c r="L245" s="475"/>
      <c r="M245" s="475"/>
      <c r="N245" s="444"/>
      <c r="O245" s="475"/>
      <c r="P245" s="475"/>
      <c r="Q245" s="475"/>
      <c r="R245" s="475"/>
      <c r="S245" s="444"/>
      <c r="T245" s="444"/>
      <c r="U245" s="444"/>
      <c r="V245" s="444">
        <f t="shared" ref="V245:AB245" si="341">V242*V240*52/1000</f>
        <v>327.98650169999996</v>
      </c>
      <c r="W245" s="444">
        <f t="shared" si="341"/>
        <v>323.06670417449993</v>
      </c>
      <c r="X245" s="444">
        <f t="shared" si="341"/>
        <v>318.22070361188247</v>
      </c>
      <c r="Y245" s="444">
        <f t="shared" si="341"/>
        <v>313.44739305770423</v>
      </c>
      <c r="Z245" s="444">
        <f t="shared" si="341"/>
        <v>308.74568216183866</v>
      </c>
      <c r="AA245" s="444">
        <f t="shared" si="341"/>
        <v>304.11449692941113</v>
      </c>
      <c r="AB245" s="444">
        <f t="shared" si="341"/>
        <v>299.55277947546995</v>
      </c>
    </row>
    <row r="246" spans="2:29">
      <c r="B246" s="405"/>
      <c r="C246" s="395"/>
      <c r="D246" s="395"/>
      <c r="E246" s="429"/>
      <c r="F246" s="429"/>
      <c r="G246" s="429"/>
      <c r="H246" s="429"/>
      <c r="I246" s="418"/>
      <c r="J246" s="429"/>
      <c r="K246" s="429"/>
      <c r="L246" s="429"/>
      <c r="M246" s="429"/>
      <c r="N246" s="418"/>
      <c r="O246" s="429"/>
      <c r="P246" s="429"/>
      <c r="Q246" s="429"/>
      <c r="R246" s="429"/>
      <c r="S246" s="418"/>
      <c r="T246" s="418"/>
      <c r="U246" s="418"/>
      <c r="V246" s="418"/>
      <c r="W246" s="418"/>
      <c r="X246" s="418"/>
      <c r="Y246" s="418"/>
      <c r="Z246" s="418"/>
      <c r="AA246" s="418"/>
      <c r="AB246" s="418"/>
    </row>
    <row r="247" spans="2:29" hidden="1" outlineLevel="1">
      <c r="B247" s="405" t="s">
        <v>367</v>
      </c>
      <c r="C247" s="395"/>
      <c r="D247" s="445"/>
      <c r="E247" s="446"/>
      <c r="F247" s="446"/>
      <c r="G247" s="446"/>
      <c r="H247" s="533"/>
      <c r="I247" s="449"/>
      <c r="J247" s="533"/>
      <c r="K247" s="533"/>
      <c r="L247" s="533"/>
      <c r="M247" s="533"/>
      <c r="N247" s="449"/>
      <c r="O247" s="533"/>
      <c r="P247" s="533"/>
      <c r="Q247" s="533"/>
      <c r="R247" s="533"/>
      <c r="S247" s="449"/>
      <c r="T247" s="418"/>
      <c r="U247" s="418"/>
      <c r="V247" s="418"/>
      <c r="W247" s="418"/>
      <c r="X247" s="418"/>
      <c r="Y247" s="418"/>
      <c r="Z247" s="418"/>
      <c r="AA247" s="418"/>
      <c r="AB247" s="418"/>
    </row>
    <row r="248" spans="2:29" s="454" customFormat="1" collapsed="1">
      <c r="B248" s="450" t="s">
        <v>314</v>
      </c>
      <c r="C248" s="451"/>
      <c r="D248" s="476"/>
      <c r="E248" s="477"/>
      <c r="F248" s="477"/>
      <c r="G248" s="477"/>
      <c r="H248" s="477"/>
      <c r="I248" s="451"/>
      <c r="J248" s="477"/>
      <c r="K248" s="477"/>
      <c r="L248" s="477"/>
      <c r="M248" s="477"/>
      <c r="N248" s="451"/>
      <c r="O248" s="477"/>
      <c r="P248" s="477"/>
      <c r="Q248" s="477"/>
      <c r="R248" s="477"/>
      <c r="S248" s="451"/>
      <c r="T248" s="451"/>
      <c r="U248" s="451"/>
      <c r="V248" s="451">
        <f t="shared" ref="V248" si="342">V224</f>
        <v>0</v>
      </c>
      <c r="W248" s="451">
        <f t="shared" ref="W248" si="343">W224</f>
        <v>0</v>
      </c>
      <c r="X248" s="451">
        <f t="shared" ref="X248:AB249" si="344">X224</f>
        <v>0</v>
      </c>
      <c r="Y248" s="451">
        <f t="shared" si="344"/>
        <v>0</v>
      </c>
      <c r="Z248" s="451">
        <f t="shared" si="344"/>
        <v>0</v>
      </c>
      <c r="AA248" s="451">
        <f t="shared" si="344"/>
        <v>0</v>
      </c>
      <c r="AB248" s="451">
        <f t="shared" si="344"/>
        <v>0</v>
      </c>
    </row>
    <row r="249" spans="2:29">
      <c r="B249" s="405" t="s">
        <v>315</v>
      </c>
      <c r="C249" s="395"/>
      <c r="D249" s="478"/>
      <c r="E249" s="479"/>
      <c r="F249" s="479"/>
      <c r="G249" s="479"/>
      <c r="H249" s="479"/>
      <c r="I249" s="447"/>
      <c r="J249" s="479"/>
      <c r="K249" s="479"/>
      <c r="L249" s="479"/>
      <c r="M249" s="479"/>
      <c r="N249" s="447"/>
      <c r="O249" s="479"/>
      <c r="P249" s="479"/>
      <c r="Q249" s="479"/>
      <c r="R249" s="479"/>
      <c r="S249" s="447"/>
      <c r="T249" s="447"/>
      <c r="U249" s="447"/>
      <c r="V249" s="447">
        <f t="shared" ref="V249" si="345">V225</f>
        <v>0.85</v>
      </c>
      <c r="W249" s="447">
        <f t="shared" ref="W249" si="346">W225</f>
        <v>0.85</v>
      </c>
      <c r="X249" s="447">
        <f t="shared" si="344"/>
        <v>0.85</v>
      </c>
      <c r="Y249" s="447">
        <f t="shared" si="344"/>
        <v>0.85</v>
      </c>
      <c r="Z249" s="447">
        <f t="shared" si="344"/>
        <v>0.85</v>
      </c>
      <c r="AA249" s="447">
        <f t="shared" si="344"/>
        <v>0.85</v>
      </c>
      <c r="AB249" s="447">
        <f t="shared" si="344"/>
        <v>0.85</v>
      </c>
    </row>
    <row r="250" spans="2:29" s="427" customFormat="1">
      <c r="B250" s="465"/>
      <c r="C250" s="466"/>
      <c r="D250" s="466"/>
      <c r="E250" s="467"/>
      <c r="F250" s="467"/>
      <c r="G250" s="467"/>
      <c r="H250" s="467"/>
      <c r="I250" s="468"/>
      <c r="J250" s="467"/>
      <c r="K250" s="467"/>
      <c r="L250" s="467"/>
      <c r="M250" s="467"/>
      <c r="N250" s="468"/>
      <c r="O250" s="467"/>
      <c r="P250" s="467"/>
      <c r="Q250" s="467"/>
      <c r="R250" s="467"/>
      <c r="S250" s="468"/>
      <c r="T250" s="468"/>
      <c r="U250" s="468"/>
      <c r="V250" s="468"/>
      <c r="W250" s="468"/>
      <c r="X250" s="468"/>
      <c r="Y250" s="468"/>
      <c r="Z250" s="468"/>
      <c r="AA250" s="468"/>
      <c r="AB250" s="468"/>
    </row>
    <row r="251" spans="2:29">
      <c r="B251" s="461" t="s">
        <v>413</v>
      </c>
      <c r="C251" s="462"/>
      <c r="D251" s="463"/>
      <c r="E251" s="464"/>
      <c r="F251" s="464"/>
      <c r="G251" s="464"/>
      <c r="H251" s="464"/>
      <c r="I251" s="463"/>
      <c r="J251" s="464"/>
      <c r="K251" s="464"/>
      <c r="L251" s="464"/>
      <c r="M251" s="464"/>
      <c r="N251" s="463"/>
      <c r="O251" s="464"/>
      <c r="P251" s="464"/>
      <c r="Q251" s="464"/>
      <c r="R251" s="464"/>
      <c r="S251" s="463"/>
      <c r="T251" s="463"/>
      <c r="U251" s="463"/>
      <c r="V251" s="463">
        <f t="shared" ref="V251" si="347">V249*(1-V248)*V245*V238/1000</f>
        <v>7.5749549847590743</v>
      </c>
      <c r="W251" s="463">
        <f t="shared" ref="W251" si="348">W249*(1-W248)*W245*W238/1000</f>
        <v>37.717026486237742</v>
      </c>
      <c r="X251" s="463">
        <f t="shared" ref="X251:AB251" si="349">X249*(1-X248)*X245*X238/1000</f>
        <v>62.599891784870948</v>
      </c>
      <c r="Y251" s="463">
        <f t="shared" si="349"/>
        <v>74.806995882704371</v>
      </c>
      <c r="Z251" s="463">
        <f t="shared" si="349"/>
        <v>86.911328868995014</v>
      </c>
      <c r="AA251" s="463">
        <f t="shared" si="349"/>
        <v>86.549343184255662</v>
      </c>
      <c r="AB251" s="463">
        <f t="shared" si="349"/>
        <v>80.032517657757978</v>
      </c>
    </row>
    <row r="252" spans="2:29" s="427" customFormat="1">
      <c r="B252" s="465" t="s">
        <v>316</v>
      </c>
      <c r="C252" s="466"/>
      <c r="D252" s="466"/>
      <c r="E252" s="467"/>
      <c r="F252" s="467"/>
      <c r="G252" s="467"/>
      <c r="H252" s="467"/>
      <c r="I252" s="468"/>
      <c r="J252" s="467"/>
      <c r="K252" s="467"/>
      <c r="L252" s="467"/>
      <c r="M252" s="467"/>
      <c r="N252" s="468"/>
      <c r="O252" s="467"/>
      <c r="P252" s="467"/>
      <c r="Q252" s="467"/>
      <c r="R252" s="467"/>
      <c r="S252" s="468"/>
      <c r="T252" s="468"/>
      <c r="U252" s="468"/>
      <c r="V252" s="468"/>
      <c r="W252" s="468"/>
      <c r="X252" s="468"/>
      <c r="Y252" s="468">
        <f t="shared" ref="Y252" si="350">Y251/X251-1</f>
        <v>0.19500200000000034</v>
      </c>
      <c r="Z252" s="468">
        <f t="shared" ref="Z252" si="351">Z251/Y251-1</f>
        <v>0.16180749999999944</v>
      </c>
      <c r="AA252" s="468">
        <f t="shared" ref="AA252" si="352">AA251/Z251-1</f>
        <v>-4.1649999999998633E-3</v>
      </c>
      <c r="AB252" s="468">
        <f t="shared" ref="AB252" si="353">AB251/AA251-1</f>
        <v>-7.5296071428571754E-2</v>
      </c>
    </row>
    <row r="253" spans="2:29" s="427" customFormat="1">
      <c r="B253" s="465"/>
      <c r="C253" s="466"/>
      <c r="D253" s="466"/>
      <c r="E253" s="467"/>
      <c r="F253" s="467"/>
      <c r="G253" s="467"/>
      <c r="H253" s="467"/>
      <c r="I253" s="468"/>
      <c r="J253" s="467"/>
      <c r="K253" s="467"/>
      <c r="L253" s="467"/>
      <c r="M253" s="467"/>
      <c r="N253" s="468"/>
      <c r="O253" s="467"/>
      <c r="P253" s="467"/>
      <c r="Q253" s="467"/>
      <c r="R253" s="467"/>
      <c r="S253" s="468"/>
      <c r="T253" s="468"/>
      <c r="U253" s="468"/>
      <c r="V253" s="468"/>
      <c r="W253" s="468"/>
      <c r="X253" s="468"/>
      <c r="Y253" s="468"/>
      <c r="Z253" s="468"/>
      <c r="AA253" s="468"/>
      <c r="AB253" s="468"/>
    </row>
    <row r="254" spans="2:29">
      <c r="B254" s="461" t="s">
        <v>418</v>
      </c>
      <c r="C254" s="462"/>
      <c r="D254" s="463">
        <f>D251*0.5</f>
        <v>0</v>
      </c>
      <c r="E254" s="464"/>
      <c r="F254" s="464"/>
      <c r="G254" s="464"/>
      <c r="H254" s="464"/>
      <c r="I254" s="463"/>
      <c r="J254" s="464"/>
      <c r="K254" s="464"/>
      <c r="L254" s="464"/>
      <c r="M254" s="464"/>
      <c r="N254" s="463"/>
      <c r="O254" s="464"/>
      <c r="P254" s="464"/>
      <c r="Q254" s="464"/>
      <c r="R254" s="464"/>
      <c r="S254" s="463"/>
      <c r="T254" s="463"/>
      <c r="U254" s="463"/>
      <c r="V254" s="463">
        <f t="shared" ref="V254:AB254" si="354">V251*0.8</f>
        <v>6.0599639878072598</v>
      </c>
      <c r="W254" s="463">
        <f t="shared" si="354"/>
        <v>30.173621188990197</v>
      </c>
      <c r="X254" s="463">
        <f t="shared" si="354"/>
        <v>50.079913427896763</v>
      </c>
      <c r="Y254" s="463">
        <f t="shared" si="354"/>
        <v>59.845596706163498</v>
      </c>
      <c r="Z254" s="463">
        <f t="shared" si="354"/>
        <v>69.529063095196008</v>
      </c>
      <c r="AA254" s="463">
        <f t="shared" si="354"/>
        <v>69.239474547404527</v>
      </c>
      <c r="AB254" s="463">
        <f t="shared" si="354"/>
        <v>64.026014126206391</v>
      </c>
    </row>
    <row r="255" spans="2:29">
      <c r="B255" s="590"/>
      <c r="C255" s="591"/>
      <c r="D255" s="517"/>
      <c r="E255" s="518"/>
      <c r="F255" s="518"/>
      <c r="G255" s="518"/>
      <c r="H255" s="518"/>
      <c r="I255" s="517"/>
      <c r="J255" s="518"/>
      <c r="K255" s="518"/>
      <c r="L255" s="518"/>
      <c r="M255" s="518"/>
      <c r="N255" s="517"/>
      <c r="O255" s="518"/>
      <c r="P255" s="518"/>
      <c r="Q255" s="518"/>
      <c r="R255" s="518"/>
      <c r="S255" s="517"/>
      <c r="T255" s="517"/>
      <c r="U255" s="517"/>
      <c r="V255" s="517"/>
      <c r="W255" s="517"/>
      <c r="X255" s="517"/>
      <c r="Y255" s="517"/>
      <c r="Z255" s="517"/>
      <c r="AA255" s="517"/>
      <c r="AB255" s="517"/>
    </row>
    <row r="256" spans="2:29">
      <c r="B256" s="423" t="s">
        <v>400</v>
      </c>
      <c r="C256" s="424"/>
      <c r="D256" s="424"/>
      <c r="E256" s="425"/>
      <c r="F256" s="425"/>
      <c r="G256" s="425"/>
      <c r="H256" s="425"/>
      <c r="I256" s="426"/>
      <c r="J256" s="425"/>
      <c r="K256" s="425"/>
      <c r="L256" s="425"/>
      <c r="M256" s="425"/>
      <c r="N256" s="426"/>
      <c r="O256" s="425"/>
      <c r="P256" s="425"/>
      <c r="Q256" s="425"/>
      <c r="R256" s="425"/>
      <c r="S256" s="426"/>
      <c r="T256" s="426"/>
      <c r="U256" s="426"/>
      <c r="V256" s="426"/>
      <c r="W256" s="426"/>
      <c r="X256" s="426"/>
      <c r="Y256" s="426"/>
      <c r="Z256" s="426"/>
      <c r="AA256" s="426"/>
      <c r="AB256" s="426"/>
    </row>
    <row r="257" spans="1:32" s="427" customFormat="1" hidden="1" outlineLevel="1">
      <c r="A257" s="427" t="s">
        <v>319</v>
      </c>
      <c r="B257" s="534" t="s">
        <v>64</v>
      </c>
      <c r="C257" s="535"/>
      <c r="D257" s="536">
        <v>0</v>
      </c>
      <c r="E257" s="536"/>
      <c r="F257" s="536"/>
      <c r="G257" s="536"/>
      <c r="H257" s="536"/>
      <c r="I257" s="537">
        <v>0</v>
      </c>
      <c r="J257" s="536"/>
      <c r="K257" s="536"/>
      <c r="L257" s="536"/>
      <c r="M257" s="536"/>
      <c r="N257" s="537">
        <v>0</v>
      </c>
      <c r="O257" s="536"/>
      <c r="P257" s="536"/>
      <c r="Q257" s="536"/>
      <c r="R257" s="536"/>
      <c r="S257" s="537">
        <v>0</v>
      </c>
      <c r="T257" s="536">
        <v>0</v>
      </c>
      <c r="U257" s="536">
        <v>0</v>
      </c>
      <c r="V257" s="536">
        <f>V231</f>
        <v>0.11024999999999999</v>
      </c>
      <c r="W257" s="536">
        <f t="shared" ref="W257:AB257" si="355">W231</f>
        <v>0.27</v>
      </c>
      <c r="X257" s="536">
        <f t="shared" si="355"/>
        <v>0.38250000000000001</v>
      </c>
      <c r="Y257" s="536">
        <f t="shared" si="355"/>
        <v>0.40500000000000003</v>
      </c>
      <c r="Z257" s="536">
        <f t="shared" si="355"/>
        <v>0.40500000000000003</v>
      </c>
      <c r="AA257" s="536">
        <f t="shared" si="355"/>
        <v>0.40500000000000003</v>
      </c>
      <c r="AB257" s="536">
        <f t="shared" si="355"/>
        <v>0.40500000000000003</v>
      </c>
      <c r="AF257" s="427" t="s">
        <v>70</v>
      </c>
    </row>
    <row r="258" spans="1:32" s="427" customFormat="1" hidden="1" outlineLevel="1">
      <c r="B258" s="534" t="s">
        <v>65</v>
      </c>
      <c r="C258" s="535"/>
      <c r="D258" s="536">
        <v>0</v>
      </c>
      <c r="E258" s="536"/>
      <c r="F258" s="536"/>
      <c r="G258" s="536"/>
      <c r="H258" s="536"/>
      <c r="I258" s="537">
        <v>0</v>
      </c>
      <c r="J258" s="536"/>
      <c r="K258" s="536"/>
      <c r="L258" s="536"/>
      <c r="M258" s="536"/>
      <c r="N258" s="537">
        <v>0</v>
      </c>
      <c r="O258" s="536"/>
      <c r="P258" s="536"/>
      <c r="Q258" s="536"/>
      <c r="R258" s="536"/>
      <c r="S258" s="537">
        <v>0</v>
      </c>
      <c r="T258" s="536">
        <v>0</v>
      </c>
      <c r="U258" s="536">
        <v>0</v>
      </c>
      <c r="V258" s="536">
        <f>V232</f>
        <v>2.7000000000000003E-2</v>
      </c>
      <c r="W258" s="536">
        <f t="shared" ref="W258:AB258" si="356">W232</f>
        <v>0.13500000000000001</v>
      </c>
      <c r="X258" s="536">
        <f t="shared" si="356"/>
        <v>0.22500000000000001</v>
      </c>
      <c r="Y258" s="536">
        <f t="shared" si="356"/>
        <v>0.27</v>
      </c>
      <c r="Z258" s="536">
        <f t="shared" si="356"/>
        <v>0.315</v>
      </c>
      <c r="AA258" s="536">
        <f t="shared" si="356"/>
        <v>0.315</v>
      </c>
      <c r="AB258" s="536">
        <f t="shared" si="356"/>
        <v>0.29250000000000004</v>
      </c>
    </row>
    <row r="259" spans="1:32" s="427" customFormat="1" hidden="1" outlineLevel="1">
      <c r="B259" s="534" t="s">
        <v>66</v>
      </c>
      <c r="C259" s="535"/>
      <c r="D259" s="536">
        <v>0</v>
      </c>
      <c r="E259" s="536"/>
      <c r="F259" s="536"/>
      <c r="G259" s="536"/>
      <c r="H259" s="536"/>
      <c r="I259" s="537">
        <v>0</v>
      </c>
      <c r="J259" s="536"/>
      <c r="K259" s="536"/>
      <c r="L259" s="536"/>
      <c r="M259" s="536"/>
      <c r="N259" s="537">
        <v>0</v>
      </c>
      <c r="O259" s="536"/>
      <c r="P259" s="536"/>
      <c r="Q259" s="536"/>
      <c r="R259" s="536"/>
      <c r="S259" s="537">
        <v>0</v>
      </c>
      <c r="T259" s="536">
        <v>0</v>
      </c>
      <c r="U259" s="536">
        <v>0</v>
      </c>
      <c r="V259" s="536">
        <f>S235*0.7</f>
        <v>0</v>
      </c>
      <c r="W259" s="536">
        <f t="shared" ref="W259" si="357">T235*0.7</f>
        <v>0</v>
      </c>
      <c r="X259" s="536">
        <f t="shared" ref="X259" si="358">U235*0.7</f>
        <v>0</v>
      </c>
      <c r="Y259" s="536">
        <f t="shared" ref="Y259" si="359">V235*0.7</f>
        <v>0</v>
      </c>
      <c r="Z259" s="536">
        <f t="shared" ref="Z259" si="360">W235*0.7</f>
        <v>0</v>
      </c>
      <c r="AA259" s="536">
        <f t="shared" ref="AA259" si="361">X235*0.7</f>
        <v>0</v>
      </c>
      <c r="AB259" s="536">
        <f t="shared" ref="AB259" si="362">Y235*0.7</f>
        <v>0</v>
      </c>
    </row>
    <row r="260" spans="1:32" s="427" customFormat="1" collapsed="1">
      <c r="A260" s="428" t="s">
        <v>313</v>
      </c>
      <c r="B260" s="538" t="s">
        <v>318</v>
      </c>
      <c r="C260" s="539"/>
      <c r="D260" s="540">
        <f>CHOOSE($N$2,D257,D258,D259)</f>
        <v>0</v>
      </c>
      <c r="E260" s="541"/>
      <c r="F260" s="541"/>
      <c r="G260" s="541"/>
      <c r="H260" s="541"/>
      <c r="I260" s="540">
        <f>CHOOSE($N$2,I257,I258,I259)</f>
        <v>0</v>
      </c>
      <c r="J260" s="541"/>
      <c r="K260" s="541"/>
      <c r="L260" s="541"/>
      <c r="M260" s="541"/>
      <c r="N260" s="540">
        <f>CHOOSE($N$2,N257,N258,N259)</f>
        <v>0</v>
      </c>
      <c r="O260" s="541"/>
      <c r="P260" s="541"/>
      <c r="Q260" s="541"/>
      <c r="R260" s="541"/>
      <c r="S260" s="540">
        <f t="shared" ref="S260:AB260" si="363">CHOOSE($N$2,S257,S258,S259)</f>
        <v>0</v>
      </c>
      <c r="T260" s="540">
        <f t="shared" si="363"/>
        <v>0</v>
      </c>
      <c r="U260" s="540">
        <f t="shared" si="363"/>
        <v>0</v>
      </c>
      <c r="V260" s="540">
        <f t="shared" si="363"/>
        <v>2.7000000000000003E-2</v>
      </c>
      <c r="W260" s="540">
        <f t="shared" si="363"/>
        <v>0.13500000000000001</v>
      </c>
      <c r="X260" s="540">
        <f t="shared" si="363"/>
        <v>0.22500000000000001</v>
      </c>
      <c r="Y260" s="540">
        <f t="shared" si="363"/>
        <v>0.27</v>
      </c>
      <c r="Z260" s="540">
        <f t="shared" si="363"/>
        <v>0.315</v>
      </c>
      <c r="AA260" s="540">
        <f t="shared" si="363"/>
        <v>0.315</v>
      </c>
      <c r="AB260" s="540">
        <f t="shared" si="363"/>
        <v>0.29250000000000004</v>
      </c>
    </row>
    <row r="261" spans="1:32">
      <c r="B261" s="405"/>
      <c r="C261" s="395"/>
      <c r="D261" s="395"/>
      <c r="E261" s="429"/>
      <c r="F261" s="429"/>
      <c r="G261" s="429"/>
      <c r="H261" s="429"/>
      <c r="I261" s="418"/>
      <c r="J261" s="429"/>
      <c r="K261" s="429"/>
      <c r="L261" s="429"/>
      <c r="M261" s="429"/>
      <c r="N261" s="418"/>
      <c r="O261" s="429"/>
      <c r="P261" s="429"/>
      <c r="Q261" s="429"/>
      <c r="R261" s="429"/>
      <c r="S261" s="418"/>
      <c r="T261" s="418"/>
      <c r="U261" s="418"/>
      <c r="V261" s="418"/>
      <c r="W261" s="418"/>
      <c r="X261" s="418"/>
      <c r="Y261" s="418"/>
      <c r="Z261" s="418"/>
      <c r="AA261" s="418"/>
      <c r="AB261" s="418"/>
    </row>
    <row r="262" spans="1:32" hidden="1" outlineLevel="1">
      <c r="B262" s="405" t="s">
        <v>365</v>
      </c>
      <c r="C262" s="395"/>
      <c r="D262" s="395"/>
      <c r="E262" s="429"/>
      <c r="F262" s="429"/>
      <c r="G262" s="429"/>
      <c r="H262" s="429"/>
      <c r="I262" s="418"/>
      <c r="J262" s="429"/>
      <c r="K262" s="429"/>
      <c r="L262" s="429"/>
      <c r="M262" s="429"/>
      <c r="N262" s="418"/>
      <c r="O262" s="429"/>
      <c r="P262" s="429"/>
      <c r="Q262" s="429"/>
      <c r="R262" s="429"/>
      <c r="S262" s="418"/>
      <c r="T262" s="418"/>
      <c r="U262" s="418"/>
      <c r="V262" s="418"/>
      <c r="W262" s="418"/>
      <c r="X262" s="418"/>
      <c r="Y262" s="418"/>
      <c r="Z262" s="418"/>
      <c r="AA262" s="418"/>
      <c r="AB262" s="418"/>
    </row>
    <row r="263" spans="1:32" hidden="1" outlineLevel="1">
      <c r="B263" s="405" t="s">
        <v>364</v>
      </c>
      <c r="C263" s="395"/>
      <c r="D263" s="395"/>
      <c r="E263" s="429"/>
      <c r="F263" s="429"/>
      <c r="G263" s="429"/>
      <c r="H263" s="429"/>
      <c r="I263" s="418"/>
      <c r="J263" s="429"/>
      <c r="K263" s="429"/>
      <c r="L263" s="429"/>
      <c r="M263" s="429"/>
      <c r="N263" s="418"/>
      <c r="O263" s="429"/>
      <c r="P263" s="429"/>
      <c r="Q263" s="429"/>
      <c r="R263" s="429"/>
      <c r="S263" s="418"/>
      <c r="T263" s="418"/>
      <c r="U263" s="418"/>
      <c r="V263" s="418"/>
      <c r="W263" s="418"/>
      <c r="X263" s="418"/>
      <c r="Y263" s="418"/>
      <c r="Z263" s="418"/>
      <c r="AA263" s="418"/>
      <c r="AB263" s="418"/>
    </row>
    <row r="264" spans="1:32" collapsed="1">
      <c r="B264" s="405" t="s">
        <v>366</v>
      </c>
      <c r="C264" s="395"/>
      <c r="D264" s="395"/>
      <c r="E264" s="429"/>
      <c r="F264" s="429"/>
      <c r="G264" s="429"/>
      <c r="H264" s="429"/>
      <c r="I264" s="418"/>
      <c r="J264" s="429"/>
      <c r="K264" s="429"/>
      <c r="L264" s="429"/>
      <c r="M264" s="429"/>
      <c r="N264" s="418"/>
      <c r="O264" s="429"/>
      <c r="P264" s="429"/>
      <c r="Q264" s="429"/>
      <c r="R264" s="429"/>
      <c r="S264" s="418"/>
      <c r="T264" s="418"/>
      <c r="U264" s="530"/>
      <c r="V264" s="530">
        <f t="shared" ref="V264:W264" si="364">V202*V260*1000</f>
        <v>27.17097106309172</v>
      </c>
      <c r="W264" s="530">
        <f t="shared" si="364"/>
        <v>137.34925872392859</v>
      </c>
      <c r="X264" s="530">
        <f>X202*X260*1000</f>
        <v>231.43350094981966</v>
      </c>
      <c r="Y264" s="530">
        <f t="shared" ref="Y264:AB264" si="365">Y202*Y260*1000</f>
        <v>280.77512335232126</v>
      </c>
      <c r="Z264" s="530">
        <f t="shared" si="365"/>
        <v>331.17425799406283</v>
      </c>
      <c r="AA264" s="530">
        <f t="shared" si="365"/>
        <v>334.81717483199748</v>
      </c>
      <c r="AB264" s="530">
        <f t="shared" si="365"/>
        <v>314.32158062978158</v>
      </c>
    </row>
    <row r="265" spans="1:32">
      <c r="B265" s="405"/>
      <c r="C265" s="395"/>
      <c r="D265" s="395"/>
      <c r="E265" s="429"/>
      <c r="F265" s="429"/>
      <c r="G265" s="429"/>
      <c r="H265" s="429"/>
      <c r="I265" s="418"/>
      <c r="J265" s="429"/>
      <c r="K265" s="429"/>
      <c r="L265" s="429"/>
      <c r="M265" s="429"/>
      <c r="N265" s="418"/>
      <c r="O265" s="429"/>
      <c r="P265" s="429"/>
      <c r="Q265" s="429"/>
      <c r="R265" s="429"/>
      <c r="S265" s="418"/>
      <c r="T265" s="418"/>
      <c r="U265" s="418"/>
      <c r="V265" s="418"/>
      <c r="W265" s="418"/>
      <c r="X265" s="418"/>
      <c r="Y265" s="418"/>
      <c r="Z265" s="418"/>
      <c r="AA265" s="418"/>
      <c r="AB265" s="418"/>
    </row>
    <row r="266" spans="1:32">
      <c r="B266" s="405" t="s">
        <v>321</v>
      </c>
      <c r="C266" s="395"/>
      <c r="D266" s="469"/>
      <c r="E266" s="470"/>
      <c r="F266" s="470"/>
      <c r="G266" s="470"/>
      <c r="H266" s="470"/>
      <c r="I266" s="471"/>
      <c r="J266" s="470"/>
      <c r="K266" s="470"/>
      <c r="L266" s="470"/>
      <c r="M266" s="470"/>
      <c r="N266" s="471"/>
      <c r="O266" s="470"/>
      <c r="P266" s="470"/>
      <c r="Q266" s="470"/>
      <c r="R266" s="470"/>
      <c r="S266" s="471"/>
      <c r="T266" s="471"/>
      <c r="U266" s="531"/>
      <c r="V266" s="436">
        <f t="shared" ref="V266:W266" si="366">V240</f>
        <v>26.700000000000003</v>
      </c>
      <c r="W266" s="436">
        <f t="shared" si="366"/>
        <v>26.700000000000003</v>
      </c>
      <c r="X266" s="436">
        <f>X240</f>
        <v>26.700000000000003</v>
      </c>
      <c r="Y266" s="436">
        <f t="shared" ref="Y266" si="367">X266*0.99</f>
        <v>26.433000000000003</v>
      </c>
      <c r="Z266" s="436">
        <f t="shared" ref="Z266" si="368">Y266*0.99</f>
        <v>26.168670000000002</v>
      </c>
      <c r="AA266" s="436">
        <f t="shared" ref="AA266" si="369">Z266*0.99</f>
        <v>25.906983300000004</v>
      </c>
      <c r="AB266" s="436">
        <f t="shared" ref="AB266" si="370">AA266*0.99</f>
        <v>25.647913467000002</v>
      </c>
    </row>
    <row r="267" spans="1:32">
      <c r="B267" s="405"/>
      <c r="C267" s="395"/>
      <c r="D267" s="395"/>
      <c r="E267" s="429"/>
      <c r="F267" s="429"/>
      <c r="G267" s="429"/>
      <c r="H267" s="429"/>
      <c r="I267" s="418"/>
      <c r="J267" s="429"/>
      <c r="K267" s="429"/>
      <c r="L267" s="429"/>
      <c r="M267" s="429"/>
      <c r="N267" s="418"/>
      <c r="O267" s="429"/>
      <c r="P267" s="429"/>
      <c r="Q267" s="429"/>
      <c r="R267" s="429"/>
      <c r="S267" s="418"/>
      <c r="T267" s="418"/>
      <c r="U267" s="418"/>
      <c r="V267" s="418"/>
      <c r="W267" s="418"/>
      <c r="X267" s="418"/>
      <c r="Y267" s="418"/>
      <c r="Z267" s="418"/>
      <c r="AA267" s="418"/>
      <c r="AB267" s="418"/>
    </row>
    <row r="268" spans="1:32">
      <c r="B268" s="405" t="s">
        <v>322</v>
      </c>
      <c r="C268" s="395"/>
      <c r="D268" s="437"/>
      <c r="E268" s="472"/>
      <c r="F268" s="472"/>
      <c r="G268" s="472"/>
      <c r="H268" s="472"/>
      <c r="I268" s="473"/>
      <c r="J268" s="472"/>
      <c r="K268" s="472"/>
      <c r="L268" s="472"/>
      <c r="M268" s="472"/>
      <c r="N268" s="473"/>
      <c r="O268" s="472"/>
      <c r="P268" s="472"/>
      <c r="Q268" s="472"/>
      <c r="R268" s="472"/>
      <c r="S268" s="473"/>
      <c r="T268" s="473"/>
      <c r="U268" s="439"/>
      <c r="V268" s="439">
        <f>V242</f>
        <v>236.23343539325839</v>
      </c>
      <c r="W268" s="439">
        <f t="shared" ref="W268:AB268" si="371">W242</f>
        <v>232.68993386235951</v>
      </c>
      <c r="X268" s="439">
        <f t="shared" si="371"/>
        <v>229.1995848544241</v>
      </c>
      <c r="Y268" s="439">
        <f t="shared" si="371"/>
        <v>225.76159108160775</v>
      </c>
      <c r="Z268" s="439">
        <f t="shared" si="371"/>
        <v>222.37516721538364</v>
      </c>
      <c r="AA268" s="439">
        <f t="shared" si="371"/>
        <v>219.0395397071529</v>
      </c>
      <c r="AB268" s="439">
        <f t="shared" si="371"/>
        <v>215.75394661154562</v>
      </c>
      <c r="AC268" s="439"/>
    </row>
    <row r="269" spans="1:32" s="414" customFormat="1">
      <c r="B269" s="409" t="s">
        <v>312</v>
      </c>
      <c r="C269" s="410"/>
      <c r="D269" s="440"/>
      <c r="E269" s="441"/>
      <c r="F269" s="441"/>
      <c r="G269" s="441"/>
      <c r="H269" s="441"/>
      <c r="I269" s="413"/>
      <c r="J269" s="441"/>
      <c r="K269" s="441"/>
      <c r="L269" s="441"/>
      <c r="M269" s="441"/>
      <c r="N269" s="413"/>
      <c r="O269" s="441"/>
      <c r="P269" s="441"/>
      <c r="Q269" s="441"/>
      <c r="R269" s="441"/>
      <c r="S269" s="413"/>
      <c r="T269" s="413"/>
      <c r="U269" s="413"/>
      <c r="V269" s="413"/>
      <c r="W269" s="413"/>
      <c r="X269" s="413"/>
      <c r="Y269" s="413">
        <f t="shared" ref="Y269" si="372">Y268/X268-1</f>
        <v>-1.5000000000000013E-2</v>
      </c>
      <c r="Z269" s="413">
        <f t="shared" ref="Z269" si="373">Z268/Y268-1</f>
        <v>-1.4999999999999902E-2</v>
      </c>
      <c r="AA269" s="413">
        <f t="shared" ref="AA269" si="374">AA268/Z268-1</f>
        <v>-1.4999999999999902E-2</v>
      </c>
      <c r="AB269" s="413">
        <f t="shared" ref="AB269" si="375">AB268/AA268-1</f>
        <v>-1.4999999999999902E-2</v>
      </c>
    </row>
    <row r="270" spans="1:32" s="427" customFormat="1">
      <c r="B270" s="465"/>
      <c r="C270" s="466"/>
      <c r="D270" s="466"/>
      <c r="E270" s="467"/>
      <c r="F270" s="467"/>
      <c r="G270" s="467"/>
      <c r="H270" s="467"/>
      <c r="I270" s="468"/>
      <c r="J270" s="467"/>
      <c r="K270" s="467"/>
      <c r="L270" s="467"/>
      <c r="M270" s="467"/>
      <c r="N270" s="468"/>
      <c r="O270" s="467"/>
      <c r="P270" s="467"/>
      <c r="Q270" s="467"/>
      <c r="R270" s="467"/>
      <c r="S270" s="468"/>
      <c r="T270" s="468"/>
      <c r="U270" s="468"/>
      <c r="V270" s="468"/>
      <c r="W270" s="468"/>
      <c r="X270" s="468"/>
      <c r="Y270" s="468"/>
      <c r="Z270" s="468"/>
      <c r="AA270" s="468"/>
      <c r="AB270" s="468"/>
    </row>
    <row r="271" spans="1:32">
      <c r="B271" s="405" t="s">
        <v>403</v>
      </c>
      <c r="C271" s="395"/>
      <c r="D271" s="474"/>
      <c r="E271" s="475"/>
      <c r="F271" s="475"/>
      <c r="G271" s="475"/>
      <c r="H271" s="475"/>
      <c r="I271" s="444"/>
      <c r="J271" s="475"/>
      <c r="K271" s="475"/>
      <c r="L271" s="475"/>
      <c r="M271" s="475"/>
      <c r="N271" s="444"/>
      <c r="O271" s="475"/>
      <c r="P271" s="475"/>
      <c r="Q271" s="475"/>
      <c r="R271" s="475"/>
      <c r="S271" s="444"/>
      <c r="T271" s="444"/>
      <c r="U271" s="444"/>
      <c r="V271" s="444">
        <f t="shared" ref="V271:W271" si="376">V268*V266*52/1000</f>
        <v>327.98650169999996</v>
      </c>
      <c r="W271" s="444">
        <f t="shared" si="376"/>
        <v>323.06670417449993</v>
      </c>
      <c r="X271" s="444">
        <f>X268*X266*52/1000</f>
        <v>318.22070361188247</v>
      </c>
      <c r="Y271" s="444">
        <f>Y268*Y266*52/1000</f>
        <v>310.31291912712715</v>
      </c>
      <c r="Z271" s="444">
        <f>Z268*Z266*52/1000</f>
        <v>302.60164308681811</v>
      </c>
      <c r="AA271" s="444">
        <f>AA268*AA266*52/1000</f>
        <v>295.08199225611065</v>
      </c>
      <c r="AB271" s="444">
        <f>AB268*AB266*52/1000</f>
        <v>287.74920474854633</v>
      </c>
    </row>
    <row r="272" spans="1:32">
      <c r="B272" s="405"/>
      <c r="C272" s="395"/>
      <c r="D272" s="395"/>
      <c r="E272" s="429"/>
      <c r="F272" s="429"/>
      <c r="G272" s="429"/>
      <c r="H272" s="429"/>
      <c r="I272" s="418"/>
      <c r="J272" s="429"/>
      <c r="K272" s="429"/>
      <c r="L272" s="429"/>
      <c r="M272" s="429"/>
      <c r="N272" s="418"/>
      <c r="O272" s="429"/>
      <c r="P272" s="429"/>
      <c r="Q272" s="429"/>
      <c r="R272" s="429"/>
      <c r="S272" s="418"/>
      <c r="T272" s="418"/>
      <c r="U272" s="418"/>
      <c r="V272" s="418"/>
      <c r="W272" s="418"/>
      <c r="X272" s="418"/>
      <c r="Y272" s="418"/>
      <c r="Z272" s="418"/>
      <c r="AA272" s="418"/>
      <c r="AB272" s="418"/>
    </row>
    <row r="273" spans="1:28" hidden="1" outlineLevel="1">
      <c r="B273" s="405" t="s">
        <v>367</v>
      </c>
      <c r="C273" s="395"/>
      <c r="D273" s="445"/>
      <c r="E273" s="446"/>
      <c r="F273" s="446"/>
      <c r="G273" s="446"/>
      <c r="H273" s="533"/>
      <c r="I273" s="449"/>
      <c r="J273" s="533"/>
      <c r="K273" s="533"/>
      <c r="L273" s="533"/>
      <c r="M273" s="533"/>
      <c r="N273" s="449"/>
      <c r="O273" s="533"/>
      <c r="P273" s="533"/>
      <c r="Q273" s="533"/>
      <c r="R273" s="533"/>
      <c r="S273" s="449"/>
      <c r="T273" s="418"/>
      <c r="U273" s="418"/>
      <c r="V273" s="418"/>
      <c r="W273" s="418"/>
      <c r="X273" s="418"/>
      <c r="Y273" s="418"/>
      <c r="Z273" s="418"/>
      <c r="AA273" s="418"/>
      <c r="AB273" s="418"/>
    </row>
    <row r="274" spans="1:28" s="454" customFormat="1" collapsed="1">
      <c r="B274" s="450" t="s">
        <v>314</v>
      </c>
      <c r="C274" s="451"/>
      <c r="D274" s="476"/>
      <c r="E274" s="477"/>
      <c r="F274" s="477"/>
      <c r="G274" s="477"/>
      <c r="H274" s="477"/>
      <c r="I274" s="451"/>
      <c r="J274" s="477"/>
      <c r="K274" s="477"/>
      <c r="L274" s="477"/>
      <c r="M274" s="477"/>
      <c r="N274" s="451"/>
      <c r="O274" s="477"/>
      <c r="P274" s="477"/>
      <c r="Q274" s="477"/>
      <c r="R274" s="477"/>
      <c r="S274" s="451"/>
      <c r="T274" s="451"/>
      <c r="U274" s="451"/>
      <c r="V274" s="451">
        <f t="shared" ref="V274:W274" si="377">V250</f>
        <v>0</v>
      </c>
      <c r="W274" s="451">
        <f t="shared" si="377"/>
        <v>0</v>
      </c>
      <c r="X274" s="451">
        <f t="shared" ref="X274:AB274" si="378">X250</f>
        <v>0</v>
      </c>
      <c r="Y274" s="451">
        <f t="shared" si="378"/>
        <v>0</v>
      </c>
      <c r="Z274" s="451">
        <f t="shared" si="378"/>
        <v>0</v>
      </c>
      <c r="AA274" s="451">
        <f t="shared" si="378"/>
        <v>0</v>
      </c>
      <c r="AB274" s="451">
        <f t="shared" si="378"/>
        <v>0</v>
      </c>
    </row>
    <row r="275" spans="1:28">
      <c r="B275" s="405" t="s">
        <v>315</v>
      </c>
      <c r="C275" s="395"/>
      <c r="D275" s="478"/>
      <c r="E275" s="479"/>
      <c r="F275" s="479"/>
      <c r="G275" s="479"/>
      <c r="H275" s="479"/>
      <c r="I275" s="447"/>
      <c r="J275" s="479"/>
      <c r="K275" s="479"/>
      <c r="L275" s="479"/>
      <c r="M275" s="479"/>
      <c r="N275" s="447"/>
      <c r="O275" s="479"/>
      <c r="P275" s="479"/>
      <c r="Q275" s="479"/>
      <c r="R275" s="479"/>
      <c r="S275" s="447"/>
      <c r="T275" s="447"/>
      <c r="U275" s="447"/>
      <c r="V275" s="447">
        <f t="shared" ref="V275:W275" si="379">V249</f>
        <v>0.85</v>
      </c>
      <c r="W275" s="447">
        <f t="shared" si="379"/>
        <v>0.85</v>
      </c>
      <c r="X275" s="447">
        <f>X249</f>
        <v>0.85</v>
      </c>
      <c r="Y275" s="447">
        <f t="shared" ref="Y275:AB275" si="380">Y249</f>
        <v>0.85</v>
      </c>
      <c r="Z275" s="447">
        <f t="shared" si="380"/>
        <v>0.85</v>
      </c>
      <c r="AA275" s="447">
        <f t="shared" si="380"/>
        <v>0.85</v>
      </c>
      <c r="AB275" s="447">
        <f t="shared" si="380"/>
        <v>0.85</v>
      </c>
    </row>
    <row r="276" spans="1:28" s="427" customFormat="1">
      <c r="B276" s="465"/>
      <c r="C276" s="466"/>
      <c r="D276" s="466"/>
      <c r="E276" s="467"/>
      <c r="F276" s="467"/>
      <c r="G276" s="467"/>
      <c r="H276" s="467"/>
      <c r="I276" s="468"/>
      <c r="J276" s="467"/>
      <c r="K276" s="467"/>
      <c r="L276" s="467"/>
      <c r="M276" s="467"/>
      <c r="N276" s="468"/>
      <c r="O276" s="467"/>
      <c r="P276" s="467"/>
      <c r="Q276" s="467"/>
      <c r="R276" s="467"/>
      <c r="S276" s="468"/>
      <c r="T276" s="468"/>
      <c r="U276" s="468"/>
      <c r="V276" s="468"/>
      <c r="W276" s="468"/>
      <c r="X276" s="468"/>
      <c r="Y276" s="468"/>
      <c r="Z276" s="468"/>
      <c r="AA276" s="468"/>
      <c r="AB276" s="468"/>
    </row>
    <row r="277" spans="1:28">
      <c r="B277" s="461" t="s">
        <v>421</v>
      </c>
      <c r="C277" s="462"/>
      <c r="D277" s="463"/>
      <c r="E277" s="464"/>
      <c r="F277" s="464"/>
      <c r="G277" s="464"/>
      <c r="H277" s="464"/>
      <c r="I277" s="463"/>
      <c r="J277" s="464"/>
      <c r="K277" s="464"/>
      <c r="L277" s="464"/>
      <c r="M277" s="464"/>
      <c r="N277" s="463"/>
      <c r="O277" s="464"/>
      <c r="P277" s="464"/>
      <c r="Q277" s="464"/>
      <c r="R277" s="464"/>
      <c r="S277" s="463"/>
      <c r="T277" s="463"/>
      <c r="U277" s="463"/>
      <c r="V277" s="463">
        <f t="shared" ref="V277:W277" si="381">V275*(1-V274)*V271*V264/1000</f>
        <v>7.5749549847590743</v>
      </c>
      <c r="W277" s="463">
        <f t="shared" si="381"/>
        <v>37.717026486237742</v>
      </c>
      <c r="X277" s="463">
        <f t="shared" ref="X277:AB277" si="382">X275*(1-X274)*X271*X264/1000</f>
        <v>62.599891784870948</v>
      </c>
      <c r="Y277" s="463">
        <f t="shared" si="382"/>
        <v>74.058925923877311</v>
      </c>
      <c r="Z277" s="463">
        <f t="shared" si="382"/>
        <v>85.181793424502033</v>
      </c>
      <c r="AA277" s="463">
        <f t="shared" si="382"/>
        <v>83.978741142340084</v>
      </c>
      <c r="AB277" s="463">
        <f t="shared" si="382"/>
        <v>76.878917132296877</v>
      </c>
    </row>
    <row r="278" spans="1:28" s="427" customFormat="1">
      <c r="B278" s="465" t="s">
        <v>316</v>
      </c>
      <c r="C278" s="466"/>
      <c r="D278" s="466"/>
      <c r="E278" s="467"/>
      <c r="F278" s="467"/>
      <c r="G278" s="467"/>
      <c r="H278" s="467"/>
      <c r="I278" s="468"/>
      <c r="J278" s="467"/>
      <c r="K278" s="467"/>
      <c r="L278" s="467"/>
      <c r="M278" s="467"/>
      <c r="N278" s="468"/>
      <c r="O278" s="467"/>
      <c r="P278" s="467"/>
      <c r="Q278" s="467"/>
      <c r="R278" s="467"/>
      <c r="S278" s="468"/>
      <c r="T278" s="468"/>
      <c r="U278" s="468"/>
      <c r="V278" s="468"/>
      <c r="W278" s="468"/>
      <c r="X278" s="468"/>
      <c r="Y278" s="468">
        <f t="shared" ref="Y278" si="383">Y277/X277-1</f>
        <v>0.18305198000000011</v>
      </c>
      <c r="Z278" s="468">
        <f t="shared" ref="Z278" si="384">Z277/Y277-1</f>
        <v>0.15018942499999999</v>
      </c>
      <c r="AA278" s="468">
        <f t="shared" ref="AA278" si="385">AA277/Z277-1</f>
        <v>-1.412335000000009E-2</v>
      </c>
      <c r="AB278" s="468">
        <f t="shared" ref="AB278" si="386">AB277/AA277-1</f>
        <v>-8.4543110714285774E-2</v>
      </c>
    </row>
    <row r="279" spans="1:28" s="427" customFormat="1">
      <c r="B279" s="465"/>
      <c r="C279" s="466"/>
      <c r="D279" s="466"/>
      <c r="E279" s="467"/>
      <c r="F279" s="467"/>
      <c r="G279" s="467"/>
      <c r="H279" s="467"/>
      <c r="I279" s="468"/>
      <c r="J279" s="467"/>
      <c r="K279" s="467"/>
      <c r="L279" s="467"/>
      <c r="M279" s="467"/>
      <c r="N279" s="468"/>
      <c r="O279" s="467"/>
      <c r="P279" s="467"/>
      <c r="Q279" s="467"/>
      <c r="R279" s="467"/>
      <c r="S279" s="468"/>
      <c r="T279" s="468"/>
      <c r="U279" s="468"/>
      <c r="V279" s="468"/>
      <c r="W279" s="468"/>
      <c r="X279" s="468"/>
      <c r="Y279" s="468"/>
      <c r="Z279" s="468"/>
      <c r="AA279" s="468"/>
      <c r="AB279" s="468"/>
    </row>
    <row r="280" spans="1:28">
      <c r="B280" s="461" t="s">
        <v>420</v>
      </c>
      <c r="C280" s="462"/>
      <c r="D280" s="463">
        <f>D277*0.5</f>
        <v>0</v>
      </c>
      <c r="E280" s="464"/>
      <c r="F280" s="464"/>
      <c r="G280" s="464"/>
      <c r="H280" s="464"/>
      <c r="I280" s="463"/>
      <c r="J280" s="464"/>
      <c r="K280" s="464"/>
      <c r="L280" s="464"/>
      <c r="M280" s="464"/>
      <c r="N280" s="463"/>
      <c r="O280" s="464"/>
      <c r="P280" s="464"/>
      <c r="Q280" s="464"/>
      <c r="R280" s="464"/>
      <c r="S280" s="463"/>
      <c r="T280" s="463"/>
      <c r="U280" s="463"/>
      <c r="V280" s="463">
        <f t="shared" ref="V280:W280" si="387">V277*0.8</f>
        <v>6.0599639878072598</v>
      </c>
      <c r="W280" s="463">
        <f t="shared" si="387"/>
        <v>30.173621188990197</v>
      </c>
      <c r="X280" s="463">
        <f>X277*0.8</f>
        <v>50.079913427896763</v>
      </c>
      <c r="Y280" s="463">
        <f>Y277*0.8</f>
        <v>59.247140739101852</v>
      </c>
      <c r="Z280" s="463">
        <f>Z277*0.8</f>
        <v>68.145434739601626</v>
      </c>
      <c r="AA280" s="463">
        <f>AA277*0.8</f>
        <v>67.18299291387207</v>
      </c>
      <c r="AB280" s="463">
        <f>AB277*0.8</f>
        <v>61.503133705837506</v>
      </c>
    </row>
    <row r="281" spans="1:28" s="427" customFormat="1">
      <c r="B281" s="465"/>
      <c r="C281" s="466"/>
      <c r="D281" s="466"/>
      <c r="E281" s="467"/>
      <c r="F281" s="467"/>
      <c r="G281" s="467"/>
      <c r="H281" s="467"/>
      <c r="I281" s="468"/>
      <c r="J281" s="467"/>
      <c r="K281" s="467"/>
      <c r="L281" s="467"/>
      <c r="M281" s="467"/>
      <c r="N281" s="468"/>
      <c r="O281" s="467"/>
      <c r="P281" s="467"/>
      <c r="Q281" s="467"/>
      <c r="R281" s="467"/>
      <c r="S281" s="468"/>
      <c r="T281" s="468"/>
      <c r="U281" s="468"/>
      <c r="V281" s="468"/>
      <c r="W281" s="468"/>
      <c r="X281" s="468"/>
      <c r="Y281" s="468"/>
      <c r="Z281" s="468"/>
      <c r="AA281" s="468"/>
      <c r="AB281" s="468"/>
    </row>
    <row r="282" spans="1:28">
      <c r="B282" s="423" t="s">
        <v>336</v>
      </c>
      <c r="C282" s="424"/>
      <c r="D282" s="424"/>
      <c r="E282" s="425"/>
      <c r="F282" s="425"/>
      <c r="G282" s="425"/>
      <c r="H282" s="425"/>
      <c r="I282" s="426"/>
      <c r="J282" s="425"/>
      <c r="K282" s="425"/>
      <c r="L282" s="425"/>
      <c r="M282" s="425"/>
      <c r="N282" s="426"/>
      <c r="O282" s="425"/>
      <c r="P282" s="425"/>
      <c r="Q282" s="425"/>
      <c r="R282" s="425"/>
      <c r="S282" s="426"/>
      <c r="T282" s="426"/>
      <c r="U282" s="426"/>
      <c r="V282" s="426"/>
      <c r="W282" s="426"/>
      <c r="X282" s="426"/>
      <c r="Y282" s="426"/>
      <c r="Z282" s="426"/>
      <c r="AA282" s="426"/>
      <c r="AB282" s="426"/>
    </row>
    <row r="283" spans="1:28" s="427" customFormat="1" hidden="1" outlineLevel="1">
      <c r="A283" s="427" t="s">
        <v>319</v>
      </c>
      <c r="B283" s="534" t="s">
        <v>64</v>
      </c>
      <c r="C283" s="535"/>
      <c r="D283" s="536"/>
      <c r="E283" s="536">
        <f>E284*2</f>
        <v>0</v>
      </c>
      <c r="F283" s="536">
        <f>F284*2</f>
        <v>0</v>
      </c>
      <c r="G283" s="536">
        <f>G284*2</f>
        <v>0</v>
      </c>
      <c r="H283" s="536">
        <v>0</v>
      </c>
      <c r="I283" s="537">
        <f>(H283+G283+F283+E283)/4</f>
        <v>0</v>
      </c>
      <c r="J283" s="536">
        <f>J284*2</f>
        <v>0</v>
      </c>
      <c r="K283" s="536">
        <f>K284*2</f>
        <v>0</v>
      </c>
      <c r="L283" s="536">
        <f>L284*2</f>
        <v>0</v>
      </c>
      <c r="M283" s="536">
        <v>0</v>
      </c>
      <c r="N283" s="537">
        <f>(M283+L283+K283+J283)/4</f>
        <v>0</v>
      </c>
      <c r="O283" s="536">
        <f>O284*2</f>
        <v>0</v>
      </c>
      <c r="P283" s="536">
        <f>P284*2</f>
        <v>0</v>
      </c>
      <c r="Q283" s="536">
        <f>Q284*2</f>
        <v>3.3333333333333333E-2</v>
      </c>
      <c r="R283" s="536">
        <v>0</v>
      </c>
      <c r="S283" s="537">
        <f>(R283+Q283+P283+O283)/4</f>
        <v>8.3333333333333332E-3</v>
      </c>
      <c r="T283" s="536">
        <v>0.06</v>
      </c>
      <c r="U283" s="536">
        <v>0.11</v>
      </c>
      <c r="V283" s="536">
        <v>0.14000000000000001</v>
      </c>
      <c r="W283" s="536">
        <v>0.16</v>
      </c>
      <c r="X283" s="536">
        <v>0.16</v>
      </c>
      <c r="Y283" s="536">
        <v>0.16</v>
      </c>
      <c r="Z283" s="536">
        <v>0.16</v>
      </c>
      <c r="AA283" s="536">
        <v>0.16</v>
      </c>
      <c r="AB283" s="536">
        <v>0.16</v>
      </c>
    </row>
    <row r="284" spans="1:28" s="427" customFormat="1" hidden="1" outlineLevel="1">
      <c r="B284" s="534" t="s">
        <v>65</v>
      </c>
      <c r="C284" s="535"/>
      <c r="D284" s="536"/>
      <c r="E284" s="536">
        <v>0</v>
      </c>
      <c r="F284" s="536">
        <v>0</v>
      </c>
      <c r="G284" s="536">
        <v>0</v>
      </c>
      <c r="H284" s="536">
        <v>0</v>
      </c>
      <c r="I284" s="537">
        <f t="shared" ref="I284:I285" si="388">(H284+G284+F284+E284)/4</f>
        <v>0</v>
      </c>
      <c r="J284" s="536">
        <v>0</v>
      </c>
      <c r="K284" s="536">
        <v>0</v>
      </c>
      <c r="L284" s="536">
        <v>0</v>
      </c>
      <c r="M284" s="536">
        <v>0</v>
      </c>
      <c r="N284" s="537">
        <f t="shared" ref="N284:N286" si="389">(M284+L284+K284+J284)/4</f>
        <v>0</v>
      </c>
      <c r="O284" s="536">
        <f>O208/3</f>
        <v>0</v>
      </c>
      <c r="P284" s="536">
        <f>P208/3</f>
        <v>0</v>
      </c>
      <c r="Q284" s="536">
        <f>Q208/3</f>
        <v>1.6666666666666666E-2</v>
      </c>
      <c r="R284" s="536">
        <f>R208/3</f>
        <v>2.3333333333333334E-2</v>
      </c>
      <c r="S284" s="537">
        <f t="shared" ref="S284:S286" si="390">(R284+Q284+P284+O284)/4</f>
        <v>0.01</v>
      </c>
      <c r="T284" s="536">
        <f t="shared" ref="T284:AB284" si="391">T208/3</f>
        <v>4.9999999999999996E-2</v>
      </c>
      <c r="U284" s="536">
        <f t="shared" si="391"/>
        <v>8.3333333333333329E-2</v>
      </c>
      <c r="V284" s="536">
        <f t="shared" si="391"/>
        <v>9.9999999999999992E-2</v>
      </c>
      <c r="W284" s="536">
        <f t="shared" si="391"/>
        <v>0.11666666666666665</v>
      </c>
      <c r="X284" s="536">
        <f t="shared" si="391"/>
        <v>0.11666666666666665</v>
      </c>
      <c r="Y284" s="536">
        <f t="shared" si="391"/>
        <v>0.10833333333333334</v>
      </c>
      <c r="Z284" s="536">
        <f t="shared" si="391"/>
        <v>9.9999999999999992E-2</v>
      </c>
      <c r="AA284" s="536">
        <f t="shared" si="391"/>
        <v>9.1666666666666674E-2</v>
      </c>
      <c r="AB284" s="536">
        <f t="shared" si="391"/>
        <v>8.3333333333333329E-2</v>
      </c>
    </row>
    <row r="285" spans="1:28" s="427" customFormat="1" hidden="1" outlineLevel="1">
      <c r="B285" s="534" t="s">
        <v>66</v>
      </c>
      <c r="C285" s="535"/>
      <c r="D285" s="536"/>
      <c r="E285" s="536">
        <f>E284*0.5</f>
        <v>0</v>
      </c>
      <c r="F285" s="536">
        <f>F284*0.5</f>
        <v>0</v>
      </c>
      <c r="G285" s="536">
        <f>G284*0.5</f>
        <v>0</v>
      </c>
      <c r="H285" s="536">
        <v>0</v>
      </c>
      <c r="I285" s="537">
        <f t="shared" si="388"/>
        <v>0</v>
      </c>
      <c r="J285" s="536">
        <f>J284*0.5</f>
        <v>0</v>
      </c>
      <c r="K285" s="536">
        <f>K284*0.5</f>
        <v>0</v>
      </c>
      <c r="L285" s="536">
        <f>L284*0.5</f>
        <v>0</v>
      </c>
      <c r="M285" s="536">
        <v>0</v>
      </c>
      <c r="N285" s="537">
        <f t="shared" si="389"/>
        <v>0</v>
      </c>
      <c r="O285" s="536">
        <f>O284*0.5</f>
        <v>0</v>
      </c>
      <c r="P285" s="536">
        <f>P284*0.5</f>
        <v>0</v>
      </c>
      <c r="Q285" s="536">
        <f>Q284*0.25</f>
        <v>4.1666666666666666E-3</v>
      </c>
      <c r="R285" s="536">
        <f>R284*0.25</f>
        <v>5.8333333333333336E-3</v>
      </c>
      <c r="S285" s="537">
        <f t="shared" si="390"/>
        <v>2.5000000000000001E-3</v>
      </c>
      <c r="T285" s="536">
        <f t="shared" ref="T285:AB285" si="392">T284*0.25</f>
        <v>1.2499999999999999E-2</v>
      </c>
      <c r="U285" s="536">
        <f t="shared" si="392"/>
        <v>2.0833333333333332E-2</v>
      </c>
      <c r="V285" s="536">
        <f t="shared" si="392"/>
        <v>2.4999999999999998E-2</v>
      </c>
      <c r="W285" s="536">
        <f t="shared" si="392"/>
        <v>2.9166666666666664E-2</v>
      </c>
      <c r="X285" s="536">
        <f t="shared" si="392"/>
        <v>2.9166666666666664E-2</v>
      </c>
      <c r="Y285" s="536">
        <f t="shared" si="392"/>
        <v>2.7083333333333334E-2</v>
      </c>
      <c r="Z285" s="536">
        <f t="shared" si="392"/>
        <v>2.4999999999999998E-2</v>
      </c>
      <c r="AA285" s="536">
        <f t="shared" si="392"/>
        <v>2.2916666666666669E-2</v>
      </c>
      <c r="AB285" s="536">
        <f t="shared" si="392"/>
        <v>2.0833333333333332E-2</v>
      </c>
    </row>
    <row r="286" spans="1:28" s="427" customFormat="1" collapsed="1">
      <c r="A286" s="428" t="s">
        <v>313</v>
      </c>
      <c r="B286" s="538" t="s">
        <v>318</v>
      </c>
      <c r="C286" s="539"/>
      <c r="D286" s="540"/>
      <c r="E286" s="541">
        <f>CHOOSE($N$2,E283,E284,E285)</f>
        <v>0</v>
      </c>
      <c r="F286" s="541">
        <f>CHOOSE($N$2,F283,F284,F285)</f>
        <v>0</v>
      </c>
      <c r="G286" s="541">
        <f>CHOOSE($N$2,G283,G284,G285)</f>
        <v>0</v>
      </c>
      <c r="H286" s="541">
        <f>CHOOSE($N$2,H283,H284,H285)</f>
        <v>0</v>
      </c>
      <c r="I286" s="540">
        <f>(I290/1000)/I200</f>
        <v>0</v>
      </c>
      <c r="J286" s="541">
        <f>CHOOSE($N$2,J283,J284,J285)</f>
        <v>0</v>
      </c>
      <c r="K286" s="541">
        <f>CHOOSE($N$2,K283,K284,K285)</f>
        <v>0</v>
      </c>
      <c r="L286" s="541">
        <f>CHOOSE($N$2,L283,L284,L285)</f>
        <v>0</v>
      </c>
      <c r="M286" s="541">
        <f>CHOOSE($N$2,M283,M284,M285)</f>
        <v>0</v>
      </c>
      <c r="N286" s="540">
        <f t="shared" si="389"/>
        <v>0</v>
      </c>
      <c r="O286" s="541">
        <f>CHOOSE($N$2,O283,O284,O285)</f>
        <v>0</v>
      </c>
      <c r="P286" s="541">
        <f>CHOOSE($N$2,P283,P284,P285)</f>
        <v>0</v>
      </c>
      <c r="Q286" s="541">
        <f>CHOOSE($N$2,Q283,Q284,Q285)</f>
        <v>1.6666666666666666E-2</v>
      </c>
      <c r="R286" s="541">
        <f>CHOOSE($N$2,R283,R284,R285)</f>
        <v>2.3333333333333334E-2</v>
      </c>
      <c r="S286" s="540">
        <f t="shared" si="390"/>
        <v>0.01</v>
      </c>
      <c r="T286" s="540">
        <f t="shared" ref="T286:AB286" si="393">CHOOSE($N$2,T283,T284,T285)</f>
        <v>4.9999999999999996E-2</v>
      </c>
      <c r="U286" s="540">
        <f t="shared" si="393"/>
        <v>8.3333333333333329E-2</v>
      </c>
      <c r="V286" s="540">
        <f t="shared" si="393"/>
        <v>9.9999999999999992E-2</v>
      </c>
      <c r="W286" s="540">
        <f t="shared" si="393"/>
        <v>0.11666666666666665</v>
      </c>
      <c r="X286" s="540">
        <f t="shared" si="393"/>
        <v>0.11666666666666665</v>
      </c>
      <c r="Y286" s="540">
        <f t="shared" si="393"/>
        <v>0.10833333333333334</v>
      </c>
      <c r="Z286" s="540">
        <f t="shared" si="393"/>
        <v>9.9999999999999992E-2</v>
      </c>
      <c r="AA286" s="540">
        <f t="shared" si="393"/>
        <v>9.1666666666666674E-2</v>
      </c>
      <c r="AB286" s="540">
        <f t="shared" si="393"/>
        <v>8.3333333333333329E-2</v>
      </c>
    </row>
    <row r="287" spans="1:28">
      <c r="B287" s="405"/>
      <c r="C287" s="395"/>
      <c r="D287" s="395"/>
      <c r="E287" s="429"/>
      <c r="F287" s="429"/>
      <c r="G287" s="429"/>
      <c r="H287" s="429"/>
      <c r="I287" s="418"/>
      <c r="J287" s="429"/>
      <c r="K287" s="429"/>
      <c r="L287" s="429"/>
      <c r="M287" s="429"/>
      <c r="N287" s="418"/>
      <c r="O287" s="429"/>
      <c r="P287" s="429"/>
      <c r="Q287" s="429"/>
      <c r="R287" s="429"/>
      <c r="S287" s="418"/>
      <c r="T287" s="418"/>
      <c r="U287" s="418"/>
      <c r="V287" s="418"/>
      <c r="W287" s="418"/>
      <c r="X287" s="418"/>
      <c r="Y287" s="418"/>
      <c r="Z287" s="418"/>
      <c r="AA287" s="418"/>
      <c r="AB287" s="418"/>
    </row>
    <row r="288" spans="1:28" hidden="1" outlineLevel="1">
      <c r="B288" s="405" t="s">
        <v>365</v>
      </c>
      <c r="C288" s="395"/>
      <c r="D288" s="395"/>
      <c r="E288" s="429"/>
      <c r="F288" s="429"/>
      <c r="G288" s="429"/>
      <c r="H288" s="430">
        <f>H290</f>
        <v>0</v>
      </c>
      <c r="I288" s="431">
        <f>(H288+G288+F288+E288)/4</f>
        <v>0</v>
      </c>
      <c r="J288" s="430">
        <f>J290-J289</f>
        <v>0</v>
      </c>
      <c r="K288" s="430">
        <f>K290-K289</f>
        <v>0</v>
      </c>
      <c r="L288" s="430">
        <f>L290-L289</f>
        <v>0</v>
      </c>
      <c r="M288" s="430">
        <f>M290-M289</f>
        <v>0</v>
      </c>
      <c r="N288" s="431">
        <f>(M288+L288+K288+J288)/4</f>
        <v>0</v>
      </c>
      <c r="O288" s="430">
        <f>O290-O289</f>
        <v>0</v>
      </c>
      <c r="P288" s="430">
        <f>P290-P289</f>
        <v>0</v>
      </c>
      <c r="Q288" s="430">
        <f>Q290-Q289</f>
        <v>26.907834440244095</v>
      </c>
      <c r="R288" s="430">
        <f>R290-R289</f>
        <v>10.845647639545874</v>
      </c>
      <c r="S288" s="431">
        <f>(R288+Q288+P288+O288)/4</f>
        <v>9.4383705199474921</v>
      </c>
      <c r="T288" s="431">
        <f>T290-T289</f>
        <v>65.334605938260808</v>
      </c>
      <c r="U288" s="431">
        <f>U290-U289</f>
        <v>55.827455521764492</v>
      </c>
      <c r="V288" s="418"/>
      <c r="W288" s="418"/>
      <c r="X288" s="418"/>
      <c r="Y288" s="418"/>
      <c r="Z288" s="418"/>
      <c r="AA288" s="418"/>
      <c r="AB288" s="418"/>
    </row>
    <row r="289" spans="2:28" hidden="1" outlineLevel="1">
      <c r="B289" s="405" t="s">
        <v>364</v>
      </c>
      <c r="C289" s="395"/>
      <c r="D289" s="395"/>
      <c r="E289" s="429"/>
      <c r="F289" s="429"/>
      <c r="G289" s="429"/>
      <c r="H289" s="430">
        <f>H290-H288</f>
        <v>0</v>
      </c>
      <c r="I289" s="431">
        <f>(H289+G289+F289+E289)/4</f>
        <v>0</v>
      </c>
      <c r="J289" s="430">
        <f>H288</f>
        <v>0</v>
      </c>
      <c r="K289" s="430">
        <f>J289+J288</f>
        <v>0</v>
      </c>
      <c r="L289" s="430">
        <f>K289+K288</f>
        <v>0</v>
      </c>
      <c r="M289" s="430">
        <f>L289+L288</f>
        <v>0</v>
      </c>
      <c r="N289" s="431">
        <f>(M289+L289+K289+J289)/4</f>
        <v>0</v>
      </c>
      <c r="O289" s="430">
        <f>M288+M289</f>
        <v>0</v>
      </c>
      <c r="P289" s="430">
        <f>O289+O288</f>
        <v>0</v>
      </c>
      <c r="Q289" s="430">
        <f>P289+P288</f>
        <v>0</v>
      </c>
      <c r="R289" s="430">
        <f>Q289+Q288</f>
        <v>26.907834440244095</v>
      </c>
      <c r="S289" s="431">
        <f>(R289+Q289+P289+O289)/4</f>
        <v>6.7269586100610237</v>
      </c>
      <c r="T289" s="431">
        <f>S290</f>
        <v>16.165329130008516</v>
      </c>
      <c r="U289" s="431">
        <f>T290</f>
        <v>81.499935068269323</v>
      </c>
      <c r="V289" s="418"/>
      <c r="W289" s="418"/>
      <c r="X289" s="418"/>
      <c r="Y289" s="418"/>
      <c r="Z289" s="418"/>
      <c r="AA289" s="418"/>
      <c r="AB289" s="418"/>
    </row>
    <row r="290" spans="2:28" collapsed="1">
      <c r="B290" s="405" t="s">
        <v>366</v>
      </c>
      <c r="C290" s="395"/>
      <c r="D290" s="395"/>
      <c r="E290" s="429"/>
      <c r="F290" s="429"/>
      <c r="G290" s="429"/>
      <c r="H290" s="430">
        <f>H251*H286*1000</f>
        <v>0</v>
      </c>
      <c r="I290" s="431">
        <f>(H290+G290+F290+E290)/4</f>
        <v>0</v>
      </c>
      <c r="J290" s="430">
        <f>J251*J286*1000</f>
        <v>0</v>
      </c>
      <c r="K290" s="430">
        <f>K251*K286*1000</f>
        <v>0</v>
      </c>
      <c r="L290" s="430">
        <f>L251*L286*1000</f>
        <v>0</v>
      </c>
      <c r="M290" s="430">
        <f>M251*M286*1000</f>
        <v>0</v>
      </c>
      <c r="N290" s="431">
        <f>(M290+L290+K290+J290)/4</f>
        <v>0</v>
      </c>
      <c r="O290" s="430">
        <f>O200*O286*1000</f>
        <v>0</v>
      </c>
      <c r="P290" s="430">
        <f t="shared" ref="P290:R290" si="394">P200*P286*1000</f>
        <v>0</v>
      </c>
      <c r="Q290" s="430">
        <f t="shared" si="394"/>
        <v>26.907834440244095</v>
      </c>
      <c r="R290" s="430">
        <f t="shared" si="394"/>
        <v>37.753482079789968</v>
      </c>
      <c r="S290" s="431">
        <f>(R290+Q290+P290+O290)/4</f>
        <v>16.165329130008516</v>
      </c>
      <c r="T290" s="530">
        <f>T200*T286*1000</f>
        <v>81.499935068269323</v>
      </c>
      <c r="U290" s="530">
        <f>U200*U286*1000</f>
        <v>137.32739059003381</v>
      </c>
      <c r="V290" s="530">
        <f>V200*V286*1000</f>
        <v>166.60559026382901</v>
      </c>
      <c r="W290" s="530">
        <f>W200*W286*1000</f>
        <v>196.51129371618632</v>
      </c>
      <c r="X290" s="530">
        <f t="shared" ref="X290:AB290" si="395">X200*X286*1000</f>
        <v>198.67291794706432</v>
      </c>
      <c r="Y290" s="530">
        <f t="shared" si="395"/>
        <v>186.51129718416186</v>
      </c>
      <c r="Z290" s="530">
        <f t="shared" si="395"/>
        <v>174.05808134140398</v>
      </c>
      <c r="AA290" s="530">
        <f t="shared" si="395"/>
        <v>161.30832688314612</v>
      </c>
      <c r="AB290" s="530">
        <f t="shared" si="395"/>
        <v>148.25701679896429</v>
      </c>
    </row>
    <row r="291" spans="2:28">
      <c r="B291" s="405"/>
      <c r="C291" s="395"/>
      <c r="D291" s="395"/>
      <c r="E291" s="429"/>
      <c r="F291" s="429"/>
      <c r="G291" s="429"/>
      <c r="H291" s="429"/>
      <c r="I291" s="418"/>
      <c r="J291" s="429"/>
      <c r="K291" s="429"/>
      <c r="L291" s="429"/>
      <c r="M291" s="429"/>
      <c r="N291" s="418"/>
      <c r="O291" s="429"/>
      <c r="P291" s="429"/>
      <c r="Q291" s="429"/>
      <c r="R291" s="429"/>
      <c r="S291" s="418"/>
      <c r="T291" s="418"/>
      <c r="U291" s="418"/>
      <c r="V291" s="418"/>
      <c r="W291" s="418"/>
      <c r="X291" s="418"/>
      <c r="Y291" s="418"/>
      <c r="Z291" s="418"/>
      <c r="AA291" s="418"/>
      <c r="AB291" s="418"/>
    </row>
    <row r="292" spans="2:28">
      <c r="B292" s="405" t="s">
        <v>334</v>
      </c>
      <c r="C292" s="395"/>
      <c r="D292" s="469"/>
      <c r="E292" s="433"/>
      <c r="F292" s="433"/>
      <c r="G292" s="433"/>
      <c r="H292" s="433">
        <f>H111*0.75</f>
        <v>44.025000000000006</v>
      </c>
      <c r="I292" s="434">
        <f>H292</f>
        <v>44.025000000000006</v>
      </c>
      <c r="J292" s="433">
        <f>N292</f>
        <v>44.025000000000006</v>
      </c>
      <c r="K292" s="433">
        <f>N292</f>
        <v>44.025000000000006</v>
      </c>
      <c r="L292" s="433">
        <f>N292</f>
        <v>44.025000000000006</v>
      </c>
      <c r="M292" s="433">
        <f>N292</f>
        <v>44.025000000000006</v>
      </c>
      <c r="N292" s="436">
        <f>I292</f>
        <v>44.025000000000006</v>
      </c>
      <c r="O292" s="435">
        <f>S292</f>
        <v>44.025000000000006</v>
      </c>
      <c r="P292" s="435">
        <f>S292</f>
        <v>44.025000000000006</v>
      </c>
      <c r="Q292" s="435">
        <f>S292</f>
        <v>44.025000000000006</v>
      </c>
      <c r="R292" s="435">
        <f>S292</f>
        <v>44.025000000000006</v>
      </c>
      <c r="S292" s="436">
        <f>N292</f>
        <v>44.025000000000006</v>
      </c>
      <c r="T292" s="436">
        <f>S292*0.99</f>
        <v>43.584750000000007</v>
      </c>
      <c r="U292" s="436">
        <f t="shared" ref="U292" si="396">T292*0.99</f>
        <v>43.148902500000005</v>
      </c>
      <c r="V292" s="436">
        <f t="shared" ref="V292:AB292" si="397">U292*0.99</f>
        <v>42.717413475000008</v>
      </c>
      <c r="W292" s="436">
        <f t="shared" si="397"/>
        <v>42.290239340250004</v>
      </c>
      <c r="X292" s="436">
        <f t="shared" si="397"/>
        <v>41.867336946847502</v>
      </c>
      <c r="Y292" s="436">
        <f t="shared" si="397"/>
        <v>41.44866357737903</v>
      </c>
      <c r="Z292" s="436">
        <f t="shared" si="397"/>
        <v>41.034176941605239</v>
      </c>
      <c r="AA292" s="436">
        <f t="shared" si="397"/>
        <v>40.623835172189189</v>
      </c>
      <c r="AB292" s="436">
        <f t="shared" si="397"/>
        <v>40.2175968204673</v>
      </c>
    </row>
    <row r="293" spans="2:28">
      <c r="B293" s="405"/>
      <c r="C293" s="395"/>
      <c r="D293" s="437"/>
      <c r="E293" s="429"/>
      <c r="F293" s="429"/>
      <c r="G293" s="429"/>
      <c r="H293" s="429"/>
      <c r="I293" s="418"/>
      <c r="J293" s="429"/>
      <c r="K293" s="429"/>
      <c r="L293" s="429"/>
      <c r="M293" s="429"/>
      <c r="N293" s="418"/>
      <c r="O293" s="429"/>
      <c r="P293" s="429"/>
      <c r="Q293" s="429"/>
      <c r="R293" s="429"/>
      <c r="S293" s="418"/>
      <c r="T293" s="418"/>
      <c r="U293" s="418"/>
      <c r="V293" s="418"/>
      <c r="W293" s="418"/>
      <c r="X293" s="418"/>
      <c r="Y293" s="418"/>
      <c r="Z293" s="418"/>
      <c r="AA293" s="418"/>
      <c r="AB293" s="418"/>
    </row>
    <row r="294" spans="2:28">
      <c r="B294" s="405" t="s">
        <v>322</v>
      </c>
      <c r="C294" s="395"/>
      <c r="D294" s="437">
        <f>D218</f>
        <v>0</v>
      </c>
      <c r="E294" s="472"/>
      <c r="F294" s="472"/>
      <c r="G294" s="472"/>
      <c r="H294" s="430">
        <f>H113*0.5</f>
        <v>247.19101123595505</v>
      </c>
      <c r="I294" s="438">
        <f>H294</f>
        <v>247.19101123595505</v>
      </c>
      <c r="J294" s="430">
        <f>N294</f>
        <v>247.19101123595505</v>
      </c>
      <c r="K294" s="430">
        <f>N294</f>
        <v>247.19101123595505</v>
      </c>
      <c r="L294" s="430">
        <f>N294</f>
        <v>247.19101123595505</v>
      </c>
      <c r="M294" s="430">
        <f>N294</f>
        <v>247.19101123595505</v>
      </c>
      <c r="N294" s="439">
        <f>I294*(1+N295)</f>
        <v>247.19101123595505</v>
      </c>
      <c r="O294" s="435">
        <f>S294</f>
        <v>247.19101123595505</v>
      </c>
      <c r="P294" s="435">
        <f>S294</f>
        <v>247.19101123595505</v>
      </c>
      <c r="Q294" s="435">
        <f>S294</f>
        <v>247.19101123595505</v>
      </c>
      <c r="R294" s="435">
        <f>S294</f>
        <v>247.19101123595505</v>
      </c>
      <c r="S294" s="439">
        <f>N294*(1+S295)</f>
        <v>247.19101123595505</v>
      </c>
      <c r="T294" s="439">
        <f>S294*(1+T295)</f>
        <v>243.4831460674157</v>
      </c>
      <c r="U294" s="439">
        <f t="shared" ref="U294" si="398">T294*(1+U295)</f>
        <v>239.83089887640446</v>
      </c>
      <c r="V294" s="439">
        <f t="shared" ref="V294" si="399">U294*(1+V295)</f>
        <v>236.23343539325839</v>
      </c>
      <c r="W294" s="439">
        <f t="shared" ref="W294" si="400">V294*(1+W295)</f>
        <v>232.68993386235951</v>
      </c>
      <c r="X294" s="439">
        <f t="shared" ref="X294" si="401">W294*(1+X295)</f>
        <v>229.1995848544241</v>
      </c>
      <c r="Y294" s="439">
        <f t="shared" ref="Y294" si="402">X294*(1+Y295)</f>
        <v>225.76159108160775</v>
      </c>
      <c r="Z294" s="439">
        <f t="shared" ref="Z294" si="403">Y294*(1+Z295)</f>
        <v>222.37516721538364</v>
      </c>
      <c r="AA294" s="439">
        <f t="shared" ref="AA294" si="404">Z294*(1+AA295)</f>
        <v>219.0395397071529</v>
      </c>
      <c r="AB294" s="439">
        <f t="shared" ref="AB294" si="405">AA294*(1+AB295)</f>
        <v>215.75394661154562</v>
      </c>
    </row>
    <row r="295" spans="2:28" s="414" customFormat="1">
      <c r="B295" s="409" t="s">
        <v>312</v>
      </c>
      <c r="C295" s="410"/>
      <c r="D295" s="440"/>
      <c r="E295" s="441"/>
      <c r="F295" s="441"/>
      <c r="G295" s="441"/>
      <c r="H295" s="441"/>
      <c r="I295" s="413"/>
      <c r="J295" s="441"/>
      <c r="K295" s="441"/>
      <c r="L295" s="441"/>
      <c r="M295" s="441"/>
      <c r="N295" s="413"/>
      <c r="O295" s="441"/>
      <c r="P295" s="441"/>
      <c r="Q295" s="441"/>
      <c r="R295" s="441"/>
      <c r="S295" s="413">
        <v>0</v>
      </c>
      <c r="T295" s="413">
        <v>-1.4999999999999999E-2</v>
      </c>
      <c r="U295" s="413">
        <f t="shared" ref="U295" si="406">T295</f>
        <v>-1.4999999999999999E-2</v>
      </c>
      <c r="V295" s="413">
        <f t="shared" ref="V295" si="407">U295</f>
        <v>-1.4999999999999999E-2</v>
      </c>
      <c r="W295" s="413">
        <f t="shared" ref="W295" si="408">V295</f>
        <v>-1.4999999999999999E-2</v>
      </c>
      <c r="X295" s="413">
        <f t="shared" ref="X295" si="409">W295</f>
        <v>-1.4999999999999999E-2</v>
      </c>
      <c r="Y295" s="413">
        <f t="shared" ref="Y295" si="410">X295</f>
        <v>-1.4999999999999999E-2</v>
      </c>
      <c r="Z295" s="413">
        <f t="shared" ref="Z295" si="411">Y295</f>
        <v>-1.4999999999999999E-2</v>
      </c>
      <c r="AA295" s="413">
        <f t="shared" ref="AA295" si="412">Z295</f>
        <v>-1.4999999999999999E-2</v>
      </c>
      <c r="AB295" s="413">
        <f t="shared" ref="AB295" si="413">AA295</f>
        <v>-1.4999999999999999E-2</v>
      </c>
    </row>
    <row r="296" spans="2:28">
      <c r="B296" s="405"/>
      <c r="C296" s="395"/>
      <c r="D296" s="395"/>
      <c r="E296" s="429"/>
      <c r="F296" s="429"/>
      <c r="G296" s="429"/>
      <c r="H296" s="429"/>
      <c r="I296" s="418"/>
      <c r="J296" s="429"/>
      <c r="K296" s="429"/>
      <c r="L296" s="429"/>
      <c r="M296" s="429"/>
      <c r="N296" s="418"/>
      <c r="O296" s="429"/>
      <c r="P296" s="429"/>
      <c r="Q296" s="429"/>
      <c r="R296" s="429"/>
      <c r="S296" s="418"/>
      <c r="T296" s="418"/>
      <c r="U296" s="418"/>
      <c r="V296" s="418"/>
      <c r="W296" s="418"/>
      <c r="X296" s="418"/>
      <c r="Y296" s="418"/>
      <c r="Z296" s="418"/>
      <c r="AA296" s="418"/>
      <c r="AB296" s="418"/>
    </row>
    <row r="297" spans="2:28">
      <c r="B297" s="405" t="s">
        <v>320</v>
      </c>
      <c r="C297" s="395"/>
      <c r="D297" s="442">
        <f>D292*D294</f>
        <v>0</v>
      </c>
      <c r="E297" s="443"/>
      <c r="F297" s="443"/>
      <c r="G297" s="443"/>
      <c r="H297" s="443">
        <f>H292*H294*13/1000</f>
        <v>141.47359550561799</v>
      </c>
      <c r="I297" s="444">
        <f>I294*I292*52/1000</f>
        <v>565.89438202247197</v>
      </c>
      <c r="J297" s="443">
        <f>J292*J294*13/1000</f>
        <v>141.47359550561799</v>
      </c>
      <c r="K297" s="443">
        <f>K292*K294*13/1000</f>
        <v>141.47359550561799</v>
      </c>
      <c r="L297" s="443">
        <f>L292*L294*13/1000</f>
        <v>141.47359550561799</v>
      </c>
      <c r="M297" s="443">
        <f>M292*M294*13/1000</f>
        <v>141.47359550561799</v>
      </c>
      <c r="N297" s="444">
        <f>N294*N292*52/1000</f>
        <v>565.89438202247197</v>
      </c>
      <c r="O297" s="443">
        <f>O292*O294*13/1000</f>
        <v>141.47359550561799</v>
      </c>
      <c r="P297" s="443">
        <f>P292*P294*13/1000</f>
        <v>141.47359550561799</v>
      </c>
      <c r="Q297" s="443">
        <f>Q292*Q294*13/1000</f>
        <v>141.47359550561799</v>
      </c>
      <c r="R297" s="443">
        <f>R292*R294*13/1000</f>
        <v>141.47359550561799</v>
      </c>
      <c r="S297" s="444">
        <f t="shared" ref="S297:AB297" si="414">S294*S292*52/1000</f>
        <v>565.89438202247197</v>
      </c>
      <c r="T297" s="444">
        <f t="shared" si="414"/>
        <v>551.83190662921345</v>
      </c>
      <c r="U297" s="444">
        <f t="shared" si="414"/>
        <v>538.11888374947762</v>
      </c>
      <c r="V297" s="444">
        <f t="shared" si="414"/>
        <v>524.74662948830303</v>
      </c>
      <c r="W297" s="444">
        <f t="shared" si="414"/>
        <v>511.70667574551862</v>
      </c>
      <c r="X297" s="444">
        <f t="shared" si="414"/>
        <v>498.99076485324241</v>
      </c>
      <c r="Y297" s="444">
        <f t="shared" si="414"/>
        <v>486.59084434663941</v>
      </c>
      <c r="Z297" s="444">
        <f t="shared" si="414"/>
        <v>474.49906186462545</v>
      </c>
      <c r="AA297" s="444">
        <f t="shared" si="414"/>
        <v>462.70776017728963</v>
      </c>
      <c r="AB297" s="444">
        <f t="shared" si="414"/>
        <v>451.20947233688395</v>
      </c>
    </row>
    <row r="298" spans="2:28">
      <c r="B298" s="405"/>
      <c r="C298" s="395"/>
      <c r="D298" s="445"/>
      <c r="E298" s="446"/>
      <c r="F298" s="446"/>
      <c r="G298" s="446"/>
      <c r="H298" s="446"/>
      <c r="I298" s="418"/>
      <c r="J298" s="446"/>
      <c r="K298" s="446"/>
      <c r="L298" s="446"/>
      <c r="M298" s="446"/>
      <c r="N298" s="418"/>
      <c r="O298" s="446"/>
      <c r="P298" s="446"/>
      <c r="Q298" s="446"/>
      <c r="R298" s="446"/>
      <c r="S298" s="418"/>
      <c r="T298" s="418"/>
      <c r="U298" s="418"/>
      <c r="V298" s="418"/>
      <c r="W298" s="418"/>
      <c r="X298" s="418"/>
      <c r="Y298" s="418"/>
      <c r="Z298" s="418"/>
      <c r="AA298" s="418"/>
      <c r="AB298" s="418"/>
    </row>
    <row r="299" spans="2:28">
      <c r="B299" s="405" t="s">
        <v>367</v>
      </c>
      <c r="C299" s="395"/>
      <c r="D299" s="445"/>
      <c r="E299" s="446"/>
      <c r="F299" s="446"/>
      <c r="G299" s="446"/>
      <c r="H299" s="533">
        <v>0.5</v>
      </c>
      <c r="I299" s="449">
        <f>H299</f>
        <v>0.5</v>
      </c>
      <c r="J299" s="533">
        <f>H299</f>
        <v>0.5</v>
      </c>
      <c r="K299" s="533">
        <f>J299</f>
        <v>0.5</v>
      </c>
      <c r="L299" s="533">
        <f t="shared" ref="L299:L301" si="415">K299</f>
        <v>0.5</v>
      </c>
      <c r="M299" s="533">
        <f t="shared" ref="M299:M301" si="416">L299</f>
        <v>0.5</v>
      </c>
      <c r="N299" s="449">
        <f>(J299+K299+L299+M299)/4</f>
        <v>0.5</v>
      </c>
      <c r="O299" s="448">
        <f>M299</f>
        <v>0.5</v>
      </c>
      <c r="P299" s="448">
        <f>O299</f>
        <v>0.5</v>
      </c>
      <c r="Q299" s="448">
        <f t="shared" ref="Q299:Q301" si="417">P299</f>
        <v>0.5</v>
      </c>
      <c r="R299" s="448">
        <f t="shared" ref="R299:R301" si="418">Q299</f>
        <v>0.5</v>
      </c>
      <c r="S299" s="449">
        <f>(O299+P299+Q299+R299)/4</f>
        <v>0.5</v>
      </c>
      <c r="T299" s="447">
        <f>S299</f>
        <v>0.5</v>
      </c>
      <c r="U299" s="447">
        <f>T299</f>
        <v>0.5</v>
      </c>
      <c r="V299" s="418"/>
      <c r="W299" s="418"/>
      <c r="X299" s="418"/>
      <c r="Y299" s="418"/>
      <c r="Z299" s="418"/>
      <c r="AA299" s="418"/>
      <c r="AB299" s="418"/>
    </row>
    <row r="300" spans="2:28" s="454" customFormat="1">
      <c r="B300" s="450" t="s">
        <v>314</v>
      </c>
      <c r="C300" s="451"/>
      <c r="D300" s="452">
        <v>0.1</v>
      </c>
      <c r="E300" s="453"/>
      <c r="F300" s="453"/>
      <c r="G300" s="453"/>
      <c r="H300" s="453">
        <v>0</v>
      </c>
      <c r="I300" s="451">
        <f>H300</f>
        <v>0</v>
      </c>
      <c r="J300" s="453">
        <f>H300</f>
        <v>0</v>
      </c>
      <c r="K300" s="453">
        <f>J300</f>
        <v>0</v>
      </c>
      <c r="L300" s="453">
        <f t="shared" si="415"/>
        <v>0</v>
      </c>
      <c r="M300" s="453">
        <f t="shared" si="416"/>
        <v>0</v>
      </c>
      <c r="N300" s="451">
        <f>I300</f>
        <v>0</v>
      </c>
      <c r="O300" s="448">
        <f>M300</f>
        <v>0</v>
      </c>
      <c r="P300" s="448">
        <f>O300</f>
        <v>0</v>
      </c>
      <c r="Q300" s="448">
        <f t="shared" si="417"/>
        <v>0</v>
      </c>
      <c r="R300" s="448">
        <f t="shared" si="418"/>
        <v>0</v>
      </c>
      <c r="S300" s="451">
        <f>N300</f>
        <v>0</v>
      </c>
      <c r="T300" s="451">
        <f>S300</f>
        <v>0</v>
      </c>
      <c r="U300" s="451">
        <f t="shared" ref="U300:U301" si="419">T300</f>
        <v>0</v>
      </c>
      <c r="V300" s="451">
        <f t="shared" ref="V300:AB300" si="420">V224</f>
        <v>0</v>
      </c>
      <c r="W300" s="451">
        <f t="shared" si="420"/>
        <v>0</v>
      </c>
      <c r="X300" s="451">
        <f t="shared" si="420"/>
        <v>0</v>
      </c>
      <c r="Y300" s="451">
        <f t="shared" si="420"/>
        <v>0</v>
      </c>
      <c r="Z300" s="451">
        <f t="shared" si="420"/>
        <v>0</v>
      </c>
      <c r="AA300" s="451">
        <f t="shared" si="420"/>
        <v>0</v>
      </c>
      <c r="AB300" s="451">
        <f t="shared" si="420"/>
        <v>0</v>
      </c>
    </row>
    <row r="301" spans="2:28">
      <c r="B301" s="405" t="s">
        <v>315</v>
      </c>
      <c r="C301" s="395"/>
      <c r="D301" s="455">
        <v>0.9</v>
      </c>
      <c r="E301" s="456"/>
      <c r="F301" s="456"/>
      <c r="G301" s="456"/>
      <c r="H301" s="456">
        <v>0.85</v>
      </c>
      <c r="I301" s="447">
        <f>H301</f>
        <v>0.85</v>
      </c>
      <c r="J301" s="456">
        <f>H301</f>
        <v>0.85</v>
      </c>
      <c r="K301" s="456">
        <f>J301</f>
        <v>0.85</v>
      </c>
      <c r="L301" s="456">
        <f t="shared" si="415"/>
        <v>0.85</v>
      </c>
      <c r="M301" s="456">
        <f t="shared" si="416"/>
        <v>0.85</v>
      </c>
      <c r="N301" s="447">
        <f>I301</f>
        <v>0.85</v>
      </c>
      <c r="O301" s="448">
        <f>M301</f>
        <v>0.85</v>
      </c>
      <c r="P301" s="448">
        <f>O301</f>
        <v>0.85</v>
      </c>
      <c r="Q301" s="448">
        <f t="shared" si="417"/>
        <v>0.85</v>
      </c>
      <c r="R301" s="448">
        <f t="shared" si="418"/>
        <v>0.85</v>
      </c>
      <c r="S301" s="447">
        <f>N301</f>
        <v>0.85</v>
      </c>
      <c r="T301" s="447">
        <f>S301</f>
        <v>0.85</v>
      </c>
      <c r="U301" s="447">
        <f t="shared" si="419"/>
        <v>0.85</v>
      </c>
      <c r="V301" s="447">
        <f t="shared" ref="V301:AB301" si="421">V225</f>
        <v>0.85</v>
      </c>
      <c r="W301" s="447">
        <f t="shared" si="421"/>
        <v>0.85</v>
      </c>
      <c r="X301" s="447">
        <f t="shared" si="421"/>
        <v>0.85</v>
      </c>
      <c r="Y301" s="447">
        <f t="shared" si="421"/>
        <v>0.85</v>
      </c>
      <c r="Z301" s="447">
        <f t="shared" si="421"/>
        <v>0.85</v>
      </c>
      <c r="AA301" s="447">
        <f t="shared" si="421"/>
        <v>0.85</v>
      </c>
      <c r="AB301" s="447">
        <f t="shared" si="421"/>
        <v>0.85</v>
      </c>
    </row>
    <row r="302" spans="2:28">
      <c r="B302" s="457"/>
      <c r="C302" s="458"/>
      <c r="D302" s="458"/>
      <c r="E302" s="459"/>
      <c r="F302" s="459"/>
      <c r="G302" s="459"/>
      <c r="H302" s="459"/>
      <c r="I302" s="460"/>
      <c r="J302" s="459"/>
      <c r="K302" s="459"/>
      <c r="L302" s="459"/>
      <c r="M302" s="459"/>
      <c r="N302" s="460"/>
      <c r="O302" s="459"/>
      <c r="P302" s="459"/>
      <c r="Q302" s="459"/>
      <c r="R302" s="459"/>
      <c r="S302" s="460"/>
      <c r="T302" s="460"/>
      <c r="U302" s="460"/>
      <c r="V302" s="460"/>
      <c r="W302" s="460"/>
      <c r="X302" s="460"/>
      <c r="Y302" s="460"/>
      <c r="Z302" s="460"/>
      <c r="AA302" s="460"/>
      <c r="AB302" s="418"/>
    </row>
    <row r="303" spans="2:28">
      <c r="B303" s="461" t="s">
        <v>404</v>
      </c>
      <c r="C303" s="462"/>
      <c r="D303" s="463">
        <f>D300*(1-D299)*D286*D297*D200</f>
        <v>0</v>
      </c>
      <c r="E303" s="464"/>
      <c r="F303" s="464"/>
      <c r="G303" s="464"/>
      <c r="H303" s="464">
        <f t="shared" ref="H303:M303" si="422">((H297*(1-H300)*H301*H299*H288)+(H289*H297*(1-H300)*H301))/1000</f>
        <v>0</v>
      </c>
      <c r="I303" s="463">
        <f t="shared" si="422"/>
        <v>0</v>
      </c>
      <c r="J303" s="464">
        <f t="shared" si="422"/>
        <v>0</v>
      </c>
      <c r="K303" s="464">
        <f t="shared" si="422"/>
        <v>0</v>
      </c>
      <c r="L303" s="464">
        <f t="shared" si="422"/>
        <v>0</v>
      </c>
      <c r="M303" s="464">
        <f t="shared" si="422"/>
        <v>0</v>
      </c>
      <c r="N303" s="463">
        <f>M303+L303+K303+J303</f>
        <v>0</v>
      </c>
      <c r="O303" s="464">
        <f t="shared" ref="O303:R303" si="423">((O297*(1-O300)*O301*O299*O288)+(O289*O297*(1-O300)*O301))/1000</f>
        <v>0</v>
      </c>
      <c r="P303" s="464">
        <f t="shared" si="423"/>
        <v>0</v>
      </c>
      <c r="Q303" s="464">
        <f t="shared" si="423"/>
        <v>1.6178679363507729</v>
      </c>
      <c r="R303" s="464">
        <f t="shared" si="423"/>
        <v>3.8878442987418138</v>
      </c>
      <c r="S303" s="463">
        <f>R303+Q303+P303+O303</f>
        <v>5.5057122350925862</v>
      </c>
      <c r="T303" s="463">
        <f>((T297*(1-T300)*T301*T299*T288)+(T289*T297*(1-T300)*T301))/1000</f>
        <v>22.905293805442145</v>
      </c>
      <c r="U303" s="463">
        <f>((U297*(1-U300)*U301*U299*U288)+(U289*U297*(1-U300)*U301))/1000</f>
        <v>50.045924392280035</v>
      </c>
      <c r="V303" s="463">
        <f t="shared" ref="V303:AB303" si="424">V301*(1-V300)*V297*V290/1000</f>
        <v>74.311863653125471</v>
      </c>
      <c r="W303" s="463">
        <f t="shared" si="424"/>
        <v>85.472719725866767</v>
      </c>
      <c r="X303" s="463">
        <f t="shared" si="424"/>
        <v>84.265558589726425</v>
      </c>
      <c r="Y303" s="463">
        <f t="shared" si="424"/>
        <v>77.141486140474072</v>
      </c>
      <c r="Z303" s="463">
        <f t="shared" si="424"/>
        <v>70.201836860484917</v>
      </c>
      <c r="AA303" s="463">
        <f t="shared" si="424"/>
        <v>63.442822435539625</v>
      </c>
      <c r="AB303" s="463">
        <f t="shared" si="424"/>
        <v>56.86072477208603</v>
      </c>
    </row>
    <row r="304" spans="2:28" s="427" customFormat="1">
      <c r="B304" s="465" t="s">
        <v>316</v>
      </c>
      <c r="C304" s="466"/>
      <c r="D304" s="466"/>
      <c r="E304" s="467"/>
      <c r="F304" s="467"/>
      <c r="G304" s="467"/>
      <c r="H304" s="467"/>
      <c r="I304" s="468"/>
      <c r="J304" s="467"/>
      <c r="K304" s="467"/>
      <c r="L304" s="467"/>
      <c r="M304" s="467"/>
      <c r="N304" s="468"/>
      <c r="O304" s="467"/>
      <c r="P304" s="467"/>
      <c r="Q304" s="467"/>
      <c r="R304" s="467"/>
      <c r="S304" s="468"/>
      <c r="T304" s="468">
        <f>T303/S303-1</f>
        <v>3.1602780580225804</v>
      </c>
      <c r="U304" s="468">
        <f>U303/T303-1</f>
        <v>1.1849064595010548</v>
      </c>
      <c r="V304" s="468">
        <f t="shared" ref="V304" si="425">V303/U303-1</f>
        <v>0.48487343486033474</v>
      </c>
      <c r="W304" s="468">
        <f t="shared" ref="W304" si="426">W303/V303-1</f>
        <v>0.15018942499999977</v>
      </c>
      <c r="X304" s="468">
        <f t="shared" ref="X304" si="427">X303/W303-1</f>
        <v>-1.4123350000000312E-2</v>
      </c>
      <c r="Y304" s="468">
        <f t="shared" ref="Y304" si="428">Y303/X303-1</f>
        <v>-8.4543110714285552E-2</v>
      </c>
      <c r="Z304" s="468">
        <f t="shared" ref="Z304" si="429">Z303/Y303-1</f>
        <v>-8.996001538461551E-2</v>
      </c>
      <c r="AA304" s="468">
        <f t="shared" ref="AA304" si="430">AA303/Z303-1</f>
        <v>-9.627973749999974E-2</v>
      </c>
      <c r="AB304" s="468">
        <f t="shared" ref="AB304" si="431">AB303/AA303-1</f>
        <v>-0.10374850000000024</v>
      </c>
    </row>
    <row r="305" spans="1:30" s="427" customFormat="1">
      <c r="B305" s="465"/>
      <c r="C305" s="466"/>
      <c r="D305" s="466"/>
      <c r="E305" s="467"/>
      <c r="F305" s="467"/>
      <c r="G305" s="467"/>
      <c r="H305" s="467"/>
      <c r="I305" s="468"/>
      <c r="J305" s="467"/>
      <c r="K305" s="467"/>
      <c r="L305" s="467"/>
      <c r="M305" s="467"/>
      <c r="O305" s="467"/>
      <c r="P305" s="467"/>
      <c r="Q305" s="467"/>
      <c r="R305" s="467"/>
      <c r="S305" s="468"/>
      <c r="T305" s="468"/>
      <c r="U305" s="468"/>
      <c r="V305" s="468"/>
      <c r="W305" s="468"/>
      <c r="X305" s="468"/>
      <c r="Y305" s="468"/>
      <c r="Z305" s="468"/>
      <c r="AA305" s="468"/>
      <c r="AB305" s="468"/>
    </row>
    <row r="306" spans="1:30">
      <c r="B306" s="423" t="s">
        <v>411</v>
      </c>
      <c r="C306" s="424"/>
      <c r="D306" s="424"/>
      <c r="E306" s="425"/>
      <c r="F306" s="425"/>
      <c r="G306" s="425"/>
      <c r="H306" s="425"/>
      <c r="I306" s="426"/>
      <c r="J306" s="425"/>
      <c r="K306" s="425"/>
      <c r="L306" s="425"/>
      <c r="M306" s="425"/>
      <c r="N306" s="426"/>
      <c r="O306" s="425"/>
      <c r="P306" s="425"/>
      <c r="Q306" s="425"/>
      <c r="R306" s="425"/>
      <c r="S306" s="426"/>
      <c r="T306" s="426"/>
      <c r="U306" s="426"/>
      <c r="V306" s="426"/>
      <c r="W306" s="426"/>
      <c r="X306" s="426"/>
      <c r="Y306" s="426"/>
      <c r="Z306" s="426"/>
      <c r="AA306" s="426"/>
      <c r="AB306" s="426"/>
    </row>
    <row r="307" spans="1:30" s="427" customFormat="1" hidden="1" outlineLevel="1">
      <c r="A307" s="427" t="s">
        <v>319</v>
      </c>
      <c r="B307" s="534" t="s">
        <v>64</v>
      </c>
      <c r="C307" s="535"/>
      <c r="D307" s="536">
        <v>0</v>
      </c>
      <c r="E307" s="536"/>
      <c r="F307" s="536"/>
      <c r="G307" s="536"/>
      <c r="H307" s="536"/>
      <c r="I307" s="537">
        <v>0</v>
      </c>
      <c r="J307" s="536"/>
      <c r="K307" s="536"/>
      <c r="L307" s="536"/>
      <c r="M307" s="536"/>
      <c r="N307" s="537">
        <v>0</v>
      </c>
      <c r="O307" s="536"/>
      <c r="P307" s="536"/>
      <c r="Q307" s="536"/>
      <c r="R307" s="536"/>
      <c r="S307" s="537">
        <v>0</v>
      </c>
      <c r="T307" s="536">
        <v>0</v>
      </c>
      <c r="U307" s="536">
        <v>0</v>
      </c>
      <c r="V307" s="536">
        <f t="shared" ref="V307:AB307" si="432">V231*0.25</f>
        <v>2.7562499999999997E-2</v>
      </c>
      <c r="W307" s="536">
        <f t="shared" si="432"/>
        <v>6.7500000000000004E-2</v>
      </c>
      <c r="X307" s="536">
        <f t="shared" si="432"/>
        <v>9.5625000000000002E-2</v>
      </c>
      <c r="Y307" s="536">
        <f t="shared" si="432"/>
        <v>0.10125000000000001</v>
      </c>
      <c r="Z307" s="536">
        <f t="shared" si="432"/>
        <v>0.10125000000000001</v>
      </c>
      <c r="AA307" s="536">
        <f t="shared" si="432"/>
        <v>0.10125000000000001</v>
      </c>
      <c r="AB307" s="536">
        <f t="shared" si="432"/>
        <v>0.10125000000000001</v>
      </c>
    </row>
    <row r="308" spans="1:30" s="427" customFormat="1" hidden="1" outlineLevel="1">
      <c r="B308" s="534" t="s">
        <v>65</v>
      </c>
      <c r="C308" s="535"/>
      <c r="D308" s="536">
        <v>0</v>
      </c>
      <c r="E308" s="536"/>
      <c r="F308" s="536"/>
      <c r="G308" s="536"/>
      <c r="H308" s="536"/>
      <c r="I308" s="537">
        <v>0</v>
      </c>
      <c r="J308" s="536"/>
      <c r="K308" s="536"/>
      <c r="L308" s="536"/>
      <c r="M308" s="536"/>
      <c r="N308" s="537">
        <v>0</v>
      </c>
      <c r="O308" s="536"/>
      <c r="P308" s="536"/>
      <c r="Q308" s="536"/>
      <c r="R308" s="536"/>
      <c r="S308" s="537">
        <v>0</v>
      </c>
      <c r="T308" s="536">
        <v>0</v>
      </c>
      <c r="U308" s="536">
        <v>0</v>
      </c>
      <c r="V308" s="536">
        <f t="shared" ref="V308:W308" si="433">V232/3</f>
        <v>9.0000000000000011E-3</v>
      </c>
      <c r="W308" s="536">
        <f t="shared" si="433"/>
        <v>4.5000000000000005E-2</v>
      </c>
      <c r="X308" s="536">
        <f>X232*0.25</f>
        <v>5.6250000000000001E-2</v>
      </c>
      <c r="Y308" s="536">
        <f>Y232*0.25</f>
        <v>6.7500000000000004E-2</v>
      </c>
      <c r="Z308" s="536">
        <f>Z232*0.25</f>
        <v>7.8750000000000001E-2</v>
      </c>
      <c r="AA308" s="536">
        <f>AA232*0.25</f>
        <v>7.8750000000000001E-2</v>
      </c>
      <c r="AB308" s="536">
        <f>AB232*0.25</f>
        <v>7.3125000000000009E-2</v>
      </c>
    </row>
    <row r="309" spans="1:30" s="427" customFormat="1" hidden="1" outlineLevel="1">
      <c r="B309" s="534" t="s">
        <v>66</v>
      </c>
      <c r="C309" s="535"/>
      <c r="D309" s="536">
        <v>0</v>
      </c>
      <c r="E309" s="536"/>
      <c r="F309" s="536"/>
      <c r="G309" s="536"/>
      <c r="H309" s="536"/>
      <c r="I309" s="537">
        <v>0</v>
      </c>
      <c r="J309" s="536"/>
      <c r="K309" s="536"/>
      <c r="L309" s="536"/>
      <c r="M309" s="536"/>
      <c r="N309" s="537">
        <v>0</v>
      </c>
      <c r="O309" s="536"/>
      <c r="P309" s="536"/>
      <c r="Q309" s="536"/>
      <c r="R309" s="536"/>
      <c r="S309" s="537">
        <v>0</v>
      </c>
      <c r="T309" s="536">
        <v>0</v>
      </c>
      <c r="U309" s="536">
        <v>0</v>
      </c>
      <c r="V309" s="536">
        <f t="shared" ref="V309:AB309" si="434">V308*0.25</f>
        <v>2.2500000000000003E-3</v>
      </c>
      <c r="W309" s="536">
        <f t="shared" si="434"/>
        <v>1.1250000000000001E-2</v>
      </c>
      <c r="X309" s="536">
        <f t="shared" si="434"/>
        <v>1.40625E-2</v>
      </c>
      <c r="Y309" s="536">
        <f t="shared" si="434"/>
        <v>1.6875000000000001E-2</v>
      </c>
      <c r="Z309" s="536">
        <f t="shared" si="434"/>
        <v>1.96875E-2</v>
      </c>
      <c r="AA309" s="536">
        <f t="shared" si="434"/>
        <v>1.96875E-2</v>
      </c>
      <c r="AB309" s="536">
        <f t="shared" si="434"/>
        <v>1.8281250000000002E-2</v>
      </c>
    </row>
    <row r="310" spans="1:30" s="427" customFormat="1" collapsed="1">
      <c r="A310" s="428" t="s">
        <v>313</v>
      </c>
      <c r="B310" s="538" t="s">
        <v>318</v>
      </c>
      <c r="C310" s="539"/>
      <c r="D310" s="540">
        <f>CHOOSE($N$2,D307,D308,D309)</f>
        <v>0</v>
      </c>
      <c r="E310" s="541"/>
      <c r="F310" s="541"/>
      <c r="G310" s="541"/>
      <c r="H310" s="541"/>
      <c r="I310" s="540">
        <f>CHOOSE($N$2,I307,I308,I309)</f>
        <v>0</v>
      </c>
      <c r="J310" s="541"/>
      <c r="K310" s="541"/>
      <c r="L310" s="541"/>
      <c r="M310" s="541"/>
      <c r="N310" s="540">
        <f>CHOOSE($N$2,N307,N308,N309)</f>
        <v>0</v>
      </c>
      <c r="O310" s="541"/>
      <c r="P310" s="541"/>
      <c r="Q310" s="541"/>
      <c r="R310" s="541"/>
      <c r="S310" s="540">
        <f t="shared" ref="S310:AB310" si="435">CHOOSE($N$2,S307,S308,S309)</f>
        <v>0</v>
      </c>
      <c r="T310" s="540">
        <f t="shared" si="435"/>
        <v>0</v>
      </c>
      <c r="U310" s="540">
        <f t="shared" si="435"/>
        <v>0</v>
      </c>
      <c r="V310" s="540">
        <f t="shared" si="435"/>
        <v>9.0000000000000011E-3</v>
      </c>
      <c r="W310" s="540">
        <f t="shared" si="435"/>
        <v>4.5000000000000005E-2</v>
      </c>
      <c r="X310" s="540">
        <f t="shared" si="435"/>
        <v>5.6250000000000001E-2</v>
      </c>
      <c r="Y310" s="540">
        <f t="shared" si="435"/>
        <v>6.7500000000000004E-2</v>
      </c>
      <c r="Z310" s="540">
        <f t="shared" si="435"/>
        <v>7.8750000000000001E-2</v>
      </c>
      <c r="AA310" s="540">
        <f t="shared" si="435"/>
        <v>7.8750000000000001E-2</v>
      </c>
      <c r="AB310" s="540">
        <f t="shared" si="435"/>
        <v>7.3125000000000009E-2</v>
      </c>
    </row>
    <row r="311" spans="1:30">
      <c r="B311" s="405"/>
      <c r="C311" s="395"/>
      <c r="D311" s="395"/>
      <c r="E311" s="429"/>
      <c r="F311" s="429"/>
      <c r="G311" s="429"/>
      <c r="H311" s="429"/>
      <c r="I311" s="418"/>
      <c r="J311" s="429"/>
      <c r="K311" s="429"/>
      <c r="L311" s="429"/>
      <c r="M311" s="429"/>
      <c r="N311" s="418"/>
      <c r="O311" s="429"/>
      <c r="P311" s="429"/>
      <c r="Q311" s="429"/>
      <c r="R311" s="429"/>
      <c r="S311" s="418"/>
      <c r="T311" s="418"/>
      <c r="U311" s="418"/>
      <c r="V311" s="418"/>
      <c r="W311" s="418"/>
      <c r="X311" s="418"/>
      <c r="Y311" s="418"/>
      <c r="Z311" s="418"/>
      <c r="AA311" s="418"/>
      <c r="AB311" s="418"/>
    </row>
    <row r="312" spans="1:30" hidden="1" outlineLevel="1">
      <c r="B312" s="405" t="s">
        <v>365</v>
      </c>
      <c r="C312" s="395"/>
      <c r="D312" s="395"/>
      <c r="E312" s="429"/>
      <c r="F312" s="429"/>
      <c r="G312" s="429"/>
      <c r="H312" s="430"/>
      <c r="I312" s="431"/>
      <c r="J312" s="430"/>
      <c r="K312" s="430"/>
      <c r="L312" s="430"/>
      <c r="M312" s="430"/>
      <c r="N312" s="431"/>
      <c r="O312" s="430"/>
      <c r="P312" s="430"/>
      <c r="Q312" s="430"/>
      <c r="R312" s="430"/>
      <c r="S312" s="431"/>
      <c r="T312" s="418"/>
      <c r="U312" s="418"/>
      <c r="V312" s="418"/>
      <c r="W312" s="418"/>
      <c r="X312" s="418"/>
      <c r="Y312" s="418"/>
      <c r="Z312" s="418"/>
      <c r="AA312" s="418"/>
      <c r="AB312" s="418"/>
    </row>
    <row r="313" spans="1:30" hidden="1" outlineLevel="1">
      <c r="B313" s="405" t="s">
        <v>364</v>
      </c>
      <c r="C313" s="395"/>
      <c r="D313" s="395"/>
      <c r="E313" s="429"/>
      <c r="F313" s="429"/>
      <c r="G313" s="429"/>
      <c r="H313" s="430"/>
      <c r="I313" s="431"/>
      <c r="J313" s="430"/>
      <c r="K313" s="430"/>
      <c r="L313" s="430"/>
      <c r="M313" s="430"/>
      <c r="N313" s="431"/>
      <c r="O313" s="430"/>
      <c r="P313" s="430"/>
      <c r="Q313" s="430"/>
      <c r="R313" s="430"/>
      <c r="S313" s="431"/>
      <c r="T313" s="418"/>
      <c r="U313" s="418"/>
      <c r="V313" s="418"/>
      <c r="W313" s="418"/>
      <c r="X313" s="418"/>
      <c r="Y313" s="418"/>
      <c r="Z313" s="418"/>
      <c r="AA313" s="418"/>
      <c r="AB313" s="418"/>
    </row>
    <row r="314" spans="1:30" collapsed="1">
      <c r="B314" s="405" t="s">
        <v>366</v>
      </c>
      <c r="C314" s="395"/>
      <c r="D314" s="395"/>
      <c r="E314" s="429"/>
      <c r="F314" s="429"/>
      <c r="G314" s="429"/>
      <c r="H314" s="430"/>
      <c r="I314" s="431"/>
      <c r="J314" s="430"/>
      <c r="K314" s="430"/>
      <c r="L314" s="430"/>
      <c r="M314" s="430"/>
      <c r="N314" s="431"/>
      <c r="O314" s="430"/>
      <c r="P314" s="430"/>
      <c r="Q314" s="430"/>
      <c r="R314" s="430"/>
      <c r="S314" s="431"/>
      <c r="T314" s="530"/>
      <c r="U314" s="530"/>
      <c r="V314" s="530">
        <f t="shared" ref="V314:AB314" si="436">V203*V310*1000</f>
        <v>9.227386537688993</v>
      </c>
      <c r="W314" s="530">
        <f t="shared" si="436"/>
        <v>46.644438948017857</v>
      </c>
      <c r="X314" s="530">
        <f t="shared" si="436"/>
        <v>58.946909720557549</v>
      </c>
      <c r="Y314" s="530">
        <f t="shared" si="436"/>
        <v>71.514390872980414</v>
      </c>
      <c r="Z314" s="530">
        <f t="shared" si="436"/>
        <v>84.351224034680385</v>
      </c>
      <c r="AA314" s="530">
        <f t="shared" si="436"/>
        <v>85.279087499061859</v>
      </c>
      <c r="AB314" s="530">
        <f t="shared" si="436"/>
        <v>80.058789071440714</v>
      </c>
    </row>
    <row r="315" spans="1:30">
      <c r="B315" s="405"/>
      <c r="C315" s="395"/>
      <c r="D315" s="395"/>
      <c r="E315" s="429"/>
      <c r="F315" s="429"/>
      <c r="G315" s="429"/>
      <c r="H315" s="429"/>
      <c r="I315" s="418"/>
      <c r="J315" s="429"/>
      <c r="K315" s="429"/>
      <c r="L315" s="429"/>
      <c r="M315" s="429"/>
      <c r="N315" s="418"/>
      <c r="O315" s="429"/>
      <c r="P315" s="429"/>
      <c r="Q315" s="429"/>
      <c r="R315" s="429"/>
      <c r="S315" s="418"/>
      <c r="T315" s="418"/>
      <c r="U315" s="418"/>
      <c r="V315" s="418"/>
      <c r="W315" s="418"/>
      <c r="X315" s="418"/>
      <c r="Y315" s="418"/>
      <c r="Z315" s="418"/>
      <c r="AA315" s="418"/>
      <c r="AB315" s="418"/>
    </row>
    <row r="316" spans="1:30">
      <c r="B316" s="405" t="s">
        <v>321</v>
      </c>
      <c r="C316" s="395"/>
      <c r="D316" s="469"/>
      <c r="E316" s="470"/>
      <c r="F316" s="470"/>
      <c r="G316" s="470"/>
      <c r="H316" s="470"/>
      <c r="I316" s="471"/>
      <c r="J316" s="470"/>
      <c r="K316" s="470"/>
      <c r="L316" s="470"/>
      <c r="M316" s="470"/>
      <c r="N316" s="471"/>
      <c r="O316" s="470"/>
      <c r="P316" s="470"/>
      <c r="Q316" s="470"/>
      <c r="R316" s="470"/>
      <c r="S316" s="471"/>
      <c r="T316" s="471"/>
      <c r="U316" s="471"/>
      <c r="V316" s="471">
        <f>T292</f>
        <v>43.584750000000007</v>
      </c>
      <c r="W316" s="471">
        <f t="shared" ref="W316:AB316" si="437">V316*0.99</f>
        <v>43.148902500000005</v>
      </c>
      <c r="X316" s="471">
        <f t="shared" si="437"/>
        <v>42.717413475000008</v>
      </c>
      <c r="Y316" s="471">
        <f t="shared" si="437"/>
        <v>42.290239340250004</v>
      </c>
      <c r="Z316" s="471">
        <f t="shared" si="437"/>
        <v>41.867336946847502</v>
      </c>
      <c r="AA316" s="471">
        <f t="shared" si="437"/>
        <v>41.44866357737903</v>
      </c>
      <c r="AB316" s="471">
        <f t="shared" si="437"/>
        <v>41.034176941605239</v>
      </c>
    </row>
    <row r="317" spans="1:30">
      <c r="B317" s="405"/>
      <c r="C317" s="395"/>
      <c r="D317" s="395"/>
      <c r="E317" s="429"/>
      <c r="F317" s="429"/>
      <c r="G317" s="429"/>
      <c r="H317" s="429"/>
      <c r="I317" s="418"/>
      <c r="J317" s="429"/>
      <c r="K317" s="429"/>
      <c r="L317" s="429"/>
      <c r="M317" s="429"/>
      <c r="N317" s="480"/>
      <c r="O317" s="429"/>
      <c r="P317" s="429"/>
      <c r="Q317" s="429"/>
      <c r="R317" s="429"/>
      <c r="S317" s="418"/>
      <c r="T317" s="418"/>
      <c r="U317" s="418"/>
      <c r="V317" s="418"/>
      <c r="W317" s="418"/>
      <c r="X317" s="418"/>
      <c r="Y317" s="418"/>
      <c r="Z317" s="418"/>
      <c r="AA317" s="418"/>
      <c r="AB317" s="418"/>
    </row>
    <row r="318" spans="1:30">
      <c r="B318" s="405" t="s">
        <v>322</v>
      </c>
      <c r="C318" s="395"/>
      <c r="D318" s="437"/>
      <c r="E318" s="472"/>
      <c r="F318" s="472"/>
      <c r="G318" s="472"/>
      <c r="H318" s="472"/>
      <c r="I318" s="473"/>
      <c r="J318" s="472"/>
      <c r="K318" s="472"/>
      <c r="L318" s="472"/>
      <c r="M318" s="472"/>
      <c r="N318" s="473"/>
      <c r="O318" s="472"/>
      <c r="P318" s="472"/>
      <c r="Q318" s="472"/>
      <c r="R318" s="472"/>
      <c r="S318" s="473"/>
      <c r="T318" s="473"/>
      <c r="U318" s="473"/>
      <c r="V318" s="439">
        <f t="shared" ref="V318:AB318" si="438">V294</f>
        <v>236.23343539325839</v>
      </c>
      <c r="W318" s="439">
        <f t="shared" si="438"/>
        <v>232.68993386235951</v>
      </c>
      <c r="X318" s="439">
        <f t="shared" si="438"/>
        <v>229.1995848544241</v>
      </c>
      <c r="Y318" s="439">
        <f t="shared" si="438"/>
        <v>225.76159108160775</v>
      </c>
      <c r="Z318" s="439">
        <f t="shared" si="438"/>
        <v>222.37516721538364</v>
      </c>
      <c r="AA318" s="439">
        <f t="shared" si="438"/>
        <v>219.0395397071529</v>
      </c>
      <c r="AB318" s="439">
        <f t="shared" si="438"/>
        <v>215.75394661154562</v>
      </c>
      <c r="AC318" s="439"/>
      <c r="AD318" s="439"/>
    </row>
    <row r="319" spans="1:30" s="414" customFormat="1">
      <c r="B319" s="409" t="s">
        <v>312</v>
      </c>
      <c r="C319" s="410"/>
      <c r="D319" s="440"/>
      <c r="E319" s="441"/>
      <c r="F319" s="441"/>
      <c r="G319" s="441"/>
      <c r="H319" s="441"/>
      <c r="I319" s="413"/>
      <c r="J319" s="441"/>
      <c r="K319" s="441"/>
      <c r="L319" s="441"/>
      <c r="M319" s="441"/>
      <c r="N319" s="413"/>
      <c r="O319" s="441"/>
      <c r="P319" s="441"/>
      <c r="Q319" s="441"/>
      <c r="R319" s="441"/>
      <c r="S319" s="413"/>
      <c r="T319" s="413"/>
      <c r="U319" s="413"/>
      <c r="V319" s="413"/>
      <c r="W319" s="413">
        <f t="shared" ref="W319" si="439">W318/V318-1</f>
        <v>-1.5000000000000013E-2</v>
      </c>
      <c r="X319" s="413">
        <f t="shared" ref="X319" si="440">X318/W318-1</f>
        <v>-1.5000000000000013E-2</v>
      </c>
      <c r="Y319" s="413">
        <f t="shared" ref="Y319" si="441">Y318/X318-1</f>
        <v>-1.5000000000000013E-2</v>
      </c>
      <c r="Z319" s="413">
        <f t="shared" ref="Z319" si="442">Z318/Y318-1</f>
        <v>-1.4999999999999902E-2</v>
      </c>
      <c r="AA319" s="413">
        <f t="shared" ref="AA319" si="443">AA318/Z318-1</f>
        <v>-1.4999999999999902E-2</v>
      </c>
      <c r="AB319" s="413">
        <f t="shared" ref="AB319" si="444">AB318/AA318-1</f>
        <v>-1.4999999999999902E-2</v>
      </c>
    </row>
    <row r="320" spans="1:30" s="427" customFormat="1">
      <c r="B320" s="465"/>
      <c r="C320" s="466"/>
      <c r="D320" s="466"/>
      <c r="E320" s="467"/>
      <c r="F320" s="467"/>
      <c r="G320" s="467"/>
      <c r="H320" s="467"/>
      <c r="I320" s="468"/>
      <c r="J320" s="467"/>
      <c r="K320" s="467"/>
      <c r="L320" s="467"/>
      <c r="M320" s="467"/>
      <c r="N320" s="468"/>
      <c r="O320" s="467"/>
      <c r="P320" s="467"/>
      <c r="Q320" s="467"/>
      <c r="R320" s="467"/>
      <c r="S320" s="468"/>
      <c r="T320" s="468"/>
      <c r="U320" s="468"/>
      <c r="V320" s="468"/>
      <c r="W320" s="468"/>
      <c r="X320" s="468"/>
      <c r="Y320" s="468"/>
      <c r="Z320" s="468"/>
      <c r="AA320" s="468"/>
      <c r="AB320" s="468"/>
    </row>
    <row r="321" spans="1:28">
      <c r="B321" s="405" t="s">
        <v>401</v>
      </c>
      <c r="C321" s="395"/>
      <c r="D321" s="474"/>
      <c r="E321" s="475"/>
      <c r="F321" s="475"/>
      <c r="G321" s="475"/>
      <c r="H321" s="475"/>
      <c r="I321" s="444"/>
      <c r="J321" s="475"/>
      <c r="K321" s="475"/>
      <c r="L321" s="475"/>
      <c r="M321" s="475"/>
      <c r="N321" s="444"/>
      <c r="O321" s="475"/>
      <c r="P321" s="475"/>
      <c r="Q321" s="475"/>
      <c r="R321" s="475"/>
      <c r="S321" s="444"/>
      <c r="T321" s="444"/>
      <c r="U321" s="444"/>
      <c r="V321" s="444">
        <f t="shared" ref="V321:AA321" si="445">V318*V316*52/1000</f>
        <v>535.40111160932861</v>
      </c>
      <c r="W321" s="444">
        <f t="shared" si="445"/>
        <v>522.09639398583681</v>
      </c>
      <c r="X321" s="444">
        <f t="shared" si="445"/>
        <v>509.12229859528878</v>
      </c>
      <c r="Y321" s="444">
        <f t="shared" si="445"/>
        <v>496.47060947519583</v>
      </c>
      <c r="Z321" s="444">
        <f t="shared" si="445"/>
        <v>484.13331482973717</v>
      </c>
      <c r="AA321" s="444">
        <f t="shared" si="445"/>
        <v>472.10260195621822</v>
      </c>
      <c r="AB321" s="444">
        <f>AB318*AB316*52/1000</f>
        <v>460.37085229760623</v>
      </c>
    </row>
    <row r="322" spans="1:28">
      <c r="B322" s="405"/>
      <c r="C322" s="395"/>
      <c r="D322" s="395"/>
      <c r="E322" s="429"/>
      <c r="F322" s="429"/>
      <c r="G322" s="429"/>
      <c r="H322" s="429"/>
      <c r="I322" s="418"/>
      <c r="J322" s="429"/>
      <c r="K322" s="429"/>
      <c r="L322" s="429"/>
      <c r="M322" s="429"/>
      <c r="N322" s="418"/>
      <c r="O322" s="429"/>
      <c r="P322" s="429"/>
      <c r="Q322" s="429"/>
      <c r="R322" s="429"/>
      <c r="S322" s="418"/>
      <c r="T322" s="418"/>
      <c r="U322" s="418"/>
      <c r="V322" s="418"/>
      <c r="W322" s="418"/>
      <c r="X322" s="418"/>
      <c r="Y322" s="418"/>
      <c r="Z322" s="418"/>
      <c r="AA322" s="418"/>
      <c r="AB322" s="418"/>
    </row>
    <row r="323" spans="1:28" hidden="1" outlineLevel="1">
      <c r="B323" s="405" t="s">
        <v>367</v>
      </c>
      <c r="C323" s="395"/>
      <c r="D323" s="445"/>
      <c r="E323" s="446"/>
      <c r="F323" s="446"/>
      <c r="G323" s="446"/>
      <c r="H323" s="533"/>
      <c r="I323" s="449"/>
      <c r="J323" s="533"/>
      <c r="K323" s="533"/>
      <c r="L323" s="533"/>
      <c r="M323" s="533"/>
      <c r="N323" s="449"/>
      <c r="O323" s="533"/>
      <c r="P323" s="533"/>
      <c r="Q323" s="533"/>
      <c r="R323" s="533"/>
      <c r="S323" s="449"/>
      <c r="T323" s="418"/>
      <c r="U323" s="418"/>
      <c r="V323" s="418"/>
      <c r="W323" s="418"/>
      <c r="X323" s="418"/>
      <c r="Y323" s="418"/>
      <c r="Z323" s="418"/>
      <c r="AA323" s="418"/>
      <c r="AB323" s="418"/>
    </row>
    <row r="324" spans="1:28" s="454" customFormat="1" collapsed="1">
      <c r="B324" s="450" t="s">
        <v>314</v>
      </c>
      <c r="C324" s="451"/>
      <c r="D324" s="476"/>
      <c r="E324" s="477"/>
      <c r="F324" s="477"/>
      <c r="G324" s="477"/>
      <c r="H324" s="477"/>
      <c r="I324" s="451"/>
      <c r="J324" s="477"/>
      <c r="K324" s="477"/>
      <c r="L324" s="477"/>
      <c r="M324" s="477"/>
      <c r="N324" s="451"/>
      <c r="O324" s="477"/>
      <c r="P324" s="477"/>
      <c r="Q324" s="477"/>
      <c r="R324" s="477"/>
      <c r="S324" s="451"/>
      <c r="T324" s="451"/>
      <c r="U324" s="451"/>
      <c r="V324" s="451">
        <f t="shared" ref="V324:AB325" si="446">V300</f>
        <v>0</v>
      </c>
      <c r="W324" s="451">
        <f t="shared" si="446"/>
        <v>0</v>
      </c>
      <c r="X324" s="451">
        <f t="shared" si="446"/>
        <v>0</v>
      </c>
      <c r="Y324" s="451">
        <f t="shared" si="446"/>
        <v>0</v>
      </c>
      <c r="Z324" s="451">
        <f t="shared" si="446"/>
        <v>0</v>
      </c>
      <c r="AA324" s="451">
        <f t="shared" si="446"/>
        <v>0</v>
      </c>
      <c r="AB324" s="451">
        <f t="shared" si="446"/>
        <v>0</v>
      </c>
    </row>
    <row r="325" spans="1:28">
      <c r="B325" s="405" t="s">
        <v>315</v>
      </c>
      <c r="C325" s="395"/>
      <c r="D325" s="478"/>
      <c r="E325" s="479"/>
      <c r="F325" s="479"/>
      <c r="G325" s="479"/>
      <c r="H325" s="479"/>
      <c r="I325" s="447"/>
      <c r="J325" s="479"/>
      <c r="K325" s="479"/>
      <c r="L325" s="479"/>
      <c r="M325" s="479"/>
      <c r="N325" s="447"/>
      <c r="O325" s="479"/>
      <c r="P325" s="479"/>
      <c r="Q325" s="479"/>
      <c r="R325" s="479"/>
      <c r="S325" s="447"/>
      <c r="T325" s="447"/>
      <c r="U325" s="447"/>
      <c r="V325" s="447">
        <f t="shared" si="446"/>
        <v>0.85</v>
      </c>
      <c r="W325" s="447">
        <f t="shared" si="446"/>
        <v>0.85</v>
      </c>
      <c r="X325" s="447">
        <f t="shared" si="446"/>
        <v>0.85</v>
      </c>
      <c r="Y325" s="447">
        <f t="shared" si="446"/>
        <v>0.85</v>
      </c>
      <c r="Z325" s="447">
        <f t="shared" si="446"/>
        <v>0.85</v>
      </c>
      <c r="AA325" s="447">
        <f t="shared" si="446"/>
        <v>0.85</v>
      </c>
      <c r="AB325" s="447">
        <f t="shared" si="446"/>
        <v>0.85</v>
      </c>
    </row>
    <row r="326" spans="1:28" s="427" customFormat="1">
      <c r="B326" s="465"/>
      <c r="C326" s="466"/>
      <c r="D326" s="466"/>
      <c r="E326" s="467"/>
      <c r="F326" s="467"/>
      <c r="G326" s="467"/>
      <c r="H326" s="467"/>
      <c r="I326" s="468"/>
      <c r="J326" s="467"/>
      <c r="K326" s="467"/>
      <c r="L326" s="467"/>
      <c r="M326" s="467"/>
      <c r="N326" s="468"/>
      <c r="O326" s="467"/>
      <c r="P326" s="467"/>
      <c r="Q326" s="467"/>
      <c r="R326" s="467"/>
      <c r="S326" s="468"/>
      <c r="T326" s="468"/>
      <c r="U326" s="468"/>
      <c r="V326" s="468"/>
      <c r="W326" s="468"/>
      <c r="X326" s="468"/>
      <c r="Y326" s="468"/>
      <c r="Z326" s="468"/>
      <c r="AA326" s="468"/>
      <c r="AB326" s="468"/>
    </row>
    <row r="327" spans="1:28">
      <c r="B327" s="461" t="s">
        <v>419</v>
      </c>
      <c r="C327" s="462"/>
      <c r="D327" s="463"/>
      <c r="E327" s="464"/>
      <c r="F327" s="464"/>
      <c r="G327" s="464"/>
      <c r="H327" s="464"/>
      <c r="I327" s="463"/>
      <c r="J327" s="464"/>
      <c r="K327" s="464"/>
      <c r="L327" s="464"/>
      <c r="M327" s="464"/>
      <c r="N327" s="463"/>
      <c r="O327" s="464"/>
      <c r="P327" s="464"/>
      <c r="Q327" s="464"/>
      <c r="R327" s="464"/>
      <c r="S327" s="463"/>
      <c r="T327" s="463"/>
      <c r="U327" s="463"/>
      <c r="V327" s="463">
        <f t="shared" ref="V327:AA327" si="447">V325*(1-V324)*V310*V321*V203</f>
        <v>4.1993000580984949</v>
      </c>
      <c r="W327" s="463">
        <f t="shared" si="447"/>
        <v>20.699959368114747</v>
      </c>
      <c r="X327" s="463">
        <f t="shared" si="447"/>
        <v>25.509508246216349</v>
      </c>
      <c r="Y327" s="463">
        <f t="shared" si="447"/>
        <v>30.179074239512566</v>
      </c>
      <c r="Z327" s="463">
        <f t="shared" si="447"/>
        <v>34.711652046577271</v>
      </c>
      <c r="AA327" s="463">
        <f t="shared" si="447"/>
        <v>34.221407235645245</v>
      </c>
      <c r="AB327" s="463">
        <f>AB325*(1-AB324)*AB310*AB321*AB203</f>
        <v>31.328223014923427</v>
      </c>
    </row>
    <row r="328" spans="1:28" s="427" customFormat="1">
      <c r="B328" s="465" t="s">
        <v>316</v>
      </c>
      <c r="C328" s="466"/>
      <c r="D328" s="466"/>
      <c r="E328" s="467"/>
      <c r="F328" s="467"/>
      <c r="G328" s="467"/>
      <c r="H328" s="467"/>
      <c r="I328" s="468"/>
      <c r="J328" s="467"/>
      <c r="K328" s="467"/>
      <c r="L328" s="467"/>
      <c r="M328" s="467"/>
      <c r="N328" s="468"/>
      <c r="O328" s="467"/>
      <c r="P328" s="467"/>
      <c r="Q328" s="467"/>
      <c r="R328" s="467"/>
      <c r="S328" s="468"/>
      <c r="T328" s="468"/>
      <c r="U328" s="468"/>
      <c r="V328" s="468"/>
      <c r="W328" s="468"/>
      <c r="X328" s="468"/>
      <c r="Y328" s="468"/>
      <c r="Z328" s="468"/>
      <c r="AA328" s="468"/>
      <c r="AB328" s="468"/>
    </row>
    <row r="329" spans="1:28" s="427" customFormat="1">
      <c r="B329" s="465"/>
      <c r="C329" s="466"/>
      <c r="D329" s="466"/>
      <c r="E329" s="467"/>
      <c r="F329" s="467"/>
      <c r="G329" s="467"/>
      <c r="H329" s="467"/>
      <c r="I329" s="468"/>
      <c r="J329" s="467"/>
      <c r="K329" s="467"/>
      <c r="L329" s="467"/>
      <c r="M329" s="467"/>
      <c r="N329" s="468"/>
      <c r="O329" s="467"/>
      <c r="P329" s="467"/>
      <c r="Q329" s="467"/>
      <c r="R329" s="467"/>
      <c r="S329" s="468"/>
      <c r="T329" s="468"/>
      <c r="U329" s="468"/>
      <c r="V329" s="468"/>
      <c r="W329" s="468"/>
      <c r="X329" s="468"/>
      <c r="Y329" s="468"/>
      <c r="Z329" s="468"/>
      <c r="AA329" s="468"/>
      <c r="AB329" s="468"/>
    </row>
    <row r="330" spans="1:28">
      <c r="B330" s="461" t="s">
        <v>417</v>
      </c>
      <c r="C330" s="462"/>
      <c r="D330" s="463">
        <f>D327*0.5</f>
        <v>0</v>
      </c>
      <c r="E330" s="464"/>
      <c r="F330" s="464"/>
      <c r="G330" s="464"/>
      <c r="H330" s="464"/>
      <c r="I330" s="463"/>
      <c r="J330" s="464"/>
      <c r="K330" s="464"/>
      <c r="L330" s="464"/>
      <c r="M330" s="464"/>
      <c r="N330" s="463"/>
      <c r="O330" s="464"/>
      <c r="P330" s="464"/>
      <c r="Q330" s="464"/>
      <c r="R330" s="464"/>
      <c r="S330" s="463"/>
      <c r="T330" s="463"/>
      <c r="U330" s="463"/>
      <c r="V330" s="463">
        <f t="shared" ref="V330:AB330" si="448">V327*0.8</f>
        <v>3.3594400464787961</v>
      </c>
      <c r="W330" s="463">
        <f t="shared" si="448"/>
        <v>16.559967494491797</v>
      </c>
      <c r="X330" s="463">
        <f t="shared" si="448"/>
        <v>20.407606596973082</v>
      </c>
      <c r="Y330" s="463">
        <f t="shared" si="448"/>
        <v>24.143259391610055</v>
      </c>
      <c r="Z330" s="463">
        <f t="shared" si="448"/>
        <v>27.769321637261818</v>
      </c>
      <c r="AA330" s="463">
        <f t="shared" si="448"/>
        <v>27.377125788516196</v>
      </c>
      <c r="AB330" s="463">
        <f t="shared" si="448"/>
        <v>25.062578411938745</v>
      </c>
    </row>
    <row r="331" spans="1:28">
      <c r="B331" s="590"/>
      <c r="C331" s="591"/>
      <c r="D331" s="517"/>
      <c r="E331" s="518"/>
      <c r="F331" s="518"/>
      <c r="G331" s="518"/>
      <c r="H331" s="518"/>
      <c r="I331" s="517"/>
      <c r="J331" s="518"/>
      <c r="K331" s="518"/>
      <c r="L331" s="518"/>
      <c r="M331" s="518"/>
      <c r="N331" s="517"/>
      <c r="O331" s="518"/>
      <c r="P331" s="518"/>
      <c r="Q331" s="518"/>
      <c r="R331" s="518"/>
      <c r="S331" s="517"/>
      <c r="T331" s="517"/>
      <c r="U331" s="517"/>
      <c r="V331" s="517"/>
      <c r="W331" s="517"/>
      <c r="X331" s="517"/>
      <c r="Y331" s="517"/>
      <c r="Z331" s="517"/>
      <c r="AA331" s="517"/>
      <c r="AB331" s="517"/>
    </row>
    <row r="332" spans="1:28">
      <c r="B332" s="423" t="s">
        <v>410</v>
      </c>
      <c r="C332" s="424"/>
      <c r="D332" s="424"/>
      <c r="E332" s="425"/>
      <c r="F332" s="425"/>
      <c r="G332" s="425"/>
      <c r="H332" s="425"/>
      <c r="I332" s="426"/>
      <c r="J332" s="425"/>
      <c r="K332" s="425"/>
      <c r="L332" s="425"/>
      <c r="M332" s="425"/>
      <c r="N332" s="426"/>
      <c r="O332" s="425"/>
      <c r="P332" s="425"/>
      <c r="Q332" s="425"/>
      <c r="R332" s="425"/>
      <c r="S332" s="426"/>
      <c r="T332" s="426"/>
      <c r="U332" s="426"/>
      <c r="V332" s="426"/>
      <c r="W332" s="426"/>
      <c r="X332" s="426"/>
      <c r="Y332" s="426"/>
      <c r="Z332" s="426"/>
      <c r="AA332" s="426"/>
      <c r="AB332" s="426"/>
    </row>
    <row r="333" spans="1:28" s="427" customFormat="1" hidden="1" outlineLevel="1">
      <c r="A333" s="427" t="s">
        <v>319</v>
      </c>
      <c r="B333" s="534" t="s">
        <v>64</v>
      </c>
      <c r="C333" s="535"/>
      <c r="D333" s="536">
        <v>0</v>
      </c>
      <c r="E333" s="536"/>
      <c r="F333" s="536"/>
      <c r="G333" s="536"/>
      <c r="H333" s="536"/>
      <c r="I333" s="537">
        <v>0</v>
      </c>
      <c r="J333" s="536"/>
      <c r="K333" s="536"/>
      <c r="L333" s="536"/>
      <c r="M333" s="536"/>
      <c r="N333" s="537">
        <v>0</v>
      </c>
      <c r="O333" s="536"/>
      <c r="P333" s="536"/>
      <c r="Q333" s="536"/>
      <c r="R333" s="536"/>
      <c r="S333" s="537">
        <v>0</v>
      </c>
      <c r="T333" s="536">
        <v>0</v>
      </c>
      <c r="U333" s="536">
        <v>0</v>
      </c>
      <c r="V333" s="536">
        <f t="shared" ref="V333:AB333" si="449">V257*0.25</f>
        <v>2.7562499999999997E-2</v>
      </c>
      <c r="W333" s="536">
        <f t="shared" si="449"/>
        <v>6.7500000000000004E-2</v>
      </c>
      <c r="X333" s="536">
        <f t="shared" si="449"/>
        <v>9.5625000000000002E-2</v>
      </c>
      <c r="Y333" s="536">
        <f t="shared" si="449"/>
        <v>0.10125000000000001</v>
      </c>
      <c r="Z333" s="536">
        <f t="shared" si="449"/>
        <v>0.10125000000000001</v>
      </c>
      <c r="AA333" s="536">
        <f t="shared" si="449"/>
        <v>0.10125000000000001</v>
      </c>
      <c r="AB333" s="536">
        <f t="shared" si="449"/>
        <v>0.10125000000000001</v>
      </c>
    </row>
    <row r="334" spans="1:28" s="427" customFormat="1" hidden="1" outlineLevel="1">
      <c r="B334" s="534" t="s">
        <v>65</v>
      </c>
      <c r="C334" s="535"/>
      <c r="D334" s="536">
        <v>0</v>
      </c>
      <c r="E334" s="536"/>
      <c r="F334" s="536"/>
      <c r="G334" s="536"/>
      <c r="H334" s="536"/>
      <c r="I334" s="537">
        <v>0</v>
      </c>
      <c r="J334" s="536"/>
      <c r="K334" s="536"/>
      <c r="L334" s="536"/>
      <c r="M334" s="536"/>
      <c r="N334" s="537">
        <v>0</v>
      </c>
      <c r="O334" s="536"/>
      <c r="P334" s="536"/>
      <c r="Q334" s="536"/>
      <c r="R334" s="536"/>
      <c r="S334" s="537">
        <v>0</v>
      </c>
      <c r="T334" s="536">
        <v>0</v>
      </c>
      <c r="U334" s="536">
        <v>0</v>
      </c>
      <c r="V334" s="536">
        <f t="shared" ref="V334:W334" si="450">V258/3</f>
        <v>9.0000000000000011E-3</v>
      </c>
      <c r="W334" s="536">
        <f t="shared" si="450"/>
        <v>4.5000000000000005E-2</v>
      </c>
      <c r="X334" s="536">
        <f>X258*0.25</f>
        <v>5.6250000000000001E-2</v>
      </c>
      <c r="Y334" s="536">
        <f>Y258*0.25</f>
        <v>6.7500000000000004E-2</v>
      </c>
      <c r="Z334" s="536">
        <f>Z258*0.25</f>
        <v>7.8750000000000001E-2</v>
      </c>
      <c r="AA334" s="536">
        <f>AA258*0.25</f>
        <v>7.8750000000000001E-2</v>
      </c>
      <c r="AB334" s="536">
        <f>AB258*0.25</f>
        <v>7.3125000000000009E-2</v>
      </c>
    </row>
    <row r="335" spans="1:28" s="427" customFormat="1" hidden="1" outlineLevel="1">
      <c r="B335" s="534" t="s">
        <v>66</v>
      </c>
      <c r="C335" s="535"/>
      <c r="D335" s="536">
        <v>0</v>
      </c>
      <c r="E335" s="536"/>
      <c r="F335" s="536"/>
      <c r="G335" s="536"/>
      <c r="H335" s="536"/>
      <c r="I335" s="537">
        <v>0</v>
      </c>
      <c r="J335" s="536"/>
      <c r="K335" s="536"/>
      <c r="L335" s="536"/>
      <c r="M335" s="536"/>
      <c r="N335" s="537">
        <v>0</v>
      </c>
      <c r="O335" s="536"/>
      <c r="P335" s="536"/>
      <c r="Q335" s="536"/>
      <c r="R335" s="536"/>
      <c r="S335" s="537">
        <v>0</v>
      </c>
      <c r="T335" s="536">
        <v>0</v>
      </c>
      <c r="U335" s="536">
        <v>0</v>
      </c>
      <c r="V335" s="536">
        <v>0</v>
      </c>
      <c r="W335" s="536">
        <v>0</v>
      </c>
      <c r="X335" s="536">
        <v>0</v>
      </c>
      <c r="Y335" s="536">
        <v>0</v>
      </c>
      <c r="Z335" s="536">
        <v>0</v>
      </c>
      <c r="AA335" s="536">
        <v>0</v>
      </c>
      <c r="AB335" s="536">
        <v>0</v>
      </c>
    </row>
    <row r="336" spans="1:28" s="427" customFormat="1" collapsed="1">
      <c r="A336" s="428" t="s">
        <v>313</v>
      </c>
      <c r="B336" s="538" t="s">
        <v>318</v>
      </c>
      <c r="C336" s="539"/>
      <c r="D336" s="540">
        <f>CHOOSE($N$2,D333,D334,D335)</f>
        <v>0</v>
      </c>
      <c r="E336" s="541"/>
      <c r="F336" s="541"/>
      <c r="G336" s="541"/>
      <c r="H336" s="541"/>
      <c r="I336" s="540">
        <f>CHOOSE($N$2,I333,I334,I335)</f>
        <v>0</v>
      </c>
      <c r="J336" s="541"/>
      <c r="K336" s="541"/>
      <c r="L336" s="541"/>
      <c r="M336" s="541"/>
      <c r="N336" s="540">
        <f>CHOOSE($N$2,N333,N334,N335)</f>
        <v>0</v>
      </c>
      <c r="O336" s="541"/>
      <c r="P336" s="541"/>
      <c r="Q336" s="541"/>
      <c r="R336" s="541"/>
      <c r="S336" s="540">
        <f t="shared" ref="S336:AB336" si="451">CHOOSE($N$2,S333,S334,S335)</f>
        <v>0</v>
      </c>
      <c r="T336" s="540">
        <f t="shared" si="451"/>
        <v>0</v>
      </c>
      <c r="U336" s="540">
        <f t="shared" si="451"/>
        <v>0</v>
      </c>
      <c r="V336" s="540">
        <f t="shared" si="451"/>
        <v>9.0000000000000011E-3</v>
      </c>
      <c r="W336" s="540">
        <f t="shared" si="451"/>
        <v>4.5000000000000005E-2</v>
      </c>
      <c r="X336" s="540">
        <f t="shared" si="451"/>
        <v>5.6250000000000001E-2</v>
      </c>
      <c r="Y336" s="540">
        <f t="shared" si="451"/>
        <v>6.7500000000000004E-2</v>
      </c>
      <c r="Z336" s="540">
        <f t="shared" si="451"/>
        <v>7.8750000000000001E-2</v>
      </c>
      <c r="AA336" s="540">
        <f t="shared" si="451"/>
        <v>7.8750000000000001E-2</v>
      </c>
      <c r="AB336" s="540">
        <f t="shared" si="451"/>
        <v>7.3125000000000009E-2</v>
      </c>
    </row>
    <row r="337" spans="2:30">
      <c r="B337" s="405"/>
      <c r="C337" s="395"/>
      <c r="D337" s="395"/>
      <c r="E337" s="429"/>
      <c r="F337" s="429"/>
      <c r="G337" s="429"/>
      <c r="H337" s="429"/>
      <c r="I337" s="418"/>
      <c r="J337" s="429"/>
      <c r="K337" s="429"/>
      <c r="L337" s="429"/>
      <c r="M337" s="429"/>
      <c r="N337" s="418"/>
      <c r="O337" s="429"/>
      <c r="P337" s="429"/>
      <c r="Q337" s="429"/>
      <c r="R337" s="429"/>
      <c r="S337" s="418"/>
      <c r="T337" s="418"/>
      <c r="U337" s="418"/>
      <c r="V337" s="418"/>
      <c r="W337" s="418"/>
      <c r="X337" s="418"/>
      <c r="Y337" s="418"/>
      <c r="Z337" s="418"/>
      <c r="AA337" s="418"/>
      <c r="AB337" s="418"/>
    </row>
    <row r="338" spans="2:30" hidden="1" outlineLevel="1">
      <c r="B338" s="405" t="s">
        <v>365</v>
      </c>
      <c r="C338" s="395"/>
      <c r="D338" s="395"/>
      <c r="E338" s="429"/>
      <c r="F338" s="429"/>
      <c r="G338" s="429"/>
      <c r="H338" s="430"/>
      <c r="I338" s="431"/>
      <c r="J338" s="430"/>
      <c r="K338" s="430"/>
      <c r="L338" s="430"/>
      <c r="M338" s="430"/>
      <c r="N338" s="431"/>
      <c r="O338" s="430"/>
      <c r="P338" s="430"/>
      <c r="Q338" s="430"/>
      <c r="R338" s="430"/>
      <c r="S338" s="431"/>
      <c r="T338" s="418"/>
      <c r="U338" s="418"/>
      <c r="V338" s="418"/>
      <c r="W338" s="418"/>
      <c r="X338" s="418"/>
      <c r="Y338" s="418"/>
      <c r="Z338" s="418"/>
      <c r="AA338" s="418"/>
      <c r="AB338" s="418"/>
    </row>
    <row r="339" spans="2:30" hidden="1" outlineLevel="1">
      <c r="B339" s="405" t="s">
        <v>364</v>
      </c>
      <c r="C339" s="395"/>
      <c r="D339" s="395"/>
      <c r="E339" s="429"/>
      <c r="F339" s="429"/>
      <c r="G339" s="429"/>
      <c r="H339" s="430"/>
      <c r="I339" s="431"/>
      <c r="J339" s="430"/>
      <c r="K339" s="430"/>
      <c r="L339" s="430"/>
      <c r="M339" s="430"/>
      <c r="N339" s="431"/>
      <c r="O339" s="430"/>
      <c r="P339" s="430"/>
      <c r="Q339" s="430"/>
      <c r="R339" s="430"/>
      <c r="S339" s="431"/>
      <c r="T339" s="418"/>
      <c r="U339" s="418"/>
      <c r="V339" s="418"/>
      <c r="W339" s="418"/>
      <c r="X339" s="418"/>
      <c r="Y339" s="418"/>
      <c r="Z339" s="418"/>
      <c r="AA339" s="418"/>
      <c r="AB339" s="418"/>
    </row>
    <row r="340" spans="2:30" collapsed="1">
      <c r="B340" s="405" t="s">
        <v>366</v>
      </c>
      <c r="C340" s="395"/>
      <c r="D340" s="395"/>
      <c r="E340" s="429"/>
      <c r="F340" s="429"/>
      <c r="G340" s="429"/>
      <c r="H340" s="430"/>
      <c r="I340" s="431"/>
      <c r="J340" s="430"/>
      <c r="K340" s="430"/>
      <c r="L340" s="430"/>
      <c r="M340" s="430"/>
      <c r="N340" s="431"/>
      <c r="O340" s="430"/>
      <c r="P340" s="430"/>
      <c r="Q340" s="430"/>
      <c r="R340" s="430"/>
      <c r="S340" s="431"/>
      <c r="T340" s="530"/>
      <c r="U340" s="530"/>
      <c r="V340" s="530">
        <f>V204*V336*1000</f>
        <v>9.227386537688993</v>
      </c>
      <c r="W340" s="530">
        <f t="shared" ref="W340:AB340" si="452">W204*W336*1000</f>
        <v>46.644438948017857</v>
      </c>
      <c r="X340" s="530">
        <f t="shared" si="452"/>
        <v>58.946909720557549</v>
      </c>
      <c r="Y340" s="530">
        <f t="shared" si="452"/>
        <v>71.514390872980414</v>
      </c>
      <c r="Z340" s="530">
        <f t="shared" si="452"/>
        <v>84.351224034680385</v>
      </c>
      <c r="AA340" s="530">
        <f t="shared" si="452"/>
        <v>85.279087499061859</v>
      </c>
      <c r="AB340" s="530">
        <f t="shared" si="452"/>
        <v>80.058789071440714</v>
      </c>
    </row>
    <row r="341" spans="2:30">
      <c r="B341" s="405"/>
      <c r="C341" s="395"/>
      <c r="D341" s="395"/>
      <c r="E341" s="429"/>
      <c r="F341" s="429"/>
      <c r="G341" s="429"/>
      <c r="H341" s="429"/>
      <c r="I341" s="418"/>
      <c r="J341" s="429"/>
      <c r="K341" s="429"/>
      <c r="L341" s="429"/>
      <c r="M341" s="429"/>
      <c r="N341" s="418"/>
      <c r="O341" s="429"/>
      <c r="P341" s="429"/>
      <c r="Q341" s="429"/>
      <c r="R341" s="429"/>
      <c r="S341" s="418"/>
      <c r="T341" s="418"/>
      <c r="U341" s="418"/>
      <c r="V341" s="418"/>
      <c r="W341" s="418"/>
      <c r="X341" s="418"/>
      <c r="Y341" s="418"/>
      <c r="Z341" s="418"/>
      <c r="AA341" s="418"/>
      <c r="AB341" s="418"/>
    </row>
    <row r="342" spans="2:30">
      <c r="B342" s="405" t="s">
        <v>321</v>
      </c>
      <c r="C342" s="395"/>
      <c r="D342" s="469"/>
      <c r="E342" s="470"/>
      <c r="F342" s="470"/>
      <c r="G342" s="470"/>
      <c r="H342" s="470"/>
      <c r="I342" s="471"/>
      <c r="J342" s="470"/>
      <c r="K342" s="470"/>
      <c r="L342" s="470"/>
      <c r="M342" s="470"/>
      <c r="N342" s="471"/>
      <c r="O342" s="470"/>
      <c r="P342" s="470"/>
      <c r="Q342" s="470"/>
      <c r="R342" s="470"/>
      <c r="S342" s="471"/>
      <c r="T342" s="471"/>
      <c r="U342" s="471"/>
      <c r="V342" s="471">
        <f>V316</f>
        <v>43.584750000000007</v>
      </c>
      <c r="W342" s="471">
        <f t="shared" ref="W342" si="453">V342*0.99</f>
        <v>43.148902500000005</v>
      </c>
      <c r="X342" s="471">
        <f t="shared" ref="X342" si="454">W342*0.99</f>
        <v>42.717413475000008</v>
      </c>
      <c r="Y342" s="471">
        <f t="shared" ref="Y342" si="455">X342*0.99</f>
        <v>42.290239340250004</v>
      </c>
      <c r="Z342" s="471">
        <f t="shared" ref="Z342" si="456">Y342*0.99</f>
        <v>41.867336946847502</v>
      </c>
      <c r="AA342" s="471">
        <f t="shared" ref="AA342" si="457">Z342*0.99</f>
        <v>41.44866357737903</v>
      </c>
      <c r="AB342" s="471">
        <f t="shared" ref="AB342" si="458">AA342*0.99</f>
        <v>41.034176941605239</v>
      </c>
    </row>
    <row r="343" spans="2:30">
      <c r="B343" s="405"/>
      <c r="C343" s="395"/>
      <c r="D343" s="395"/>
      <c r="E343" s="429"/>
      <c r="F343" s="429"/>
      <c r="G343" s="429"/>
      <c r="H343" s="429"/>
      <c r="I343" s="418"/>
      <c r="J343" s="429"/>
      <c r="K343" s="429"/>
      <c r="L343" s="429"/>
      <c r="M343" s="429"/>
      <c r="N343" s="480"/>
      <c r="O343" s="429"/>
      <c r="P343" s="429"/>
      <c r="Q343" s="429"/>
      <c r="R343" s="429"/>
      <c r="S343" s="418"/>
      <c r="T343" s="418"/>
      <c r="U343" s="418"/>
      <c r="V343" s="418"/>
      <c r="W343" s="418"/>
      <c r="X343" s="418"/>
      <c r="Y343" s="418"/>
      <c r="Z343" s="418"/>
      <c r="AA343" s="418"/>
      <c r="AB343" s="418"/>
    </row>
    <row r="344" spans="2:30">
      <c r="B344" s="405" t="s">
        <v>322</v>
      </c>
      <c r="C344" s="395"/>
      <c r="D344" s="437"/>
      <c r="E344" s="472"/>
      <c r="F344" s="472"/>
      <c r="G344" s="472"/>
      <c r="H344" s="472"/>
      <c r="I344" s="473"/>
      <c r="J344" s="472"/>
      <c r="K344" s="472"/>
      <c r="L344" s="472"/>
      <c r="M344" s="472"/>
      <c r="N344" s="473"/>
      <c r="O344" s="472"/>
      <c r="P344" s="472"/>
      <c r="Q344" s="472"/>
      <c r="R344" s="472"/>
      <c r="S344" s="473"/>
      <c r="T344" s="473"/>
      <c r="U344" s="473"/>
      <c r="V344" s="444">
        <f t="shared" ref="V344:AA344" si="459">V318</f>
        <v>236.23343539325839</v>
      </c>
      <c r="W344" s="444">
        <f t="shared" si="459"/>
        <v>232.68993386235951</v>
      </c>
      <c r="X344" s="444">
        <f t="shared" si="459"/>
        <v>229.1995848544241</v>
      </c>
      <c r="Y344" s="444">
        <f t="shared" si="459"/>
        <v>225.76159108160775</v>
      </c>
      <c r="Z344" s="444">
        <f t="shared" si="459"/>
        <v>222.37516721538364</v>
      </c>
      <c r="AA344" s="444">
        <f t="shared" si="459"/>
        <v>219.0395397071529</v>
      </c>
      <c r="AB344" s="444">
        <f>AB318</f>
        <v>215.75394661154562</v>
      </c>
      <c r="AC344" s="439"/>
      <c r="AD344" s="439"/>
    </row>
    <row r="345" spans="2:30" s="414" customFormat="1">
      <c r="B345" s="409" t="s">
        <v>312</v>
      </c>
      <c r="C345" s="410"/>
      <c r="D345" s="440"/>
      <c r="E345" s="441"/>
      <c r="F345" s="441"/>
      <c r="G345" s="441"/>
      <c r="H345" s="441"/>
      <c r="I345" s="413"/>
      <c r="J345" s="441"/>
      <c r="K345" s="441"/>
      <c r="L345" s="441"/>
      <c r="M345" s="441"/>
      <c r="N345" s="413"/>
      <c r="O345" s="441"/>
      <c r="P345" s="441"/>
      <c r="Q345" s="441"/>
      <c r="R345" s="441"/>
      <c r="S345" s="413"/>
      <c r="T345" s="413"/>
      <c r="U345" s="413"/>
      <c r="V345" s="413"/>
      <c r="W345" s="413">
        <f t="shared" ref="W345" si="460">W344/V344-1</f>
        <v>-1.5000000000000013E-2</v>
      </c>
      <c r="X345" s="413">
        <f t="shared" ref="X345" si="461">X344/W344-1</f>
        <v>-1.5000000000000013E-2</v>
      </c>
      <c r="Y345" s="413">
        <f t="shared" ref="Y345" si="462">Y344/X344-1</f>
        <v>-1.5000000000000013E-2</v>
      </c>
      <c r="Z345" s="413">
        <f t="shared" ref="Z345" si="463">Z344/Y344-1</f>
        <v>-1.4999999999999902E-2</v>
      </c>
      <c r="AA345" s="413">
        <f t="shared" ref="AA345" si="464">AA344/Z344-1</f>
        <v>-1.4999999999999902E-2</v>
      </c>
      <c r="AB345" s="413">
        <f t="shared" ref="AB345" si="465">AB344/AA344-1</f>
        <v>-1.4999999999999902E-2</v>
      </c>
    </row>
    <row r="346" spans="2:30" s="427" customFormat="1">
      <c r="B346" s="465"/>
      <c r="C346" s="466"/>
      <c r="D346" s="466"/>
      <c r="E346" s="467"/>
      <c r="F346" s="467"/>
      <c r="G346" s="467"/>
      <c r="H346" s="467"/>
      <c r="I346" s="468"/>
      <c r="J346" s="467"/>
      <c r="K346" s="467"/>
      <c r="L346" s="467"/>
      <c r="M346" s="467"/>
      <c r="N346" s="468"/>
      <c r="O346" s="467"/>
      <c r="P346" s="467"/>
      <c r="Q346" s="467"/>
      <c r="R346" s="467"/>
      <c r="S346" s="468"/>
      <c r="T346" s="468"/>
      <c r="U346" s="468"/>
      <c r="V346" s="468"/>
      <c r="W346" s="468"/>
      <c r="X346" s="468"/>
      <c r="Y346" s="468"/>
      <c r="Z346" s="468"/>
      <c r="AA346" s="468"/>
      <c r="AB346" s="468"/>
    </row>
    <row r="347" spans="2:30">
      <c r="B347" s="405" t="s">
        <v>403</v>
      </c>
      <c r="C347" s="395"/>
      <c r="D347" s="474"/>
      <c r="E347" s="475"/>
      <c r="F347" s="475"/>
      <c r="G347" s="475"/>
      <c r="H347" s="475"/>
      <c r="I347" s="444"/>
      <c r="J347" s="475"/>
      <c r="K347" s="475"/>
      <c r="L347" s="475"/>
      <c r="M347" s="475"/>
      <c r="N347" s="444"/>
      <c r="O347" s="475"/>
      <c r="P347" s="475"/>
      <c r="Q347" s="475"/>
      <c r="R347" s="475"/>
      <c r="S347" s="444"/>
      <c r="T347" s="444"/>
      <c r="U347" s="444"/>
      <c r="V347" s="444">
        <f t="shared" ref="V347:AA347" si="466">V344*V342*52/1000</f>
        <v>535.40111160932861</v>
      </c>
      <c r="W347" s="444">
        <f t="shared" si="466"/>
        <v>522.09639398583681</v>
      </c>
      <c r="X347" s="444">
        <f t="shared" si="466"/>
        <v>509.12229859528878</v>
      </c>
      <c r="Y347" s="444">
        <f t="shared" si="466"/>
        <v>496.47060947519583</v>
      </c>
      <c r="Z347" s="444">
        <f t="shared" si="466"/>
        <v>484.13331482973717</v>
      </c>
      <c r="AA347" s="444">
        <f t="shared" si="466"/>
        <v>472.10260195621822</v>
      </c>
      <c r="AB347" s="444">
        <f>AB344*AB342*52/1000</f>
        <v>460.37085229760623</v>
      </c>
    </row>
    <row r="348" spans="2:30">
      <c r="B348" s="405"/>
      <c r="C348" s="395"/>
      <c r="D348" s="395"/>
      <c r="E348" s="429"/>
      <c r="F348" s="429"/>
      <c r="G348" s="429"/>
      <c r="H348" s="429"/>
      <c r="I348" s="418"/>
      <c r="J348" s="429"/>
      <c r="K348" s="429"/>
      <c r="L348" s="429"/>
      <c r="M348" s="429"/>
      <c r="N348" s="418"/>
      <c r="O348" s="429"/>
      <c r="P348" s="429"/>
      <c r="Q348" s="429"/>
      <c r="R348" s="429"/>
      <c r="S348" s="418"/>
      <c r="T348" s="418"/>
      <c r="U348" s="418"/>
      <c r="V348" s="418"/>
      <c r="W348" s="418"/>
      <c r="X348" s="418"/>
      <c r="Y348" s="418"/>
      <c r="Z348" s="418"/>
      <c r="AA348" s="418"/>
      <c r="AB348" s="418"/>
    </row>
    <row r="349" spans="2:30" hidden="1" outlineLevel="1">
      <c r="B349" s="405" t="s">
        <v>367</v>
      </c>
      <c r="C349" s="395"/>
      <c r="D349" s="445"/>
      <c r="E349" s="446"/>
      <c r="F349" s="446"/>
      <c r="G349" s="446"/>
      <c r="H349" s="533"/>
      <c r="I349" s="449"/>
      <c r="J349" s="533"/>
      <c r="K349" s="533"/>
      <c r="L349" s="533"/>
      <c r="M349" s="533"/>
      <c r="N349" s="449"/>
      <c r="O349" s="533"/>
      <c r="P349" s="533"/>
      <c r="Q349" s="533"/>
      <c r="R349" s="533"/>
      <c r="S349" s="449"/>
      <c r="T349" s="418"/>
      <c r="U349" s="418"/>
      <c r="V349" s="418"/>
      <c r="W349" s="418"/>
      <c r="X349" s="418"/>
      <c r="Y349" s="418"/>
      <c r="Z349" s="418"/>
      <c r="AA349" s="418"/>
      <c r="AB349" s="418"/>
    </row>
    <row r="350" spans="2:30" s="454" customFormat="1" collapsed="1">
      <c r="B350" s="450" t="s">
        <v>314</v>
      </c>
      <c r="C350" s="451"/>
      <c r="D350" s="476"/>
      <c r="E350" s="477"/>
      <c r="F350" s="477"/>
      <c r="G350" s="477"/>
      <c r="H350" s="477"/>
      <c r="I350" s="451"/>
      <c r="J350" s="477"/>
      <c r="K350" s="477"/>
      <c r="L350" s="477"/>
      <c r="M350" s="477"/>
      <c r="N350" s="451"/>
      <c r="O350" s="477"/>
      <c r="P350" s="477"/>
      <c r="Q350" s="477"/>
      <c r="R350" s="477"/>
      <c r="S350" s="451"/>
      <c r="T350" s="451"/>
      <c r="U350" s="451"/>
      <c r="V350" s="451">
        <f t="shared" ref="V350:AB350" si="467">V326</f>
        <v>0</v>
      </c>
      <c r="W350" s="451">
        <f t="shared" si="467"/>
        <v>0</v>
      </c>
      <c r="X350" s="451">
        <f t="shared" si="467"/>
        <v>0</v>
      </c>
      <c r="Y350" s="451">
        <f t="shared" si="467"/>
        <v>0</v>
      </c>
      <c r="Z350" s="451">
        <f t="shared" si="467"/>
        <v>0</v>
      </c>
      <c r="AA350" s="451">
        <f t="shared" si="467"/>
        <v>0</v>
      </c>
      <c r="AB350" s="451">
        <f t="shared" si="467"/>
        <v>0</v>
      </c>
    </row>
    <row r="351" spans="2:30">
      <c r="B351" s="405" t="s">
        <v>315</v>
      </c>
      <c r="C351" s="395"/>
      <c r="D351" s="478"/>
      <c r="E351" s="479"/>
      <c r="F351" s="479"/>
      <c r="G351" s="479"/>
      <c r="H351" s="479"/>
      <c r="I351" s="447"/>
      <c r="J351" s="479"/>
      <c r="K351" s="479"/>
      <c r="L351" s="479"/>
      <c r="M351" s="479"/>
      <c r="N351" s="447"/>
      <c r="O351" s="479"/>
      <c r="P351" s="479"/>
      <c r="Q351" s="479"/>
      <c r="R351" s="479"/>
      <c r="S351" s="447"/>
      <c r="T351" s="447"/>
      <c r="U351" s="447"/>
      <c r="V351" s="447">
        <f>V325</f>
        <v>0.85</v>
      </c>
      <c r="W351" s="447">
        <f t="shared" ref="W351:AB351" si="468">W325</f>
        <v>0.85</v>
      </c>
      <c r="X351" s="447">
        <f t="shared" si="468"/>
        <v>0.85</v>
      </c>
      <c r="Y351" s="447">
        <f t="shared" si="468"/>
        <v>0.85</v>
      </c>
      <c r="Z351" s="447">
        <f t="shared" si="468"/>
        <v>0.85</v>
      </c>
      <c r="AA351" s="447">
        <f t="shared" si="468"/>
        <v>0.85</v>
      </c>
      <c r="AB351" s="447">
        <f t="shared" si="468"/>
        <v>0.85</v>
      </c>
    </row>
    <row r="352" spans="2:30" s="427" customFormat="1">
      <c r="B352" s="465"/>
      <c r="C352" s="466"/>
      <c r="D352" s="466"/>
      <c r="E352" s="467"/>
      <c r="F352" s="467"/>
      <c r="G352" s="467"/>
      <c r="H352" s="467"/>
      <c r="I352" s="468"/>
      <c r="J352" s="467"/>
      <c r="K352" s="467"/>
      <c r="L352" s="467"/>
      <c r="M352" s="467"/>
      <c r="N352" s="468"/>
      <c r="O352" s="467"/>
      <c r="P352" s="467"/>
      <c r="Q352" s="467"/>
      <c r="R352" s="467"/>
      <c r="S352" s="468"/>
      <c r="T352" s="468"/>
      <c r="U352" s="468"/>
      <c r="V352" s="468"/>
      <c r="W352" s="468"/>
      <c r="X352" s="468"/>
      <c r="Y352" s="468"/>
      <c r="Z352" s="468"/>
      <c r="AA352" s="468"/>
      <c r="AB352" s="468"/>
    </row>
    <row r="353" spans="2:28">
      <c r="B353" s="461" t="s">
        <v>414</v>
      </c>
      <c r="C353" s="462"/>
      <c r="D353" s="463"/>
      <c r="E353" s="464"/>
      <c r="F353" s="464"/>
      <c r="G353" s="464"/>
      <c r="H353" s="464"/>
      <c r="I353" s="463"/>
      <c r="J353" s="464"/>
      <c r="K353" s="464"/>
      <c r="L353" s="464"/>
      <c r="M353" s="464"/>
      <c r="N353" s="463"/>
      <c r="O353" s="464"/>
      <c r="P353" s="464"/>
      <c r="Q353" s="464"/>
      <c r="R353" s="464"/>
      <c r="S353" s="463"/>
      <c r="T353" s="463"/>
      <c r="U353" s="463"/>
      <c r="V353" s="463">
        <f t="shared" ref="V353:AB353" si="469">V351*(1-V350)*V336*V347*V204</f>
        <v>4.1993000580984949</v>
      </c>
      <c r="W353" s="463">
        <f t="shared" si="469"/>
        <v>20.699959368114747</v>
      </c>
      <c r="X353" s="463">
        <f t="shared" si="469"/>
        <v>25.509508246216349</v>
      </c>
      <c r="Y353" s="463">
        <f t="shared" si="469"/>
        <v>30.179074239512566</v>
      </c>
      <c r="Z353" s="463">
        <f t="shared" si="469"/>
        <v>34.711652046577271</v>
      </c>
      <c r="AA353" s="463">
        <f t="shared" si="469"/>
        <v>34.221407235645245</v>
      </c>
      <c r="AB353" s="463">
        <f t="shared" si="469"/>
        <v>31.328223014923427</v>
      </c>
    </row>
    <row r="354" spans="2:28" s="427" customFormat="1">
      <c r="B354" s="465" t="s">
        <v>316</v>
      </c>
      <c r="C354" s="466"/>
      <c r="D354" s="466"/>
      <c r="E354" s="467"/>
      <c r="F354" s="467"/>
      <c r="G354" s="467"/>
      <c r="H354" s="467"/>
      <c r="I354" s="468"/>
      <c r="J354" s="467"/>
      <c r="K354" s="467"/>
      <c r="L354" s="467"/>
      <c r="M354" s="467"/>
      <c r="N354" s="468"/>
      <c r="O354" s="467"/>
      <c r="P354" s="467"/>
      <c r="Q354" s="467"/>
      <c r="R354" s="467"/>
      <c r="S354" s="468"/>
      <c r="T354" s="468"/>
      <c r="U354" s="468"/>
      <c r="V354" s="468"/>
      <c r="W354" s="468"/>
      <c r="X354" s="468"/>
      <c r="Y354" s="468"/>
      <c r="Z354" s="468"/>
      <c r="AA354" s="468"/>
      <c r="AB354" s="468"/>
    </row>
    <row r="355" spans="2:28" s="427" customFormat="1">
      <c r="B355" s="465"/>
      <c r="C355" s="466"/>
      <c r="D355" s="466"/>
      <c r="E355" s="467"/>
      <c r="F355" s="467"/>
      <c r="G355" s="467"/>
      <c r="H355" s="467"/>
      <c r="I355" s="468"/>
      <c r="J355" s="467"/>
      <c r="K355" s="467"/>
      <c r="L355" s="467"/>
      <c r="M355" s="467"/>
      <c r="N355" s="468"/>
      <c r="O355" s="467"/>
      <c r="P355" s="467"/>
      <c r="Q355" s="467"/>
      <c r="R355" s="467"/>
      <c r="S355" s="468"/>
      <c r="T355" s="468"/>
      <c r="U355" s="468"/>
      <c r="V355" s="468"/>
      <c r="W355" s="468"/>
      <c r="X355" s="468"/>
      <c r="Y355" s="468"/>
      <c r="Z355" s="468"/>
      <c r="AA355" s="468"/>
      <c r="AB355" s="468"/>
    </row>
    <row r="356" spans="2:28">
      <c r="B356" s="461" t="s">
        <v>420</v>
      </c>
      <c r="C356" s="462"/>
      <c r="D356" s="463">
        <f>D353*0.5</f>
        <v>0</v>
      </c>
      <c r="E356" s="464"/>
      <c r="F356" s="464"/>
      <c r="G356" s="464"/>
      <c r="H356" s="464"/>
      <c r="I356" s="463"/>
      <c r="J356" s="464"/>
      <c r="K356" s="464"/>
      <c r="L356" s="464"/>
      <c r="M356" s="464"/>
      <c r="N356" s="463"/>
      <c r="O356" s="464"/>
      <c r="P356" s="464"/>
      <c r="Q356" s="464"/>
      <c r="R356" s="464"/>
      <c r="S356" s="463"/>
      <c r="T356" s="463"/>
      <c r="U356" s="463"/>
      <c r="V356" s="463">
        <f t="shared" ref="V356:AB356" si="470">V353*0.8</f>
        <v>3.3594400464787961</v>
      </c>
      <c r="W356" s="463">
        <f t="shared" si="470"/>
        <v>16.559967494491797</v>
      </c>
      <c r="X356" s="463">
        <f t="shared" si="470"/>
        <v>20.407606596973082</v>
      </c>
      <c r="Y356" s="463">
        <f t="shared" si="470"/>
        <v>24.143259391610055</v>
      </c>
      <c r="Z356" s="463">
        <f t="shared" si="470"/>
        <v>27.769321637261818</v>
      </c>
      <c r="AA356" s="463">
        <f t="shared" si="470"/>
        <v>27.377125788516196</v>
      </c>
      <c r="AB356" s="463">
        <f t="shared" si="470"/>
        <v>25.062578411938745</v>
      </c>
    </row>
    <row r="357" spans="2:28" ht="13.5" thickBot="1">
      <c r="B357" s="405"/>
      <c r="E357" s="481"/>
      <c r="F357" s="481"/>
      <c r="G357" s="481"/>
      <c r="H357" s="481"/>
      <c r="I357" s="482"/>
      <c r="J357" s="481"/>
      <c r="K357" s="481"/>
      <c r="L357" s="481"/>
      <c r="M357" s="481"/>
      <c r="N357" s="482"/>
      <c r="O357" s="481"/>
      <c r="P357" s="481"/>
      <c r="Q357" s="481"/>
      <c r="R357" s="481"/>
      <c r="S357" s="482"/>
      <c r="T357" s="482"/>
      <c r="U357" s="482"/>
      <c r="V357" s="482"/>
      <c r="W357" s="482"/>
      <c r="X357" s="482"/>
      <c r="Y357" s="482"/>
      <c r="Z357" s="482"/>
      <c r="AA357" s="482"/>
      <c r="AB357" s="483"/>
    </row>
    <row r="358" spans="2:28" ht="13.5" thickBot="1">
      <c r="B358" s="484" t="s">
        <v>345</v>
      </c>
      <c r="C358" s="485"/>
      <c r="D358" s="486">
        <f t="shared" ref="D358" si="471">D330+D303+D254+D227</f>
        <v>0</v>
      </c>
      <c r="E358" s="487"/>
      <c r="F358" s="487"/>
      <c r="G358" s="487"/>
      <c r="H358" s="487"/>
      <c r="I358" s="486">
        <f>I330+I303+I254+I227</f>
        <v>0</v>
      </c>
      <c r="J358" s="487"/>
      <c r="K358" s="487"/>
      <c r="L358" s="487"/>
      <c r="M358" s="487"/>
      <c r="N358" s="486">
        <f t="shared" ref="N358" si="472">N330+N303+N254+N227</f>
        <v>0</v>
      </c>
      <c r="O358" s="487"/>
      <c r="P358" s="487"/>
      <c r="Q358" s="487"/>
      <c r="R358" s="487"/>
      <c r="S358" s="486">
        <f t="shared" ref="S358:AA358" si="473">S330+S303+S254+S227+S356+S280</f>
        <v>15.33793821209529</v>
      </c>
      <c r="T358" s="486">
        <f t="shared" si="473"/>
        <v>63.810087799086119</v>
      </c>
      <c r="U358" s="486">
        <f t="shared" si="473"/>
        <v>139.41907301355269</v>
      </c>
      <c r="V358" s="486">
        <f t="shared" si="473"/>
        <v>225.85848589924996</v>
      </c>
      <c r="W358" s="486">
        <f t="shared" si="473"/>
        <v>331.57902157471648</v>
      </c>
      <c r="X358" s="486">
        <f t="shared" si="473"/>
        <v>375.72394734260052</v>
      </c>
      <c r="Y358" s="486">
        <f t="shared" si="473"/>
        <v>382.28176066202843</v>
      </c>
      <c r="Z358" s="486">
        <f t="shared" si="473"/>
        <v>388.78301293783034</v>
      </c>
      <c r="AA358" s="486">
        <f t="shared" si="473"/>
        <v>367.91717494426058</v>
      </c>
      <c r="AB358" s="488">
        <f>AB330+AB303+AB254+AB227+AB356+AB280</f>
        <v>334.05820337231432</v>
      </c>
    </row>
    <row r="359" spans="2:28">
      <c r="E359" s="481"/>
      <c r="F359" s="481"/>
      <c r="G359" s="481"/>
      <c r="H359" s="481"/>
      <c r="J359" s="481"/>
      <c r="K359" s="481"/>
      <c r="L359" s="481"/>
      <c r="M359" s="481"/>
      <c r="O359" s="481"/>
      <c r="P359" s="481"/>
      <c r="Q359" s="481"/>
      <c r="R359" s="481"/>
    </row>
    <row r="360" spans="2:28">
      <c r="E360" s="481"/>
      <c r="F360" s="481"/>
      <c r="G360" s="481"/>
      <c r="H360" s="481"/>
      <c r="J360" s="481"/>
      <c r="K360" s="481"/>
      <c r="L360" s="481"/>
      <c r="M360" s="481"/>
      <c r="O360" s="481"/>
      <c r="P360" s="481"/>
      <c r="Q360" s="481"/>
      <c r="R360" s="481"/>
    </row>
    <row r="361" spans="2:28">
      <c r="B361" s="405" t="s">
        <v>387</v>
      </c>
      <c r="D361" s="466"/>
      <c r="E361" s="467"/>
      <c r="F361" s="467"/>
      <c r="G361" s="467"/>
      <c r="H361" s="467"/>
      <c r="I361" s="468"/>
      <c r="J361" s="467"/>
      <c r="K361" s="467"/>
      <c r="L361" s="573"/>
      <c r="M361" s="573"/>
      <c r="N361" s="574"/>
      <c r="O361" s="573"/>
      <c r="P361" s="573"/>
      <c r="Q361" s="573"/>
      <c r="R361" s="573"/>
      <c r="S361" s="574"/>
      <c r="T361" s="574">
        <f t="shared" ref="T361:AB361" si="474">T358-T363</f>
        <v>5.1048070239268881</v>
      </c>
      <c r="U361" s="574">
        <f t="shared" si="474"/>
        <v>11.153525841084218</v>
      </c>
      <c r="V361" s="574">
        <f t="shared" si="474"/>
        <v>18.068678871939994</v>
      </c>
      <c r="W361" s="574">
        <f t="shared" si="474"/>
        <v>26.526321725977311</v>
      </c>
      <c r="X361" s="574">
        <f t="shared" si="474"/>
        <v>30.057915787408035</v>
      </c>
      <c r="Y361" s="574">
        <f t="shared" si="474"/>
        <v>19.114088033101439</v>
      </c>
      <c r="Z361" s="574">
        <f t="shared" si="474"/>
        <v>0</v>
      </c>
      <c r="AA361" s="574">
        <f t="shared" si="474"/>
        <v>0</v>
      </c>
      <c r="AB361" s="574">
        <f t="shared" si="474"/>
        <v>0</v>
      </c>
    </row>
    <row r="362" spans="2:28" ht="13.5" thickBot="1">
      <c r="B362" s="405"/>
      <c r="D362" s="466"/>
      <c r="E362" s="467"/>
      <c r="F362" s="467"/>
      <c r="G362" s="467"/>
      <c r="H362" s="467"/>
      <c r="I362" s="468"/>
      <c r="J362" s="467"/>
      <c r="K362" s="467"/>
      <c r="L362" s="467"/>
      <c r="M362" s="467"/>
      <c r="N362" s="468"/>
      <c r="O362" s="467"/>
      <c r="P362" s="467"/>
      <c r="Q362" s="467"/>
      <c r="R362" s="467"/>
      <c r="S362" s="468"/>
      <c r="T362" s="468"/>
      <c r="U362" s="468"/>
      <c r="V362" s="468"/>
      <c r="W362" s="468"/>
      <c r="X362" s="468"/>
      <c r="Y362" s="468"/>
      <c r="Z362" s="468"/>
      <c r="AA362" s="468"/>
      <c r="AB362" s="468"/>
    </row>
    <row r="363" spans="2:28" ht="13.5" thickBot="1">
      <c r="B363" s="484" t="s">
        <v>384</v>
      </c>
      <c r="C363" s="485"/>
      <c r="D363" s="486"/>
      <c r="E363" s="487"/>
      <c r="F363" s="487"/>
      <c r="G363" s="487"/>
      <c r="H363" s="487"/>
      <c r="I363" s="486"/>
      <c r="J363" s="487">
        <f>J358*(1-J364)</f>
        <v>0</v>
      </c>
      <c r="K363" s="487">
        <f>K358*(1-K364)</f>
        <v>0</v>
      </c>
      <c r="L363" s="487">
        <f>L358*(1-L364)</f>
        <v>0</v>
      </c>
      <c r="M363" s="487">
        <f>M358*(1-M364)</f>
        <v>0</v>
      </c>
      <c r="N363" s="486">
        <f>M363+L363+K363+J363</f>
        <v>0</v>
      </c>
      <c r="O363" s="487">
        <f t="shared" ref="O363:AB363" si="475">O358*(1-O364)</f>
        <v>0</v>
      </c>
      <c r="P363" s="487">
        <f t="shared" si="475"/>
        <v>0</v>
      </c>
      <c r="Q363" s="487">
        <f t="shared" si="475"/>
        <v>0</v>
      </c>
      <c r="R363" s="487">
        <f t="shared" si="475"/>
        <v>0</v>
      </c>
      <c r="S363" s="486">
        <f t="shared" si="475"/>
        <v>14.110903155127668</v>
      </c>
      <c r="T363" s="486">
        <f t="shared" si="475"/>
        <v>58.705280775159231</v>
      </c>
      <c r="U363" s="486">
        <f t="shared" si="475"/>
        <v>128.26554717246847</v>
      </c>
      <c r="V363" s="486">
        <f t="shared" si="475"/>
        <v>207.78980702730996</v>
      </c>
      <c r="W363" s="486">
        <f t="shared" si="475"/>
        <v>305.05269984873917</v>
      </c>
      <c r="X363" s="486">
        <f t="shared" si="475"/>
        <v>345.66603155519249</v>
      </c>
      <c r="Y363" s="486">
        <f t="shared" si="475"/>
        <v>363.16767262892699</v>
      </c>
      <c r="Z363" s="486">
        <f t="shared" si="475"/>
        <v>388.78301293783034</v>
      </c>
      <c r="AA363" s="486">
        <f t="shared" si="475"/>
        <v>367.91717494426058</v>
      </c>
      <c r="AB363" s="488">
        <f t="shared" si="475"/>
        <v>334.05820337231432</v>
      </c>
    </row>
    <row r="364" spans="2:28" s="427" customFormat="1">
      <c r="B364" s="465" t="s">
        <v>378</v>
      </c>
      <c r="C364" s="466"/>
      <c r="D364" s="466"/>
      <c r="E364" s="467"/>
      <c r="F364" s="467"/>
      <c r="G364" s="467"/>
      <c r="H364" s="467"/>
      <c r="I364" s="468"/>
      <c r="J364" s="467"/>
      <c r="K364" s="467"/>
      <c r="L364" s="467">
        <v>0.08</v>
      </c>
      <c r="M364" s="467">
        <v>0.08</v>
      </c>
      <c r="N364" s="468"/>
      <c r="O364" s="467">
        <v>0.08</v>
      </c>
      <c r="P364" s="467">
        <v>0.08</v>
      </c>
      <c r="Q364" s="467">
        <v>0.08</v>
      </c>
      <c r="R364" s="467">
        <v>0.08</v>
      </c>
      <c r="S364" s="468">
        <f>(R364+Q364+P364+O364)/4</f>
        <v>0.08</v>
      </c>
      <c r="T364" s="468">
        <f>S364</f>
        <v>0.08</v>
      </c>
      <c r="U364" s="468">
        <f>T364</f>
        <v>0.08</v>
      </c>
      <c r="V364" s="468">
        <f>U364</f>
        <v>0.08</v>
      </c>
      <c r="W364" s="468">
        <f>V364</f>
        <v>0.08</v>
      </c>
      <c r="X364" s="468">
        <f>W364</f>
        <v>0.08</v>
      </c>
      <c r="Y364" s="468">
        <v>0.05</v>
      </c>
      <c r="Z364" s="468"/>
      <c r="AA364" s="468"/>
      <c r="AB364" s="468"/>
    </row>
    <row r="365" spans="2:28">
      <c r="E365" s="481"/>
      <c r="F365" s="481"/>
      <c r="G365" s="481"/>
      <c r="H365" s="481"/>
      <c r="J365" s="481"/>
      <c r="K365" s="481"/>
      <c r="L365" s="481"/>
      <c r="M365" s="481"/>
      <c r="O365" s="481"/>
      <c r="P365" s="481"/>
      <c r="Q365" s="481"/>
      <c r="R365" s="481"/>
    </row>
    <row r="366" spans="2:28">
      <c r="E366" s="481"/>
      <c r="F366" s="481"/>
      <c r="G366" s="481"/>
      <c r="H366" s="481"/>
      <c r="J366" s="481"/>
      <c r="K366" s="481"/>
      <c r="L366" s="481"/>
      <c r="M366" s="481"/>
      <c r="O366" s="481"/>
      <c r="P366" s="481"/>
      <c r="Q366" s="481"/>
      <c r="R366" s="481"/>
    </row>
    <row r="367" spans="2:28">
      <c r="B367" s="405" t="s">
        <v>387</v>
      </c>
      <c r="D367" s="466"/>
      <c r="E367" s="467"/>
      <c r="F367" s="467"/>
      <c r="G367" s="467"/>
      <c r="H367" s="467"/>
      <c r="I367" s="468"/>
      <c r="J367" s="467"/>
      <c r="K367" s="467"/>
      <c r="L367" s="573">
        <f>L361+L176</f>
        <v>2.375900254208382</v>
      </c>
      <c r="M367" s="573">
        <f>M361+M176</f>
        <v>2.8552777773027742</v>
      </c>
      <c r="N367" s="574">
        <f>M367+L367+K367+J367</f>
        <v>5.2311780315111562</v>
      </c>
      <c r="O367" s="573">
        <f>O361+O176</f>
        <v>3.0331289353185866</v>
      </c>
      <c r="P367" s="573">
        <f>P361+P176</f>
        <v>3.3564333142627802</v>
      </c>
      <c r="Q367" s="573">
        <f>Q361+Q176</f>
        <v>3.6676067235726606</v>
      </c>
      <c r="R367" s="573">
        <f>R361+R176</f>
        <v>3.9592291279409864</v>
      </c>
      <c r="S367" s="574">
        <f>R367+Q367+P367+O367</f>
        <v>14.016398101095014</v>
      </c>
      <c r="T367" s="574">
        <f t="shared" ref="T367:AB367" si="476">T361+T176</f>
        <v>24.675473128670454</v>
      </c>
      <c r="U367" s="574">
        <f t="shared" si="476"/>
        <v>33.624021246973314</v>
      </c>
      <c r="V367" s="574">
        <f t="shared" si="476"/>
        <v>44.696558214165634</v>
      </c>
      <c r="W367" s="574">
        <f t="shared" si="476"/>
        <v>56.326680447302294</v>
      </c>
      <c r="X367" s="574">
        <f t="shared" si="476"/>
        <v>63.226617551749257</v>
      </c>
      <c r="Y367" s="574">
        <f t="shared" si="476"/>
        <v>19.114088033101439</v>
      </c>
      <c r="Z367" s="574">
        <f t="shared" si="476"/>
        <v>0</v>
      </c>
      <c r="AA367" s="574">
        <f t="shared" si="476"/>
        <v>0</v>
      </c>
      <c r="AB367" s="574">
        <f t="shared" si="476"/>
        <v>0</v>
      </c>
    </row>
    <row r="368" spans="2:28" ht="13.5" thickBot="1">
      <c r="E368" s="481"/>
      <c r="F368" s="481"/>
      <c r="G368" s="481"/>
      <c r="H368" s="481"/>
      <c r="J368" s="481"/>
      <c r="K368" s="481"/>
      <c r="L368" s="481"/>
      <c r="M368" s="481"/>
      <c r="O368" s="481"/>
      <c r="P368" s="481"/>
      <c r="Q368" s="481"/>
      <c r="R368" s="481"/>
    </row>
    <row r="369" spans="2:28" ht="13.5" thickBot="1">
      <c r="B369" s="484" t="s">
        <v>379</v>
      </c>
      <c r="C369" s="485"/>
      <c r="D369" s="486" t="e">
        <f>D358+D173</f>
        <v>#REF!</v>
      </c>
      <c r="E369" s="487" t="e">
        <f>E358+E173</f>
        <v>#REF!</v>
      </c>
      <c r="F369" s="487" t="e">
        <f>F358+F173</f>
        <v>#REF!</v>
      </c>
      <c r="G369" s="487" t="e">
        <f>G358+G173</f>
        <v>#REF!</v>
      </c>
      <c r="H369" s="487" t="e">
        <f>H358+H173</f>
        <v>#REF!</v>
      </c>
      <c r="I369" s="486">
        <f>I363+I178</f>
        <v>5.3897295718326985</v>
      </c>
      <c r="J369" s="487">
        <f>J363+J178</f>
        <v>15.850868581543846</v>
      </c>
      <c r="K369" s="487">
        <f>K363+K178</f>
        <v>33.041414191924048</v>
      </c>
      <c r="L369" s="487">
        <f>L363+L178</f>
        <v>45.142104829959258</v>
      </c>
      <c r="M369" s="487">
        <f>M363+M178</f>
        <v>54.250277768752703</v>
      </c>
      <c r="N369" s="486">
        <f>M369+L369+K369+J369</f>
        <v>148.28466537217983</v>
      </c>
      <c r="O369" s="487">
        <f>O363+O178</f>
        <v>57.629449771053082</v>
      </c>
      <c r="P369" s="487">
        <f>P363+P178</f>
        <v>63.772232970992825</v>
      </c>
      <c r="Q369" s="487">
        <f>Q363+Q178</f>
        <v>69.684527747880438</v>
      </c>
      <c r="R369" s="487">
        <f>R363+R178</f>
        <v>75.225353430878741</v>
      </c>
      <c r="S369" s="486">
        <f>R369+Q369+P369+O369</f>
        <v>266.3115639208051</v>
      </c>
      <c r="T369" s="486">
        <f t="shared" ref="T369:AB369" si="477">T363+T178</f>
        <v>430.54793676528607</v>
      </c>
      <c r="U369" s="486">
        <f t="shared" si="477"/>
        <v>555.20495988436028</v>
      </c>
      <c r="V369" s="486">
        <f t="shared" si="477"/>
        <v>713.71951452959684</v>
      </c>
      <c r="W369" s="486">
        <f t="shared" si="477"/>
        <v>871.25951555391418</v>
      </c>
      <c r="X369" s="486">
        <f t="shared" si="477"/>
        <v>975.87136507767548</v>
      </c>
      <c r="Y369" s="486">
        <f t="shared" si="477"/>
        <v>1081.8851013325693</v>
      </c>
      <c r="Z369" s="486">
        <f t="shared" si="477"/>
        <v>1153.5503441431313</v>
      </c>
      <c r="AA369" s="486">
        <f t="shared" si="477"/>
        <v>1179.1098591596547</v>
      </c>
      <c r="AB369" s="488">
        <f t="shared" si="477"/>
        <v>1157.9975551975235</v>
      </c>
    </row>
    <row r="370" spans="2:28">
      <c r="E370" s="481"/>
      <c r="F370" s="481"/>
      <c r="G370" s="481"/>
      <c r="H370" s="481"/>
      <c r="J370" s="481"/>
      <c r="K370" s="481"/>
      <c r="L370" s="481"/>
      <c r="M370" s="481"/>
      <c r="O370" s="481"/>
      <c r="P370" s="481"/>
      <c r="Q370" s="481"/>
      <c r="R370" s="481"/>
    </row>
    <row r="371" spans="2:28" ht="13.5" thickBot="1">
      <c r="E371" s="481"/>
      <c r="F371" s="481"/>
      <c r="G371" s="481"/>
      <c r="H371" s="481"/>
      <c r="J371" s="481"/>
      <c r="K371" s="481"/>
      <c r="L371" s="481"/>
      <c r="M371" s="481"/>
      <c r="O371" s="481"/>
      <c r="P371" s="481"/>
      <c r="Q371" s="481"/>
      <c r="R371" s="481"/>
    </row>
    <row r="372" spans="2:28" ht="13.5" thickBot="1">
      <c r="B372" s="489" t="s">
        <v>342</v>
      </c>
      <c r="C372" s="490">
        <f>C4</f>
        <v>2014</v>
      </c>
      <c r="D372" s="490">
        <f>D4</f>
        <v>2015</v>
      </c>
      <c r="E372" s="542" t="s">
        <v>241</v>
      </c>
      <c r="F372" s="542" t="s">
        <v>256</v>
      </c>
      <c r="G372" s="542" t="s">
        <v>350</v>
      </c>
      <c r="H372" s="542" t="s">
        <v>361</v>
      </c>
      <c r="I372" s="490">
        <v>2016</v>
      </c>
      <c r="J372" s="542" t="s">
        <v>358</v>
      </c>
      <c r="K372" s="542" t="s">
        <v>328</v>
      </c>
      <c r="L372" s="542" t="s">
        <v>359</v>
      </c>
      <c r="M372" s="542" t="s">
        <v>360</v>
      </c>
      <c r="N372" s="490">
        <v>2017</v>
      </c>
      <c r="O372" s="542" t="s">
        <v>368</v>
      </c>
      <c r="P372" s="542" t="s">
        <v>369</v>
      </c>
      <c r="Q372" s="542" t="s">
        <v>370</v>
      </c>
      <c r="R372" s="542" t="s">
        <v>371</v>
      </c>
      <c r="S372" s="490">
        <v>2018</v>
      </c>
      <c r="T372" s="490">
        <f t="shared" ref="T372:AB372" si="478">T4</f>
        <v>2019</v>
      </c>
      <c r="U372" s="490">
        <f t="shared" si="478"/>
        <v>2020</v>
      </c>
      <c r="V372" s="490">
        <f t="shared" si="478"/>
        <v>2021</v>
      </c>
      <c r="W372" s="490">
        <f t="shared" si="478"/>
        <v>2022</v>
      </c>
      <c r="X372" s="490">
        <f t="shared" si="478"/>
        <v>2023</v>
      </c>
      <c r="Y372" s="490">
        <f t="shared" si="478"/>
        <v>2024</v>
      </c>
      <c r="Z372" s="490">
        <f t="shared" si="478"/>
        <v>2025</v>
      </c>
      <c r="AA372" s="490">
        <f t="shared" si="478"/>
        <v>2026</v>
      </c>
      <c r="AB372" s="491">
        <f t="shared" si="478"/>
        <v>2027</v>
      </c>
    </row>
    <row r="373" spans="2:28">
      <c r="B373" s="492" t="s">
        <v>339</v>
      </c>
      <c r="C373" s="493">
        <f t="shared" ref="C373:D375" si="479">C22*1000</f>
        <v>650.04575999999997</v>
      </c>
      <c r="D373" s="493">
        <f t="shared" si="479"/>
        <v>657.19626335999999</v>
      </c>
      <c r="E373" s="494"/>
      <c r="F373" s="494"/>
      <c r="G373" s="494"/>
      <c r="H373" s="494"/>
      <c r="I373" s="493">
        <f>I22*1000</f>
        <v>664.42542225696002</v>
      </c>
      <c r="J373" s="494"/>
      <c r="K373" s="494"/>
      <c r="L373" s="494"/>
      <c r="M373" s="494"/>
      <c r="N373" s="493">
        <f>N22*1000</f>
        <v>671.73410190178652</v>
      </c>
      <c r="O373" s="494"/>
      <c r="P373" s="494"/>
      <c r="Q373" s="494"/>
      <c r="R373" s="494"/>
      <c r="S373" s="493">
        <f t="shared" ref="S373:AB373" si="480">S22*1000</f>
        <v>679.12317702270605</v>
      </c>
      <c r="T373" s="493">
        <f t="shared" si="480"/>
        <v>686.59353196995573</v>
      </c>
      <c r="U373" s="493">
        <f t="shared" si="480"/>
        <v>694.14606082162538</v>
      </c>
      <c r="V373" s="493">
        <f t="shared" si="480"/>
        <v>701.78166749066304</v>
      </c>
      <c r="W373" s="493">
        <f t="shared" si="480"/>
        <v>709.50126583306042</v>
      </c>
      <c r="X373" s="493">
        <f t="shared" si="480"/>
        <v>717.30577975722395</v>
      </c>
      <c r="Y373" s="493">
        <f t="shared" si="480"/>
        <v>725.19614333455331</v>
      </c>
      <c r="Z373" s="493">
        <f t="shared" si="480"/>
        <v>733.17330091123324</v>
      </c>
      <c r="AA373" s="493">
        <f t="shared" si="480"/>
        <v>741.23820722125674</v>
      </c>
      <c r="AB373" s="495">
        <f t="shared" si="480"/>
        <v>749.3918275006904</v>
      </c>
    </row>
    <row r="374" spans="2:28">
      <c r="B374" s="496" t="s">
        <v>340</v>
      </c>
      <c r="C374" s="497">
        <f t="shared" si="479"/>
        <v>662.275575</v>
      </c>
      <c r="D374" s="497">
        <f t="shared" si="479"/>
        <v>669.56060632499998</v>
      </c>
      <c r="E374" s="498"/>
      <c r="F374" s="498"/>
      <c r="G374" s="498"/>
      <c r="H374" s="498"/>
      <c r="I374" s="497">
        <f>I23*1000</f>
        <v>676.92577299457491</v>
      </c>
      <c r="J374" s="498"/>
      <c r="K374" s="498"/>
      <c r="L374" s="498"/>
      <c r="M374" s="498"/>
      <c r="N374" s="497">
        <f>N23*1000</f>
        <v>684.37195649751527</v>
      </c>
      <c r="O374" s="498"/>
      <c r="P374" s="498"/>
      <c r="Q374" s="498"/>
      <c r="R374" s="498"/>
      <c r="S374" s="497">
        <f t="shared" ref="S374:AB374" si="481">S23*1000</f>
        <v>691.90004801898783</v>
      </c>
      <c r="T374" s="497">
        <f t="shared" si="481"/>
        <v>699.51094854719668</v>
      </c>
      <c r="U374" s="497">
        <f t="shared" si="481"/>
        <v>707.20556898121583</v>
      </c>
      <c r="V374" s="497">
        <f t="shared" si="481"/>
        <v>714.98483024000905</v>
      </c>
      <c r="W374" s="497">
        <f t="shared" si="481"/>
        <v>722.84966337264927</v>
      </c>
      <c r="X374" s="497">
        <f t="shared" si="481"/>
        <v>730.80100966974817</v>
      </c>
      <c r="Y374" s="497">
        <f t="shared" si="481"/>
        <v>738.8398207761154</v>
      </c>
      <c r="Z374" s="497">
        <f t="shared" si="481"/>
        <v>746.96705880465254</v>
      </c>
      <c r="AA374" s="497">
        <f t="shared" si="481"/>
        <v>755.18369645150369</v>
      </c>
      <c r="AB374" s="499">
        <f t="shared" si="481"/>
        <v>763.49071711247007</v>
      </c>
    </row>
    <row r="375" spans="2:28">
      <c r="B375" s="500" t="s">
        <v>422</v>
      </c>
      <c r="C375" s="501">
        <f t="shared" si="479"/>
        <v>800.05632000000003</v>
      </c>
      <c r="D375" s="501">
        <f t="shared" si="479"/>
        <v>808.85693952000008</v>
      </c>
      <c r="E375" s="502"/>
      <c r="F375" s="502"/>
      <c r="G375" s="502"/>
      <c r="H375" s="502"/>
      <c r="I375" s="501">
        <f>I24*1000</f>
        <v>408.87718292735997</v>
      </c>
      <c r="J375" s="502"/>
      <c r="K375" s="502"/>
      <c r="L375" s="502"/>
      <c r="M375" s="502"/>
      <c r="N375" s="501">
        <f>N24*1000</f>
        <v>413.37483193956092</v>
      </c>
      <c r="O375" s="502">
        <f>O24*1000</f>
        <v>416.43868016395123</v>
      </c>
      <c r="P375" s="502">
        <f>P24*1000</f>
        <v>417.35084053615822</v>
      </c>
      <c r="Q375" s="502">
        <f>Q24*1000</f>
        <v>418.49385117475276</v>
      </c>
      <c r="R375" s="502">
        <f>R24*1000</f>
        <v>419.41051315942622</v>
      </c>
      <c r="S375" s="501">
        <f t="shared" ref="S375:AB375" si="482">S24*1000</f>
        <v>417.92195509089601</v>
      </c>
      <c r="T375" s="501">
        <f t="shared" si="482"/>
        <v>422.51909659689579</v>
      </c>
      <c r="U375" s="501">
        <f t="shared" si="482"/>
        <v>427.16680665946171</v>
      </c>
      <c r="V375" s="501">
        <f t="shared" si="482"/>
        <v>431.8656415327157</v>
      </c>
      <c r="W375" s="501">
        <f t="shared" si="482"/>
        <v>436.61616358957559</v>
      </c>
      <c r="X375" s="501">
        <f t="shared" si="482"/>
        <v>441.41894138906088</v>
      </c>
      <c r="Y375" s="501">
        <f t="shared" si="482"/>
        <v>446.27454974434045</v>
      </c>
      <c r="Z375" s="501">
        <f t="shared" si="482"/>
        <v>451.1835697915281</v>
      </c>
      <c r="AA375" s="501">
        <f t="shared" si="482"/>
        <v>456.14658905923494</v>
      </c>
      <c r="AB375" s="503">
        <f t="shared" si="482"/>
        <v>461.16420153888646</v>
      </c>
    </row>
    <row r="376" spans="2:28">
      <c r="B376" s="496" t="s">
        <v>423</v>
      </c>
      <c r="C376" s="497">
        <f>C26*1000</f>
        <v>713.21985000000006</v>
      </c>
      <c r="D376" s="497">
        <f>D26*1000</f>
        <v>721.06526835000011</v>
      </c>
      <c r="E376" s="498"/>
      <c r="F376" s="498"/>
      <c r="G376" s="498"/>
      <c r="H376" s="498"/>
      <c r="I376" s="497">
        <f>I26*1000</f>
        <v>416.56970645819996</v>
      </c>
      <c r="J376" s="498"/>
      <c r="K376" s="498"/>
      <c r="L376" s="498"/>
      <c r="M376" s="498"/>
      <c r="N376" s="497">
        <f t="shared" ref="N376:AB376" si="483">N26*1000</f>
        <v>421.15197322924013</v>
      </c>
      <c r="O376" s="498">
        <f t="shared" si="483"/>
        <v>424.27346400632149</v>
      </c>
      <c r="P376" s="498">
        <f t="shared" si="483"/>
        <v>425.20278555900046</v>
      </c>
      <c r="Q376" s="498">
        <f t="shared" si="483"/>
        <v>426.3673005431553</v>
      </c>
      <c r="R376" s="498">
        <f t="shared" si="483"/>
        <v>427.3012084006271</v>
      </c>
      <c r="S376" s="497">
        <f t="shared" si="483"/>
        <v>425.78464493476179</v>
      </c>
      <c r="T376" s="497">
        <f t="shared" si="483"/>
        <v>430.46827602904409</v>
      </c>
      <c r="U376" s="497">
        <f t="shared" si="483"/>
        <v>435.20342706536354</v>
      </c>
      <c r="V376" s="497">
        <f t="shared" si="483"/>
        <v>439.99066476308246</v>
      </c>
      <c r="W376" s="497">
        <f t="shared" si="483"/>
        <v>444.83056207547645</v>
      </c>
      <c r="X376" s="497">
        <f t="shared" si="483"/>
        <v>449.72369825830657</v>
      </c>
      <c r="Y376" s="497">
        <f t="shared" si="483"/>
        <v>454.67065893914793</v>
      </c>
      <c r="Z376" s="497">
        <f t="shared" si="483"/>
        <v>459.67203618747851</v>
      </c>
      <c r="AA376" s="497">
        <f t="shared" si="483"/>
        <v>464.72842858554077</v>
      </c>
      <c r="AB376" s="499">
        <f t="shared" si="483"/>
        <v>469.84044129998153</v>
      </c>
    </row>
    <row r="377" spans="2:28">
      <c r="B377" s="500" t="s">
        <v>424</v>
      </c>
      <c r="C377" s="501">
        <f>C26*1000</f>
        <v>713.21985000000006</v>
      </c>
      <c r="D377" s="501">
        <f>D26*1000</f>
        <v>721.06526835000011</v>
      </c>
      <c r="E377" s="502"/>
      <c r="F377" s="502"/>
      <c r="G377" s="502"/>
      <c r="H377" s="502"/>
      <c r="I377" s="501">
        <f>I26*1000</f>
        <v>416.56970645819996</v>
      </c>
      <c r="J377" s="502"/>
      <c r="K377" s="502"/>
      <c r="L377" s="502"/>
      <c r="M377" s="502"/>
      <c r="N377" s="501">
        <f t="shared" ref="N377:AB377" si="484">N25*1000</f>
        <v>413.37483193956092</v>
      </c>
      <c r="O377" s="502">
        <f t="shared" si="484"/>
        <v>416.43868016395123</v>
      </c>
      <c r="P377" s="502">
        <f t="shared" si="484"/>
        <v>417.35084053615822</v>
      </c>
      <c r="Q377" s="502">
        <f t="shared" si="484"/>
        <v>418.49385117475276</v>
      </c>
      <c r="R377" s="502">
        <f t="shared" si="484"/>
        <v>419.41051315942622</v>
      </c>
      <c r="S377" s="501">
        <f t="shared" si="484"/>
        <v>417.92195509089601</v>
      </c>
      <c r="T377" s="501">
        <f t="shared" si="484"/>
        <v>422.51909659689579</v>
      </c>
      <c r="U377" s="501">
        <f t="shared" si="484"/>
        <v>427.16680665946171</v>
      </c>
      <c r="V377" s="501">
        <f t="shared" si="484"/>
        <v>431.8656415327157</v>
      </c>
      <c r="W377" s="501">
        <f t="shared" si="484"/>
        <v>436.61616358957559</v>
      </c>
      <c r="X377" s="501">
        <f t="shared" si="484"/>
        <v>441.41894138906088</v>
      </c>
      <c r="Y377" s="501">
        <f t="shared" si="484"/>
        <v>446.27454974434045</v>
      </c>
      <c r="Z377" s="501">
        <f t="shared" si="484"/>
        <v>451.1835697915281</v>
      </c>
      <c r="AA377" s="501">
        <f t="shared" si="484"/>
        <v>456.14658905923494</v>
      </c>
      <c r="AB377" s="503">
        <f t="shared" si="484"/>
        <v>461.16420153888646</v>
      </c>
    </row>
    <row r="378" spans="2:28">
      <c r="B378" s="496" t="s">
        <v>425</v>
      </c>
      <c r="C378" s="497">
        <f>C28*1000</f>
        <v>0</v>
      </c>
      <c r="D378" s="497">
        <f>D28*1000</f>
        <v>0</v>
      </c>
      <c r="E378" s="498"/>
      <c r="F378" s="498"/>
      <c r="G378" s="498"/>
      <c r="H378" s="498"/>
      <c r="I378" s="497">
        <f>I28*1000</f>
        <v>0</v>
      </c>
      <c r="J378" s="498"/>
      <c r="K378" s="498"/>
      <c r="L378" s="498"/>
      <c r="M378" s="498"/>
      <c r="N378" s="497">
        <f t="shared" ref="N378:AB378" si="485">N27*1000</f>
        <v>421.15197322924013</v>
      </c>
      <c r="O378" s="498">
        <f t="shared" si="485"/>
        <v>424.27346400632149</v>
      </c>
      <c r="P378" s="498">
        <f t="shared" si="485"/>
        <v>425.20278555900046</v>
      </c>
      <c r="Q378" s="498">
        <f t="shared" si="485"/>
        <v>426.3673005431553</v>
      </c>
      <c r="R378" s="498">
        <f t="shared" si="485"/>
        <v>427.3012084006271</v>
      </c>
      <c r="S378" s="497">
        <f t="shared" si="485"/>
        <v>425.78464493476179</v>
      </c>
      <c r="T378" s="497">
        <f t="shared" si="485"/>
        <v>430.46827602904409</v>
      </c>
      <c r="U378" s="497">
        <f t="shared" si="485"/>
        <v>435.20342706536354</v>
      </c>
      <c r="V378" s="497">
        <f t="shared" si="485"/>
        <v>439.99066476308246</v>
      </c>
      <c r="W378" s="497">
        <f t="shared" si="485"/>
        <v>444.83056207547645</v>
      </c>
      <c r="X378" s="497">
        <f t="shared" si="485"/>
        <v>449.72369825830657</v>
      </c>
      <c r="Y378" s="497">
        <f t="shared" si="485"/>
        <v>454.67065893914793</v>
      </c>
      <c r="Z378" s="497">
        <f t="shared" si="485"/>
        <v>459.67203618747851</v>
      </c>
      <c r="AA378" s="497">
        <f t="shared" si="485"/>
        <v>464.72842858554077</v>
      </c>
      <c r="AB378" s="499">
        <f t="shared" si="485"/>
        <v>469.84044129998153</v>
      </c>
    </row>
    <row r="379" spans="2:28" ht="13.5" thickBot="1">
      <c r="B379" s="516"/>
      <c r="C379" s="592"/>
      <c r="D379" s="592"/>
      <c r="E379" s="593"/>
      <c r="F379" s="593"/>
      <c r="G379" s="593"/>
      <c r="H379" s="593"/>
      <c r="I379" s="592"/>
      <c r="J379" s="593"/>
      <c r="K379" s="593"/>
      <c r="L379" s="593"/>
      <c r="M379" s="593"/>
      <c r="N379" s="592"/>
      <c r="O379" s="593"/>
      <c r="P379" s="593"/>
      <c r="Q379" s="593"/>
      <c r="R379" s="593"/>
      <c r="S379" s="592"/>
      <c r="T379" s="592"/>
      <c r="U379" s="592"/>
      <c r="V379" s="592"/>
      <c r="W379" s="592"/>
      <c r="X379" s="592"/>
      <c r="Y379" s="592"/>
      <c r="Z379" s="592"/>
      <c r="AA379" s="592"/>
      <c r="AB379" s="594"/>
    </row>
    <row r="380" spans="2:28">
      <c r="B380" s="508" t="s">
        <v>333</v>
      </c>
      <c r="C380" s="509">
        <f>C50</f>
        <v>0</v>
      </c>
      <c r="D380" s="509">
        <f>D50</f>
        <v>0</v>
      </c>
      <c r="E380" s="510"/>
      <c r="F380" s="510"/>
      <c r="G380" s="510"/>
      <c r="H380" s="510">
        <f t="shared" ref="H380:AB380" si="486">H50</f>
        <v>5.3897295718326985</v>
      </c>
      <c r="I380" s="509">
        <f t="shared" si="486"/>
        <v>5.3897295718326985</v>
      </c>
      <c r="J380" s="510">
        <f t="shared" si="486"/>
        <v>13.069256015839349</v>
      </c>
      <c r="K380" s="510">
        <f t="shared" si="486"/>
        <v>21.699110926465021</v>
      </c>
      <c r="L380" s="510">
        <f t="shared" si="486"/>
        <v>29.602078761270253</v>
      </c>
      <c r="M380" s="510">
        <f t="shared" si="486"/>
        <v>36.561209579177174</v>
      </c>
      <c r="N380" s="509">
        <f t="shared" si="486"/>
        <v>100.93165528275179</v>
      </c>
      <c r="O380" s="510">
        <f t="shared" si="486"/>
        <v>39.646601776149886</v>
      </c>
      <c r="P380" s="510">
        <f t="shared" si="486"/>
        <v>43.69102102955209</v>
      </c>
      <c r="Q380" s="510">
        <f t="shared" si="486"/>
        <v>48.025723027327302</v>
      </c>
      <c r="R380" s="510">
        <f t="shared" si="486"/>
        <v>52.380334377829087</v>
      </c>
      <c r="S380" s="509">
        <f t="shared" si="486"/>
        <v>183.74368021085834</v>
      </c>
      <c r="T380" s="509">
        <f t="shared" si="486"/>
        <v>243.02438883684246</v>
      </c>
      <c r="U380" s="509">
        <f t="shared" si="486"/>
        <v>259.02274558596537</v>
      </c>
      <c r="V380" s="509">
        <f t="shared" si="486"/>
        <v>272.50675333608535</v>
      </c>
      <c r="W380" s="509">
        <f t="shared" si="486"/>
        <v>266.26218406542898</v>
      </c>
      <c r="X380" s="509">
        <f t="shared" si="486"/>
        <v>259.67435662900652</v>
      </c>
      <c r="Y380" s="509">
        <f t="shared" si="486"/>
        <v>253.23705826492269</v>
      </c>
      <c r="Z380" s="509">
        <f t="shared" si="486"/>
        <v>253.46243924677844</v>
      </c>
      <c r="AA380" s="509">
        <f t="shared" si="486"/>
        <v>253.68802081770806</v>
      </c>
      <c r="AB380" s="511">
        <f t="shared" si="486"/>
        <v>253.91380315623582</v>
      </c>
    </row>
    <row r="381" spans="2:28" s="427" customFormat="1" ht="13.5" thickBot="1">
      <c r="B381" s="512" t="s">
        <v>316</v>
      </c>
      <c r="C381" s="513"/>
      <c r="D381" s="513"/>
      <c r="E381" s="514"/>
      <c r="F381" s="514"/>
      <c r="G381" s="514"/>
      <c r="H381" s="514"/>
      <c r="I381" s="513"/>
      <c r="J381" s="514"/>
      <c r="K381" s="514"/>
      <c r="L381" s="514"/>
      <c r="M381" s="514"/>
      <c r="N381" s="513">
        <f t="shared" ref="N381" si="487">N380/I380-1</f>
        <v>17.726664100223392</v>
      </c>
      <c r="O381" s="514"/>
      <c r="P381" s="514"/>
      <c r="Q381" s="514"/>
      <c r="R381" s="514"/>
      <c r="S381" s="513">
        <f>S380/N380-1</f>
        <v>0.8204762390561755</v>
      </c>
      <c r="T381" s="513">
        <f>T380/S380-1</f>
        <v>0.32262719761547975</v>
      </c>
      <c r="U381" s="513">
        <f t="shared" ref="U381" si="488">U380/T380-1</f>
        <v>6.5830251958224784E-2</v>
      </c>
      <c r="V381" s="513">
        <f t="shared" ref="V381" si="489">V380/U380-1</f>
        <v>5.2057234277307352E-2</v>
      </c>
      <c r="W381" s="513">
        <f t="shared" ref="W381" si="490">W380/V380-1</f>
        <v>-2.2915282627711142E-2</v>
      </c>
      <c r="X381" s="513">
        <f t="shared" ref="X381" si="491">X380/W380-1</f>
        <v>-2.4741881613964511E-2</v>
      </c>
      <c r="Y381" s="513">
        <f t="shared" ref="Y381" si="492">Y380/X380-1</f>
        <v>-2.4789888565241447E-2</v>
      </c>
      <c r="Z381" s="513">
        <f t="shared" ref="Z381" si="493">Z380/Y380-1</f>
        <v>8.8999999999983537E-4</v>
      </c>
      <c r="AA381" s="513">
        <f t="shared" ref="AA381:AB381" si="494">AA380/Z380-1</f>
        <v>8.9000000000005741E-4</v>
      </c>
      <c r="AB381" s="515">
        <f t="shared" si="494"/>
        <v>8.9000000000005741E-4</v>
      </c>
    </row>
    <row r="382" spans="2:28" ht="13.5" thickBot="1">
      <c r="B382" s="516"/>
      <c r="C382" s="517"/>
      <c r="D382" s="517"/>
      <c r="E382" s="518"/>
      <c r="F382" s="518"/>
      <c r="G382" s="518"/>
      <c r="H382" s="518"/>
      <c r="I382" s="517"/>
      <c r="J382" s="518"/>
      <c r="K382" s="518"/>
      <c r="L382" s="518"/>
      <c r="M382" s="518"/>
      <c r="N382" s="517"/>
      <c r="O382" s="518"/>
      <c r="P382" s="518"/>
      <c r="Q382" s="518"/>
      <c r="R382" s="518"/>
      <c r="S382" s="517"/>
      <c r="T382" s="517"/>
      <c r="U382" s="517"/>
      <c r="V382" s="517"/>
      <c r="W382" s="517"/>
      <c r="X382" s="517"/>
      <c r="Y382" s="517"/>
      <c r="Z382" s="517"/>
      <c r="AA382" s="517"/>
      <c r="AB382" s="519"/>
    </row>
    <row r="383" spans="2:28">
      <c r="B383" s="508" t="s">
        <v>338</v>
      </c>
      <c r="C383" s="509">
        <f>C122</f>
        <v>0</v>
      </c>
      <c r="D383" s="509">
        <f>D122</f>
        <v>0</v>
      </c>
      <c r="E383" s="510"/>
      <c r="F383" s="510"/>
      <c r="G383" s="510"/>
      <c r="H383" s="510">
        <f t="shared" ref="H383:AB383" si="495">H122</f>
        <v>0</v>
      </c>
      <c r="I383" s="509">
        <f t="shared" si="495"/>
        <v>0</v>
      </c>
      <c r="J383" s="510">
        <f t="shared" si="495"/>
        <v>2.7816125657044983</v>
      </c>
      <c r="K383" s="510">
        <f t="shared" si="495"/>
        <v>11.34230326545903</v>
      </c>
      <c r="L383" s="510">
        <f t="shared" si="495"/>
        <v>17.915926322897384</v>
      </c>
      <c r="M383" s="510">
        <f t="shared" si="495"/>
        <v>20.544345966878303</v>
      </c>
      <c r="N383" s="509">
        <f t="shared" si="495"/>
        <v>52.584188120939217</v>
      </c>
      <c r="O383" s="510">
        <f t="shared" si="495"/>
        <v>21.015976930221782</v>
      </c>
      <c r="P383" s="510">
        <f t="shared" si="495"/>
        <v>23.437645255703522</v>
      </c>
      <c r="Q383" s="510">
        <f t="shared" si="495"/>
        <v>25.326411444125789</v>
      </c>
      <c r="R383" s="510">
        <f t="shared" si="495"/>
        <v>26.804248180990641</v>
      </c>
      <c r="S383" s="509">
        <f t="shared" si="495"/>
        <v>96.584281811041734</v>
      </c>
      <c r="T383" s="509">
        <f t="shared" si="495"/>
        <v>121.00850222637801</v>
      </c>
      <c r="U383" s="509">
        <f t="shared" si="495"/>
        <v>116.22261596332473</v>
      </c>
      <c r="V383" s="509">
        <f t="shared" si="495"/>
        <v>111.62601150197524</v>
      </c>
      <c r="W383" s="509">
        <f t="shared" si="495"/>
        <v>107.21120274707214</v>
      </c>
      <c r="X383" s="509">
        <f t="shared" si="495"/>
        <v>108.39052597728988</v>
      </c>
      <c r="Y383" s="509">
        <f t="shared" si="495"/>
        <v>108.48699354540969</v>
      </c>
      <c r="Z383" s="509">
        <f t="shared" si="495"/>
        <v>109.68035047440918</v>
      </c>
      <c r="AA383" s="509">
        <f t="shared" si="495"/>
        <v>110.88683432962767</v>
      </c>
      <c r="AB383" s="511">
        <f t="shared" si="495"/>
        <v>112.10658950725355</v>
      </c>
    </row>
    <row r="384" spans="2:28" ht="13.5" thickBot="1">
      <c r="B384" s="520" t="s">
        <v>316</v>
      </c>
      <c r="C384" s="521"/>
      <c r="D384" s="521"/>
      <c r="E384" s="522"/>
      <c r="F384" s="522"/>
      <c r="G384" s="522"/>
      <c r="H384" s="522"/>
      <c r="I384" s="521"/>
      <c r="J384" s="522"/>
      <c r="K384" s="522"/>
      <c r="L384" s="522"/>
      <c r="M384" s="522"/>
      <c r="N384" s="521"/>
      <c r="O384" s="522"/>
      <c r="P384" s="522"/>
      <c r="Q384" s="522"/>
      <c r="R384" s="522"/>
      <c r="S384" s="521"/>
      <c r="T384" s="521">
        <f>T383/S383-1</f>
        <v>0.25287986779380955</v>
      </c>
      <c r="U384" s="521">
        <f t="shared" ref="U384" si="496">U383/T383-1</f>
        <v>-3.9550000000000307E-2</v>
      </c>
      <c r="V384" s="521">
        <f t="shared" ref="V384" si="497">V383/U383-1</f>
        <v>-3.9549999999999974E-2</v>
      </c>
      <c r="W384" s="521">
        <f t="shared" ref="W384" si="498">W383/V383-1</f>
        <v>-3.9549999999999863E-2</v>
      </c>
      <c r="X384" s="521">
        <f t="shared" ref="X384" si="499">X383/W383-1</f>
        <v>1.0999999999999677E-2</v>
      </c>
      <c r="Y384" s="521">
        <f t="shared" ref="Y384" si="500">Y383/X383-1</f>
        <v>8.9000000000005741E-4</v>
      </c>
      <c r="Z384" s="521">
        <f t="shared" ref="Z384" si="501">Z383/Y383-1</f>
        <v>1.0999999999999899E-2</v>
      </c>
      <c r="AA384" s="521">
        <f t="shared" ref="AA384:AB384" si="502">AA383/Z383-1</f>
        <v>1.0999999999999899E-2</v>
      </c>
      <c r="AB384" s="523">
        <f t="shared" si="502"/>
        <v>1.0999999999999677E-2</v>
      </c>
    </row>
    <row r="385" spans="2:28" ht="13.5" thickBot="1">
      <c r="B385" s="516"/>
      <c r="C385" s="517"/>
      <c r="D385" s="517"/>
      <c r="E385" s="518"/>
      <c r="F385" s="518"/>
      <c r="G385" s="518"/>
      <c r="H385" s="518"/>
      <c r="I385" s="517"/>
      <c r="J385" s="518"/>
      <c r="K385" s="518"/>
      <c r="L385" s="518"/>
      <c r="M385" s="518"/>
      <c r="N385" s="517"/>
      <c r="O385" s="518"/>
      <c r="P385" s="518"/>
      <c r="Q385" s="518"/>
      <c r="R385" s="518"/>
      <c r="S385" s="517"/>
      <c r="T385" s="517"/>
      <c r="U385" s="517"/>
      <c r="V385" s="517"/>
      <c r="W385" s="517"/>
      <c r="X385" s="517"/>
      <c r="Y385" s="517"/>
      <c r="Z385" s="517"/>
      <c r="AA385" s="517"/>
      <c r="AB385" s="519"/>
    </row>
    <row r="386" spans="2:28">
      <c r="B386" s="508" t="s">
        <v>426</v>
      </c>
      <c r="C386" s="509">
        <f>C74</f>
        <v>0</v>
      </c>
      <c r="D386" s="509">
        <f>D74</f>
        <v>0</v>
      </c>
      <c r="E386" s="510"/>
      <c r="F386" s="510"/>
      <c r="G386" s="510"/>
      <c r="H386" s="510">
        <f t="shared" ref="H386:AB386" si="503">H74</f>
        <v>0</v>
      </c>
      <c r="I386" s="509">
        <f t="shared" si="503"/>
        <v>0</v>
      </c>
      <c r="J386" s="510">
        <f t="shared" si="503"/>
        <v>0</v>
      </c>
      <c r="K386" s="510">
        <f t="shared" si="503"/>
        <v>0</v>
      </c>
      <c r="L386" s="510">
        <f t="shared" si="503"/>
        <v>0</v>
      </c>
      <c r="M386" s="510">
        <f t="shared" si="503"/>
        <v>0</v>
      </c>
      <c r="N386" s="509">
        <f t="shared" si="503"/>
        <v>0</v>
      </c>
      <c r="O386" s="510">
        <f t="shared" si="503"/>
        <v>0</v>
      </c>
      <c r="P386" s="510">
        <f t="shared" si="503"/>
        <v>0</v>
      </c>
      <c r="Q386" s="510">
        <f t="shared" si="503"/>
        <v>0</v>
      </c>
      <c r="R386" s="510">
        <f t="shared" si="503"/>
        <v>0</v>
      </c>
      <c r="S386" s="509">
        <f t="shared" si="503"/>
        <v>0</v>
      </c>
      <c r="T386" s="509">
        <f t="shared" si="503"/>
        <v>12.621544535986834</v>
      </c>
      <c r="U386" s="509">
        <f t="shared" si="503"/>
        <v>42.109259035412876</v>
      </c>
      <c r="V386" s="509">
        <f t="shared" si="503"/>
        <v>63.220104413931573</v>
      </c>
      <c r="W386" s="509">
        <f t="shared" si="503"/>
        <v>84.368493742479998</v>
      </c>
      <c r="X386" s="509">
        <f t="shared" si="503"/>
        <v>105.55447712738849</v>
      </c>
      <c r="Y386" s="509">
        <f t="shared" si="503"/>
        <v>137.34294679564135</v>
      </c>
      <c r="Z386" s="509">
        <f t="shared" si="503"/>
        <v>161.49449236926534</v>
      </c>
      <c r="AA386" s="509">
        <f t="shared" si="503"/>
        <v>157.79380043380473</v>
      </c>
      <c r="AB386" s="511">
        <f t="shared" si="503"/>
        <v>153.88968490405409</v>
      </c>
    </row>
    <row r="387" spans="2:28" ht="13.5" thickBot="1">
      <c r="B387" s="520" t="s">
        <v>316</v>
      </c>
      <c r="C387" s="521"/>
      <c r="D387" s="521"/>
      <c r="E387" s="522"/>
      <c r="F387" s="522"/>
      <c r="G387" s="522"/>
      <c r="H387" s="522"/>
      <c r="I387" s="521"/>
      <c r="J387" s="522"/>
      <c r="K387" s="522"/>
      <c r="L387" s="522"/>
      <c r="M387" s="522"/>
      <c r="N387" s="521"/>
      <c r="O387" s="522"/>
      <c r="P387" s="522"/>
      <c r="Q387" s="522"/>
      <c r="R387" s="522"/>
      <c r="S387" s="521"/>
      <c r="T387" s="521"/>
      <c r="U387" s="521"/>
      <c r="V387" s="521">
        <f t="shared" ref="V387:AB387" si="504">V386/U386-1</f>
        <v>0.50133499999999964</v>
      </c>
      <c r="W387" s="521">
        <f t="shared" si="504"/>
        <v>0.33452000000000059</v>
      </c>
      <c r="X387" s="521">
        <f t="shared" si="504"/>
        <v>0.25111249999999985</v>
      </c>
      <c r="Y387" s="521">
        <f t="shared" si="504"/>
        <v>0.30115699999999923</v>
      </c>
      <c r="Z387" s="521">
        <f t="shared" si="504"/>
        <v>0.1758484591826921</v>
      </c>
      <c r="AA387" s="521">
        <f t="shared" si="504"/>
        <v>-2.2915282627712141E-2</v>
      </c>
      <c r="AB387" s="523">
        <f t="shared" si="504"/>
        <v>-2.4741881613963845E-2</v>
      </c>
    </row>
    <row r="388" spans="2:28" ht="13.5" thickBot="1">
      <c r="B388" s="516"/>
      <c r="C388" s="517"/>
      <c r="D388" s="517"/>
      <c r="E388" s="518"/>
      <c r="F388" s="518"/>
      <c r="G388" s="518"/>
      <c r="H388" s="518"/>
      <c r="I388" s="517"/>
      <c r="J388" s="518"/>
      <c r="K388" s="518"/>
      <c r="L388" s="518"/>
      <c r="M388" s="518"/>
      <c r="N388" s="517"/>
      <c r="O388" s="518"/>
      <c r="P388" s="518"/>
      <c r="Q388" s="518"/>
      <c r="R388" s="518"/>
      <c r="S388" s="517"/>
      <c r="T388" s="517"/>
      <c r="U388" s="517"/>
      <c r="V388" s="517"/>
      <c r="W388" s="517"/>
      <c r="X388" s="517"/>
      <c r="Y388" s="517"/>
      <c r="Z388" s="517"/>
      <c r="AA388" s="517"/>
      <c r="AB388" s="519"/>
    </row>
    <row r="389" spans="2:28">
      <c r="B389" s="508" t="s">
        <v>419</v>
      </c>
      <c r="C389" s="509">
        <f>C146</f>
        <v>0</v>
      </c>
      <c r="D389" s="509">
        <f>D146</f>
        <v>0</v>
      </c>
      <c r="E389" s="510"/>
      <c r="F389" s="510"/>
      <c r="G389" s="510"/>
      <c r="H389" s="510"/>
      <c r="I389" s="509">
        <f>I146</f>
        <v>0</v>
      </c>
      <c r="J389" s="510"/>
      <c r="K389" s="510"/>
      <c r="L389" s="510"/>
      <c r="M389" s="510"/>
      <c r="N389" s="509">
        <f>N146</f>
        <v>0</v>
      </c>
      <c r="O389" s="510"/>
      <c r="P389" s="510"/>
      <c r="Q389" s="510"/>
      <c r="R389" s="510"/>
      <c r="S389" s="509">
        <f t="shared" ref="S389:AB389" si="505">S146</f>
        <v>0</v>
      </c>
      <c r="T389" s="509">
        <f t="shared" si="505"/>
        <v>14.758886495663077</v>
      </c>
      <c r="U389" s="509">
        <f t="shared" si="505"/>
        <v>32.055287533077944</v>
      </c>
      <c r="V389" s="509">
        <f t="shared" si="505"/>
        <v>57.218604046019266</v>
      </c>
      <c r="W389" s="509">
        <f t="shared" si="505"/>
        <v>62.36015336838647</v>
      </c>
      <c r="X389" s="509">
        <f t="shared" si="505"/>
        <v>66.651742423345866</v>
      </c>
      <c r="Y389" s="509">
        <f t="shared" si="505"/>
        <v>69.675998584062739</v>
      </c>
      <c r="Z389" s="509">
        <f t="shared" si="505"/>
        <v>64.114455781431872</v>
      </c>
      <c r="AA389" s="509">
        <f t="shared" si="505"/>
        <v>77.225617163805182</v>
      </c>
      <c r="AB389" s="511">
        <f t="shared" si="505"/>
        <v>73.429630564926882</v>
      </c>
    </row>
    <row r="390" spans="2:28" ht="13.5" thickBot="1">
      <c r="B390" s="520" t="s">
        <v>316</v>
      </c>
      <c r="C390" s="521"/>
      <c r="D390" s="521"/>
      <c r="E390" s="522"/>
      <c r="F390" s="522"/>
      <c r="G390" s="522"/>
      <c r="H390" s="522"/>
      <c r="I390" s="521"/>
      <c r="J390" s="522"/>
      <c r="K390" s="522"/>
      <c r="L390" s="522"/>
      <c r="M390" s="522"/>
      <c r="N390" s="521"/>
      <c r="O390" s="522"/>
      <c r="P390" s="522"/>
      <c r="Q390" s="522"/>
      <c r="R390" s="522"/>
      <c r="S390" s="521"/>
      <c r="T390" s="521"/>
      <c r="U390" s="521"/>
      <c r="V390" s="521"/>
      <c r="W390" s="521">
        <f t="shared" ref="W390:AB390" si="506">W389/V389-1</f>
        <v>8.9857999999999993E-2</v>
      </c>
      <c r="X390" s="521">
        <f t="shared" si="506"/>
        <v>6.8819411485524284E-2</v>
      </c>
      <c r="Y390" s="521">
        <f t="shared" si="506"/>
        <v>4.5373999999999581E-2</v>
      </c>
      <c r="Z390" s="521">
        <f t="shared" si="506"/>
        <v>-7.9820065957446951E-2</v>
      </c>
      <c r="AA390" s="521">
        <f t="shared" si="506"/>
        <v>0.20449618143948167</v>
      </c>
      <c r="AB390" s="523">
        <f t="shared" si="506"/>
        <v>-4.9154500000000545E-2</v>
      </c>
    </row>
    <row r="391" spans="2:28" ht="13.5" thickBot="1">
      <c r="B391" s="504"/>
      <c r="C391" s="505"/>
      <c r="D391" s="505"/>
      <c r="E391" s="506"/>
      <c r="F391" s="506"/>
      <c r="G391" s="506"/>
      <c r="H391" s="506"/>
      <c r="I391" s="505"/>
      <c r="J391" s="506"/>
      <c r="K391" s="506"/>
      <c r="L391" s="506"/>
      <c r="M391" s="506"/>
      <c r="N391" s="505"/>
      <c r="O391" s="506"/>
      <c r="P391" s="506"/>
      <c r="Q391" s="506"/>
      <c r="R391" s="506"/>
      <c r="S391" s="505"/>
      <c r="T391" s="505"/>
      <c r="U391" s="505"/>
      <c r="V391" s="505"/>
      <c r="W391" s="505"/>
      <c r="X391" s="505"/>
      <c r="Y391" s="505"/>
      <c r="Z391" s="505"/>
      <c r="AA391" s="505"/>
      <c r="AB391" s="507"/>
    </row>
    <row r="392" spans="2:28">
      <c r="B392" s="508" t="s">
        <v>427</v>
      </c>
      <c r="C392" s="509">
        <f>C80</f>
        <v>0</v>
      </c>
      <c r="D392" s="509">
        <f>D80</f>
        <v>0</v>
      </c>
      <c r="E392" s="510"/>
      <c r="F392" s="510"/>
      <c r="G392" s="510"/>
      <c r="H392" s="510">
        <f t="shared" ref="H392:M392" si="507">H80</f>
        <v>0</v>
      </c>
      <c r="I392" s="509">
        <f t="shared" si="507"/>
        <v>0</v>
      </c>
      <c r="J392" s="510">
        <f t="shared" si="507"/>
        <v>0</v>
      </c>
      <c r="K392" s="510">
        <f t="shared" si="507"/>
        <v>0</v>
      </c>
      <c r="L392" s="510">
        <f t="shared" si="507"/>
        <v>0</v>
      </c>
      <c r="M392" s="510">
        <f t="shared" si="507"/>
        <v>0</v>
      </c>
      <c r="N392" s="509">
        <f t="shared" ref="N392:AA392" si="508">N98</f>
        <v>0</v>
      </c>
      <c r="O392" s="510">
        <f t="shared" si="508"/>
        <v>0</v>
      </c>
      <c r="P392" s="510">
        <f t="shared" si="508"/>
        <v>0</v>
      </c>
      <c r="Q392" s="510">
        <f t="shared" si="508"/>
        <v>0</v>
      </c>
      <c r="R392" s="510">
        <f t="shared" si="508"/>
        <v>0</v>
      </c>
      <c r="S392" s="509">
        <f t="shared" si="508"/>
        <v>0</v>
      </c>
      <c r="T392" s="509">
        <f t="shared" si="508"/>
        <v>0</v>
      </c>
      <c r="U392" s="509">
        <f t="shared" si="508"/>
        <v>0</v>
      </c>
      <c r="V392" s="509">
        <f t="shared" si="508"/>
        <v>12.900745722667398</v>
      </c>
      <c r="W392" s="509">
        <f t="shared" si="508"/>
        <v>43.040757954535252</v>
      </c>
      <c r="X392" s="509">
        <f t="shared" si="508"/>
        <v>64.618596343672138</v>
      </c>
      <c r="Y392" s="509">
        <f t="shared" si="508"/>
        <v>86.23480919255735</v>
      </c>
      <c r="Z392" s="509">
        <f t="shared" si="508"/>
        <v>107.88944771592341</v>
      </c>
      <c r="AA392" s="509">
        <f t="shared" si="508"/>
        <v>140.38111012170776</v>
      </c>
      <c r="AB392" s="511">
        <f>AB98</f>
        <v>165.06691203496578</v>
      </c>
    </row>
    <row r="393" spans="2:28" ht="13.5" thickBot="1">
      <c r="B393" s="520" t="s">
        <v>316</v>
      </c>
      <c r="C393" s="521"/>
      <c r="D393" s="521"/>
      <c r="E393" s="522"/>
      <c r="F393" s="522"/>
      <c r="G393" s="522"/>
      <c r="H393" s="522"/>
      <c r="I393" s="521"/>
      <c r="J393" s="522"/>
      <c r="K393" s="522"/>
      <c r="L393" s="522"/>
      <c r="M393" s="522"/>
      <c r="N393" s="521"/>
      <c r="O393" s="522"/>
      <c r="P393" s="522"/>
      <c r="Q393" s="522"/>
      <c r="R393" s="522"/>
      <c r="S393" s="521"/>
      <c r="T393" s="521"/>
      <c r="U393" s="521"/>
      <c r="V393" s="521"/>
      <c r="W393" s="521">
        <f t="shared" ref="W393" si="509">W392/V392-1</f>
        <v>2.3363000000000009</v>
      </c>
      <c r="X393" s="521">
        <f t="shared" ref="X393" si="510">X392/W392-1</f>
        <v>0.50133499999999898</v>
      </c>
      <c r="Y393" s="521">
        <f t="shared" ref="Y393" si="511">Y392/X392-1</f>
        <v>0.33452000000000015</v>
      </c>
      <c r="Z393" s="521">
        <f t="shared" ref="Z393" si="512">Z392/Y392-1</f>
        <v>0.25111250000000007</v>
      </c>
      <c r="AA393" s="521">
        <f t="shared" ref="AA393" si="513">AA392/Z392-1</f>
        <v>0.30115700000000012</v>
      </c>
      <c r="AB393" s="523">
        <f t="shared" ref="AB393" si="514">AB392/AA392-1</f>
        <v>0.17584845918269121</v>
      </c>
    </row>
    <row r="394" spans="2:28" ht="13.5" thickBot="1">
      <c r="B394" s="516"/>
      <c r="C394" s="517"/>
      <c r="D394" s="517"/>
      <c r="E394" s="518"/>
      <c r="F394" s="518"/>
      <c r="G394" s="518"/>
      <c r="H394" s="518"/>
      <c r="I394" s="517"/>
      <c r="J394" s="518"/>
      <c r="K394" s="518"/>
      <c r="L394" s="518"/>
      <c r="M394" s="518"/>
      <c r="N394" s="517"/>
      <c r="O394" s="518"/>
      <c r="P394" s="518"/>
      <c r="Q394" s="518"/>
      <c r="R394" s="518"/>
      <c r="S394" s="517"/>
      <c r="T394" s="517"/>
      <c r="U394" s="517"/>
      <c r="V394" s="517"/>
      <c r="W394" s="517"/>
      <c r="X394" s="517"/>
      <c r="Y394" s="517"/>
      <c r="Z394" s="517"/>
      <c r="AA394" s="517"/>
      <c r="AB394" s="519"/>
    </row>
    <row r="395" spans="2:28">
      <c r="B395" s="508" t="s">
        <v>428</v>
      </c>
      <c r="C395" s="509">
        <f>C152</f>
        <v>0</v>
      </c>
      <c r="D395" s="509">
        <f>D152</f>
        <v>0</v>
      </c>
      <c r="E395" s="510"/>
      <c r="F395" s="510"/>
      <c r="G395" s="510"/>
      <c r="H395" s="510"/>
      <c r="I395" s="509">
        <f>I152</f>
        <v>0</v>
      </c>
      <c r="J395" s="510"/>
      <c r="K395" s="510"/>
      <c r="L395" s="510"/>
      <c r="M395" s="510"/>
      <c r="N395" s="509">
        <f t="shared" ref="N395:AA395" si="515">N170</f>
        <v>0</v>
      </c>
      <c r="O395" s="510">
        <f t="shared" si="515"/>
        <v>0</v>
      </c>
      <c r="P395" s="510">
        <f t="shared" si="515"/>
        <v>0</v>
      </c>
      <c r="Q395" s="510">
        <f t="shared" si="515"/>
        <v>0</v>
      </c>
      <c r="R395" s="510">
        <f t="shared" si="515"/>
        <v>0</v>
      </c>
      <c r="S395" s="509">
        <f t="shared" si="515"/>
        <v>0</v>
      </c>
      <c r="T395" s="509">
        <f t="shared" si="515"/>
        <v>0</v>
      </c>
      <c r="U395" s="509">
        <f t="shared" si="515"/>
        <v>0</v>
      </c>
      <c r="V395" s="509">
        <f t="shared" si="515"/>
        <v>15.085367823833634</v>
      </c>
      <c r="W395" s="509">
        <f t="shared" si="515"/>
        <v>32.764382548597162</v>
      </c>
      <c r="X395" s="509">
        <f t="shared" si="515"/>
        <v>58.484336786121254</v>
      </c>
      <c r="Y395" s="509">
        <f t="shared" si="515"/>
        <v>63.739622321048529</v>
      </c>
      <c r="Z395" s="509">
        <f t="shared" si="515"/>
        <v>68.126145617492682</v>
      </c>
      <c r="AA395" s="509">
        <f t="shared" si="515"/>
        <v>71.217301348740776</v>
      </c>
      <c r="AB395" s="511">
        <f>AB170</f>
        <v>65.532731657772914</v>
      </c>
    </row>
    <row r="396" spans="2:28" ht="13.5" thickBot="1">
      <c r="B396" s="520" t="s">
        <v>316</v>
      </c>
      <c r="C396" s="521"/>
      <c r="D396" s="521"/>
      <c r="E396" s="522"/>
      <c r="F396" s="522"/>
      <c r="G396" s="522"/>
      <c r="H396" s="522"/>
      <c r="I396" s="521"/>
      <c r="J396" s="522"/>
      <c r="K396" s="522"/>
      <c r="L396" s="522"/>
      <c r="M396" s="522"/>
      <c r="N396" s="521"/>
      <c r="O396" s="522"/>
      <c r="P396" s="522"/>
      <c r="Q396" s="522"/>
      <c r="R396" s="522"/>
      <c r="S396" s="521"/>
      <c r="T396" s="521"/>
      <c r="U396" s="521"/>
      <c r="V396" s="521"/>
      <c r="W396" s="521">
        <f t="shared" ref="W396" si="516">W395/V395-1</f>
        <v>1.1719313000000002</v>
      </c>
      <c r="X396" s="521">
        <f t="shared" ref="X396" si="517">X395/W395-1</f>
        <v>0.7849973732718889</v>
      </c>
      <c r="Y396" s="521">
        <f t="shared" ref="Y396" si="518">Y395/X395-1</f>
        <v>8.9857999999999771E-2</v>
      </c>
      <c r="Z396" s="521">
        <f t="shared" ref="Z396" si="519">Z395/Y395-1</f>
        <v>6.8819411485524284E-2</v>
      </c>
      <c r="AA396" s="521">
        <f t="shared" ref="AA396" si="520">AA395/Z395-1</f>
        <v>4.5373999999999803E-2</v>
      </c>
      <c r="AB396" s="523">
        <f t="shared" ref="AB396" si="521">AB395/AA395-1</f>
        <v>-7.9820065957446951E-2</v>
      </c>
    </row>
    <row r="397" spans="2:28" ht="13.5" thickBot="1">
      <c r="B397" s="504"/>
      <c r="C397" s="505"/>
      <c r="D397" s="505"/>
      <c r="E397" s="506"/>
      <c r="F397" s="506"/>
      <c r="G397" s="506"/>
      <c r="H397" s="506"/>
      <c r="I397" s="505"/>
      <c r="J397" s="506"/>
      <c r="K397" s="506"/>
      <c r="L397" s="506"/>
      <c r="M397" s="506"/>
      <c r="N397" s="505"/>
      <c r="O397" s="506"/>
      <c r="P397" s="506"/>
      <c r="Q397" s="506"/>
      <c r="R397" s="506"/>
      <c r="S397" s="505"/>
      <c r="T397" s="505"/>
      <c r="U397" s="505"/>
      <c r="V397" s="505"/>
      <c r="W397" s="505"/>
      <c r="X397" s="505"/>
      <c r="Y397" s="505"/>
      <c r="Z397" s="505"/>
      <c r="AA397" s="505"/>
      <c r="AB397" s="507"/>
    </row>
    <row r="398" spans="2:28" ht="13.5" thickBot="1">
      <c r="B398" s="526" t="s">
        <v>346</v>
      </c>
      <c r="C398" s="527"/>
      <c r="D398" s="527"/>
      <c r="E398" s="527"/>
      <c r="F398" s="527"/>
      <c r="G398" s="527"/>
      <c r="H398" s="527" t="e">
        <f>H380+H383+#REF!+#REF!</f>
        <v>#REF!</v>
      </c>
      <c r="I398" s="527">
        <f>I380+I383+I386+I389</f>
        <v>5.3897295718326985</v>
      </c>
      <c r="J398" s="527">
        <f t="shared" ref="J398:M398" si="522">J380+J383+J386+J389</f>
        <v>15.850868581543846</v>
      </c>
      <c r="K398" s="527">
        <f t="shared" si="522"/>
        <v>33.041414191924048</v>
      </c>
      <c r="L398" s="527">
        <f t="shared" si="522"/>
        <v>47.51800508416764</v>
      </c>
      <c r="M398" s="527">
        <f t="shared" si="522"/>
        <v>57.105555546055477</v>
      </c>
      <c r="N398" s="595">
        <f t="shared" ref="N398:AA398" si="523">N380+N383+N386+N389+N392+N395</f>
        <v>153.51584340369101</v>
      </c>
      <c r="O398" s="527">
        <f t="shared" si="523"/>
        <v>60.662578706371669</v>
      </c>
      <c r="P398" s="527">
        <f t="shared" si="523"/>
        <v>67.128666285255605</v>
      </c>
      <c r="Q398" s="527">
        <f t="shared" si="523"/>
        <v>73.352134471453098</v>
      </c>
      <c r="R398" s="527">
        <f t="shared" si="523"/>
        <v>79.184582558819727</v>
      </c>
      <c r="S398" s="527">
        <f t="shared" si="523"/>
        <v>280.32796202190008</v>
      </c>
      <c r="T398" s="527">
        <f t="shared" si="523"/>
        <v>391.41332209487041</v>
      </c>
      <c r="U398" s="527">
        <f t="shared" si="523"/>
        <v>449.40990811778096</v>
      </c>
      <c r="V398" s="527">
        <f t="shared" si="523"/>
        <v>532.55758684451246</v>
      </c>
      <c r="W398" s="527">
        <f t="shared" si="523"/>
        <v>596.0071744265</v>
      </c>
      <c r="X398" s="527">
        <f t="shared" si="523"/>
        <v>663.37403528682421</v>
      </c>
      <c r="Y398" s="527">
        <f t="shared" si="523"/>
        <v>718.71742870364233</v>
      </c>
      <c r="Z398" s="527">
        <f t="shared" si="523"/>
        <v>764.76733120530093</v>
      </c>
      <c r="AA398" s="527">
        <f t="shared" si="523"/>
        <v>811.19268421539425</v>
      </c>
      <c r="AB398" s="528">
        <f>AB380+AB383+AB386+AB389+AB392+AB395</f>
        <v>823.93935182520909</v>
      </c>
    </row>
    <row r="399" spans="2:28" s="427" customFormat="1" ht="13.5" thickBot="1">
      <c r="B399" s="512" t="s">
        <v>316</v>
      </c>
      <c r="C399" s="513"/>
      <c r="D399" s="513"/>
      <c r="E399" s="514"/>
      <c r="F399" s="514"/>
      <c r="G399" s="514"/>
      <c r="H399" s="514"/>
      <c r="I399" s="513"/>
      <c r="J399" s="514"/>
      <c r="K399" s="514"/>
      <c r="L399" s="514"/>
      <c r="M399" s="514"/>
      <c r="N399" s="513">
        <f t="shared" ref="N399" si="524">N398/I398-1</f>
        <v>27.48303265640287</v>
      </c>
      <c r="O399" s="514"/>
      <c r="P399" s="514"/>
      <c r="Q399" s="514"/>
      <c r="R399" s="514"/>
      <c r="S399" s="513">
        <f>S398/N398-1</f>
        <v>0.82605232011616669</v>
      </c>
      <c r="T399" s="513">
        <f>T398/S398-1</f>
        <v>0.39626928142220796</v>
      </c>
      <c r="U399" s="513">
        <f t="shared" ref="U399" si="525">U398/T398-1</f>
        <v>0.14817223315882289</v>
      </c>
      <c r="V399" s="513">
        <f t="shared" ref="V399" si="526">V398/U398-1</f>
        <v>0.18501523269696185</v>
      </c>
      <c r="W399" s="513">
        <f t="shared" ref="W399" si="527">W398/V398-1</f>
        <v>0.11914127063316537</v>
      </c>
      <c r="X399" s="513">
        <f t="shared" ref="X399" si="528">X398/W398-1</f>
        <v>0.11303028512223379</v>
      </c>
      <c r="Y399" s="513">
        <f t="shared" ref="Y399" si="529">Y398/X398-1</f>
        <v>8.3427132315917696E-2</v>
      </c>
      <c r="Z399" s="513">
        <f t="shared" ref="Z399" si="530">Z398/Y398-1</f>
        <v>6.4072333106933721E-2</v>
      </c>
      <c r="AA399" s="513">
        <f t="shared" ref="AA399" si="531">AA398/Z398-1</f>
        <v>6.0705198974602137E-2</v>
      </c>
      <c r="AB399" s="515">
        <f t="shared" ref="AB399" si="532">AB398/AA398-1</f>
        <v>1.5713489356901311E-2</v>
      </c>
    </row>
    <row r="400" spans="2:28" ht="13.5" thickBot="1">
      <c r="B400" s="504"/>
      <c r="C400" s="505"/>
      <c r="D400" s="505"/>
      <c r="E400" s="506"/>
      <c r="F400" s="506"/>
      <c r="G400" s="506"/>
      <c r="H400" s="506"/>
      <c r="I400" s="505"/>
      <c r="J400" s="506"/>
      <c r="K400" s="506"/>
      <c r="L400" s="506"/>
      <c r="M400" s="506"/>
      <c r="N400" s="505"/>
      <c r="O400" s="506"/>
      <c r="P400" s="506"/>
      <c r="Q400" s="506"/>
      <c r="R400" s="506"/>
      <c r="S400" s="505"/>
      <c r="T400" s="505"/>
      <c r="U400" s="505"/>
      <c r="V400" s="505"/>
      <c r="W400" s="505"/>
      <c r="X400" s="505"/>
      <c r="Y400" s="505"/>
      <c r="Z400" s="505"/>
      <c r="AA400" s="505"/>
      <c r="AB400" s="507"/>
    </row>
    <row r="401" spans="2:28" ht="13.5" thickBot="1">
      <c r="B401" s="526" t="s">
        <v>377</v>
      </c>
      <c r="C401" s="527"/>
      <c r="D401" s="527"/>
      <c r="E401" s="527"/>
      <c r="F401" s="527"/>
      <c r="G401" s="527"/>
      <c r="H401" s="527"/>
      <c r="I401" s="527"/>
      <c r="J401" s="527">
        <f>J398*(1-J402)</f>
        <v>15.058325152466653</v>
      </c>
      <c r="K401" s="527">
        <f>K398*(1-K402)</f>
        <v>31.389343482327845</v>
      </c>
      <c r="L401" s="527">
        <f>L398*(1-L402)</f>
        <v>45.142104829959258</v>
      </c>
      <c r="M401" s="527">
        <f>M398*(1-M402)</f>
        <v>54.250277768752703</v>
      </c>
      <c r="N401" s="527">
        <f>M401+L401+K401+J401</f>
        <v>145.84005123350647</v>
      </c>
      <c r="O401" s="527">
        <f>O398*(1-O402)</f>
        <v>57.629449771053082</v>
      </c>
      <c r="P401" s="527">
        <f>P398*(1-P402)</f>
        <v>63.772232970992825</v>
      </c>
      <c r="Q401" s="527">
        <f>Q398*(1-Q402)</f>
        <v>69.684527747880438</v>
      </c>
      <c r="R401" s="527">
        <f>R398*(1-R402)</f>
        <v>75.225353430878741</v>
      </c>
      <c r="S401" s="527">
        <f>R401+Q401+P401+O401</f>
        <v>266.3115639208051</v>
      </c>
      <c r="T401" s="527">
        <f t="shared" ref="T401:AB401" si="533">T398*(1-T402)</f>
        <v>371.84265599012684</v>
      </c>
      <c r="U401" s="527">
        <f t="shared" si="533"/>
        <v>426.93941271189186</v>
      </c>
      <c r="V401" s="527">
        <f t="shared" si="533"/>
        <v>505.92970750228682</v>
      </c>
      <c r="W401" s="527">
        <f t="shared" si="533"/>
        <v>566.20681570517502</v>
      </c>
      <c r="X401" s="527">
        <f t="shared" si="533"/>
        <v>630.20533352248299</v>
      </c>
      <c r="Y401" s="527">
        <f t="shared" si="533"/>
        <v>682.78155726846023</v>
      </c>
      <c r="Z401" s="527">
        <f t="shared" si="533"/>
        <v>726.5289646450359</v>
      </c>
      <c r="AA401" s="527">
        <f t="shared" si="533"/>
        <v>770.63305000462447</v>
      </c>
      <c r="AB401" s="528">
        <f t="shared" si="533"/>
        <v>782.74238423394854</v>
      </c>
    </row>
    <row r="402" spans="2:28" s="427" customFormat="1" ht="13.5" thickBot="1">
      <c r="B402" s="512" t="s">
        <v>376</v>
      </c>
      <c r="C402" s="513"/>
      <c r="D402" s="513"/>
      <c r="E402" s="514"/>
      <c r="F402" s="514"/>
      <c r="G402" s="514"/>
      <c r="H402" s="514"/>
      <c r="I402" s="513"/>
      <c r="J402" s="514">
        <v>0.05</v>
      </c>
      <c r="K402" s="514">
        <v>0.05</v>
      </c>
      <c r="L402" s="514">
        <v>0.05</v>
      </c>
      <c r="M402" s="514">
        <v>0.05</v>
      </c>
      <c r="N402" s="513"/>
      <c r="O402" s="514">
        <v>0.05</v>
      </c>
      <c r="P402" s="514">
        <f>O402</f>
        <v>0.05</v>
      </c>
      <c r="Q402" s="514">
        <f>P402</f>
        <v>0.05</v>
      </c>
      <c r="R402" s="514">
        <f>Q402</f>
        <v>0.05</v>
      </c>
      <c r="S402" s="513">
        <f>(R402+Q402+P402+O402)/4</f>
        <v>0.05</v>
      </c>
      <c r="T402" s="513">
        <f t="shared" ref="T402:AB402" si="534">S402</f>
        <v>0.05</v>
      </c>
      <c r="U402" s="513">
        <f t="shared" si="534"/>
        <v>0.05</v>
      </c>
      <c r="V402" s="513">
        <f t="shared" si="534"/>
        <v>0.05</v>
      </c>
      <c r="W402" s="513">
        <f t="shared" si="534"/>
        <v>0.05</v>
      </c>
      <c r="X402" s="513">
        <f t="shared" si="534"/>
        <v>0.05</v>
      </c>
      <c r="Y402" s="513">
        <f t="shared" si="534"/>
        <v>0.05</v>
      </c>
      <c r="Z402" s="513">
        <f t="shared" si="534"/>
        <v>0.05</v>
      </c>
      <c r="AA402" s="513">
        <f t="shared" si="534"/>
        <v>0.05</v>
      </c>
      <c r="AB402" s="515">
        <f t="shared" si="534"/>
        <v>0.05</v>
      </c>
    </row>
    <row r="403" spans="2:28" ht="13.5" thickBot="1">
      <c r="E403" s="481"/>
      <c r="F403" s="481"/>
      <c r="G403" s="481"/>
      <c r="H403" s="481"/>
      <c r="J403" s="481"/>
      <c r="K403" s="481"/>
      <c r="L403" s="481"/>
      <c r="M403" s="481"/>
      <c r="O403" s="481"/>
      <c r="P403" s="481"/>
      <c r="Q403" s="481"/>
      <c r="R403" s="481"/>
    </row>
    <row r="404" spans="2:28" ht="13.5" thickBot="1">
      <c r="B404" s="489" t="s">
        <v>347</v>
      </c>
      <c r="C404" s="490">
        <f>C372</f>
        <v>2014</v>
      </c>
      <c r="D404" s="490">
        <f>D372</f>
        <v>2015</v>
      </c>
      <c r="E404" s="542" t="s">
        <v>241</v>
      </c>
      <c r="F404" s="542" t="s">
        <v>256</v>
      </c>
      <c r="G404" s="542" t="s">
        <v>350</v>
      </c>
      <c r="H404" s="542" t="s">
        <v>361</v>
      </c>
      <c r="I404" s="490">
        <v>2016</v>
      </c>
      <c r="J404" s="542" t="s">
        <v>358</v>
      </c>
      <c r="K404" s="542" t="s">
        <v>328</v>
      </c>
      <c r="L404" s="542" t="s">
        <v>359</v>
      </c>
      <c r="M404" s="542" t="s">
        <v>360</v>
      </c>
      <c r="N404" s="490">
        <v>2017</v>
      </c>
      <c r="O404" s="542" t="s">
        <v>368</v>
      </c>
      <c r="P404" s="542" t="s">
        <v>369</v>
      </c>
      <c r="Q404" s="542" t="s">
        <v>370</v>
      </c>
      <c r="R404" s="542" t="s">
        <v>371</v>
      </c>
      <c r="S404" s="490">
        <v>2018</v>
      </c>
      <c r="T404" s="490">
        <f t="shared" ref="T404:AB404" si="535">T372</f>
        <v>2019</v>
      </c>
      <c r="U404" s="490">
        <f t="shared" si="535"/>
        <v>2020</v>
      </c>
      <c r="V404" s="490">
        <f t="shared" si="535"/>
        <v>2021</v>
      </c>
      <c r="W404" s="490">
        <f t="shared" si="535"/>
        <v>2022</v>
      </c>
      <c r="X404" s="490">
        <f t="shared" si="535"/>
        <v>2023</v>
      </c>
      <c r="Y404" s="490">
        <f t="shared" si="535"/>
        <v>2024</v>
      </c>
      <c r="Z404" s="490">
        <f t="shared" si="535"/>
        <v>2025</v>
      </c>
      <c r="AA404" s="490">
        <f t="shared" si="535"/>
        <v>2026</v>
      </c>
      <c r="AB404" s="491">
        <f t="shared" si="535"/>
        <v>2027</v>
      </c>
    </row>
    <row r="405" spans="2:28">
      <c r="B405" s="492" t="s">
        <v>339</v>
      </c>
      <c r="C405" s="493">
        <f t="shared" ref="C405:D407" si="536">C199*1000</f>
        <v>1514.7350400000003</v>
      </c>
      <c r="D405" s="493">
        <f t="shared" si="536"/>
        <v>1531.3971254400001</v>
      </c>
      <c r="E405" s="494"/>
      <c r="F405" s="494"/>
      <c r="G405" s="494"/>
      <c r="H405" s="494"/>
      <c r="I405" s="493">
        <f>I199*1000</f>
        <v>1548.2424938198401</v>
      </c>
      <c r="J405" s="494"/>
      <c r="K405" s="494"/>
      <c r="L405" s="494"/>
      <c r="M405" s="494"/>
      <c r="N405" s="493">
        <f>N199*1000</f>
        <v>1565.2731612518583</v>
      </c>
      <c r="O405" s="494"/>
      <c r="P405" s="494"/>
      <c r="Q405" s="494"/>
      <c r="R405" s="494"/>
      <c r="S405" s="493">
        <f t="shared" ref="S405:AB405" si="537">S199*1000</f>
        <v>1582.4911660256284</v>
      </c>
      <c r="T405" s="493">
        <f t="shared" si="537"/>
        <v>1599.8985688519106</v>
      </c>
      <c r="U405" s="493">
        <f t="shared" si="537"/>
        <v>1617.4974531092812</v>
      </c>
      <c r="V405" s="493">
        <f t="shared" si="537"/>
        <v>1635.2899250934829</v>
      </c>
      <c r="W405" s="493">
        <f t="shared" si="537"/>
        <v>1653.2781142695108</v>
      </c>
      <c r="X405" s="493">
        <f t="shared" si="537"/>
        <v>1671.4641735264754</v>
      </c>
      <c r="Y405" s="493">
        <f t="shared" si="537"/>
        <v>1689.8502794352667</v>
      </c>
      <c r="Z405" s="493">
        <f t="shared" si="537"/>
        <v>1708.4386325090541</v>
      </c>
      <c r="AA405" s="493">
        <f t="shared" si="537"/>
        <v>1727.2314574666539</v>
      </c>
      <c r="AB405" s="495">
        <f t="shared" si="537"/>
        <v>1746.2310034987868</v>
      </c>
    </row>
    <row r="406" spans="2:28">
      <c r="B406" s="496" t="s">
        <v>340</v>
      </c>
      <c r="C406" s="497">
        <f t="shared" si="536"/>
        <v>1543.232925</v>
      </c>
      <c r="D406" s="497">
        <f t="shared" si="536"/>
        <v>1560.2084871750001</v>
      </c>
      <c r="E406" s="498"/>
      <c r="F406" s="498"/>
      <c r="G406" s="498"/>
      <c r="H406" s="498"/>
      <c r="I406" s="497">
        <f>I200*1000</f>
        <v>1577.3707805339252</v>
      </c>
      <c r="J406" s="498"/>
      <c r="K406" s="498"/>
      <c r="L406" s="498"/>
      <c r="M406" s="498"/>
      <c r="N406" s="497">
        <f>N200*1000</f>
        <v>1594.7218591197984</v>
      </c>
      <c r="O406" s="498"/>
      <c r="P406" s="498"/>
      <c r="Q406" s="498"/>
      <c r="R406" s="498"/>
      <c r="S406" s="497">
        <f t="shared" ref="S406:AB406" si="538">S200*1000</f>
        <v>1612.2637995701157</v>
      </c>
      <c r="T406" s="497">
        <f t="shared" si="538"/>
        <v>1629.9987013653868</v>
      </c>
      <c r="U406" s="497">
        <f t="shared" si="538"/>
        <v>1647.928687080406</v>
      </c>
      <c r="V406" s="497">
        <f t="shared" si="538"/>
        <v>1666.0559026382903</v>
      </c>
      <c r="W406" s="497">
        <f t="shared" si="538"/>
        <v>1684.3825175673112</v>
      </c>
      <c r="X406" s="497">
        <f t="shared" si="538"/>
        <v>1702.9107252605515</v>
      </c>
      <c r="Y406" s="497">
        <f t="shared" si="538"/>
        <v>1721.6427432384171</v>
      </c>
      <c r="Z406" s="497">
        <f t="shared" si="538"/>
        <v>1740.5808134140398</v>
      </c>
      <c r="AA406" s="497">
        <f t="shared" si="538"/>
        <v>1759.727202361594</v>
      </c>
      <c r="AB406" s="499">
        <f t="shared" si="538"/>
        <v>1779.0842015875714</v>
      </c>
    </row>
    <row r="407" spans="2:28">
      <c r="B407" s="500" t="s">
        <v>422</v>
      </c>
      <c r="C407" s="501">
        <f t="shared" si="536"/>
        <v>1864.2892800000002</v>
      </c>
      <c r="D407" s="501">
        <f t="shared" si="536"/>
        <v>1884.7964620799999</v>
      </c>
      <c r="E407" s="502"/>
      <c r="F407" s="502"/>
      <c r="G407" s="502"/>
      <c r="H407" s="502"/>
      <c r="I407" s="501">
        <f>I201*1000</f>
        <v>952.76461158144002</v>
      </c>
      <c r="J407" s="502"/>
      <c r="K407" s="502"/>
      <c r="L407" s="502"/>
      <c r="M407" s="502"/>
      <c r="N407" s="501">
        <f>N201*1000</f>
        <v>963.24502230883581</v>
      </c>
      <c r="O407" s="502">
        <f t="shared" ref="O407:AB407" si="539">O201*1000</f>
        <v>970.38439394741977</v>
      </c>
      <c r="P407" s="502">
        <f t="shared" si="539"/>
        <v>972.50990781567623</v>
      </c>
      <c r="Q407" s="502">
        <f t="shared" si="539"/>
        <v>975.17334841003083</v>
      </c>
      <c r="R407" s="502">
        <f t="shared" si="539"/>
        <v>977.30935192464619</v>
      </c>
      <c r="S407" s="501">
        <f t="shared" si="539"/>
        <v>973.84071755423292</v>
      </c>
      <c r="T407" s="501">
        <f t="shared" si="539"/>
        <v>984.55296544732948</v>
      </c>
      <c r="U407" s="501">
        <f t="shared" si="539"/>
        <v>995.38304806725</v>
      </c>
      <c r="V407" s="501">
        <f t="shared" si="539"/>
        <v>1006.3322615959895</v>
      </c>
      <c r="W407" s="501">
        <f t="shared" si="539"/>
        <v>1017.401916473545</v>
      </c>
      <c r="X407" s="501">
        <f t="shared" si="539"/>
        <v>1028.593337554754</v>
      </c>
      <c r="Y407" s="501">
        <f t="shared" si="539"/>
        <v>1039.9078642678562</v>
      </c>
      <c r="Z407" s="501">
        <f t="shared" si="539"/>
        <v>1051.3468507748025</v>
      </c>
      <c r="AA407" s="501">
        <f t="shared" si="539"/>
        <v>1062.9116661333253</v>
      </c>
      <c r="AB407" s="503">
        <f t="shared" si="539"/>
        <v>1074.6036944607918</v>
      </c>
    </row>
    <row r="408" spans="2:28">
      <c r="B408" s="496" t="s">
        <v>423</v>
      </c>
      <c r="C408" s="497">
        <f>C203*1000</f>
        <v>1899.3636000000001</v>
      </c>
      <c r="D408" s="497">
        <f>D203*1000</f>
        <v>1920.2565996000001</v>
      </c>
      <c r="E408" s="498"/>
      <c r="F408" s="498"/>
      <c r="G408" s="498"/>
      <c r="H408" s="498"/>
      <c r="I408" s="497">
        <f>I203*1000</f>
        <v>970.68971109780011</v>
      </c>
      <c r="J408" s="498"/>
      <c r="K408" s="498"/>
      <c r="L408" s="498"/>
      <c r="M408" s="498"/>
      <c r="N408" s="497">
        <f>N203*1000</f>
        <v>981.36729791987602</v>
      </c>
      <c r="O408" s="498">
        <f t="shared" ref="O408:AB408" si="540">O203*1000</f>
        <v>988.64098809375207</v>
      </c>
      <c r="P408" s="498">
        <f t="shared" si="540"/>
        <v>990.8064909027695</v>
      </c>
      <c r="Q408" s="498">
        <f t="shared" si="540"/>
        <v>993.52004087055116</v>
      </c>
      <c r="R408" s="498">
        <f t="shared" si="540"/>
        <v>995.69623067577936</v>
      </c>
      <c r="S408" s="497">
        <f t="shared" si="540"/>
        <v>992.16233819699426</v>
      </c>
      <c r="T408" s="497">
        <f t="shared" si="540"/>
        <v>1003.0761239171611</v>
      </c>
      <c r="U408" s="497">
        <f t="shared" si="540"/>
        <v>1014.1099612802498</v>
      </c>
      <c r="V408" s="497">
        <f t="shared" si="540"/>
        <v>1025.2651708543324</v>
      </c>
      <c r="W408" s="497">
        <f t="shared" si="540"/>
        <v>1036.5430877337301</v>
      </c>
      <c r="X408" s="497">
        <f t="shared" si="540"/>
        <v>1047.9450616988008</v>
      </c>
      <c r="Y408" s="497">
        <f t="shared" si="540"/>
        <v>1059.4724573774874</v>
      </c>
      <c r="Z408" s="497">
        <f t="shared" si="540"/>
        <v>1071.1266544086398</v>
      </c>
      <c r="AA408" s="497">
        <f t="shared" si="540"/>
        <v>1082.9090476071349</v>
      </c>
      <c r="AB408" s="499">
        <f t="shared" si="540"/>
        <v>1094.821047130813</v>
      </c>
    </row>
    <row r="409" spans="2:28">
      <c r="B409" s="500" t="s">
        <v>424</v>
      </c>
      <c r="C409" s="501">
        <f>C203*1000</f>
        <v>1899.3636000000001</v>
      </c>
      <c r="D409" s="501">
        <f>D203*1000</f>
        <v>1920.2565996000001</v>
      </c>
      <c r="E409" s="502"/>
      <c r="F409" s="502"/>
      <c r="G409" s="502"/>
      <c r="H409" s="502"/>
      <c r="I409" s="501">
        <f>I203*1000</f>
        <v>970.68971109780011</v>
      </c>
      <c r="J409" s="502"/>
      <c r="K409" s="502"/>
      <c r="L409" s="502"/>
      <c r="M409" s="502"/>
      <c r="N409" s="501">
        <f>N202*1000</f>
        <v>963.24502230883581</v>
      </c>
      <c r="O409" s="502">
        <f t="shared" ref="O409:AB409" si="541">O202*1000</f>
        <v>970.38439394741977</v>
      </c>
      <c r="P409" s="502">
        <f t="shared" si="541"/>
        <v>972.50990781567623</v>
      </c>
      <c r="Q409" s="502">
        <f t="shared" si="541"/>
        <v>975.17334841003083</v>
      </c>
      <c r="R409" s="502">
        <f t="shared" si="541"/>
        <v>977.30935192464619</v>
      </c>
      <c r="S409" s="501">
        <f t="shared" si="541"/>
        <v>973.84071755423292</v>
      </c>
      <c r="T409" s="501">
        <f t="shared" si="541"/>
        <v>984.55296544732948</v>
      </c>
      <c r="U409" s="501">
        <f t="shared" si="541"/>
        <v>995.38304806725</v>
      </c>
      <c r="V409" s="501">
        <f t="shared" si="541"/>
        <v>1006.3322615959895</v>
      </c>
      <c r="W409" s="501">
        <f t="shared" si="541"/>
        <v>1017.401916473545</v>
      </c>
      <c r="X409" s="501">
        <f t="shared" si="541"/>
        <v>1028.593337554754</v>
      </c>
      <c r="Y409" s="501">
        <f t="shared" si="541"/>
        <v>1039.9078642678562</v>
      </c>
      <c r="Z409" s="501">
        <f t="shared" si="541"/>
        <v>1051.3468507748025</v>
      </c>
      <c r="AA409" s="501">
        <f t="shared" si="541"/>
        <v>1062.9116661333253</v>
      </c>
      <c r="AB409" s="503">
        <f t="shared" si="541"/>
        <v>1074.6036944607918</v>
      </c>
    </row>
    <row r="410" spans="2:28">
      <c r="B410" s="496" t="s">
        <v>425</v>
      </c>
      <c r="C410" s="497">
        <f>C205*1000</f>
        <v>0</v>
      </c>
      <c r="D410" s="497">
        <f>D205*1000</f>
        <v>0</v>
      </c>
      <c r="E410" s="498"/>
      <c r="F410" s="498"/>
      <c r="G410" s="498"/>
      <c r="H410" s="498"/>
      <c r="I410" s="497">
        <f>I205*1000</f>
        <v>0</v>
      </c>
      <c r="J410" s="498"/>
      <c r="K410" s="498"/>
      <c r="L410" s="498"/>
      <c r="M410" s="498"/>
      <c r="N410" s="497">
        <f>N204*1000</f>
        <v>981.36729791987602</v>
      </c>
      <c r="O410" s="498">
        <f t="shared" ref="O410:AB410" si="542">O204*1000</f>
        <v>988.64098809375207</v>
      </c>
      <c r="P410" s="498">
        <f t="shared" si="542"/>
        <v>990.8064909027695</v>
      </c>
      <c r="Q410" s="498">
        <f t="shared" si="542"/>
        <v>993.52004087055116</v>
      </c>
      <c r="R410" s="498">
        <f t="shared" si="542"/>
        <v>995.69623067577936</v>
      </c>
      <c r="S410" s="497">
        <f t="shared" si="542"/>
        <v>992.16233819699426</v>
      </c>
      <c r="T410" s="497">
        <f t="shared" si="542"/>
        <v>1003.0761239171611</v>
      </c>
      <c r="U410" s="497">
        <f t="shared" si="542"/>
        <v>1014.1099612802498</v>
      </c>
      <c r="V410" s="497">
        <f t="shared" si="542"/>
        <v>1025.2651708543324</v>
      </c>
      <c r="W410" s="497">
        <f t="shared" si="542"/>
        <v>1036.5430877337301</v>
      </c>
      <c r="X410" s="497">
        <f t="shared" si="542"/>
        <v>1047.9450616988008</v>
      </c>
      <c r="Y410" s="497">
        <f t="shared" si="542"/>
        <v>1059.4724573774874</v>
      </c>
      <c r="Z410" s="497">
        <f t="shared" si="542"/>
        <v>1071.1266544086398</v>
      </c>
      <c r="AA410" s="497">
        <f t="shared" si="542"/>
        <v>1082.9090476071349</v>
      </c>
      <c r="AB410" s="499">
        <f t="shared" si="542"/>
        <v>1094.821047130813</v>
      </c>
    </row>
    <row r="411" spans="2:28" ht="13.5" thickBot="1">
      <c r="B411" s="504"/>
      <c r="C411" s="505"/>
      <c r="D411" s="505"/>
      <c r="E411" s="506"/>
      <c r="F411" s="506"/>
      <c r="G411" s="506"/>
      <c r="H411" s="506"/>
      <c r="I411" s="505"/>
      <c r="J411" s="506"/>
      <c r="K411" s="506"/>
      <c r="L411" s="506"/>
      <c r="M411" s="506"/>
      <c r="N411" s="505"/>
      <c r="O411" s="506"/>
      <c r="P411" s="506"/>
      <c r="Q411" s="506"/>
      <c r="R411" s="506"/>
      <c r="S411" s="505"/>
      <c r="T411" s="505"/>
      <c r="U411" s="505"/>
      <c r="V411" s="505"/>
      <c r="W411" s="505"/>
      <c r="X411" s="505"/>
      <c r="Y411" s="505"/>
      <c r="Z411" s="505"/>
      <c r="AA411" s="505"/>
      <c r="AB411" s="507"/>
    </row>
    <row r="412" spans="2:28">
      <c r="B412" s="508" t="s">
        <v>333</v>
      </c>
      <c r="C412" s="509">
        <f>C100</f>
        <v>0</v>
      </c>
      <c r="D412" s="509">
        <f>D100</f>
        <v>0</v>
      </c>
      <c r="E412" s="510"/>
      <c r="F412" s="510"/>
      <c r="G412" s="510"/>
      <c r="H412" s="510"/>
      <c r="I412" s="509">
        <f t="shared" ref="I412:AB412" si="543">I227</f>
        <v>0</v>
      </c>
      <c r="J412" s="510">
        <f t="shared" si="543"/>
        <v>0</v>
      </c>
      <c r="K412" s="510">
        <f t="shared" si="543"/>
        <v>0</v>
      </c>
      <c r="L412" s="510">
        <f t="shared" si="543"/>
        <v>0</v>
      </c>
      <c r="M412" s="510">
        <f t="shared" si="543"/>
        <v>0</v>
      </c>
      <c r="N412" s="509">
        <f t="shared" si="543"/>
        <v>0</v>
      </c>
      <c r="O412" s="510">
        <f t="shared" si="543"/>
        <v>0</v>
      </c>
      <c r="P412" s="510">
        <f t="shared" si="543"/>
        <v>0</v>
      </c>
      <c r="Q412" s="510">
        <f t="shared" si="543"/>
        <v>2.8892253121689566</v>
      </c>
      <c r="R412" s="510">
        <f t="shared" si="543"/>
        <v>6.9430006648337468</v>
      </c>
      <c r="S412" s="509">
        <f t="shared" si="543"/>
        <v>9.8322259770027038</v>
      </c>
      <c r="T412" s="509">
        <f t="shared" si="543"/>
        <v>40.904793993643978</v>
      </c>
      <c r="U412" s="509">
        <f t="shared" si="543"/>
        <v>89.373148621272662</v>
      </c>
      <c r="V412" s="509">
        <f t="shared" si="543"/>
        <v>132.70781417755236</v>
      </c>
      <c r="W412" s="509">
        <f t="shared" si="543"/>
        <v>152.63912448188572</v>
      </c>
      <c r="X412" s="509">
        <f t="shared" si="543"/>
        <v>150.48334870313442</v>
      </c>
      <c r="Y412" s="509">
        <f t="shared" si="543"/>
        <v>137.7610182930689</v>
      </c>
      <c r="Z412" s="509">
        <f t="shared" si="543"/>
        <v>125.36803496802412</v>
      </c>
      <c r="AA412" s="509">
        <f t="shared" si="543"/>
        <v>113.29763347041199</v>
      </c>
      <c r="AB412" s="511">
        <f t="shared" si="543"/>
        <v>101.54317394430691</v>
      </c>
    </row>
    <row r="413" spans="2:28" s="427" customFormat="1" ht="13.5" thickBot="1">
      <c r="B413" s="512" t="s">
        <v>316</v>
      </c>
      <c r="C413" s="513"/>
      <c r="D413" s="513"/>
      <c r="E413" s="514"/>
      <c r="F413" s="514"/>
      <c r="G413" s="514"/>
      <c r="H413" s="514"/>
      <c r="I413" s="513"/>
      <c r="J413" s="514"/>
      <c r="K413" s="514"/>
      <c r="L413" s="514"/>
      <c r="M413" s="514"/>
      <c r="N413" s="513"/>
      <c r="O413" s="514"/>
      <c r="P413" s="514"/>
      <c r="Q413" s="514"/>
      <c r="R413" s="514"/>
      <c r="S413" s="513"/>
      <c r="T413" s="513">
        <f>T412/S412-1</f>
        <v>3.1602780580225804</v>
      </c>
      <c r="U413" s="513">
        <f t="shared" ref="U413" si="544">U412/T412-1</f>
        <v>1.1849064595010543</v>
      </c>
      <c r="V413" s="513">
        <f t="shared" ref="V413" si="545">V412/U412-1</f>
        <v>0.48487343486033518</v>
      </c>
      <c r="W413" s="513">
        <f t="shared" ref="W413" si="546">W412/V412-1</f>
        <v>0.15018942499999932</v>
      </c>
      <c r="X413" s="513">
        <f t="shared" ref="X413" si="547">X412/W412-1</f>
        <v>-1.4123350000000312E-2</v>
      </c>
      <c r="Y413" s="513">
        <f t="shared" ref="Y413" si="548">Y412/X412-1</f>
        <v>-8.4543110714285441E-2</v>
      </c>
      <c r="Z413" s="513">
        <f t="shared" ref="Z413" si="549">Z412/Y412-1</f>
        <v>-8.996001538461551E-2</v>
      </c>
      <c r="AA413" s="513">
        <f t="shared" ref="AA413" si="550">AA412/Z412-1</f>
        <v>-9.6279737499999518E-2</v>
      </c>
      <c r="AB413" s="515">
        <f t="shared" ref="AB413" si="551">AB412/AA412-1</f>
        <v>-0.10374850000000035</v>
      </c>
    </row>
    <row r="414" spans="2:28" ht="13.5" thickBot="1">
      <c r="B414" s="516"/>
      <c r="C414" s="517"/>
      <c r="D414" s="517"/>
      <c r="E414" s="518"/>
      <c r="F414" s="518"/>
      <c r="G414" s="518"/>
      <c r="H414" s="518"/>
      <c r="I414" s="517"/>
      <c r="J414" s="518"/>
      <c r="K414" s="518"/>
      <c r="L414" s="518"/>
      <c r="M414" s="518"/>
      <c r="N414" s="517"/>
      <c r="O414" s="518"/>
      <c r="P414" s="518"/>
      <c r="Q414" s="518"/>
      <c r="R414" s="518"/>
      <c r="S414" s="517"/>
      <c r="T414" s="517"/>
      <c r="U414" s="517"/>
      <c r="V414" s="517"/>
      <c r="W414" s="517"/>
      <c r="X414" s="517"/>
      <c r="Y414" s="517"/>
      <c r="Z414" s="517"/>
      <c r="AA414" s="517"/>
      <c r="AB414" s="519"/>
    </row>
    <row r="415" spans="2:28">
      <c r="B415" s="508" t="s">
        <v>338</v>
      </c>
      <c r="C415" s="509" t="e">
        <f>#REF!</f>
        <v>#REF!</v>
      </c>
      <c r="D415" s="509" t="e">
        <f>#REF!</f>
        <v>#REF!</v>
      </c>
      <c r="E415" s="510"/>
      <c r="F415" s="510"/>
      <c r="G415" s="510"/>
      <c r="H415" s="510"/>
      <c r="I415" s="509">
        <f t="shared" ref="I415:AB415" si="552">I303</f>
        <v>0</v>
      </c>
      <c r="J415" s="510">
        <f t="shared" si="552"/>
        <v>0</v>
      </c>
      <c r="K415" s="510">
        <f t="shared" si="552"/>
        <v>0</v>
      </c>
      <c r="L415" s="510">
        <f t="shared" si="552"/>
        <v>0</v>
      </c>
      <c r="M415" s="510">
        <f t="shared" si="552"/>
        <v>0</v>
      </c>
      <c r="N415" s="509">
        <f t="shared" si="552"/>
        <v>0</v>
      </c>
      <c r="O415" s="510">
        <f t="shared" si="552"/>
        <v>0</v>
      </c>
      <c r="P415" s="510">
        <f t="shared" si="552"/>
        <v>0</v>
      </c>
      <c r="Q415" s="510">
        <f t="shared" si="552"/>
        <v>1.6178679363507729</v>
      </c>
      <c r="R415" s="510">
        <f t="shared" si="552"/>
        <v>3.8878442987418138</v>
      </c>
      <c r="S415" s="509">
        <f t="shared" si="552"/>
        <v>5.5057122350925862</v>
      </c>
      <c r="T415" s="509">
        <f t="shared" si="552"/>
        <v>22.905293805442145</v>
      </c>
      <c r="U415" s="509">
        <f t="shared" si="552"/>
        <v>50.045924392280035</v>
      </c>
      <c r="V415" s="509">
        <f t="shared" si="552"/>
        <v>74.311863653125471</v>
      </c>
      <c r="W415" s="509">
        <f t="shared" si="552"/>
        <v>85.472719725866767</v>
      </c>
      <c r="X415" s="509">
        <f t="shared" si="552"/>
        <v>84.265558589726425</v>
      </c>
      <c r="Y415" s="509">
        <f t="shared" si="552"/>
        <v>77.141486140474072</v>
      </c>
      <c r="Z415" s="509">
        <f t="shared" si="552"/>
        <v>70.201836860484917</v>
      </c>
      <c r="AA415" s="509">
        <f t="shared" si="552"/>
        <v>63.442822435539625</v>
      </c>
      <c r="AB415" s="511">
        <f t="shared" si="552"/>
        <v>56.86072477208603</v>
      </c>
    </row>
    <row r="416" spans="2:28" s="427" customFormat="1" ht="13.5" thickBot="1">
      <c r="B416" s="512" t="s">
        <v>316</v>
      </c>
      <c r="C416" s="513"/>
      <c r="D416" s="513"/>
      <c r="E416" s="514"/>
      <c r="F416" s="514"/>
      <c r="G416" s="514"/>
      <c r="H416" s="514"/>
      <c r="I416" s="513"/>
      <c r="J416" s="514"/>
      <c r="K416" s="514"/>
      <c r="L416" s="514"/>
      <c r="M416" s="514"/>
      <c r="N416" s="513"/>
      <c r="O416" s="514"/>
      <c r="P416" s="514"/>
      <c r="Q416" s="514"/>
      <c r="R416" s="514"/>
      <c r="S416" s="513"/>
      <c r="T416" s="513"/>
      <c r="U416" s="513"/>
      <c r="V416" s="513">
        <f t="shared" ref="V416" si="553">V415/U415-1</f>
        <v>0.48487343486033474</v>
      </c>
      <c r="W416" s="513">
        <f t="shared" ref="W416" si="554">W415/V415-1</f>
        <v>0.15018942499999977</v>
      </c>
      <c r="X416" s="513">
        <f t="shared" ref="X416" si="555">X415/W415-1</f>
        <v>-1.4123350000000312E-2</v>
      </c>
      <c r="Y416" s="513">
        <f t="shared" ref="Y416" si="556">Y415/X415-1</f>
        <v>-8.4543110714285552E-2</v>
      </c>
      <c r="Z416" s="513">
        <f t="shared" ref="Z416" si="557">Z415/Y415-1</f>
        <v>-8.996001538461551E-2</v>
      </c>
      <c r="AA416" s="513">
        <f t="shared" ref="AA416" si="558">AA415/Z415-1</f>
        <v>-9.627973749999974E-2</v>
      </c>
      <c r="AB416" s="515">
        <f t="shared" ref="AB416" si="559">AB415/AA415-1</f>
        <v>-0.10374850000000024</v>
      </c>
    </row>
    <row r="417" spans="2:28" ht="13.5" thickBot="1">
      <c r="B417" s="516"/>
      <c r="C417" s="517"/>
      <c r="D417" s="517"/>
      <c r="E417" s="518"/>
      <c r="F417" s="518"/>
      <c r="G417" s="518"/>
      <c r="H417" s="518"/>
      <c r="I417" s="517"/>
      <c r="J417" s="518"/>
      <c r="K417" s="518"/>
      <c r="L417" s="518"/>
      <c r="M417" s="518"/>
      <c r="N417" s="517"/>
      <c r="O417" s="518"/>
      <c r="P417" s="518"/>
      <c r="Q417" s="518"/>
      <c r="R417" s="518"/>
      <c r="S417" s="517"/>
      <c r="T417" s="517"/>
      <c r="U417" s="517"/>
      <c r="V417" s="517"/>
      <c r="W417" s="517"/>
      <c r="X417" s="517"/>
      <c r="Y417" s="517"/>
      <c r="Z417" s="517"/>
      <c r="AA417" s="517"/>
      <c r="AB417" s="519"/>
    </row>
    <row r="418" spans="2:28">
      <c r="B418" s="508" t="s">
        <v>426</v>
      </c>
      <c r="C418" s="509">
        <f>C124</f>
        <v>0</v>
      </c>
      <c r="D418" s="509">
        <f>D124</f>
        <v>0</v>
      </c>
      <c r="E418" s="510"/>
      <c r="F418" s="510"/>
      <c r="G418" s="510"/>
      <c r="H418" s="510"/>
      <c r="I418" s="509">
        <f t="shared" ref="I418:AB418" si="560">I251</f>
        <v>0</v>
      </c>
      <c r="J418" s="510">
        <f t="shared" si="560"/>
        <v>0</v>
      </c>
      <c r="K418" s="510">
        <f t="shared" si="560"/>
        <v>0</v>
      </c>
      <c r="L418" s="510">
        <f t="shared" si="560"/>
        <v>0</v>
      </c>
      <c r="M418" s="510">
        <f t="shared" si="560"/>
        <v>0</v>
      </c>
      <c r="N418" s="509">
        <f t="shared" si="560"/>
        <v>0</v>
      </c>
      <c r="O418" s="510">
        <f t="shared" si="560"/>
        <v>0</v>
      </c>
      <c r="P418" s="510">
        <f t="shared" si="560"/>
        <v>0</v>
      </c>
      <c r="Q418" s="510">
        <f t="shared" si="560"/>
        <v>0</v>
      </c>
      <c r="R418" s="510">
        <f t="shared" si="560"/>
        <v>0</v>
      </c>
      <c r="S418" s="509">
        <f t="shared" si="560"/>
        <v>0</v>
      </c>
      <c r="T418" s="509">
        <f t="shared" si="560"/>
        <v>0</v>
      </c>
      <c r="U418" s="509">
        <f t="shared" si="560"/>
        <v>0</v>
      </c>
      <c r="V418" s="509">
        <f t="shared" si="560"/>
        <v>7.5749549847590743</v>
      </c>
      <c r="W418" s="509">
        <f t="shared" si="560"/>
        <v>37.717026486237742</v>
      </c>
      <c r="X418" s="509">
        <f t="shared" si="560"/>
        <v>62.599891784870948</v>
      </c>
      <c r="Y418" s="509">
        <f t="shared" si="560"/>
        <v>74.806995882704371</v>
      </c>
      <c r="Z418" s="509">
        <f t="shared" si="560"/>
        <v>86.911328868995014</v>
      </c>
      <c r="AA418" s="509">
        <f t="shared" si="560"/>
        <v>86.549343184255662</v>
      </c>
      <c r="AB418" s="511">
        <f t="shared" si="560"/>
        <v>80.032517657757978</v>
      </c>
    </row>
    <row r="419" spans="2:28">
      <c r="B419" s="524" t="s">
        <v>429</v>
      </c>
      <c r="C419" s="463">
        <f>C127</f>
        <v>0</v>
      </c>
      <c r="D419" s="463">
        <f>D127</f>
        <v>0</v>
      </c>
      <c r="E419" s="464"/>
      <c r="F419" s="464"/>
      <c r="G419" s="464"/>
      <c r="H419" s="464"/>
      <c r="I419" s="463">
        <f t="shared" ref="I419:AB419" si="561">I254</f>
        <v>0</v>
      </c>
      <c r="J419" s="464">
        <f t="shared" si="561"/>
        <v>0</v>
      </c>
      <c r="K419" s="464">
        <f t="shared" si="561"/>
        <v>0</v>
      </c>
      <c r="L419" s="464">
        <f t="shared" si="561"/>
        <v>0</v>
      </c>
      <c r="M419" s="464">
        <f t="shared" si="561"/>
        <v>0</v>
      </c>
      <c r="N419" s="463">
        <f t="shared" si="561"/>
        <v>0</v>
      </c>
      <c r="O419" s="464">
        <f t="shared" si="561"/>
        <v>0</v>
      </c>
      <c r="P419" s="464">
        <f t="shared" si="561"/>
        <v>0</v>
      </c>
      <c r="Q419" s="464">
        <f t="shared" si="561"/>
        <v>0</v>
      </c>
      <c r="R419" s="464">
        <f t="shared" si="561"/>
        <v>0</v>
      </c>
      <c r="S419" s="463">
        <f t="shared" si="561"/>
        <v>0</v>
      </c>
      <c r="T419" s="463">
        <f t="shared" si="561"/>
        <v>0</v>
      </c>
      <c r="U419" s="463">
        <f t="shared" si="561"/>
        <v>0</v>
      </c>
      <c r="V419" s="463">
        <f t="shared" si="561"/>
        <v>6.0599639878072598</v>
      </c>
      <c r="W419" s="463">
        <f t="shared" si="561"/>
        <v>30.173621188990197</v>
      </c>
      <c r="X419" s="463">
        <f t="shared" si="561"/>
        <v>50.079913427896763</v>
      </c>
      <c r="Y419" s="463">
        <f t="shared" si="561"/>
        <v>59.845596706163498</v>
      </c>
      <c r="Z419" s="463">
        <f t="shared" si="561"/>
        <v>69.529063095196008</v>
      </c>
      <c r="AA419" s="463">
        <f t="shared" si="561"/>
        <v>69.239474547404527</v>
      </c>
      <c r="AB419" s="525">
        <f t="shared" si="561"/>
        <v>64.026014126206391</v>
      </c>
    </row>
    <row r="420" spans="2:28" ht="13.5" thickBot="1">
      <c r="B420" s="520" t="s">
        <v>316</v>
      </c>
      <c r="C420" s="521"/>
      <c r="D420" s="521"/>
      <c r="E420" s="522"/>
      <c r="F420" s="522"/>
      <c r="G420" s="522"/>
      <c r="H420" s="522"/>
      <c r="I420" s="521"/>
      <c r="J420" s="522"/>
      <c r="K420" s="522"/>
      <c r="L420" s="522"/>
      <c r="M420" s="522"/>
      <c r="N420" s="521"/>
      <c r="O420" s="522"/>
      <c r="P420" s="522"/>
      <c r="Q420" s="522"/>
      <c r="R420" s="522"/>
      <c r="S420" s="521"/>
      <c r="T420" s="521"/>
      <c r="U420" s="521"/>
      <c r="V420" s="521"/>
      <c r="W420" s="521"/>
      <c r="X420" s="521" t="s">
        <v>385</v>
      </c>
      <c r="Y420" s="521">
        <f t="shared" ref="Y420" si="562">Y418/X418-1</f>
        <v>0.19500200000000034</v>
      </c>
      <c r="Z420" s="521">
        <f t="shared" ref="Z420" si="563">Z418/Y418-1</f>
        <v>0.16180749999999944</v>
      </c>
      <c r="AA420" s="521">
        <f t="shared" ref="AA420" si="564">AA418/Z418-1</f>
        <v>-4.1649999999998633E-3</v>
      </c>
      <c r="AB420" s="523">
        <f t="shared" ref="AB420" si="565">AB418/AA418-1</f>
        <v>-7.5296071428571754E-2</v>
      </c>
    </row>
    <row r="421" spans="2:28" ht="13.5" thickBot="1">
      <c r="B421" s="516"/>
      <c r="C421" s="517"/>
      <c r="D421" s="517"/>
      <c r="E421" s="518"/>
      <c r="F421" s="518"/>
      <c r="G421" s="518"/>
      <c r="H421" s="518"/>
      <c r="I421" s="517"/>
      <c r="J421" s="518"/>
      <c r="K421" s="518"/>
      <c r="L421" s="518"/>
      <c r="M421" s="518"/>
      <c r="N421" s="517"/>
      <c r="O421" s="518"/>
      <c r="P421" s="518"/>
      <c r="Q421" s="518"/>
      <c r="R421" s="518"/>
      <c r="S421" s="517"/>
      <c r="T421" s="517"/>
      <c r="U421" s="517"/>
      <c r="V421" s="517"/>
      <c r="W421" s="517"/>
      <c r="X421" s="517"/>
      <c r="Y421" s="517"/>
      <c r="Z421" s="517"/>
      <c r="AA421" s="517"/>
      <c r="AB421" s="519"/>
    </row>
    <row r="422" spans="2:28">
      <c r="B422" s="508" t="s">
        <v>419</v>
      </c>
      <c r="C422" s="509">
        <f>C205</f>
        <v>0</v>
      </c>
      <c r="D422" s="509">
        <f>D205</f>
        <v>0</v>
      </c>
      <c r="E422" s="510"/>
      <c r="F422" s="510"/>
      <c r="G422" s="510"/>
      <c r="H422" s="510"/>
      <c r="I422" s="509">
        <f t="shared" ref="I422:AB422" si="566">I327</f>
        <v>0</v>
      </c>
      <c r="J422" s="510">
        <f t="shared" si="566"/>
        <v>0</v>
      </c>
      <c r="K422" s="510">
        <f t="shared" si="566"/>
        <v>0</v>
      </c>
      <c r="L422" s="510">
        <f t="shared" si="566"/>
        <v>0</v>
      </c>
      <c r="M422" s="510">
        <f t="shared" si="566"/>
        <v>0</v>
      </c>
      <c r="N422" s="509">
        <f t="shared" si="566"/>
        <v>0</v>
      </c>
      <c r="O422" s="510">
        <f t="shared" si="566"/>
        <v>0</v>
      </c>
      <c r="P422" s="510">
        <f t="shared" si="566"/>
        <v>0</v>
      </c>
      <c r="Q422" s="510">
        <f t="shared" si="566"/>
        <v>0</v>
      </c>
      <c r="R422" s="510">
        <f t="shared" si="566"/>
        <v>0</v>
      </c>
      <c r="S422" s="509">
        <f t="shared" si="566"/>
        <v>0</v>
      </c>
      <c r="T422" s="509">
        <f t="shared" si="566"/>
        <v>0</v>
      </c>
      <c r="U422" s="509">
        <f t="shared" si="566"/>
        <v>0</v>
      </c>
      <c r="V422" s="509">
        <f t="shared" si="566"/>
        <v>4.1993000580984949</v>
      </c>
      <c r="W422" s="509">
        <f t="shared" si="566"/>
        <v>20.699959368114747</v>
      </c>
      <c r="X422" s="509">
        <f t="shared" si="566"/>
        <v>25.509508246216349</v>
      </c>
      <c r="Y422" s="509">
        <f t="shared" si="566"/>
        <v>30.179074239512566</v>
      </c>
      <c r="Z422" s="509">
        <f t="shared" si="566"/>
        <v>34.711652046577271</v>
      </c>
      <c r="AA422" s="509">
        <f t="shared" si="566"/>
        <v>34.221407235645245</v>
      </c>
      <c r="AB422" s="511">
        <f t="shared" si="566"/>
        <v>31.328223014923427</v>
      </c>
    </row>
    <row r="423" spans="2:28">
      <c r="B423" s="524" t="s">
        <v>430</v>
      </c>
      <c r="C423" s="463">
        <f>C208</f>
        <v>0</v>
      </c>
      <c r="D423" s="463">
        <f>D208</f>
        <v>0</v>
      </c>
      <c r="E423" s="464"/>
      <c r="F423" s="464"/>
      <c r="G423" s="464"/>
      <c r="H423" s="464"/>
      <c r="I423" s="463">
        <f t="shared" ref="I423:AB423" si="567">I330</f>
        <v>0</v>
      </c>
      <c r="J423" s="464">
        <f t="shared" si="567"/>
        <v>0</v>
      </c>
      <c r="K423" s="464">
        <f t="shared" si="567"/>
        <v>0</v>
      </c>
      <c r="L423" s="464">
        <f t="shared" si="567"/>
        <v>0</v>
      </c>
      <c r="M423" s="464">
        <f t="shared" si="567"/>
        <v>0</v>
      </c>
      <c r="N423" s="463">
        <f t="shared" si="567"/>
        <v>0</v>
      </c>
      <c r="O423" s="464">
        <f t="shared" si="567"/>
        <v>0</v>
      </c>
      <c r="P423" s="464">
        <f t="shared" si="567"/>
        <v>0</v>
      </c>
      <c r="Q423" s="464">
        <f t="shared" si="567"/>
        <v>0</v>
      </c>
      <c r="R423" s="464">
        <f t="shared" si="567"/>
        <v>0</v>
      </c>
      <c r="S423" s="463">
        <f t="shared" si="567"/>
        <v>0</v>
      </c>
      <c r="T423" s="463">
        <f t="shared" si="567"/>
        <v>0</v>
      </c>
      <c r="U423" s="463">
        <f t="shared" si="567"/>
        <v>0</v>
      </c>
      <c r="V423" s="463">
        <f t="shared" si="567"/>
        <v>3.3594400464787961</v>
      </c>
      <c r="W423" s="463">
        <f t="shared" si="567"/>
        <v>16.559967494491797</v>
      </c>
      <c r="X423" s="463">
        <f t="shared" si="567"/>
        <v>20.407606596973082</v>
      </c>
      <c r="Y423" s="463">
        <f t="shared" si="567"/>
        <v>24.143259391610055</v>
      </c>
      <c r="Z423" s="463">
        <f t="shared" si="567"/>
        <v>27.769321637261818</v>
      </c>
      <c r="AA423" s="463">
        <f t="shared" si="567"/>
        <v>27.377125788516196</v>
      </c>
      <c r="AB423" s="525">
        <f t="shared" si="567"/>
        <v>25.062578411938745</v>
      </c>
    </row>
    <row r="424" spans="2:28" ht="13.5" thickBot="1">
      <c r="B424" s="520" t="s">
        <v>316</v>
      </c>
      <c r="C424" s="521"/>
      <c r="D424" s="521"/>
      <c r="E424" s="522"/>
      <c r="F424" s="522"/>
      <c r="G424" s="522"/>
      <c r="H424" s="522"/>
      <c r="I424" s="521"/>
      <c r="J424" s="522"/>
      <c r="K424" s="522"/>
      <c r="L424" s="522"/>
      <c r="M424" s="522"/>
      <c r="N424" s="521"/>
      <c r="O424" s="522"/>
      <c r="P424" s="522"/>
      <c r="Q424" s="522"/>
      <c r="R424" s="522"/>
      <c r="S424" s="521"/>
      <c r="T424" s="521"/>
      <c r="U424" s="521"/>
      <c r="V424" s="521"/>
      <c r="W424" s="521"/>
      <c r="X424" s="521"/>
      <c r="Y424" s="521"/>
      <c r="Z424" s="521"/>
      <c r="AA424" s="521"/>
      <c r="AB424" s="523"/>
    </row>
    <row r="425" spans="2:28" ht="13.5" thickBot="1">
      <c r="B425" s="504"/>
      <c r="C425" s="505"/>
      <c r="D425" s="505"/>
      <c r="E425" s="506"/>
      <c r="F425" s="506"/>
      <c r="G425" s="506"/>
      <c r="H425" s="506"/>
      <c r="I425" s="505"/>
      <c r="J425" s="506"/>
      <c r="K425" s="506"/>
      <c r="L425" s="506"/>
      <c r="M425" s="506"/>
      <c r="N425" s="505"/>
      <c r="O425" s="506"/>
      <c r="P425" s="506"/>
      <c r="Q425" s="506"/>
      <c r="R425" s="506"/>
      <c r="S425" s="505"/>
      <c r="T425" s="505"/>
      <c r="U425" s="505"/>
      <c r="V425" s="505"/>
      <c r="W425" s="505"/>
      <c r="X425" s="505"/>
      <c r="Y425" s="505"/>
      <c r="Z425" s="505"/>
      <c r="AA425" s="505"/>
      <c r="AB425" s="507"/>
    </row>
    <row r="426" spans="2:28">
      <c r="B426" s="508" t="s">
        <v>427</v>
      </c>
      <c r="C426" s="509">
        <f>C132</f>
        <v>0</v>
      </c>
      <c r="D426" s="509">
        <f>D132</f>
        <v>0</v>
      </c>
      <c r="E426" s="510"/>
      <c r="F426" s="510"/>
      <c r="G426" s="510"/>
      <c r="H426" s="510"/>
      <c r="I426" s="509">
        <f>I259</f>
        <v>0</v>
      </c>
      <c r="J426" s="510">
        <f>J259</f>
        <v>0</v>
      </c>
      <c r="K426" s="510">
        <f>K259</f>
        <v>0</v>
      </c>
      <c r="L426" s="510">
        <f>L259</f>
        <v>0</v>
      </c>
      <c r="M426" s="510">
        <f>M259</f>
        <v>0</v>
      </c>
      <c r="N426" s="509">
        <f t="shared" ref="N426:AA426" si="568">N277</f>
        <v>0</v>
      </c>
      <c r="O426" s="510">
        <f t="shared" si="568"/>
        <v>0</v>
      </c>
      <c r="P426" s="510">
        <f t="shared" si="568"/>
        <v>0</v>
      </c>
      <c r="Q426" s="510">
        <f t="shared" si="568"/>
        <v>0</v>
      </c>
      <c r="R426" s="510">
        <f t="shared" si="568"/>
        <v>0</v>
      </c>
      <c r="S426" s="509">
        <f t="shared" si="568"/>
        <v>0</v>
      </c>
      <c r="T426" s="509">
        <f t="shared" si="568"/>
        <v>0</v>
      </c>
      <c r="U426" s="509">
        <f t="shared" si="568"/>
        <v>0</v>
      </c>
      <c r="V426" s="509">
        <f t="shared" si="568"/>
        <v>7.5749549847590743</v>
      </c>
      <c r="W426" s="509">
        <f t="shared" si="568"/>
        <v>37.717026486237742</v>
      </c>
      <c r="X426" s="509">
        <f t="shared" si="568"/>
        <v>62.599891784870948</v>
      </c>
      <c r="Y426" s="509">
        <f t="shared" si="568"/>
        <v>74.058925923877311</v>
      </c>
      <c r="Z426" s="509">
        <f t="shared" si="568"/>
        <v>85.181793424502033</v>
      </c>
      <c r="AA426" s="509">
        <f t="shared" si="568"/>
        <v>83.978741142340084</v>
      </c>
      <c r="AB426" s="511">
        <f>AB277</f>
        <v>76.878917132296877</v>
      </c>
    </row>
    <row r="427" spans="2:28">
      <c r="B427" s="524" t="s">
        <v>431</v>
      </c>
      <c r="C427" s="463">
        <f>C135</f>
        <v>0</v>
      </c>
      <c r="D427" s="463">
        <f>D135</f>
        <v>0</v>
      </c>
      <c r="E427" s="464"/>
      <c r="F427" s="464"/>
      <c r="G427" s="464"/>
      <c r="H427" s="464"/>
      <c r="I427" s="463">
        <f>I262</f>
        <v>0</v>
      </c>
      <c r="J427" s="464">
        <f>J262</f>
        <v>0</v>
      </c>
      <c r="K427" s="464">
        <f>K262</f>
        <v>0</v>
      </c>
      <c r="L427" s="464">
        <f>L262</f>
        <v>0</v>
      </c>
      <c r="M427" s="464">
        <f>M262</f>
        <v>0</v>
      </c>
      <c r="N427" s="463">
        <f t="shared" ref="N427:AA427" si="569">N280</f>
        <v>0</v>
      </c>
      <c r="O427" s="464">
        <f t="shared" si="569"/>
        <v>0</v>
      </c>
      <c r="P427" s="464">
        <f t="shared" si="569"/>
        <v>0</v>
      </c>
      <c r="Q427" s="464">
        <f t="shared" si="569"/>
        <v>0</v>
      </c>
      <c r="R427" s="464">
        <f t="shared" si="569"/>
        <v>0</v>
      </c>
      <c r="S427" s="463">
        <f t="shared" si="569"/>
        <v>0</v>
      </c>
      <c r="T427" s="463">
        <f t="shared" si="569"/>
        <v>0</v>
      </c>
      <c r="U427" s="463">
        <f t="shared" si="569"/>
        <v>0</v>
      </c>
      <c r="V427" s="463">
        <f t="shared" si="569"/>
        <v>6.0599639878072598</v>
      </c>
      <c r="W427" s="463">
        <f t="shared" si="569"/>
        <v>30.173621188990197</v>
      </c>
      <c r="X427" s="463">
        <f t="shared" si="569"/>
        <v>50.079913427896763</v>
      </c>
      <c r="Y427" s="463">
        <f t="shared" si="569"/>
        <v>59.247140739101852</v>
      </c>
      <c r="Z427" s="463">
        <f t="shared" si="569"/>
        <v>68.145434739601626</v>
      </c>
      <c r="AA427" s="463">
        <f t="shared" si="569"/>
        <v>67.18299291387207</v>
      </c>
      <c r="AB427" s="525">
        <f>AB280</f>
        <v>61.503133705837506</v>
      </c>
    </row>
    <row r="428" spans="2:28" ht="13.5" thickBot="1">
      <c r="B428" s="520" t="s">
        <v>316</v>
      </c>
      <c r="C428" s="521"/>
      <c r="D428" s="521"/>
      <c r="E428" s="522"/>
      <c r="F428" s="522"/>
      <c r="G428" s="522"/>
      <c r="H428" s="522"/>
      <c r="I428" s="521"/>
      <c r="J428" s="522"/>
      <c r="K428" s="522"/>
      <c r="L428" s="522"/>
      <c r="M428" s="522"/>
      <c r="N428" s="521"/>
      <c r="O428" s="522"/>
      <c r="P428" s="522"/>
      <c r="Q428" s="522"/>
      <c r="R428" s="522"/>
      <c r="S428" s="521"/>
      <c r="T428" s="521"/>
      <c r="U428" s="521"/>
      <c r="V428" s="521"/>
      <c r="W428" s="521"/>
      <c r="X428" s="521" t="s">
        <v>385</v>
      </c>
      <c r="Y428" s="521">
        <f t="shared" ref="Y428" si="570">Y426/X426-1</f>
        <v>0.18305198000000011</v>
      </c>
      <c r="Z428" s="521">
        <f t="shared" ref="Z428" si="571">Z426/Y426-1</f>
        <v>0.15018942499999999</v>
      </c>
      <c r="AA428" s="521">
        <f t="shared" ref="AA428" si="572">AA426/Z426-1</f>
        <v>-1.412335000000009E-2</v>
      </c>
      <c r="AB428" s="523">
        <f t="shared" ref="AB428" si="573">AB426/AA426-1</f>
        <v>-8.4543110714285774E-2</v>
      </c>
    </row>
    <row r="429" spans="2:28" ht="13.5" thickBot="1">
      <c r="B429" s="516"/>
      <c r="C429" s="517"/>
      <c r="D429" s="517"/>
      <c r="E429" s="518"/>
      <c r="F429" s="518"/>
      <c r="G429" s="518"/>
      <c r="H429" s="518"/>
      <c r="I429" s="517"/>
      <c r="J429" s="518"/>
      <c r="K429" s="518"/>
      <c r="L429" s="518"/>
      <c r="M429" s="518"/>
      <c r="N429" s="517"/>
      <c r="O429" s="518"/>
      <c r="P429" s="518"/>
      <c r="Q429" s="518"/>
      <c r="R429" s="518"/>
      <c r="S429" s="517"/>
      <c r="T429" s="517"/>
      <c r="U429" s="517"/>
      <c r="V429" s="517"/>
      <c r="W429" s="517"/>
      <c r="X429" s="517"/>
      <c r="Y429" s="517"/>
      <c r="Z429" s="517"/>
      <c r="AA429" s="517"/>
      <c r="AB429" s="519"/>
    </row>
    <row r="430" spans="2:28">
      <c r="B430" s="508" t="s">
        <v>428</v>
      </c>
      <c r="C430" s="509">
        <f>C213</f>
        <v>0</v>
      </c>
      <c r="D430" s="509">
        <f>D213</f>
        <v>0</v>
      </c>
      <c r="E430" s="510"/>
      <c r="F430" s="510"/>
      <c r="G430" s="510"/>
      <c r="H430" s="510"/>
      <c r="I430" s="509">
        <f>I335</f>
        <v>0</v>
      </c>
      <c r="J430" s="510">
        <f>J335</f>
        <v>0</v>
      </c>
      <c r="K430" s="510">
        <f>K335</f>
        <v>0</v>
      </c>
      <c r="L430" s="510">
        <f>L335</f>
        <v>0</v>
      </c>
      <c r="M430" s="510">
        <f>M335</f>
        <v>0</v>
      </c>
      <c r="N430" s="509">
        <f t="shared" ref="N430:AA430" si="574">N353</f>
        <v>0</v>
      </c>
      <c r="O430" s="510">
        <f t="shared" si="574"/>
        <v>0</v>
      </c>
      <c r="P430" s="510">
        <f t="shared" si="574"/>
        <v>0</v>
      </c>
      <c r="Q430" s="510">
        <f t="shared" si="574"/>
        <v>0</v>
      </c>
      <c r="R430" s="510">
        <f t="shared" si="574"/>
        <v>0</v>
      </c>
      <c r="S430" s="509">
        <f t="shared" si="574"/>
        <v>0</v>
      </c>
      <c r="T430" s="509">
        <f t="shared" si="574"/>
        <v>0</v>
      </c>
      <c r="U430" s="509">
        <f t="shared" si="574"/>
        <v>0</v>
      </c>
      <c r="V430" s="509">
        <f t="shared" si="574"/>
        <v>4.1993000580984949</v>
      </c>
      <c r="W430" s="509">
        <f t="shared" si="574"/>
        <v>20.699959368114747</v>
      </c>
      <c r="X430" s="509">
        <f t="shared" si="574"/>
        <v>25.509508246216349</v>
      </c>
      <c r="Y430" s="509">
        <f t="shared" si="574"/>
        <v>30.179074239512566</v>
      </c>
      <c r="Z430" s="509">
        <f t="shared" si="574"/>
        <v>34.711652046577271</v>
      </c>
      <c r="AA430" s="509">
        <f t="shared" si="574"/>
        <v>34.221407235645245</v>
      </c>
      <c r="AB430" s="511">
        <f>AB353</f>
        <v>31.328223014923427</v>
      </c>
    </row>
    <row r="431" spans="2:28">
      <c r="B431" s="524" t="s">
        <v>432</v>
      </c>
      <c r="C431" s="463">
        <f>C216</f>
        <v>0</v>
      </c>
      <c r="D431" s="463">
        <f>D216</f>
        <v>0</v>
      </c>
      <c r="E431" s="464"/>
      <c r="F431" s="464"/>
      <c r="G431" s="464"/>
      <c r="H431" s="464"/>
      <c r="I431" s="463">
        <f>I338</f>
        <v>0</v>
      </c>
      <c r="J431" s="464">
        <f>J338</f>
        <v>0</v>
      </c>
      <c r="K431" s="464">
        <f>K338</f>
        <v>0</v>
      </c>
      <c r="L431" s="464">
        <f>L338</f>
        <v>0</v>
      </c>
      <c r="M431" s="464">
        <f>M338</f>
        <v>0</v>
      </c>
      <c r="N431" s="463">
        <f t="shared" ref="N431:AA431" si="575">N356</f>
        <v>0</v>
      </c>
      <c r="O431" s="464">
        <f t="shared" si="575"/>
        <v>0</v>
      </c>
      <c r="P431" s="464">
        <f t="shared" si="575"/>
        <v>0</v>
      </c>
      <c r="Q431" s="464">
        <f t="shared" si="575"/>
        <v>0</v>
      </c>
      <c r="R431" s="464">
        <f t="shared" si="575"/>
        <v>0</v>
      </c>
      <c r="S431" s="463">
        <f t="shared" si="575"/>
        <v>0</v>
      </c>
      <c r="T431" s="463">
        <f t="shared" si="575"/>
        <v>0</v>
      </c>
      <c r="U431" s="463">
        <f t="shared" si="575"/>
        <v>0</v>
      </c>
      <c r="V431" s="463">
        <f t="shared" si="575"/>
        <v>3.3594400464787961</v>
      </c>
      <c r="W431" s="463">
        <f t="shared" si="575"/>
        <v>16.559967494491797</v>
      </c>
      <c r="X431" s="463">
        <f t="shared" si="575"/>
        <v>20.407606596973082</v>
      </c>
      <c r="Y431" s="463">
        <f t="shared" si="575"/>
        <v>24.143259391610055</v>
      </c>
      <c r="Z431" s="463">
        <f t="shared" si="575"/>
        <v>27.769321637261818</v>
      </c>
      <c r="AA431" s="463">
        <f t="shared" si="575"/>
        <v>27.377125788516196</v>
      </c>
      <c r="AB431" s="525">
        <f>AB356</f>
        <v>25.062578411938745</v>
      </c>
    </row>
    <row r="432" spans="2:28" ht="13.5" thickBot="1">
      <c r="B432" s="520" t="s">
        <v>316</v>
      </c>
      <c r="C432" s="521"/>
      <c r="D432" s="521"/>
      <c r="E432" s="522"/>
      <c r="F432" s="522"/>
      <c r="G432" s="522"/>
      <c r="H432" s="522"/>
      <c r="I432" s="521"/>
      <c r="J432" s="522"/>
      <c r="K432" s="522"/>
      <c r="L432" s="522"/>
      <c r="M432" s="522"/>
      <c r="N432" s="521"/>
      <c r="O432" s="522"/>
      <c r="P432" s="522"/>
      <c r="Q432" s="522"/>
      <c r="R432" s="522"/>
      <c r="S432" s="521"/>
      <c r="T432" s="521"/>
      <c r="U432" s="521"/>
      <c r="V432" s="521"/>
      <c r="W432" s="521"/>
      <c r="X432" s="521"/>
      <c r="Y432" s="521"/>
      <c r="Z432" s="521"/>
      <c r="AA432" s="521"/>
      <c r="AB432" s="523"/>
    </row>
    <row r="433" spans="2:28" ht="13.5" thickBot="1">
      <c r="B433" s="504"/>
      <c r="C433" s="505"/>
      <c r="D433" s="505"/>
      <c r="E433" s="506"/>
      <c r="F433" s="506"/>
      <c r="G433" s="506"/>
      <c r="H433" s="506"/>
      <c r="I433" s="505"/>
      <c r="J433" s="506"/>
      <c r="K433" s="506"/>
      <c r="L433" s="506"/>
      <c r="M433" s="506"/>
      <c r="N433" s="505"/>
      <c r="O433" s="506"/>
      <c r="P433" s="506"/>
      <c r="Q433" s="506"/>
      <c r="R433" s="506"/>
      <c r="S433" s="505"/>
      <c r="T433" s="505"/>
      <c r="U433" s="505"/>
      <c r="V433" s="505"/>
      <c r="W433" s="505"/>
      <c r="X433" s="505"/>
      <c r="Y433" s="505"/>
      <c r="Z433" s="505"/>
      <c r="AA433" s="505"/>
      <c r="AB433" s="507"/>
    </row>
    <row r="434" spans="2:28" ht="13.5" thickBot="1">
      <c r="B434" s="526" t="s">
        <v>348</v>
      </c>
      <c r="C434" s="527"/>
      <c r="D434" s="527"/>
      <c r="E434" s="527"/>
      <c r="F434" s="527"/>
      <c r="G434" s="527"/>
      <c r="H434" s="527"/>
      <c r="I434" s="527">
        <f t="shared" ref="I434:M434" si="576">I419+I415+I423+I412</f>
        <v>0</v>
      </c>
      <c r="J434" s="527">
        <f t="shared" si="576"/>
        <v>0</v>
      </c>
      <c r="K434" s="527">
        <f t="shared" si="576"/>
        <v>0</v>
      </c>
      <c r="L434" s="527">
        <f t="shared" si="576"/>
        <v>0</v>
      </c>
      <c r="M434" s="527">
        <f t="shared" si="576"/>
        <v>0</v>
      </c>
      <c r="N434" s="527">
        <f t="shared" ref="N434:AA434" si="577">N412+N415+N418+N422+N426+N430</f>
        <v>0</v>
      </c>
      <c r="O434" s="527">
        <f t="shared" si="577"/>
        <v>0</v>
      </c>
      <c r="P434" s="527">
        <f t="shared" si="577"/>
        <v>0</v>
      </c>
      <c r="Q434" s="527">
        <f t="shared" si="577"/>
        <v>4.5070932485197295</v>
      </c>
      <c r="R434" s="527">
        <f t="shared" si="577"/>
        <v>10.830844963575561</v>
      </c>
      <c r="S434" s="527">
        <f t="shared" si="577"/>
        <v>15.33793821209529</v>
      </c>
      <c r="T434" s="527">
        <f t="shared" si="577"/>
        <v>63.810087799086119</v>
      </c>
      <c r="U434" s="527">
        <f t="shared" si="577"/>
        <v>139.41907301355269</v>
      </c>
      <c r="V434" s="527">
        <f t="shared" si="577"/>
        <v>230.56818791639296</v>
      </c>
      <c r="W434" s="527">
        <f t="shared" si="577"/>
        <v>354.94581591645738</v>
      </c>
      <c r="X434" s="527">
        <f t="shared" si="577"/>
        <v>410.96770735503537</v>
      </c>
      <c r="Y434" s="527">
        <f t="shared" si="577"/>
        <v>424.12657471914974</v>
      </c>
      <c r="Z434" s="527">
        <f t="shared" si="577"/>
        <v>437.08629821516064</v>
      </c>
      <c r="AA434" s="527">
        <f t="shared" si="577"/>
        <v>415.71135470383786</v>
      </c>
      <c r="AB434" s="528">
        <f>AB412+AB415+AB418+AB422+AB426+AB430</f>
        <v>377.97177953629466</v>
      </c>
    </row>
    <row r="435" spans="2:28" s="427" customFormat="1" ht="13.5" thickBot="1">
      <c r="B435" s="512" t="s">
        <v>316</v>
      </c>
      <c r="C435" s="513"/>
      <c r="D435" s="513"/>
      <c r="E435" s="514"/>
      <c r="F435" s="514"/>
      <c r="G435" s="514"/>
      <c r="H435" s="514"/>
      <c r="I435" s="513"/>
      <c r="J435" s="514"/>
      <c r="K435" s="514"/>
      <c r="L435" s="514"/>
      <c r="M435" s="514"/>
      <c r="N435" s="513"/>
      <c r="O435" s="514"/>
      <c r="P435" s="514"/>
      <c r="Q435" s="514"/>
      <c r="R435" s="514"/>
      <c r="S435" s="513"/>
      <c r="T435" s="513">
        <f>T434/S434-1</f>
        <v>3.1602780580225804</v>
      </c>
      <c r="U435" s="513">
        <f t="shared" ref="U435" si="578">U434/T434-1</f>
        <v>1.1849064595010543</v>
      </c>
      <c r="V435" s="513">
        <f t="shared" ref="V435" si="579">V434/U434-1</f>
        <v>0.65377794395448197</v>
      </c>
      <c r="W435" s="513">
        <f t="shared" ref="W435" si="580">W434/V434-1</f>
        <v>0.53943967346078714</v>
      </c>
      <c r="X435" s="513">
        <f t="shared" ref="X435" si="581">X434/W434-1</f>
        <v>0.15783223502418675</v>
      </c>
      <c r="Y435" s="513">
        <f t="shared" ref="Y435" si="582">Y434/X434-1</f>
        <v>3.2019224694816328E-2</v>
      </c>
      <c r="Z435" s="513">
        <f t="shared" ref="Z435" si="583">Z434/Y434-1</f>
        <v>3.0556263786565729E-2</v>
      </c>
      <c r="AA435" s="513">
        <f t="shared" ref="AA435" si="584">AA434/Z434-1</f>
        <v>-4.8903256859359923E-2</v>
      </c>
      <c r="AB435" s="515">
        <f t="shared" ref="AB435" si="585">AB434/AA434-1</f>
        <v>-9.0783123290990475E-2</v>
      </c>
    </row>
    <row r="436" spans="2:28" ht="13.5" thickBot="1">
      <c r="B436" s="504"/>
      <c r="C436" s="505"/>
      <c r="D436" s="505"/>
      <c r="E436" s="506"/>
      <c r="F436" s="506"/>
      <c r="G436" s="506"/>
      <c r="H436" s="506"/>
      <c r="I436" s="505"/>
      <c r="J436" s="506"/>
      <c r="K436" s="506"/>
      <c r="L436" s="506"/>
      <c r="M436" s="506"/>
      <c r="N436" s="505"/>
      <c r="O436" s="506"/>
      <c r="P436" s="506"/>
      <c r="Q436" s="506"/>
      <c r="R436" s="506"/>
      <c r="S436" s="505"/>
      <c r="T436" s="505"/>
      <c r="U436" s="505"/>
      <c r="V436" s="505"/>
      <c r="W436" s="505"/>
      <c r="X436" s="505"/>
      <c r="Y436" s="505"/>
      <c r="Z436" s="505"/>
      <c r="AA436" s="505"/>
      <c r="AB436" s="507"/>
    </row>
    <row r="437" spans="2:28" ht="13.5" thickBot="1">
      <c r="B437" s="526" t="s">
        <v>380</v>
      </c>
      <c r="C437" s="527"/>
      <c r="D437" s="527"/>
      <c r="E437" s="527"/>
      <c r="F437" s="527"/>
      <c r="G437" s="527"/>
      <c r="H437" s="527"/>
      <c r="I437" s="527"/>
      <c r="J437" s="527">
        <f>J434*(1-J438)</f>
        <v>0</v>
      </c>
      <c r="K437" s="527">
        <f>K434*(1-K438)</f>
        <v>0</v>
      </c>
      <c r="L437" s="527">
        <f>L434*(1-L438)</f>
        <v>0</v>
      </c>
      <c r="M437" s="527">
        <f>M434*(1-M438)</f>
        <v>0</v>
      </c>
      <c r="N437" s="527">
        <f t="shared" ref="N437:AA437" si="586">N412+N415+N419+N423+N427+N431</f>
        <v>0</v>
      </c>
      <c r="O437" s="527">
        <f t="shared" si="586"/>
        <v>0</v>
      </c>
      <c r="P437" s="527">
        <f t="shared" si="586"/>
        <v>0</v>
      </c>
      <c r="Q437" s="527">
        <f t="shared" si="586"/>
        <v>4.5070932485197295</v>
      </c>
      <c r="R437" s="527">
        <f t="shared" si="586"/>
        <v>10.830844963575561</v>
      </c>
      <c r="S437" s="527">
        <f t="shared" si="586"/>
        <v>15.33793821209529</v>
      </c>
      <c r="T437" s="527">
        <f t="shared" si="586"/>
        <v>63.810087799086119</v>
      </c>
      <c r="U437" s="527">
        <f t="shared" si="586"/>
        <v>139.41907301355269</v>
      </c>
      <c r="V437" s="527">
        <f t="shared" si="586"/>
        <v>225.85848589924996</v>
      </c>
      <c r="W437" s="527">
        <f t="shared" si="586"/>
        <v>331.57902157471642</v>
      </c>
      <c r="X437" s="527">
        <f t="shared" si="586"/>
        <v>375.72394734260058</v>
      </c>
      <c r="Y437" s="527">
        <f t="shared" si="586"/>
        <v>382.28176066202843</v>
      </c>
      <c r="Z437" s="527">
        <f t="shared" si="586"/>
        <v>388.78301293783034</v>
      </c>
      <c r="AA437" s="527">
        <f t="shared" si="586"/>
        <v>367.91717494426058</v>
      </c>
      <c r="AB437" s="528">
        <f>AB412+AB415+AB419+AB423+AB427+AB431</f>
        <v>334.05820337231432</v>
      </c>
    </row>
    <row r="438" spans="2:28" s="427" customFormat="1" ht="13.5" thickBot="1">
      <c r="B438" s="512" t="s">
        <v>376</v>
      </c>
      <c r="C438" s="513"/>
      <c r="D438" s="513"/>
      <c r="E438" s="514"/>
      <c r="F438" s="514"/>
      <c r="G438" s="514"/>
      <c r="H438" s="514"/>
      <c r="I438" s="513"/>
      <c r="J438" s="514"/>
      <c r="K438" s="514"/>
      <c r="L438" s="514">
        <f t="shared" ref="L438:Y438" si="587">L364</f>
        <v>0.08</v>
      </c>
      <c r="M438" s="514">
        <f t="shared" si="587"/>
        <v>0.08</v>
      </c>
      <c r="N438" s="513">
        <f t="shared" si="587"/>
        <v>0</v>
      </c>
      <c r="O438" s="514">
        <f t="shared" si="587"/>
        <v>0.08</v>
      </c>
      <c r="P438" s="514">
        <f t="shared" si="587"/>
        <v>0.08</v>
      </c>
      <c r="Q438" s="514">
        <f t="shared" si="587"/>
        <v>0.08</v>
      </c>
      <c r="R438" s="514">
        <f t="shared" si="587"/>
        <v>0.08</v>
      </c>
      <c r="S438" s="513">
        <f t="shared" si="587"/>
        <v>0.08</v>
      </c>
      <c r="T438" s="513">
        <f t="shared" si="587"/>
        <v>0.08</v>
      </c>
      <c r="U438" s="513">
        <f t="shared" si="587"/>
        <v>0.08</v>
      </c>
      <c r="V438" s="513">
        <f t="shared" si="587"/>
        <v>0.08</v>
      </c>
      <c r="W438" s="513">
        <f t="shared" si="587"/>
        <v>0.08</v>
      </c>
      <c r="X438" s="513">
        <f t="shared" si="587"/>
        <v>0.08</v>
      </c>
      <c r="Y438" s="513">
        <f t="shared" si="587"/>
        <v>0.05</v>
      </c>
      <c r="Z438" s="513"/>
      <c r="AA438" s="513"/>
      <c r="AB438" s="515"/>
    </row>
    <row r="439" spans="2:28" ht="13.5" thickBot="1">
      <c r="B439" s="492"/>
      <c r="C439" s="611"/>
      <c r="D439" s="611"/>
      <c r="E439" s="612"/>
      <c r="F439" s="612"/>
      <c r="G439" s="612"/>
      <c r="H439" s="612"/>
      <c r="I439" s="611"/>
      <c r="J439" s="612"/>
      <c r="K439" s="612"/>
      <c r="L439" s="612"/>
      <c r="M439" s="612"/>
      <c r="N439" s="611"/>
      <c r="O439" s="612"/>
      <c r="P439" s="612"/>
      <c r="Q439" s="612"/>
      <c r="R439" s="612"/>
      <c r="S439" s="611"/>
      <c r="T439" s="611"/>
      <c r="U439" s="611"/>
      <c r="V439" s="611"/>
      <c r="W439" s="611"/>
      <c r="X439" s="611"/>
      <c r="Y439" s="611"/>
      <c r="Z439" s="611"/>
      <c r="AA439" s="611"/>
      <c r="AB439" s="613"/>
    </row>
    <row r="440" spans="2:28" hidden="1" outlineLevel="1">
      <c r="B440" s="609" t="s">
        <v>450</v>
      </c>
      <c r="C440" s="517"/>
      <c r="D440" s="517"/>
      <c r="E440" s="518"/>
      <c r="F440" s="518"/>
      <c r="G440" s="518"/>
      <c r="H440" s="518"/>
      <c r="I440" s="517"/>
      <c r="J440" s="518"/>
      <c r="K440" s="518"/>
      <c r="L440" s="518"/>
      <c r="M440" s="518"/>
      <c r="N440" s="517"/>
      <c r="O440" s="518"/>
      <c r="P440" s="518"/>
      <c r="Q440" s="518"/>
      <c r="R440" s="518"/>
      <c r="S440" s="517"/>
      <c r="T440" s="517">
        <f>(T434+T398)-'DMD Gene Therapy'!T105*(T434+T398)</f>
        <v>455.2234098939565</v>
      </c>
      <c r="U440" s="517">
        <f>(U434+U398)-'DMD Gene Therapy'!U105*(U434+U398)</f>
        <v>559.38753207476702</v>
      </c>
      <c r="V440" s="517">
        <f>U440*0.5</f>
        <v>279.69376603738351</v>
      </c>
      <c r="W440" s="517">
        <f t="shared" ref="W440:AB440" si="588">V440*0.5</f>
        <v>139.84688301869176</v>
      </c>
      <c r="X440" s="517">
        <f t="shared" si="588"/>
        <v>69.923441509345878</v>
      </c>
      <c r="Y440" s="517">
        <f t="shared" si="588"/>
        <v>34.961720754672939</v>
      </c>
      <c r="Z440" s="517">
        <f t="shared" si="588"/>
        <v>17.480860377336469</v>
      </c>
      <c r="AA440" s="517">
        <f t="shared" si="588"/>
        <v>8.7404301886682347</v>
      </c>
      <c r="AB440" s="519">
        <f t="shared" si="588"/>
        <v>4.3702150943341174</v>
      </c>
    </row>
    <row r="441" spans="2:28" hidden="1" outlineLevel="1">
      <c r="B441" s="609" t="s">
        <v>451</v>
      </c>
      <c r="C441" s="517"/>
      <c r="D441" s="517"/>
      <c r="E441" s="518"/>
      <c r="F441" s="518"/>
      <c r="G441" s="518"/>
      <c r="H441" s="518"/>
      <c r="I441" s="517"/>
      <c r="J441" s="518"/>
      <c r="K441" s="518"/>
      <c r="L441" s="518"/>
      <c r="M441" s="518"/>
      <c r="N441" s="517"/>
      <c r="O441" s="518"/>
      <c r="P441" s="518"/>
      <c r="Q441" s="518"/>
      <c r="R441" s="518"/>
      <c r="S441" s="517"/>
      <c r="T441" s="517">
        <f>(T434+T398)-'DMD Gene Therapy'!T106*(T434+T398)</f>
        <v>455.2234098939565</v>
      </c>
      <c r="U441" s="517">
        <f>(U434+U398)-'DMD Gene Therapy'!U106*(U434+U398)</f>
        <v>588.82898113133365</v>
      </c>
      <c r="V441" s="517">
        <f>(V434+V398)-'DMD Gene Therapy'!V106*(V434+V398)</f>
        <v>763.12577476090541</v>
      </c>
      <c r="W441" s="517">
        <f>(W434+W398)-'DMD Gene Therapy'!W106*(W434+W398)</f>
        <v>915.29225320509647</v>
      </c>
      <c r="X441" s="517">
        <f>W441*0.65</f>
        <v>594.93996458331276</v>
      </c>
      <c r="Y441" s="517">
        <f>X441*0.65</f>
        <v>386.71097697915332</v>
      </c>
      <c r="Z441" s="517">
        <f>Y441*0.65</f>
        <v>251.36213503644967</v>
      </c>
      <c r="AA441" s="517">
        <f>Z441*0.65</f>
        <v>163.38538777369229</v>
      </c>
      <c r="AB441" s="519">
        <f>AA441*0.65</f>
        <v>106.20050205289999</v>
      </c>
    </row>
    <row r="442" spans="2:28" ht="13.5" hidden="1" outlineLevel="1" thickBot="1">
      <c r="B442" s="614" t="s">
        <v>452</v>
      </c>
      <c r="C442" s="615"/>
      <c r="D442" s="615"/>
      <c r="E442" s="616"/>
      <c r="F442" s="616"/>
      <c r="G442" s="616"/>
      <c r="H442" s="616"/>
      <c r="I442" s="615"/>
      <c r="J442" s="616"/>
      <c r="K442" s="616"/>
      <c r="L442" s="616"/>
      <c r="M442" s="616"/>
      <c r="N442" s="615"/>
      <c r="O442" s="616"/>
      <c r="P442" s="616"/>
      <c r="Q442" s="616"/>
      <c r="R442" s="616"/>
      <c r="S442" s="615"/>
      <c r="T442" s="615">
        <f>(T434+T398)</f>
        <v>455.2234098939565</v>
      </c>
      <c r="U442" s="615">
        <f t="shared" ref="U442:AB442" si="589">(U434+U398)</f>
        <v>588.82898113133365</v>
      </c>
      <c r="V442" s="615">
        <f t="shared" si="589"/>
        <v>763.12577476090541</v>
      </c>
      <c r="W442" s="615">
        <f t="shared" si="589"/>
        <v>950.95299034295738</v>
      </c>
      <c r="X442" s="615">
        <f t="shared" si="589"/>
        <v>1074.3417426418596</v>
      </c>
      <c r="Y442" s="615">
        <f t="shared" si="589"/>
        <v>1142.844003422792</v>
      </c>
      <c r="Z442" s="615">
        <f t="shared" si="589"/>
        <v>1201.8536294204616</v>
      </c>
      <c r="AA442" s="615">
        <f t="shared" si="589"/>
        <v>1226.9040389192321</v>
      </c>
      <c r="AB442" s="617">
        <f t="shared" si="589"/>
        <v>1201.9111313615037</v>
      </c>
    </row>
    <row r="443" spans="2:28" ht="13.5" collapsed="1" thickBot="1">
      <c r="B443" s="526" t="s">
        <v>386</v>
      </c>
      <c r="C443" s="527"/>
      <c r="D443" s="527"/>
      <c r="E443" s="527"/>
      <c r="F443" s="527"/>
      <c r="G443" s="527"/>
      <c r="H443" s="527" t="e">
        <f>H423+#REF!</f>
        <v>#REF!</v>
      </c>
      <c r="I443" s="527">
        <f t="shared" ref="I443:S443" si="590">I434+I398</f>
        <v>5.3897295718326985</v>
      </c>
      <c r="J443" s="527">
        <f t="shared" si="590"/>
        <v>15.850868581543846</v>
      </c>
      <c r="K443" s="527">
        <f t="shared" si="590"/>
        <v>33.041414191924048</v>
      </c>
      <c r="L443" s="527">
        <f t="shared" si="590"/>
        <v>47.51800508416764</v>
      </c>
      <c r="M443" s="527">
        <f t="shared" si="590"/>
        <v>57.105555546055477</v>
      </c>
      <c r="N443" s="580">
        <f t="shared" si="590"/>
        <v>153.51584340369101</v>
      </c>
      <c r="O443" s="527">
        <f t="shared" si="590"/>
        <v>60.662578706371669</v>
      </c>
      <c r="P443" s="527">
        <f t="shared" si="590"/>
        <v>67.128666285255605</v>
      </c>
      <c r="Q443" s="527">
        <f t="shared" si="590"/>
        <v>77.859227719972822</v>
      </c>
      <c r="R443" s="527">
        <f t="shared" si="590"/>
        <v>90.015427522395285</v>
      </c>
      <c r="S443" s="527">
        <f t="shared" si="590"/>
        <v>295.66590023399539</v>
      </c>
      <c r="T443" s="527">
        <f>IF('DMD Gene Therapy'!$AA$2=1,CHOOSE(DMD!$N$2,DMD!T440,DMD!T441,DMD!T442),(T434+T398))</f>
        <v>455.2234098939565</v>
      </c>
      <c r="U443" s="527">
        <f>IF('DMD Gene Therapy'!$AA$2=1,CHOOSE(DMD!$N$2,DMD!U440,DMD!U441,DMD!U442),(U434+U398))</f>
        <v>588.82898113133365</v>
      </c>
      <c r="V443" s="527">
        <f>IF('DMD Gene Therapy'!$AA$2=1,CHOOSE(DMD!$N$2,DMD!V440,DMD!V441,DMD!V442),(V434+V398))</f>
        <v>763.12577476090541</v>
      </c>
      <c r="W443" s="527">
        <f>IF('DMD Gene Therapy'!$AA$2=1,CHOOSE(DMD!$N$2,DMD!W440,DMD!W441,DMD!W442),(W434+W398))</f>
        <v>915.29225320509647</v>
      </c>
      <c r="X443" s="527">
        <f>IF('DMD Gene Therapy'!$AA$2=1,CHOOSE(DMD!$N$2,DMD!X440,DMD!X441,DMD!X442),(X434+X398))</f>
        <v>594.93996458331276</v>
      </c>
      <c r="Y443" s="527">
        <f>IF('DMD Gene Therapy'!$AA$2=1,CHOOSE(DMD!$N$2,DMD!Y440,DMD!Y441,DMD!Y442),(Y434+Y398))</f>
        <v>386.71097697915332</v>
      </c>
      <c r="Z443" s="527">
        <f>IF('DMD Gene Therapy'!$AA$2=1,CHOOSE(DMD!$N$2,DMD!Z440,DMD!Z441,DMD!Z442),(Z434+Z398))</f>
        <v>251.36213503644967</v>
      </c>
      <c r="AA443" s="527">
        <f>IF('DMD Gene Therapy'!$AA$2=1,CHOOSE(DMD!$N$2,DMD!AA440,DMD!AA441,DMD!AA442),(AA434+AA398))</f>
        <v>163.38538777369229</v>
      </c>
      <c r="AB443" s="528">
        <f>IF('DMD Gene Therapy'!$AA$2=1,CHOOSE(DMD!$N$2,DMD!AB440,DMD!AB441,DMD!AB442),(AB434+AB398))</f>
        <v>106.20050205289999</v>
      </c>
    </row>
    <row r="444" spans="2:28" s="427" customFormat="1" ht="13.5" thickBot="1">
      <c r="B444" s="512" t="s">
        <v>316</v>
      </c>
      <c r="C444" s="513"/>
      <c r="D444" s="513"/>
      <c r="E444" s="514"/>
      <c r="F444" s="514"/>
      <c r="G444" s="514"/>
      <c r="H444" s="514"/>
      <c r="I444" s="513"/>
      <c r="J444" s="514"/>
      <c r="K444" s="514"/>
      <c r="L444" s="514"/>
      <c r="M444" s="514"/>
      <c r="N444" s="513">
        <f t="shared" ref="N444" si="591">N443/I443-1</f>
        <v>27.48303265640287</v>
      </c>
      <c r="O444" s="514"/>
      <c r="P444" s="514"/>
      <c r="Q444" s="514"/>
      <c r="R444" s="514"/>
      <c r="S444" s="513">
        <f>S443/N443-1</f>
        <v>0.9259634294325001</v>
      </c>
      <c r="T444" s="513">
        <f>T443/S443-1</f>
        <v>0.53965475739232827</v>
      </c>
      <c r="U444" s="513">
        <f t="shared" ref="U444" si="592">U443/T443-1</f>
        <v>0.29349450914332453</v>
      </c>
      <c r="V444" s="513">
        <f t="shared" ref="V444" si="593">V443/U443-1</f>
        <v>0.29600580001121957</v>
      </c>
      <c r="W444" s="513">
        <f t="shared" ref="W444" si="594">W443/V443-1</f>
        <v>0.19939895031309396</v>
      </c>
      <c r="X444" s="513">
        <f t="shared" ref="X444" si="595">X443/W443-1</f>
        <v>-0.35</v>
      </c>
      <c r="Y444" s="513">
        <f t="shared" ref="Y444" si="596">Y443/X443-1</f>
        <v>-0.35</v>
      </c>
      <c r="Z444" s="513">
        <f t="shared" ref="Z444" si="597">Z443/Y443-1</f>
        <v>-0.35</v>
      </c>
      <c r="AA444" s="513">
        <f t="shared" ref="AA444" si="598">AA443/Z443-1</f>
        <v>-0.35</v>
      </c>
      <c r="AB444" s="515">
        <f t="shared" ref="AB444" si="599">AB443/AA443-1</f>
        <v>-0.35</v>
      </c>
    </row>
    <row r="445" spans="2:28" ht="13.5" thickBot="1">
      <c r="B445" s="516"/>
      <c r="C445" s="517"/>
      <c r="D445" s="517"/>
      <c r="E445" s="518"/>
      <c r="F445" s="518"/>
      <c r="G445" s="518"/>
      <c r="H445" s="518"/>
      <c r="I445" s="517"/>
      <c r="J445" s="518"/>
      <c r="K445" s="518"/>
      <c r="L445" s="518"/>
      <c r="M445" s="518"/>
      <c r="N445" s="517"/>
      <c r="O445" s="518"/>
      <c r="P445" s="518"/>
      <c r="Q445" s="518"/>
      <c r="R445" s="518"/>
      <c r="S445" s="517"/>
      <c r="T445" s="517"/>
      <c r="U445" s="517"/>
      <c r="V445" s="517"/>
      <c r="W445" s="517"/>
      <c r="X445" s="517"/>
      <c r="Y445" s="517"/>
      <c r="Z445" s="517"/>
      <c r="AA445" s="517"/>
      <c r="AB445" s="519"/>
    </row>
    <row r="446" spans="2:28" ht="13.5" thickBot="1">
      <c r="B446" s="526" t="s">
        <v>381</v>
      </c>
      <c r="C446" s="527"/>
      <c r="D446" s="527"/>
      <c r="E446" s="527"/>
      <c r="F446" s="527"/>
      <c r="G446" s="527"/>
      <c r="H446" s="527" t="e">
        <f>H434+H398</f>
        <v>#REF!</v>
      </c>
      <c r="I446" s="527">
        <f>I434+I398</f>
        <v>5.3897295718326985</v>
      </c>
      <c r="J446" s="527">
        <f t="shared" ref="J446:AB446" si="600">J437+J401</f>
        <v>15.058325152466653</v>
      </c>
      <c r="K446" s="527">
        <f t="shared" si="600"/>
        <v>31.389343482327845</v>
      </c>
      <c r="L446" s="527">
        <f t="shared" si="600"/>
        <v>45.142104829959258</v>
      </c>
      <c r="M446" s="527">
        <f t="shared" si="600"/>
        <v>54.250277768752703</v>
      </c>
      <c r="N446" s="527">
        <f t="shared" si="600"/>
        <v>145.84005123350647</v>
      </c>
      <c r="O446" s="527">
        <f t="shared" si="600"/>
        <v>57.629449771053082</v>
      </c>
      <c r="P446" s="527">
        <f t="shared" si="600"/>
        <v>63.772232970992825</v>
      </c>
      <c r="Q446" s="527">
        <f t="shared" si="600"/>
        <v>74.191620996400161</v>
      </c>
      <c r="R446" s="527">
        <f t="shared" si="600"/>
        <v>86.056198394454299</v>
      </c>
      <c r="S446" s="527">
        <f t="shared" si="600"/>
        <v>281.64950213290041</v>
      </c>
      <c r="T446" s="527">
        <f t="shared" si="600"/>
        <v>435.65274378921299</v>
      </c>
      <c r="U446" s="527">
        <f t="shared" si="600"/>
        <v>566.35848572544455</v>
      </c>
      <c r="V446" s="527">
        <f t="shared" si="600"/>
        <v>731.78819340153677</v>
      </c>
      <c r="W446" s="527">
        <f t="shared" si="600"/>
        <v>897.78583727989144</v>
      </c>
      <c r="X446" s="527">
        <f t="shared" si="600"/>
        <v>1005.9292808650836</v>
      </c>
      <c r="Y446" s="527">
        <f t="shared" si="600"/>
        <v>1065.0633179304887</v>
      </c>
      <c r="Z446" s="527">
        <f t="shared" si="600"/>
        <v>1115.3119775828663</v>
      </c>
      <c r="AA446" s="527">
        <f t="shared" si="600"/>
        <v>1138.550224948885</v>
      </c>
      <c r="AB446" s="528">
        <f t="shared" si="600"/>
        <v>1116.800587606263</v>
      </c>
    </row>
    <row r="447" spans="2:28" s="427" customFormat="1" ht="13.5" thickBot="1">
      <c r="B447" s="512" t="s">
        <v>316</v>
      </c>
      <c r="C447" s="513"/>
      <c r="D447" s="513"/>
      <c r="E447" s="514"/>
      <c r="F447" s="514"/>
      <c r="G447" s="514"/>
      <c r="H447" s="514"/>
      <c r="I447" s="513"/>
      <c r="J447" s="514"/>
      <c r="K447" s="514"/>
      <c r="L447" s="514"/>
      <c r="M447" s="514"/>
      <c r="N447" s="513">
        <f t="shared" ref="N447" si="601">N446/I446-1</f>
        <v>26.058881023582728</v>
      </c>
      <c r="O447" s="514"/>
      <c r="P447" s="514"/>
      <c r="Q447" s="514"/>
      <c r="R447" s="514"/>
      <c r="S447" s="513">
        <f>S446/N446-1</f>
        <v>0.93122190887020184</v>
      </c>
      <c r="T447" s="513">
        <f>T446/S446-1</f>
        <v>0.54679039192351886</v>
      </c>
      <c r="U447" s="513">
        <f t="shared" ref="U447" si="602">U446/T446-1</f>
        <v>0.30002276767358649</v>
      </c>
      <c r="V447" s="513">
        <f t="shared" ref="V447" si="603">V446/U446-1</f>
        <v>0.29209363300029745</v>
      </c>
      <c r="W447" s="513">
        <f t="shared" ref="W447" si="604">W446/V446-1</f>
        <v>0.22683837396549889</v>
      </c>
      <c r="X447" s="513">
        <f t="shared" ref="X447" si="605">X446/W446-1</f>
        <v>0.12045572462230503</v>
      </c>
      <c r="Y447" s="513">
        <f t="shared" ref="Y447" si="606">Y446/X446-1</f>
        <v>5.8785481435186693E-2</v>
      </c>
      <c r="Z447" s="513">
        <f t="shared" ref="Z447" si="607">Z446/Y446-1</f>
        <v>4.7179035092500543E-2</v>
      </c>
      <c r="AA447" s="513">
        <f t="shared" ref="AA447" si="608">AA446/Z446-1</f>
        <v>2.0835647633212995E-2</v>
      </c>
      <c r="AB447" s="515">
        <f t="shared" ref="AB447" si="609">AB446/AA446-1</f>
        <v>-1.910292305602812E-2</v>
      </c>
    </row>
  </sheetData>
  <dataValidations disablePrompts="1" count="1">
    <dataValidation type="list" allowBlank="1" showInputMessage="1" showErrorMessage="1" sqref="C65928 WVW983432 WMA983432 WCE983432 VSI983432 VIM983432 UYQ983432 UOU983432 UEY983432 TVC983432 TLG983432 TBK983432 SRO983432 SHS983432 RXW983432 ROA983432 REE983432 QUI983432 QKM983432 QAQ983432 PQU983432 PGY983432 OXC983432 ONG983432 ODK983432 NTO983432 NJS983432 MZW983432 MQA983432 MGE983432 LWI983432 LMM983432 LCQ983432 KSU983432 KIY983432 JZC983432 JPG983432 JFK983432 IVO983432 ILS983432 IBW983432 HSA983432 HIE983432 GYI983432 GOM983432 GEQ983432 FUU983432 FKY983432 FBC983432 ERG983432 EHK983432 DXO983432 DNS983432 DDW983432 CUA983432 CKE983432 CAI983432 BQM983432 BGQ983432 AWU983432 AMY983432 ADC983432 TG983432 JK983432 C983432 WVW917896 WMA917896 WCE917896 VSI917896 VIM917896 UYQ917896 UOU917896 UEY917896 TVC917896 TLG917896 TBK917896 SRO917896 SHS917896 RXW917896 ROA917896 REE917896 QUI917896 QKM917896 QAQ917896 PQU917896 PGY917896 OXC917896 ONG917896 ODK917896 NTO917896 NJS917896 MZW917896 MQA917896 MGE917896 LWI917896 LMM917896 LCQ917896 KSU917896 KIY917896 JZC917896 JPG917896 JFK917896 IVO917896 ILS917896 IBW917896 HSA917896 HIE917896 GYI917896 GOM917896 GEQ917896 FUU917896 FKY917896 FBC917896 ERG917896 EHK917896 DXO917896 DNS917896 DDW917896 CUA917896 CKE917896 CAI917896 BQM917896 BGQ917896 AWU917896 AMY917896 ADC917896 TG917896 JK917896 C917896 WVW852360 WMA852360 WCE852360 VSI852360 VIM852360 UYQ852360 UOU852360 UEY852360 TVC852360 TLG852360 TBK852360 SRO852360 SHS852360 RXW852360 ROA852360 REE852360 QUI852360 QKM852360 QAQ852360 PQU852360 PGY852360 OXC852360 ONG852360 ODK852360 NTO852360 NJS852360 MZW852360 MQA852360 MGE852360 LWI852360 LMM852360 LCQ852360 KSU852360 KIY852360 JZC852360 JPG852360 JFK852360 IVO852360 ILS852360 IBW852360 HSA852360 HIE852360 GYI852360 GOM852360 GEQ852360 FUU852360 FKY852360 FBC852360 ERG852360 EHK852360 DXO852360 DNS852360 DDW852360 CUA852360 CKE852360 CAI852360 BQM852360 BGQ852360 AWU852360 AMY852360 ADC852360 TG852360 JK852360 C852360 WVW786824 WMA786824 WCE786824 VSI786824 VIM786824 UYQ786824 UOU786824 UEY786824 TVC786824 TLG786824 TBK786824 SRO786824 SHS786824 RXW786824 ROA786824 REE786824 QUI786824 QKM786824 QAQ786824 PQU786824 PGY786824 OXC786824 ONG786824 ODK786824 NTO786824 NJS786824 MZW786824 MQA786824 MGE786824 LWI786824 LMM786824 LCQ786824 KSU786824 KIY786824 JZC786824 JPG786824 JFK786824 IVO786824 ILS786824 IBW786824 HSA786824 HIE786824 GYI786824 GOM786824 GEQ786824 FUU786824 FKY786824 FBC786824 ERG786824 EHK786824 DXO786824 DNS786824 DDW786824 CUA786824 CKE786824 CAI786824 BQM786824 BGQ786824 AWU786824 AMY786824 ADC786824 TG786824 JK786824 C786824 WVW721288 WMA721288 WCE721288 VSI721288 VIM721288 UYQ721288 UOU721288 UEY721288 TVC721288 TLG721288 TBK721288 SRO721288 SHS721288 RXW721288 ROA721288 REE721288 QUI721288 QKM721288 QAQ721288 PQU721288 PGY721288 OXC721288 ONG721288 ODK721288 NTO721288 NJS721288 MZW721288 MQA721288 MGE721288 LWI721288 LMM721288 LCQ721288 KSU721288 KIY721288 JZC721288 JPG721288 JFK721288 IVO721288 ILS721288 IBW721288 HSA721288 HIE721288 GYI721288 GOM721288 GEQ721288 FUU721288 FKY721288 FBC721288 ERG721288 EHK721288 DXO721288 DNS721288 DDW721288 CUA721288 CKE721288 CAI721288 BQM721288 BGQ721288 AWU721288 AMY721288 ADC721288 TG721288 JK721288 C721288 WVW655752 WMA655752 WCE655752 VSI655752 VIM655752 UYQ655752 UOU655752 UEY655752 TVC655752 TLG655752 TBK655752 SRO655752 SHS655752 RXW655752 ROA655752 REE655752 QUI655752 QKM655752 QAQ655752 PQU655752 PGY655752 OXC655752 ONG655752 ODK655752 NTO655752 NJS655752 MZW655752 MQA655752 MGE655752 LWI655752 LMM655752 LCQ655752 KSU655752 KIY655752 JZC655752 JPG655752 JFK655752 IVO655752 ILS655752 IBW655752 HSA655752 HIE655752 GYI655752 GOM655752 GEQ655752 FUU655752 FKY655752 FBC655752 ERG655752 EHK655752 DXO655752 DNS655752 DDW655752 CUA655752 CKE655752 CAI655752 BQM655752 BGQ655752 AWU655752 AMY655752 ADC655752 TG655752 JK655752 C655752 WVW590216 WMA590216 WCE590216 VSI590216 VIM590216 UYQ590216 UOU590216 UEY590216 TVC590216 TLG590216 TBK590216 SRO590216 SHS590216 RXW590216 ROA590216 REE590216 QUI590216 QKM590216 QAQ590216 PQU590216 PGY590216 OXC590216 ONG590216 ODK590216 NTO590216 NJS590216 MZW590216 MQA590216 MGE590216 LWI590216 LMM590216 LCQ590216 KSU590216 KIY590216 JZC590216 JPG590216 JFK590216 IVO590216 ILS590216 IBW590216 HSA590216 HIE590216 GYI590216 GOM590216 GEQ590216 FUU590216 FKY590216 FBC590216 ERG590216 EHK590216 DXO590216 DNS590216 DDW590216 CUA590216 CKE590216 CAI590216 BQM590216 BGQ590216 AWU590216 AMY590216 ADC590216 TG590216 JK590216 C590216 WVW524680 WMA524680 WCE524680 VSI524680 VIM524680 UYQ524680 UOU524680 UEY524680 TVC524680 TLG524680 TBK524680 SRO524680 SHS524680 RXW524680 ROA524680 REE524680 QUI524680 QKM524680 QAQ524680 PQU524680 PGY524680 OXC524680 ONG524680 ODK524680 NTO524680 NJS524680 MZW524680 MQA524680 MGE524680 LWI524680 LMM524680 LCQ524680 KSU524680 KIY524680 JZC524680 JPG524680 JFK524680 IVO524680 ILS524680 IBW524680 HSA524680 HIE524680 GYI524680 GOM524680 GEQ524680 FUU524680 FKY524680 FBC524680 ERG524680 EHK524680 DXO524680 DNS524680 DDW524680 CUA524680 CKE524680 CAI524680 BQM524680 BGQ524680 AWU524680 AMY524680 ADC524680 TG524680 JK524680 C524680 WVW459144 WMA459144 WCE459144 VSI459144 VIM459144 UYQ459144 UOU459144 UEY459144 TVC459144 TLG459144 TBK459144 SRO459144 SHS459144 RXW459144 ROA459144 REE459144 QUI459144 QKM459144 QAQ459144 PQU459144 PGY459144 OXC459144 ONG459144 ODK459144 NTO459144 NJS459144 MZW459144 MQA459144 MGE459144 LWI459144 LMM459144 LCQ459144 KSU459144 KIY459144 JZC459144 JPG459144 JFK459144 IVO459144 ILS459144 IBW459144 HSA459144 HIE459144 GYI459144 GOM459144 GEQ459144 FUU459144 FKY459144 FBC459144 ERG459144 EHK459144 DXO459144 DNS459144 DDW459144 CUA459144 CKE459144 CAI459144 BQM459144 BGQ459144 AWU459144 AMY459144 ADC459144 TG459144 JK459144 C459144 WVW393608 WMA393608 WCE393608 VSI393608 VIM393608 UYQ393608 UOU393608 UEY393608 TVC393608 TLG393608 TBK393608 SRO393608 SHS393608 RXW393608 ROA393608 REE393608 QUI393608 QKM393608 QAQ393608 PQU393608 PGY393608 OXC393608 ONG393608 ODK393608 NTO393608 NJS393608 MZW393608 MQA393608 MGE393608 LWI393608 LMM393608 LCQ393608 KSU393608 KIY393608 JZC393608 JPG393608 JFK393608 IVO393608 ILS393608 IBW393608 HSA393608 HIE393608 GYI393608 GOM393608 GEQ393608 FUU393608 FKY393608 FBC393608 ERG393608 EHK393608 DXO393608 DNS393608 DDW393608 CUA393608 CKE393608 CAI393608 BQM393608 BGQ393608 AWU393608 AMY393608 ADC393608 TG393608 JK393608 C393608 WVW328072 WMA328072 WCE328072 VSI328072 VIM328072 UYQ328072 UOU328072 UEY328072 TVC328072 TLG328072 TBK328072 SRO328072 SHS328072 RXW328072 ROA328072 REE328072 QUI328072 QKM328072 QAQ328072 PQU328072 PGY328072 OXC328072 ONG328072 ODK328072 NTO328072 NJS328072 MZW328072 MQA328072 MGE328072 LWI328072 LMM328072 LCQ328072 KSU328072 KIY328072 JZC328072 JPG328072 JFK328072 IVO328072 ILS328072 IBW328072 HSA328072 HIE328072 GYI328072 GOM328072 GEQ328072 FUU328072 FKY328072 FBC328072 ERG328072 EHK328072 DXO328072 DNS328072 DDW328072 CUA328072 CKE328072 CAI328072 BQM328072 BGQ328072 AWU328072 AMY328072 ADC328072 TG328072 JK328072 C328072 WVW262536 WMA262536 WCE262536 VSI262536 VIM262536 UYQ262536 UOU262536 UEY262536 TVC262536 TLG262536 TBK262536 SRO262536 SHS262536 RXW262536 ROA262536 REE262536 QUI262536 QKM262536 QAQ262536 PQU262536 PGY262536 OXC262536 ONG262536 ODK262536 NTO262536 NJS262536 MZW262536 MQA262536 MGE262536 LWI262536 LMM262536 LCQ262536 KSU262536 KIY262536 JZC262536 JPG262536 JFK262536 IVO262536 ILS262536 IBW262536 HSA262536 HIE262536 GYI262536 GOM262536 GEQ262536 FUU262536 FKY262536 FBC262536 ERG262536 EHK262536 DXO262536 DNS262536 DDW262536 CUA262536 CKE262536 CAI262536 BQM262536 BGQ262536 AWU262536 AMY262536 ADC262536 TG262536 JK262536 C262536 WVW197000 WMA197000 WCE197000 VSI197000 VIM197000 UYQ197000 UOU197000 UEY197000 TVC197000 TLG197000 TBK197000 SRO197000 SHS197000 RXW197000 ROA197000 REE197000 QUI197000 QKM197000 QAQ197000 PQU197000 PGY197000 OXC197000 ONG197000 ODK197000 NTO197000 NJS197000 MZW197000 MQA197000 MGE197000 LWI197000 LMM197000 LCQ197000 KSU197000 KIY197000 JZC197000 JPG197000 JFK197000 IVO197000 ILS197000 IBW197000 HSA197000 HIE197000 GYI197000 GOM197000 GEQ197000 FUU197000 FKY197000 FBC197000 ERG197000 EHK197000 DXO197000 DNS197000 DDW197000 CUA197000 CKE197000 CAI197000 BQM197000 BGQ197000 AWU197000 AMY197000 ADC197000 TG197000 JK197000 C197000 WVW131464 WMA131464 WCE131464 VSI131464 VIM131464 UYQ131464 UOU131464 UEY131464 TVC131464 TLG131464 TBK131464 SRO131464 SHS131464 RXW131464 ROA131464 REE131464 QUI131464 QKM131464 QAQ131464 PQU131464 PGY131464 OXC131464 ONG131464 ODK131464 NTO131464 NJS131464 MZW131464 MQA131464 MGE131464 LWI131464 LMM131464 LCQ131464 KSU131464 KIY131464 JZC131464 JPG131464 JFK131464 IVO131464 ILS131464 IBW131464 HSA131464 HIE131464 GYI131464 GOM131464 GEQ131464 FUU131464 FKY131464 FBC131464 ERG131464 EHK131464 DXO131464 DNS131464 DDW131464 CUA131464 CKE131464 CAI131464 BQM131464 BGQ131464 AWU131464 AMY131464 ADC131464 TG131464 JK131464 C131464 WVW65928 WMA65928 WCE65928 VSI65928 VIM65928 UYQ65928 UOU65928 UEY65928 TVC65928 TLG65928 TBK65928 SRO65928 SHS65928 RXW65928 ROA65928 REE65928 QUI65928 QKM65928 QAQ65928 PQU65928 PGY65928 OXC65928 ONG65928 ODK65928 NTO65928 NJS65928 MZW65928 MQA65928 MGE65928 LWI65928 LMM65928 LCQ65928 KSU65928 KIY65928 JZC65928 JPG65928 JFK65928 IVO65928 ILS65928 IBW65928 HSA65928 HIE65928 GYI65928 GOM65928 GEQ65928 FUU65928 FKY65928 FBC65928 ERG65928 EHK65928 DXO65928 DNS65928 DDW65928 CUA65928 CKE65928 CAI65928 BQM65928 BGQ65928 AWU65928 AMY65928 ADC65928 TG65928 JK65928">
      <formula1>#REF!</formula1>
    </dataValidation>
  </dataValidations>
  <pageMargins left="0" right="0" top="0" bottom="0" header="0" footer="0"/>
  <pageSetup paperSize="5" scale="16"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A1:AB108"/>
  <sheetViews>
    <sheetView zoomScale="85" zoomScaleNormal="85" workbookViewId="0">
      <pane ySplit="4" topLeftCell="A58" activePane="bottomLeft" state="frozen"/>
      <selection pane="bottomLeft" activeCell="W112" sqref="W112"/>
    </sheetView>
  </sheetViews>
  <sheetFormatPr defaultRowHeight="12.75" outlineLevelRow="1" outlineLevelCol="2"/>
  <cols>
    <col min="1" max="1" width="2.7109375" style="397" bestFit="1" customWidth="1"/>
    <col min="2" max="2" width="58.28515625" style="395" customWidth="1"/>
    <col min="3" max="3" width="11.5703125" style="396" hidden="1" customWidth="1" outlineLevel="2"/>
    <col min="4" max="4" width="9.85546875" style="396" hidden="1" customWidth="1" outlineLevel="2"/>
    <col min="5" max="8" width="9.85546875" style="396" hidden="1" customWidth="1" outlineLevel="1"/>
    <col min="9" max="9" width="10.28515625" style="396" hidden="1" customWidth="1"/>
    <col min="10" max="13" width="9.85546875" style="396" hidden="1" customWidth="1" outlineLevel="1"/>
    <col min="14" max="14" width="0" style="396" hidden="1" customWidth="1"/>
    <col min="15" max="18" width="9.85546875" style="396" hidden="1" customWidth="1" outlineLevel="1"/>
    <col min="19" max="19" width="0" style="396" hidden="1" customWidth="1"/>
    <col min="20" max="27" width="10.42578125" style="396" customWidth="1"/>
    <col min="28" max="28" width="10.42578125" style="397" customWidth="1"/>
    <col min="29" max="268" width="9.140625" style="397"/>
    <col min="269" max="269" width="2.7109375" style="397" bestFit="1" customWidth="1"/>
    <col min="270" max="270" width="33.42578125" style="397" bestFit="1" customWidth="1"/>
    <col min="271" max="271" width="11.5703125" style="397" bestFit="1" customWidth="1"/>
    <col min="272" max="272" width="9.85546875" style="397" customWidth="1"/>
    <col min="273" max="273" width="10.28515625" style="397" customWidth="1"/>
    <col min="274" max="283" width="9.140625" style="397"/>
    <col min="284" max="284" width="10.140625" style="397" bestFit="1" customWidth="1"/>
    <col min="285" max="524" width="9.140625" style="397"/>
    <col min="525" max="525" width="2.7109375" style="397" bestFit="1" customWidth="1"/>
    <col min="526" max="526" width="33.42578125" style="397" bestFit="1" customWidth="1"/>
    <col min="527" max="527" width="11.5703125" style="397" bestFit="1" customWidth="1"/>
    <col min="528" max="528" width="9.85546875" style="397" customWidth="1"/>
    <col min="529" max="529" width="10.28515625" style="397" customWidth="1"/>
    <col min="530" max="539" width="9.140625" style="397"/>
    <col min="540" max="540" width="10.140625" style="397" bestFit="1" customWidth="1"/>
    <col min="541" max="780" width="9.140625" style="397"/>
    <col min="781" max="781" width="2.7109375" style="397" bestFit="1" customWidth="1"/>
    <col min="782" max="782" width="33.42578125" style="397" bestFit="1" customWidth="1"/>
    <col min="783" max="783" width="11.5703125" style="397" bestFit="1" customWidth="1"/>
    <col min="784" max="784" width="9.85546875" style="397" customWidth="1"/>
    <col min="785" max="785" width="10.28515625" style="397" customWidth="1"/>
    <col min="786" max="795" width="9.140625" style="397"/>
    <col min="796" max="796" width="10.140625" style="397" bestFit="1" customWidth="1"/>
    <col min="797" max="1036" width="9.140625" style="397"/>
    <col min="1037" max="1037" width="2.7109375" style="397" bestFit="1" customWidth="1"/>
    <col min="1038" max="1038" width="33.42578125" style="397" bestFit="1" customWidth="1"/>
    <col min="1039" max="1039" width="11.5703125" style="397" bestFit="1" customWidth="1"/>
    <col min="1040" max="1040" width="9.85546875" style="397" customWidth="1"/>
    <col min="1041" max="1041" width="10.28515625" style="397" customWidth="1"/>
    <col min="1042" max="1051" width="9.140625" style="397"/>
    <col min="1052" max="1052" width="10.140625" style="397" bestFit="1" customWidth="1"/>
    <col min="1053" max="1292" width="9.140625" style="397"/>
    <col min="1293" max="1293" width="2.7109375" style="397" bestFit="1" customWidth="1"/>
    <col min="1294" max="1294" width="33.42578125" style="397" bestFit="1" customWidth="1"/>
    <col min="1295" max="1295" width="11.5703125" style="397" bestFit="1" customWidth="1"/>
    <col min="1296" max="1296" width="9.85546875" style="397" customWidth="1"/>
    <col min="1297" max="1297" width="10.28515625" style="397" customWidth="1"/>
    <col min="1298" max="1307" width="9.140625" style="397"/>
    <col min="1308" max="1308" width="10.140625" style="397" bestFit="1" customWidth="1"/>
    <col min="1309" max="1548" width="9.140625" style="397"/>
    <col min="1549" max="1549" width="2.7109375" style="397" bestFit="1" customWidth="1"/>
    <col min="1550" max="1550" width="33.42578125" style="397" bestFit="1" customWidth="1"/>
    <col min="1551" max="1551" width="11.5703125" style="397" bestFit="1" customWidth="1"/>
    <col min="1552" max="1552" width="9.85546875" style="397" customWidth="1"/>
    <col min="1553" max="1553" width="10.28515625" style="397" customWidth="1"/>
    <col min="1554" max="1563" width="9.140625" style="397"/>
    <col min="1564" max="1564" width="10.140625" style="397" bestFit="1" customWidth="1"/>
    <col min="1565" max="1804" width="9.140625" style="397"/>
    <col min="1805" max="1805" width="2.7109375" style="397" bestFit="1" customWidth="1"/>
    <col min="1806" max="1806" width="33.42578125" style="397" bestFit="1" customWidth="1"/>
    <col min="1807" max="1807" width="11.5703125" style="397" bestFit="1" customWidth="1"/>
    <col min="1808" max="1808" width="9.85546875" style="397" customWidth="1"/>
    <col min="1809" max="1809" width="10.28515625" style="397" customWidth="1"/>
    <col min="1810" max="1819" width="9.140625" style="397"/>
    <col min="1820" max="1820" width="10.140625" style="397" bestFit="1" customWidth="1"/>
    <col min="1821" max="2060" width="9.140625" style="397"/>
    <col min="2061" max="2061" width="2.7109375" style="397" bestFit="1" customWidth="1"/>
    <col min="2062" max="2062" width="33.42578125" style="397" bestFit="1" customWidth="1"/>
    <col min="2063" max="2063" width="11.5703125" style="397" bestFit="1" customWidth="1"/>
    <col min="2064" max="2064" width="9.85546875" style="397" customWidth="1"/>
    <col min="2065" max="2065" width="10.28515625" style="397" customWidth="1"/>
    <col min="2066" max="2075" width="9.140625" style="397"/>
    <col min="2076" max="2076" width="10.140625" style="397" bestFit="1" customWidth="1"/>
    <col min="2077" max="2316" width="9.140625" style="397"/>
    <col min="2317" max="2317" width="2.7109375" style="397" bestFit="1" customWidth="1"/>
    <col min="2318" max="2318" width="33.42578125" style="397" bestFit="1" customWidth="1"/>
    <col min="2319" max="2319" width="11.5703125" style="397" bestFit="1" customWidth="1"/>
    <col min="2320" max="2320" width="9.85546875" style="397" customWidth="1"/>
    <col min="2321" max="2321" width="10.28515625" style="397" customWidth="1"/>
    <col min="2322" max="2331" width="9.140625" style="397"/>
    <col min="2332" max="2332" width="10.140625" style="397" bestFit="1" customWidth="1"/>
    <col min="2333" max="2572" width="9.140625" style="397"/>
    <col min="2573" max="2573" width="2.7109375" style="397" bestFit="1" customWidth="1"/>
    <col min="2574" max="2574" width="33.42578125" style="397" bestFit="1" customWidth="1"/>
    <col min="2575" max="2575" width="11.5703125" style="397" bestFit="1" customWidth="1"/>
    <col min="2576" max="2576" width="9.85546875" style="397" customWidth="1"/>
    <col min="2577" max="2577" width="10.28515625" style="397" customWidth="1"/>
    <col min="2578" max="2587" width="9.140625" style="397"/>
    <col min="2588" max="2588" width="10.140625" style="397" bestFit="1" customWidth="1"/>
    <col min="2589" max="2828" width="9.140625" style="397"/>
    <col min="2829" max="2829" width="2.7109375" style="397" bestFit="1" customWidth="1"/>
    <col min="2830" max="2830" width="33.42578125" style="397" bestFit="1" customWidth="1"/>
    <col min="2831" max="2831" width="11.5703125" style="397" bestFit="1" customWidth="1"/>
    <col min="2832" max="2832" width="9.85546875" style="397" customWidth="1"/>
    <col min="2833" max="2833" width="10.28515625" style="397" customWidth="1"/>
    <col min="2834" max="2843" width="9.140625" style="397"/>
    <col min="2844" max="2844" width="10.140625" style="397" bestFit="1" customWidth="1"/>
    <col min="2845" max="3084" width="9.140625" style="397"/>
    <col min="3085" max="3085" width="2.7109375" style="397" bestFit="1" customWidth="1"/>
    <col min="3086" max="3086" width="33.42578125" style="397" bestFit="1" customWidth="1"/>
    <col min="3087" max="3087" width="11.5703125" style="397" bestFit="1" customWidth="1"/>
    <col min="3088" max="3088" width="9.85546875" style="397" customWidth="1"/>
    <col min="3089" max="3089" width="10.28515625" style="397" customWidth="1"/>
    <col min="3090" max="3099" width="9.140625" style="397"/>
    <col min="3100" max="3100" width="10.140625" style="397" bestFit="1" customWidth="1"/>
    <col min="3101" max="3340" width="9.140625" style="397"/>
    <col min="3341" max="3341" width="2.7109375" style="397" bestFit="1" customWidth="1"/>
    <col min="3342" max="3342" width="33.42578125" style="397" bestFit="1" customWidth="1"/>
    <col min="3343" max="3343" width="11.5703125" style="397" bestFit="1" customWidth="1"/>
    <col min="3344" max="3344" width="9.85546875" style="397" customWidth="1"/>
    <col min="3345" max="3345" width="10.28515625" style="397" customWidth="1"/>
    <col min="3346" max="3355" width="9.140625" style="397"/>
    <col min="3356" max="3356" width="10.140625" style="397" bestFit="1" customWidth="1"/>
    <col min="3357" max="3596" width="9.140625" style="397"/>
    <col min="3597" max="3597" width="2.7109375" style="397" bestFit="1" customWidth="1"/>
    <col min="3598" max="3598" width="33.42578125" style="397" bestFit="1" customWidth="1"/>
    <col min="3599" max="3599" width="11.5703125" style="397" bestFit="1" customWidth="1"/>
    <col min="3600" max="3600" width="9.85546875" style="397" customWidth="1"/>
    <col min="3601" max="3601" width="10.28515625" style="397" customWidth="1"/>
    <col min="3602" max="3611" width="9.140625" style="397"/>
    <col min="3612" max="3612" width="10.140625" style="397" bestFit="1" customWidth="1"/>
    <col min="3613" max="3852" width="9.140625" style="397"/>
    <col min="3853" max="3853" width="2.7109375" style="397" bestFit="1" customWidth="1"/>
    <col min="3854" max="3854" width="33.42578125" style="397" bestFit="1" customWidth="1"/>
    <col min="3855" max="3855" width="11.5703125" style="397" bestFit="1" customWidth="1"/>
    <col min="3856" max="3856" width="9.85546875" style="397" customWidth="1"/>
    <col min="3857" max="3857" width="10.28515625" style="397" customWidth="1"/>
    <col min="3858" max="3867" width="9.140625" style="397"/>
    <col min="3868" max="3868" width="10.140625" style="397" bestFit="1" customWidth="1"/>
    <col min="3869" max="4108" width="9.140625" style="397"/>
    <col min="4109" max="4109" width="2.7109375" style="397" bestFit="1" customWidth="1"/>
    <col min="4110" max="4110" width="33.42578125" style="397" bestFit="1" customWidth="1"/>
    <col min="4111" max="4111" width="11.5703125" style="397" bestFit="1" customWidth="1"/>
    <col min="4112" max="4112" width="9.85546875" style="397" customWidth="1"/>
    <col min="4113" max="4113" width="10.28515625" style="397" customWidth="1"/>
    <col min="4114" max="4123" width="9.140625" style="397"/>
    <col min="4124" max="4124" width="10.140625" style="397" bestFit="1" customWidth="1"/>
    <col min="4125" max="4364" width="9.140625" style="397"/>
    <col min="4365" max="4365" width="2.7109375" style="397" bestFit="1" customWidth="1"/>
    <col min="4366" max="4366" width="33.42578125" style="397" bestFit="1" customWidth="1"/>
    <col min="4367" max="4367" width="11.5703125" style="397" bestFit="1" customWidth="1"/>
    <col min="4368" max="4368" width="9.85546875" style="397" customWidth="1"/>
    <col min="4369" max="4369" width="10.28515625" style="397" customWidth="1"/>
    <col min="4370" max="4379" width="9.140625" style="397"/>
    <col min="4380" max="4380" width="10.140625" style="397" bestFit="1" customWidth="1"/>
    <col min="4381" max="4620" width="9.140625" style="397"/>
    <col min="4621" max="4621" width="2.7109375" style="397" bestFit="1" customWidth="1"/>
    <col min="4622" max="4622" width="33.42578125" style="397" bestFit="1" customWidth="1"/>
    <col min="4623" max="4623" width="11.5703125" style="397" bestFit="1" customWidth="1"/>
    <col min="4624" max="4624" width="9.85546875" style="397" customWidth="1"/>
    <col min="4625" max="4625" width="10.28515625" style="397" customWidth="1"/>
    <col min="4626" max="4635" width="9.140625" style="397"/>
    <col min="4636" max="4636" width="10.140625" style="397" bestFit="1" customWidth="1"/>
    <col min="4637" max="4876" width="9.140625" style="397"/>
    <col min="4877" max="4877" width="2.7109375" style="397" bestFit="1" customWidth="1"/>
    <col min="4878" max="4878" width="33.42578125" style="397" bestFit="1" customWidth="1"/>
    <col min="4879" max="4879" width="11.5703125" style="397" bestFit="1" customWidth="1"/>
    <col min="4880" max="4880" width="9.85546875" style="397" customWidth="1"/>
    <col min="4881" max="4881" width="10.28515625" style="397" customWidth="1"/>
    <col min="4882" max="4891" width="9.140625" style="397"/>
    <col min="4892" max="4892" width="10.140625" style="397" bestFit="1" customWidth="1"/>
    <col min="4893" max="5132" width="9.140625" style="397"/>
    <col min="5133" max="5133" width="2.7109375" style="397" bestFit="1" customWidth="1"/>
    <col min="5134" max="5134" width="33.42578125" style="397" bestFit="1" customWidth="1"/>
    <col min="5135" max="5135" width="11.5703125" style="397" bestFit="1" customWidth="1"/>
    <col min="5136" max="5136" width="9.85546875" style="397" customWidth="1"/>
    <col min="5137" max="5137" width="10.28515625" style="397" customWidth="1"/>
    <col min="5138" max="5147" width="9.140625" style="397"/>
    <col min="5148" max="5148" width="10.140625" style="397" bestFit="1" customWidth="1"/>
    <col min="5149" max="5388" width="9.140625" style="397"/>
    <col min="5389" max="5389" width="2.7109375" style="397" bestFit="1" customWidth="1"/>
    <col min="5390" max="5390" width="33.42578125" style="397" bestFit="1" customWidth="1"/>
    <col min="5391" max="5391" width="11.5703125" style="397" bestFit="1" customWidth="1"/>
    <col min="5392" max="5392" width="9.85546875" style="397" customWidth="1"/>
    <col min="5393" max="5393" width="10.28515625" style="397" customWidth="1"/>
    <col min="5394" max="5403" width="9.140625" style="397"/>
    <col min="5404" max="5404" width="10.140625" style="397" bestFit="1" customWidth="1"/>
    <col min="5405" max="5644" width="9.140625" style="397"/>
    <col min="5645" max="5645" width="2.7109375" style="397" bestFit="1" customWidth="1"/>
    <col min="5646" max="5646" width="33.42578125" style="397" bestFit="1" customWidth="1"/>
    <col min="5647" max="5647" width="11.5703125" style="397" bestFit="1" customWidth="1"/>
    <col min="5648" max="5648" width="9.85546875" style="397" customWidth="1"/>
    <col min="5649" max="5649" width="10.28515625" style="397" customWidth="1"/>
    <col min="5650" max="5659" width="9.140625" style="397"/>
    <col min="5660" max="5660" width="10.140625" style="397" bestFit="1" customWidth="1"/>
    <col min="5661" max="5900" width="9.140625" style="397"/>
    <col min="5901" max="5901" width="2.7109375" style="397" bestFit="1" customWidth="1"/>
    <col min="5902" max="5902" width="33.42578125" style="397" bestFit="1" customWidth="1"/>
    <col min="5903" max="5903" width="11.5703125" style="397" bestFit="1" customWidth="1"/>
    <col min="5904" max="5904" width="9.85546875" style="397" customWidth="1"/>
    <col min="5905" max="5905" width="10.28515625" style="397" customWidth="1"/>
    <col min="5906" max="5915" width="9.140625" style="397"/>
    <col min="5916" max="5916" width="10.140625" style="397" bestFit="1" customWidth="1"/>
    <col min="5917" max="6156" width="9.140625" style="397"/>
    <col min="6157" max="6157" width="2.7109375" style="397" bestFit="1" customWidth="1"/>
    <col min="6158" max="6158" width="33.42578125" style="397" bestFit="1" customWidth="1"/>
    <col min="6159" max="6159" width="11.5703125" style="397" bestFit="1" customWidth="1"/>
    <col min="6160" max="6160" width="9.85546875" style="397" customWidth="1"/>
    <col min="6161" max="6161" width="10.28515625" style="397" customWidth="1"/>
    <col min="6162" max="6171" width="9.140625" style="397"/>
    <col min="6172" max="6172" width="10.140625" style="397" bestFit="1" customWidth="1"/>
    <col min="6173" max="6412" width="9.140625" style="397"/>
    <col min="6413" max="6413" width="2.7109375" style="397" bestFit="1" customWidth="1"/>
    <col min="6414" max="6414" width="33.42578125" style="397" bestFit="1" customWidth="1"/>
    <col min="6415" max="6415" width="11.5703125" style="397" bestFit="1" customWidth="1"/>
    <col min="6416" max="6416" width="9.85546875" style="397" customWidth="1"/>
    <col min="6417" max="6417" width="10.28515625" style="397" customWidth="1"/>
    <col min="6418" max="6427" width="9.140625" style="397"/>
    <col min="6428" max="6428" width="10.140625" style="397" bestFit="1" customWidth="1"/>
    <col min="6429" max="6668" width="9.140625" style="397"/>
    <col min="6669" max="6669" width="2.7109375" style="397" bestFit="1" customWidth="1"/>
    <col min="6670" max="6670" width="33.42578125" style="397" bestFit="1" customWidth="1"/>
    <col min="6671" max="6671" width="11.5703125" style="397" bestFit="1" customWidth="1"/>
    <col min="6672" max="6672" width="9.85546875" style="397" customWidth="1"/>
    <col min="6673" max="6673" width="10.28515625" style="397" customWidth="1"/>
    <col min="6674" max="6683" width="9.140625" style="397"/>
    <col min="6684" max="6684" width="10.140625" style="397" bestFit="1" customWidth="1"/>
    <col min="6685" max="6924" width="9.140625" style="397"/>
    <col min="6925" max="6925" width="2.7109375" style="397" bestFit="1" customWidth="1"/>
    <col min="6926" max="6926" width="33.42578125" style="397" bestFit="1" customWidth="1"/>
    <col min="6927" max="6927" width="11.5703125" style="397" bestFit="1" customWidth="1"/>
    <col min="6928" max="6928" width="9.85546875" style="397" customWidth="1"/>
    <col min="6929" max="6929" width="10.28515625" style="397" customWidth="1"/>
    <col min="6930" max="6939" width="9.140625" style="397"/>
    <col min="6940" max="6940" width="10.140625" style="397" bestFit="1" customWidth="1"/>
    <col min="6941" max="7180" width="9.140625" style="397"/>
    <col min="7181" max="7181" width="2.7109375" style="397" bestFit="1" customWidth="1"/>
    <col min="7182" max="7182" width="33.42578125" style="397" bestFit="1" customWidth="1"/>
    <col min="7183" max="7183" width="11.5703125" style="397" bestFit="1" customWidth="1"/>
    <col min="7184" max="7184" width="9.85546875" style="397" customWidth="1"/>
    <col min="7185" max="7185" width="10.28515625" style="397" customWidth="1"/>
    <col min="7186" max="7195" width="9.140625" style="397"/>
    <col min="7196" max="7196" width="10.140625" style="397" bestFit="1" customWidth="1"/>
    <col min="7197" max="7436" width="9.140625" style="397"/>
    <col min="7437" max="7437" width="2.7109375" style="397" bestFit="1" customWidth="1"/>
    <col min="7438" max="7438" width="33.42578125" style="397" bestFit="1" customWidth="1"/>
    <col min="7439" max="7439" width="11.5703125" style="397" bestFit="1" customWidth="1"/>
    <col min="7440" max="7440" width="9.85546875" style="397" customWidth="1"/>
    <col min="7441" max="7441" width="10.28515625" style="397" customWidth="1"/>
    <col min="7442" max="7451" width="9.140625" style="397"/>
    <col min="7452" max="7452" width="10.140625" style="397" bestFit="1" customWidth="1"/>
    <col min="7453" max="7692" width="9.140625" style="397"/>
    <col min="7693" max="7693" width="2.7109375" style="397" bestFit="1" customWidth="1"/>
    <col min="7694" max="7694" width="33.42578125" style="397" bestFit="1" customWidth="1"/>
    <col min="7695" max="7695" width="11.5703125" style="397" bestFit="1" customWidth="1"/>
    <col min="7696" max="7696" width="9.85546875" style="397" customWidth="1"/>
    <col min="7697" max="7697" width="10.28515625" style="397" customWidth="1"/>
    <col min="7698" max="7707" width="9.140625" style="397"/>
    <col min="7708" max="7708" width="10.140625" style="397" bestFit="1" customWidth="1"/>
    <col min="7709" max="7948" width="9.140625" style="397"/>
    <col min="7949" max="7949" width="2.7109375" style="397" bestFit="1" customWidth="1"/>
    <col min="7950" max="7950" width="33.42578125" style="397" bestFit="1" customWidth="1"/>
    <col min="7951" max="7951" width="11.5703125" style="397" bestFit="1" customWidth="1"/>
    <col min="7952" max="7952" width="9.85546875" style="397" customWidth="1"/>
    <col min="7953" max="7953" width="10.28515625" style="397" customWidth="1"/>
    <col min="7954" max="7963" width="9.140625" style="397"/>
    <col min="7964" max="7964" width="10.140625" style="397" bestFit="1" customWidth="1"/>
    <col min="7965" max="8204" width="9.140625" style="397"/>
    <col min="8205" max="8205" width="2.7109375" style="397" bestFit="1" customWidth="1"/>
    <col min="8206" max="8206" width="33.42578125" style="397" bestFit="1" customWidth="1"/>
    <col min="8207" max="8207" width="11.5703125" style="397" bestFit="1" customWidth="1"/>
    <col min="8208" max="8208" width="9.85546875" style="397" customWidth="1"/>
    <col min="8209" max="8209" width="10.28515625" style="397" customWidth="1"/>
    <col min="8210" max="8219" width="9.140625" style="397"/>
    <col min="8220" max="8220" width="10.140625" style="397" bestFit="1" customWidth="1"/>
    <col min="8221" max="8460" width="9.140625" style="397"/>
    <col min="8461" max="8461" width="2.7109375" style="397" bestFit="1" customWidth="1"/>
    <col min="8462" max="8462" width="33.42578125" style="397" bestFit="1" customWidth="1"/>
    <col min="8463" max="8463" width="11.5703125" style="397" bestFit="1" customWidth="1"/>
    <col min="8464" max="8464" width="9.85546875" style="397" customWidth="1"/>
    <col min="8465" max="8465" width="10.28515625" style="397" customWidth="1"/>
    <col min="8466" max="8475" width="9.140625" style="397"/>
    <col min="8476" max="8476" width="10.140625" style="397" bestFit="1" customWidth="1"/>
    <col min="8477" max="8716" width="9.140625" style="397"/>
    <col min="8717" max="8717" width="2.7109375" style="397" bestFit="1" customWidth="1"/>
    <col min="8718" max="8718" width="33.42578125" style="397" bestFit="1" customWidth="1"/>
    <col min="8719" max="8719" width="11.5703125" style="397" bestFit="1" customWidth="1"/>
    <col min="8720" max="8720" width="9.85546875" style="397" customWidth="1"/>
    <col min="8721" max="8721" width="10.28515625" style="397" customWidth="1"/>
    <col min="8722" max="8731" width="9.140625" style="397"/>
    <col min="8732" max="8732" width="10.140625" style="397" bestFit="1" customWidth="1"/>
    <col min="8733" max="8972" width="9.140625" style="397"/>
    <col min="8973" max="8973" width="2.7109375" style="397" bestFit="1" customWidth="1"/>
    <col min="8974" max="8974" width="33.42578125" style="397" bestFit="1" customWidth="1"/>
    <col min="8975" max="8975" width="11.5703125" style="397" bestFit="1" customWidth="1"/>
    <col min="8976" max="8976" width="9.85546875" style="397" customWidth="1"/>
    <col min="8977" max="8977" width="10.28515625" style="397" customWidth="1"/>
    <col min="8978" max="8987" width="9.140625" style="397"/>
    <col min="8988" max="8988" width="10.140625" style="397" bestFit="1" customWidth="1"/>
    <col min="8989" max="9228" width="9.140625" style="397"/>
    <col min="9229" max="9229" width="2.7109375" style="397" bestFit="1" customWidth="1"/>
    <col min="9230" max="9230" width="33.42578125" style="397" bestFit="1" customWidth="1"/>
    <col min="9231" max="9231" width="11.5703125" style="397" bestFit="1" customWidth="1"/>
    <col min="9232" max="9232" width="9.85546875" style="397" customWidth="1"/>
    <col min="9233" max="9233" width="10.28515625" style="397" customWidth="1"/>
    <col min="9234" max="9243" width="9.140625" style="397"/>
    <col min="9244" max="9244" width="10.140625" style="397" bestFit="1" customWidth="1"/>
    <col min="9245" max="9484" width="9.140625" style="397"/>
    <col min="9485" max="9485" width="2.7109375" style="397" bestFit="1" customWidth="1"/>
    <col min="9486" max="9486" width="33.42578125" style="397" bestFit="1" customWidth="1"/>
    <col min="9487" max="9487" width="11.5703125" style="397" bestFit="1" customWidth="1"/>
    <col min="9488" max="9488" width="9.85546875" style="397" customWidth="1"/>
    <col min="9489" max="9489" width="10.28515625" style="397" customWidth="1"/>
    <col min="9490" max="9499" width="9.140625" style="397"/>
    <col min="9500" max="9500" width="10.140625" style="397" bestFit="1" customWidth="1"/>
    <col min="9501" max="9740" width="9.140625" style="397"/>
    <col min="9741" max="9741" width="2.7109375" style="397" bestFit="1" customWidth="1"/>
    <col min="9742" max="9742" width="33.42578125" style="397" bestFit="1" customWidth="1"/>
    <col min="9743" max="9743" width="11.5703125" style="397" bestFit="1" customWidth="1"/>
    <col min="9744" max="9744" width="9.85546875" style="397" customWidth="1"/>
    <col min="9745" max="9745" width="10.28515625" style="397" customWidth="1"/>
    <col min="9746" max="9755" width="9.140625" style="397"/>
    <col min="9756" max="9756" width="10.140625" style="397" bestFit="1" customWidth="1"/>
    <col min="9757" max="9996" width="9.140625" style="397"/>
    <col min="9997" max="9997" width="2.7109375" style="397" bestFit="1" customWidth="1"/>
    <col min="9998" max="9998" width="33.42578125" style="397" bestFit="1" customWidth="1"/>
    <col min="9999" max="9999" width="11.5703125" style="397" bestFit="1" customWidth="1"/>
    <col min="10000" max="10000" width="9.85546875" style="397" customWidth="1"/>
    <col min="10001" max="10001" width="10.28515625" style="397" customWidth="1"/>
    <col min="10002" max="10011" width="9.140625" style="397"/>
    <col min="10012" max="10012" width="10.140625" style="397" bestFit="1" customWidth="1"/>
    <col min="10013" max="10252" width="9.140625" style="397"/>
    <col min="10253" max="10253" width="2.7109375" style="397" bestFit="1" customWidth="1"/>
    <col min="10254" max="10254" width="33.42578125" style="397" bestFit="1" customWidth="1"/>
    <col min="10255" max="10255" width="11.5703125" style="397" bestFit="1" customWidth="1"/>
    <col min="10256" max="10256" width="9.85546875" style="397" customWidth="1"/>
    <col min="10257" max="10257" width="10.28515625" style="397" customWidth="1"/>
    <col min="10258" max="10267" width="9.140625" style="397"/>
    <col min="10268" max="10268" width="10.140625" style="397" bestFit="1" customWidth="1"/>
    <col min="10269" max="10508" width="9.140625" style="397"/>
    <col min="10509" max="10509" width="2.7109375" style="397" bestFit="1" customWidth="1"/>
    <col min="10510" max="10510" width="33.42578125" style="397" bestFit="1" customWidth="1"/>
    <col min="10511" max="10511" width="11.5703125" style="397" bestFit="1" customWidth="1"/>
    <col min="10512" max="10512" width="9.85546875" style="397" customWidth="1"/>
    <col min="10513" max="10513" width="10.28515625" style="397" customWidth="1"/>
    <col min="10514" max="10523" width="9.140625" style="397"/>
    <col min="10524" max="10524" width="10.140625" style="397" bestFit="1" customWidth="1"/>
    <col min="10525" max="10764" width="9.140625" style="397"/>
    <col min="10765" max="10765" width="2.7109375" style="397" bestFit="1" customWidth="1"/>
    <col min="10766" max="10766" width="33.42578125" style="397" bestFit="1" customWidth="1"/>
    <col min="10767" max="10767" width="11.5703125" style="397" bestFit="1" customWidth="1"/>
    <col min="10768" max="10768" width="9.85546875" style="397" customWidth="1"/>
    <col min="10769" max="10769" width="10.28515625" style="397" customWidth="1"/>
    <col min="10770" max="10779" width="9.140625" style="397"/>
    <col min="10780" max="10780" width="10.140625" style="397" bestFit="1" customWidth="1"/>
    <col min="10781" max="11020" width="9.140625" style="397"/>
    <col min="11021" max="11021" width="2.7109375" style="397" bestFit="1" customWidth="1"/>
    <col min="11022" max="11022" width="33.42578125" style="397" bestFit="1" customWidth="1"/>
    <col min="11023" max="11023" width="11.5703125" style="397" bestFit="1" customWidth="1"/>
    <col min="11024" max="11024" width="9.85546875" style="397" customWidth="1"/>
    <col min="11025" max="11025" width="10.28515625" style="397" customWidth="1"/>
    <col min="11026" max="11035" width="9.140625" style="397"/>
    <col min="11036" max="11036" width="10.140625" style="397" bestFit="1" customWidth="1"/>
    <col min="11037" max="11276" width="9.140625" style="397"/>
    <col min="11277" max="11277" width="2.7109375" style="397" bestFit="1" customWidth="1"/>
    <col min="11278" max="11278" width="33.42578125" style="397" bestFit="1" customWidth="1"/>
    <col min="11279" max="11279" width="11.5703125" style="397" bestFit="1" customWidth="1"/>
    <col min="11280" max="11280" width="9.85546875" style="397" customWidth="1"/>
    <col min="11281" max="11281" width="10.28515625" style="397" customWidth="1"/>
    <col min="11282" max="11291" width="9.140625" style="397"/>
    <col min="11292" max="11292" width="10.140625" style="397" bestFit="1" customWidth="1"/>
    <col min="11293" max="11532" width="9.140625" style="397"/>
    <col min="11533" max="11533" width="2.7109375" style="397" bestFit="1" customWidth="1"/>
    <col min="11534" max="11534" width="33.42578125" style="397" bestFit="1" customWidth="1"/>
    <col min="11535" max="11535" width="11.5703125" style="397" bestFit="1" customWidth="1"/>
    <col min="11536" max="11536" width="9.85546875" style="397" customWidth="1"/>
    <col min="11537" max="11537" width="10.28515625" style="397" customWidth="1"/>
    <col min="11538" max="11547" width="9.140625" style="397"/>
    <col min="11548" max="11548" width="10.140625" style="397" bestFit="1" customWidth="1"/>
    <col min="11549" max="11788" width="9.140625" style="397"/>
    <col min="11789" max="11789" width="2.7109375" style="397" bestFit="1" customWidth="1"/>
    <col min="11790" max="11790" width="33.42578125" style="397" bestFit="1" customWidth="1"/>
    <col min="11791" max="11791" width="11.5703125" style="397" bestFit="1" customWidth="1"/>
    <col min="11792" max="11792" width="9.85546875" style="397" customWidth="1"/>
    <col min="11793" max="11793" width="10.28515625" style="397" customWidth="1"/>
    <col min="11794" max="11803" width="9.140625" style="397"/>
    <col min="11804" max="11804" width="10.140625" style="397" bestFit="1" customWidth="1"/>
    <col min="11805" max="12044" width="9.140625" style="397"/>
    <col min="12045" max="12045" width="2.7109375" style="397" bestFit="1" customWidth="1"/>
    <col min="12046" max="12046" width="33.42578125" style="397" bestFit="1" customWidth="1"/>
    <col min="12047" max="12047" width="11.5703125" style="397" bestFit="1" customWidth="1"/>
    <col min="12048" max="12048" width="9.85546875" style="397" customWidth="1"/>
    <col min="12049" max="12049" width="10.28515625" style="397" customWidth="1"/>
    <col min="12050" max="12059" width="9.140625" style="397"/>
    <col min="12060" max="12060" width="10.140625" style="397" bestFit="1" customWidth="1"/>
    <col min="12061" max="12300" width="9.140625" style="397"/>
    <col min="12301" max="12301" width="2.7109375" style="397" bestFit="1" customWidth="1"/>
    <col min="12302" max="12302" width="33.42578125" style="397" bestFit="1" customWidth="1"/>
    <col min="12303" max="12303" width="11.5703125" style="397" bestFit="1" customWidth="1"/>
    <col min="12304" max="12304" width="9.85546875" style="397" customWidth="1"/>
    <col min="12305" max="12305" width="10.28515625" style="397" customWidth="1"/>
    <col min="12306" max="12315" width="9.140625" style="397"/>
    <col min="12316" max="12316" width="10.140625" style="397" bestFit="1" customWidth="1"/>
    <col min="12317" max="12556" width="9.140625" style="397"/>
    <col min="12557" max="12557" width="2.7109375" style="397" bestFit="1" customWidth="1"/>
    <col min="12558" max="12558" width="33.42578125" style="397" bestFit="1" customWidth="1"/>
    <col min="12559" max="12559" width="11.5703125" style="397" bestFit="1" customWidth="1"/>
    <col min="12560" max="12560" width="9.85546875" style="397" customWidth="1"/>
    <col min="12561" max="12561" width="10.28515625" style="397" customWidth="1"/>
    <col min="12562" max="12571" width="9.140625" style="397"/>
    <col min="12572" max="12572" width="10.140625" style="397" bestFit="1" customWidth="1"/>
    <col min="12573" max="12812" width="9.140625" style="397"/>
    <col min="12813" max="12813" width="2.7109375" style="397" bestFit="1" customWidth="1"/>
    <col min="12814" max="12814" width="33.42578125" style="397" bestFit="1" customWidth="1"/>
    <col min="12815" max="12815" width="11.5703125" style="397" bestFit="1" customWidth="1"/>
    <col min="12816" max="12816" width="9.85546875" style="397" customWidth="1"/>
    <col min="12817" max="12817" width="10.28515625" style="397" customWidth="1"/>
    <col min="12818" max="12827" width="9.140625" style="397"/>
    <col min="12828" max="12828" width="10.140625" style="397" bestFit="1" customWidth="1"/>
    <col min="12829" max="13068" width="9.140625" style="397"/>
    <col min="13069" max="13069" width="2.7109375" style="397" bestFit="1" customWidth="1"/>
    <col min="13070" max="13070" width="33.42578125" style="397" bestFit="1" customWidth="1"/>
    <col min="13071" max="13071" width="11.5703125" style="397" bestFit="1" customWidth="1"/>
    <col min="13072" max="13072" width="9.85546875" style="397" customWidth="1"/>
    <col min="13073" max="13073" width="10.28515625" style="397" customWidth="1"/>
    <col min="13074" max="13083" width="9.140625" style="397"/>
    <col min="13084" max="13084" width="10.140625" style="397" bestFit="1" customWidth="1"/>
    <col min="13085" max="13324" width="9.140625" style="397"/>
    <col min="13325" max="13325" width="2.7109375" style="397" bestFit="1" customWidth="1"/>
    <col min="13326" max="13326" width="33.42578125" style="397" bestFit="1" customWidth="1"/>
    <col min="13327" max="13327" width="11.5703125" style="397" bestFit="1" customWidth="1"/>
    <col min="13328" max="13328" width="9.85546875" style="397" customWidth="1"/>
    <col min="13329" max="13329" width="10.28515625" style="397" customWidth="1"/>
    <col min="13330" max="13339" width="9.140625" style="397"/>
    <col min="13340" max="13340" width="10.140625" style="397" bestFit="1" customWidth="1"/>
    <col min="13341" max="13580" width="9.140625" style="397"/>
    <col min="13581" max="13581" width="2.7109375" style="397" bestFit="1" customWidth="1"/>
    <col min="13582" max="13582" width="33.42578125" style="397" bestFit="1" customWidth="1"/>
    <col min="13583" max="13583" width="11.5703125" style="397" bestFit="1" customWidth="1"/>
    <col min="13584" max="13584" width="9.85546875" style="397" customWidth="1"/>
    <col min="13585" max="13585" width="10.28515625" style="397" customWidth="1"/>
    <col min="13586" max="13595" width="9.140625" style="397"/>
    <col min="13596" max="13596" width="10.140625" style="397" bestFit="1" customWidth="1"/>
    <col min="13597" max="13836" width="9.140625" style="397"/>
    <col min="13837" max="13837" width="2.7109375" style="397" bestFit="1" customWidth="1"/>
    <col min="13838" max="13838" width="33.42578125" style="397" bestFit="1" customWidth="1"/>
    <col min="13839" max="13839" width="11.5703125" style="397" bestFit="1" customWidth="1"/>
    <col min="13840" max="13840" width="9.85546875" style="397" customWidth="1"/>
    <col min="13841" max="13841" width="10.28515625" style="397" customWidth="1"/>
    <col min="13842" max="13851" width="9.140625" style="397"/>
    <col min="13852" max="13852" width="10.140625" style="397" bestFit="1" customWidth="1"/>
    <col min="13853" max="14092" width="9.140625" style="397"/>
    <col min="14093" max="14093" width="2.7109375" style="397" bestFit="1" customWidth="1"/>
    <col min="14094" max="14094" width="33.42578125" style="397" bestFit="1" customWidth="1"/>
    <col min="14095" max="14095" width="11.5703125" style="397" bestFit="1" customWidth="1"/>
    <col min="14096" max="14096" width="9.85546875" style="397" customWidth="1"/>
    <col min="14097" max="14097" width="10.28515625" style="397" customWidth="1"/>
    <col min="14098" max="14107" width="9.140625" style="397"/>
    <col min="14108" max="14108" width="10.140625" style="397" bestFit="1" customWidth="1"/>
    <col min="14109" max="14348" width="9.140625" style="397"/>
    <col min="14349" max="14349" width="2.7109375" style="397" bestFit="1" customWidth="1"/>
    <col min="14350" max="14350" width="33.42578125" style="397" bestFit="1" customWidth="1"/>
    <col min="14351" max="14351" width="11.5703125" style="397" bestFit="1" customWidth="1"/>
    <col min="14352" max="14352" width="9.85546875" style="397" customWidth="1"/>
    <col min="14353" max="14353" width="10.28515625" style="397" customWidth="1"/>
    <col min="14354" max="14363" width="9.140625" style="397"/>
    <col min="14364" max="14364" width="10.140625" style="397" bestFit="1" customWidth="1"/>
    <col min="14365" max="14604" width="9.140625" style="397"/>
    <col min="14605" max="14605" width="2.7109375" style="397" bestFit="1" customWidth="1"/>
    <col min="14606" max="14606" width="33.42578125" style="397" bestFit="1" customWidth="1"/>
    <col min="14607" max="14607" width="11.5703125" style="397" bestFit="1" customWidth="1"/>
    <col min="14608" max="14608" width="9.85546875" style="397" customWidth="1"/>
    <col min="14609" max="14609" width="10.28515625" style="397" customWidth="1"/>
    <col min="14610" max="14619" width="9.140625" style="397"/>
    <col min="14620" max="14620" width="10.140625" style="397" bestFit="1" customWidth="1"/>
    <col min="14621" max="14860" width="9.140625" style="397"/>
    <col min="14861" max="14861" width="2.7109375" style="397" bestFit="1" customWidth="1"/>
    <col min="14862" max="14862" width="33.42578125" style="397" bestFit="1" customWidth="1"/>
    <col min="14863" max="14863" width="11.5703125" style="397" bestFit="1" customWidth="1"/>
    <col min="14864" max="14864" width="9.85546875" style="397" customWidth="1"/>
    <col min="14865" max="14865" width="10.28515625" style="397" customWidth="1"/>
    <col min="14866" max="14875" width="9.140625" style="397"/>
    <col min="14876" max="14876" width="10.140625" style="397" bestFit="1" customWidth="1"/>
    <col min="14877" max="15116" width="9.140625" style="397"/>
    <col min="15117" max="15117" width="2.7109375" style="397" bestFit="1" customWidth="1"/>
    <col min="15118" max="15118" width="33.42578125" style="397" bestFit="1" customWidth="1"/>
    <col min="15119" max="15119" width="11.5703125" style="397" bestFit="1" customWidth="1"/>
    <col min="15120" max="15120" width="9.85546875" style="397" customWidth="1"/>
    <col min="15121" max="15121" width="10.28515625" style="397" customWidth="1"/>
    <col min="15122" max="15131" width="9.140625" style="397"/>
    <col min="15132" max="15132" width="10.140625" style="397" bestFit="1" customWidth="1"/>
    <col min="15133" max="15372" width="9.140625" style="397"/>
    <col min="15373" max="15373" width="2.7109375" style="397" bestFit="1" customWidth="1"/>
    <col min="15374" max="15374" width="33.42578125" style="397" bestFit="1" customWidth="1"/>
    <col min="15375" max="15375" width="11.5703125" style="397" bestFit="1" customWidth="1"/>
    <col min="15376" max="15376" width="9.85546875" style="397" customWidth="1"/>
    <col min="15377" max="15377" width="10.28515625" style="397" customWidth="1"/>
    <col min="15378" max="15387" width="9.140625" style="397"/>
    <col min="15388" max="15388" width="10.140625" style="397" bestFit="1" customWidth="1"/>
    <col min="15389" max="15628" width="9.140625" style="397"/>
    <col min="15629" max="15629" width="2.7109375" style="397" bestFit="1" customWidth="1"/>
    <col min="15630" max="15630" width="33.42578125" style="397" bestFit="1" customWidth="1"/>
    <col min="15631" max="15631" width="11.5703125" style="397" bestFit="1" customWidth="1"/>
    <col min="15632" max="15632" width="9.85546875" style="397" customWidth="1"/>
    <col min="15633" max="15633" width="10.28515625" style="397" customWidth="1"/>
    <col min="15634" max="15643" width="9.140625" style="397"/>
    <col min="15644" max="15644" width="10.140625" style="397" bestFit="1" customWidth="1"/>
    <col min="15645" max="15884" width="9.140625" style="397"/>
    <col min="15885" max="15885" width="2.7109375" style="397" bestFit="1" customWidth="1"/>
    <col min="15886" max="15886" width="33.42578125" style="397" bestFit="1" customWidth="1"/>
    <col min="15887" max="15887" width="11.5703125" style="397" bestFit="1" customWidth="1"/>
    <col min="15888" max="15888" width="9.85546875" style="397" customWidth="1"/>
    <col min="15889" max="15889" width="10.28515625" style="397" customWidth="1"/>
    <col min="15890" max="15899" width="9.140625" style="397"/>
    <col min="15900" max="15900" width="10.140625" style="397" bestFit="1" customWidth="1"/>
    <col min="15901" max="16140" width="9.140625" style="397"/>
    <col min="16141" max="16141" width="2.7109375" style="397" bestFit="1" customWidth="1"/>
    <col min="16142" max="16142" width="33.42578125" style="397" bestFit="1" customWidth="1"/>
    <col min="16143" max="16143" width="11.5703125" style="397" bestFit="1" customWidth="1"/>
    <col min="16144" max="16144" width="9.85546875" style="397" customWidth="1"/>
    <col min="16145" max="16145" width="10.28515625" style="397" customWidth="1"/>
    <col min="16146" max="16155" width="9.140625" style="397"/>
    <col min="16156" max="16156" width="10.140625" style="397" bestFit="1" customWidth="1"/>
    <col min="16157" max="16384" width="9.140625" style="397"/>
  </cols>
  <sheetData>
    <row r="1" spans="2:28" ht="13.5" thickBot="1"/>
    <row r="2" spans="2:28" ht="13.5" thickBot="1">
      <c r="B2" s="398" t="s">
        <v>307</v>
      </c>
      <c r="K2" s="550">
        <f>'DCF '!C22</f>
        <v>87.254973257737518</v>
      </c>
      <c r="T2" s="399">
        <f>'DCF '!C30</f>
        <v>2</v>
      </c>
      <c r="X2" s="600"/>
      <c r="Y2" s="599"/>
      <c r="Z2" s="598" t="s">
        <v>446</v>
      </c>
      <c r="AA2" s="399">
        <v>1</v>
      </c>
      <c r="AB2" s="396"/>
    </row>
    <row r="3" spans="2:28">
      <c r="C3" s="400"/>
      <c r="AB3" s="396"/>
    </row>
    <row r="4" spans="2:28" s="404" customFormat="1">
      <c r="B4" s="401" t="s">
        <v>342</v>
      </c>
      <c r="C4" s="402">
        <v>2014</v>
      </c>
      <c r="D4" s="402">
        <f>C4+1</f>
        <v>2015</v>
      </c>
      <c r="E4" s="403" t="s">
        <v>241</v>
      </c>
      <c r="F4" s="403" t="s">
        <v>256</v>
      </c>
      <c r="G4" s="403" t="s">
        <v>350</v>
      </c>
      <c r="H4" s="403" t="s">
        <v>361</v>
      </c>
      <c r="I4" s="403">
        <f>D4+1</f>
        <v>2016</v>
      </c>
      <c r="J4" s="403" t="s">
        <v>358</v>
      </c>
      <c r="K4" s="403" t="s">
        <v>328</v>
      </c>
      <c r="L4" s="403" t="s">
        <v>359</v>
      </c>
      <c r="M4" s="403" t="s">
        <v>360</v>
      </c>
      <c r="N4" s="403">
        <f>I4+1</f>
        <v>2017</v>
      </c>
      <c r="O4" s="403" t="s">
        <v>368</v>
      </c>
      <c r="P4" s="403" t="s">
        <v>369</v>
      </c>
      <c r="Q4" s="403" t="s">
        <v>370</v>
      </c>
      <c r="R4" s="403" t="s">
        <v>371</v>
      </c>
      <c r="S4" s="403">
        <f>N4+1</f>
        <v>2018</v>
      </c>
      <c r="T4" s="403">
        <f>S4+1</f>
        <v>2019</v>
      </c>
      <c r="U4" s="403">
        <f t="shared" ref="U4:AB4" si="0">T4+1</f>
        <v>2020</v>
      </c>
      <c r="V4" s="403">
        <f t="shared" si="0"/>
        <v>2021</v>
      </c>
      <c r="W4" s="403">
        <f t="shared" si="0"/>
        <v>2022</v>
      </c>
      <c r="X4" s="403">
        <f t="shared" si="0"/>
        <v>2023</v>
      </c>
      <c r="Y4" s="403">
        <f t="shared" si="0"/>
        <v>2024</v>
      </c>
      <c r="Z4" s="403">
        <f t="shared" si="0"/>
        <v>2025</v>
      </c>
      <c r="AA4" s="403">
        <f t="shared" si="0"/>
        <v>2026</v>
      </c>
      <c r="AB4" s="403">
        <f t="shared" si="0"/>
        <v>2027</v>
      </c>
    </row>
    <row r="5" spans="2:28" hidden="1">
      <c r="B5" s="405" t="s">
        <v>308</v>
      </c>
      <c r="C5" s="406">
        <v>318900</v>
      </c>
      <c r="D5" s="407">
        <f>C5*(1+D6)</f>
        <v>322407.89999999997</v>
      </c>
      <c r="E5" s="408">
        <f>I5*1.011^-0.325</f>
        <v>324797.52025653468</v>
      </c>
      <c r="F5" s="408">
        <f>I5*1.011^-0.125</f>
        <v>325508.9513533109</v>
      </c>
      <c r="G5" s="408">
        <f>I5*1.011^0.125</f>
        <v>326400.43199314049</v>
      </c>
      <c r="H5" s="408">
        <f>I5*1.011^0.325</f>
        <v>327115.37408117653</v>
      </c>
      <c r="I5" s="407">
        <f>D5*(1+I6)</f>
        <v>325954.38689999992</v>
      </c>
      <c r="J5" s="408">
        <f>N5*1.011^-0.325</f>
        <v>328370.29297935654</v>
      </c>
      <c r="K5" s="408">
        <f>N5*1.011^-0.125</f>
        <v>329089.54981819732</v>
      </c>
      <c r="L5" s="408">
        <f>N5*1.011^0.125</f>
        <v>329990.83674506505</v>
      </c>
      <c r="M5" s="408">
        <f>N5*1.011^0.325</f>
        <v>330713.64319606946</v>
      </c>
      <c r="N5" s="407">
        <f>I5*(1+N6)</f>
        <v>329539.88515589992</v>
      </c>
      <c r="O5" s="408">
        <f>S5*1.011^-0.325</f>
        <v>331982.36620212946</v>
      </c>
      <c r="P5" s="408">
        <f>S5*1.011^-0.125</f>
        <v>332709.5348661975</v>
      </c>
      <c r="Q5" s="408">
        <f>S5*1.011^0.125</f>
        <v>333620.73594926076</v>
      </c>
      <c r="R5" s="408">
        <f>S5*1.011^0.325</f>
        <v>334351.49327122624</v>
      </c>
      <c r="S5" s="407">
        <f>N5*(1+S6)</f>
        <v>333164.8238926148</v>
      </c>
      <c r="T5" s="407">
        <f>S5*(1+T6)</f>
        <v>336829.63695543353</v>
      </c>
      <c r="U5" s="407">
        <f t="shared" ref="U5:AB5" si="1">T5*(1+U6)</f>
        <v>340534.76296194328</v>
      </c>
      <c r="V5" s="407">
        <f t="shared" si="1"/>
        <v>344280.6453545246</v>
      </c>
      <c r="W5" s="407">
        <f t="shared" si="1"/>
        <v>348067.73245342437</v>
      </c>
      <c r="X5" s="407">
        <f t="shared" si="1"/>
        <v>351896.47751041199</v>
      </c>
      <c r="Y5" s="407">
        <f t="shared" si="1"/>
        <v>355767.33876302646</v>
      </c>
      <c r="Z5" s="407">
        <f t="shared" si="1"/>
        <v>359680.77948941971</v>
      </c>
      <c r="AA5" s="407">
        <f t="shared" si="1"/>
        <v>363637.26806380332</v>
      </c>
      <c r="AB5" s="407">
        <f t="shared" si="1"/>
        <v>367637.27801250509</v>
      </c>
    </row>
    <row r="6" spans="2:28" s="414" customFormat="1" hidden="1">
      <c r="B6" s="409" t="s">
        <v>309</v>
      </c>
      <c r="C6" s="410"/>
      <c r="D6" s="411">
        <v>1.0999999999999999E-2</v>
      </c>
      <c r="E6" s="412"/>
      <c r="F6" s="412"/>
      <c r="G6" s="412"/>
      <c r="H6" s="412"/>
      <c r="I6" s="413">
        <f>D6</f>
        <v>1.0999999999999999E-2</v>
      </c>
      <c r="J6" s="412"/>
      <c r="K6" s="412"/>
      <c r="L6" s="412"/>
      <c r="M6" s="412"/>
      <c r="N6" s="413">
        <f>I6</f>
        <v>1.0999999999999999E-2</v>
      </c>
      <c r="O6" s="412"/>
      <c r="P6" s="412"/>
      <c r="Q6" s="412"/>
      <c r="R6" s="412"/>
      <c r="S6" s="413">
        <f>N6</f>
        <v>1.0999999999999999E-2</v>
      </c>
      <c r="T6" s="413">
        <f>S6</f>
        <v>1.0999999999999999E-2</v>
      </c>
      <c r="U6" s="413">
        <f t="shared" ref="U6:AB6" si="2">T6</f>
        <v>1.0999999999999999E-2</v>
      </c>
      <c r="V6" s="413">
        <f t="shared" si="2"/>
        <v>1.0999999999999999E-2</v>
      </c>
      <c r="W6" s="413">
        <f t="shared" si="2"/>
        <v>1.0999999999999999E-2</v>
      </c>
      <c r="X6" s="413">
        <f t="shared" si="2"/>
        <v>1.0999999999999999E-2</v>
      </c>
      <c r="Y6" s="413">
        <f t="shared" si="2"/>
        <v>1.0999999999999999E-2</v>
      </c>
      <c r="Z6" s="413">
        <f t="shared" si="2"/>
        <v>1.0999999999999999E-2</v>
      </c>
      <c r="AA6" s="413">
        <f t="shared" si="2"/>
        <v>1.0999999999999999E-2</v>
      </c>
      <c r="AB6" s="413">
        <f t="shared" si="2"/>
        <v>1.0999999999999999E-2</v>
      </c>
    </row>
    <row r="7" spans="2:28" hidden="1">
      <c r="B7" s="405" t="s">
        <v>310</v>
      </c>
      <c r="C7" s="407">
        <f>0.5*C5</f>
        <v>159450</v>
      </c>
      <c r="D7" s="407">
        <f t="shared" ref="D7:AB7" si="3">0.5*D5</f>
        <v>161203.94999999998</v>
      </c>
      <c r="E7" s="408">
        <f>E5*0.5</f>
        <v>162398.76012826734</v>
      </c>
      <c r="F7" s="408">
        <f>F5*0.5</f>
        <v>162754.47567665545</v>
      </c>
      <c r="G7" s="408">
        <f>G5*0.5</f>
        <v>163200.21599657024</v>
      </c>
      <c r="H7" s="408">
        <f>H5*0.5</f>
        <v>163557.68704058827</v>
      </c>
      <c r="I7" s="407">
        <f t="shared" si="3"/>
        <v>162977.19344999996</v>
      </c>
      <c r="J7" s="408">
        <f>J5*0.5</f>
        <v>164185.14648967827</v>
      </c>
      <c r="K7" s="408">
        <f>K5*0.5</f>
        <v>164544.77490909866</v>
      </c>
      <c r="L7" s="408">
        <f>L5*0.5</f>
        <v>164995.41837253253</v>
      </c>
      <c r="M7" s="408">
        <f>M5*0.5</f>
        <v>165356.82159803473</v>
      </c>
      <c r="N7" s="407">
        <f t="shared" si="3"/>
        <v>164769.94257794996</v>
      </c>
      <c r="O7" s="408">
        <f>O5*0.5</f>
        <v>165991.18310106473</v>
      </c>
      <c r="P7" s="408">
        <f>P5*0.5</f>
        <v>166354.76743309875</v>
      </c>
      <c r="Q7" s="408">
        <f>Q5*0.5</f>
        <v>166810.36797463038</v>
      </c>
      <c r="R7" s="408">
        <f>R5*0.5</f>
        <v>167175.74663561312</v>
      </c>
      <c r="S7" s="407">
        <f t="shared" ref="S7" si="4">0.5*S5</f>
        <v>166582.4119463074</v>
      </c>
      <c r="T7" s="407">
        <f t="shared" si="3"/>
        <v>168414.81847771676</v>
      </c>
      <c r="U7" s="407">
        <f t="shared" si="3"/>
        <v>170267.38148097164</v>
      </c>
      <c r="V7" s="407">
        <f t="shared" si="3"/>
        <v>172140.3226772623</v>
      </c>
      <c r="W7" s="407">
        <f t="shared" si="3"/>
        <v>174033.86622671218</v>
      </c>
      <c r="X7" s="407">
        <f t="shared" si="3"/>
        <v>175948.238755206</v>
      </c>
      <c r="Y7" s="407">
        <f t="shared" si="3"/>
        <v>177883.66938151323</v>
      </c>
      <c r="Z7" s="407">
        <f t="shared" si="3"/>
        <v>179840.38974470986</v>
      </c>
      <c r="AA7" s="407">
        <f t="shared" si="3"/>
        <v>181818.63403190166</v>
      </c>
      <c r="AB7" s="407">
        <f t="shared" si="3"/>
        <v>183818.63900625255</v>
      </c>
    </row>
    <row r="8" spans="2:28" hidden="1">
      <c r="B8" s="405"/>
      <c r="C8" s="407"/>
      <c r="D8" s="407"/>
      <c r="E8" s="408"/>
      <c r="F8" s="408"/>
      <c r="G8" s="408"/>
      <c r="H8" s="408"/>
      <c r="I8" s="407"/>
      <c r="J8" s="408"/>
      <c r="K8" s="408"/>
      <c r="L8" s="408"/>
      <c r="M8" s="408"/>
      <c r="N8" s="407"/>
      <c r="O8" s="408"/>
      <c r="P8" s="408"/>
      <c r="Q8" s="408"/>
      <c r="R8" s="408"/>
      <c r="S8" s="407"/>
      <c r="T8" s="407"/>
      <c r="U8" s="407"/>
      <c r="V8" s="407"/>
      <c r="W8" s="407"/>
      <c r="X8" s="407"/>
      <c r="Y8" s="407"/>
      <c r="Z8" s="407"/>
      <c r="AA8" s="407"/>
      <c r="AB8" s="407"/>
    </row>
    <row r="9" spans="2:28" hidden="1">
      <c r="B9" s="405" t="s">
        <v>352</v>
      </c>
      <c r="C9" s="407">
        <f>0.196*C7</f>
        <v>31252.2</v>
      </c>
      <c r="D9" s="407">
        <f t="shared" ref="D9:AB9" si="5">0.196*D7</f>
        <v>31595.974199999997</v>
      </c>
      <c r="E9" s="408">
        <f t="shared" si="5"/>
        <v>31830.156985140402</v>
      </c>
      <c r="F9" s="408">
        <f t="shared" si="5"/>
        <v>31899.877232624469</v>
      </c>
      <c r="G9" s="408">
        <f t="shared" si="5"/>
        <v>31987.24233532777</v>
      </c>
      <c r="H9" s="408">
        <f t="shared" si="5"/>
        <v>32057.306659955302</v>
      </c>
      <c r="I9" s="407">
        <f t="shared" si="5"/>
        <v>31943.529916199994</v>
      </c>
      <c r="J9" s="408">
        <f t="shared" si="5"/>
        <v>32180.288711976944</v>
      </c>
      <c r="K9" s="408">
        <f t="shared" si="5"/>
        <v>32250.775882183338</v>
      </c>
      <c r="L9" s="408">
        <f t="shared" si="5"/>
        <v>32339.102001016377</v>
      </c>
      <c r="M9" s="408">
        <f t="shared" si="5"/>
        <v>32409.93703321481</v>
      </c>
      <c r="N9" s="407">
        <f t="shared" si="5"/>
        <v>32294.908745278193</v>
      </c>
      <c r="O9" s="408">
        <f t="shared" si="5"/>
        <v>32534.271887808689</v>
      </c>
      <c r="P9" s="408">
        <f t="shared" si="5"/>
        <v>32605.534416887356</v>
      </c>
      <c r="Q9" s="408">
        <f t="shared" si="5"/>
        <v>32694.832123027558</v>
      </c>
      <c r="R9" s="408">
        <f t="shared" si="5"/>
        <v>32766.446340580173</v>
      </c>
      <c r="S9" s="407">
        <f t="shared" si="5"/>
        <v>32650.152741476253</v>
      </c>
      <c r="T9" s="407">
        <f t="shared" si="5"/>
        <v>33009.304421632485</v>
      </c>
      <c r="U9" s="407">
        <f t="shared" si="5"/>
        <v>33372.406770270441</v>
      </c>
      <c r="V9" s="407">
        <f t="shared" si="5"/>
        <v>33739.503244743413</v>
      </c>
      <c r="W9" s="407">
        <f t="shared" si="5"/>
        <v>34110.637780435587</v>
      </c>
      <c r="X9" s="407">
        <f t="shared" si="5"/>
        <v>34485.85479602038</v>
      </c>
      <c r="Y9" s="407">
        <f t="shared" si="5"/>
        <v>34865.199198776594</v>
      </c>
      <c r="Z9" s="407">
        <f t="shared" si="5"/>
        <v>35248.716389963134</v>
      </c>
      <c r="AA9" s="407">
        <f t="shared" si="5"/>
        <v>35636.452270252725</v>
      </c>
      <c r="AB9" s="407">
        <f t="shared" si="5"/>
        <v>36028.453245225501</v>
      </c>
    </row>
    <row r="10" spans="2:28" hidden="1">
      <c r="B10" s="405" t="s">
        <v>353</v>
      </c>
      <c r="C10" s="407">
        <f>C7*0.138</f>
        <v>22004.100000000002</v>
      </c>
      <c r="D10" s="407">
        <f t="shared" ref="D10:AB10" si="6">D7*0.138</f>
        <v>22246.145099999998</v>
      </c>
      <c r="E10" s="408">
        <f t="shared" si="6"/>
        <v>22411.028897700897</v>
      </c>
      <c r="F10" s="408">
        <f t="shared" si="6"/>
        <v>22460.117643378453</v>
      </c>
      <c r="G10" s="408">
        <f t="shared" si="6"/>
        <v>22521.629807526697</v>
      </c>
      <c r="H10" s="408">
        <f t="shared" si="6"/>
        <v>22570.960811601184</v>
      </c>
      <c r="I10" s="407">
        <f t="shared" si="6"/>
        <v>22490.852696099995</v>
      </c>
      <c r="J10" s="408">
        <f t="shared" si="6"/>
        <v>22657.550215575604</v>
      </c>
      <c r="K10" s="408">
        <f t="shared" si="6"/>
        <v>22707.178937455617</v>
      </c>
      <c r="L10" s="408">
        <f t="shared" si="6"/>
        <v>22769.367735409491</v>
      </c>
      <c r="M10" s="408">
        <f t="shared" si="6"/>
        <v>22819.241380528794</v>
      </c>
      <c r="N10" s="407">
        <f t="shared" si="6"/>
        <v>22738.252075757096</v>
      </c>
      <c r="O10" s="408">
        <f t="shared" si="6"/>
        <v>22906.783267946936</v>
      </c>
      <c r="P10" s="408">
        <f t="shared" si="6"/>
        <v>22956.957905767631</v>
      </c>
      <c r="Q10" s="408">
        <f t="shared" si="6"/>
        <v>23019.830780498996</v>
      </c>
      <c r="R10" s="408">
        <f t="shared" si="6"/>
        <v>23070.253035714613</v>
      </c>
      <c r="S10" s="407">
        <f t="shared" si="6"/>
        <v>22988.372848590425</v>
      </c>
      <c r="T10" s="407">
        <f t="shared" si="6"/>
        <v>23241.244949924916</v>
      </c>
      <c r="U10" s="407">
        <f t="shared" si="6"/>
        <v>23496.898644374087</v>
      </c>
      <c r="V10" s="407">
        <f t="shared" si="6"/>
        <v>23755.3645294622</v>
      </c>
      <c r="W10" s="407">
        <f t="shared" si="6"/>
        <v>24016.673539286283</v>
      </c>
      <c r="X10" s="407">
        <f t="shared" si="6"/>
        <v>24280.856948218428</v>
      </c>
      <c r="Y10" s="407">
        <f t="shared" si="6"/>
        <v>24547.946374648829</v>
      </c>
      <c r="Z10" s="407">
        <f t="shared" si="6"/>
        <v>24817.973784769962</v>
      </c>
      <c r="AA10" s="407">
        <f t="shared" si="6"/>
        <v>25090.971496402432</v>
      </c>
      <c r="AB10" s="407">
        <f t="shared" si="6"/>
        <v>25366.972182862854</v>
      </c>
    </row>
    <row r="11" spans="2:28" hidden="1">
      <c r="B11" s="405" t="s">
        <v>354</v>
      </c>
      <c r="C11" s="407">
        <f>C7-C9-C10</f>
        <v>106193.7</v>
      </c>
      <c r="D11" s="407">
        <f t="shared" ref="D11:AB11" si="7">D7-D9-D10</f>
        <v>107361.83069999999</v>
      </c>
      <c r="E11" s="408">
        <f t="shared" si="7"/>
        <v>108157.57424542605</v>
      </c>
      <c r="F11" s="408">
        <f t="shared" si="7"/>
        <v>108394.48080065253</v>
      </c>
      <c r="G11" s="408">
        <f t="shared" si="7"/>
        <v>108691.34385371576</v>
      </c>
      <c r="H11" s="408">
        <f t="shared" si="7"/>
        <v>108929.41956903179</v>
      </c>
      <c r="I11" s="407">
        <f t="shared" si="7"/>
        <v>108542.81083769997</v>
      </c>
      <c r="J11" s="408">
        <f t="shared" si="7"/>
        <v>109347.30756212573</v>
      </c>
      <c r="K11" s="408">
        <f t="shared" si="7"/>
        <v>109586.82008945971</v>
      </c>
      <c r="L11" s="408">
        <f t="shared" si="7"/>
        <v>109886.94863610665</v>
      </c>
      <c r="M11" s="408">
        <f t="shared" si="7"/>
        <v>110127.64318429113</v>
      </c>
      <c r="N11" s="407">
        <f t="shared" si="7"/>
        <v>109736.78175691466</v>
      </c>
      <c r="O11" s="408">
        <f t="shared" si="7"/>
        <v>110550.1279453091</v>
      </c>
      <c r="P11" s="408">
        <f t="shared" si="7"/>
        <v>110792.27511044376</v>
      </c>
      <c r="Q11" s="408">
        <f t="shared" si="7"/>
        <v>111095.70507110382</v>
      </c>
      <c r="R11" s="408">
        <f t="shared" si="7"/>
        <v>111339.04725931832</v>
      </c>
      <c r="S11" s="407">
        <f t="shared" si="7"/>
        <v>110943.88635624072</v>
      </c>
      <c r="T11" s="407">
        <f t="shared" si="7"/>
        <v>112164.26910615935</v>
      </c>
      <c r="U11" s="407">
        <f t="shared" si="7"/>
        <v>113398.07606632712</v>
      </c>
      <c r="V11" s="407">
        <f t="shared" si="7"/>
        <v>114645.45490305668</v>
      </c>
      <c r="W11" s="407">
        <f t="shared" si="7"/>
        <v>115906.55490699032</v>
      </c>
      <c r="X11" s="407">
        <f t="shared" si="7"/>
        <v>117181.5270109672</v>
      </c>
      <c r="Y11" s="407">
        <f t="shared" si="7"/>
        <v>118470.5238080878</v>
      </c>
      <c r="Z11" s="407">
        <f t="shared" si="7"/>
        <v>119773.69956997676</v>
      </c>
      <c r="AA11" s="407">
        <f t="shared" si="7"/>
        <v>121091.21026524651</v>
      </c>
      <c r="AB11" s="407">
        <f t="shared" si="7"/>
        <v>122423.21357816418</v>
      </c>
    </row>
    <row r="12" spans="2:28">
      <c r="B12" s="405"/>
      <c r="C12" s="407"/>
      <c r="D12" s="407"/>
      <c r="E12" s="408"/>
      <c r="F12" s="408"/>
      <c r="G12" s="408"/>
      <c r="H12" s="408"/>
      <c r="I12" s="407"/>
      <c r="J12" s="408"/>
      <c r="K12" s="408"/>
      <c r="L12" s="408"/>
      <c r="M12" s="408"/>
      <c r="N12" s="407"/>
      <c r="O12" s="408"/>
      <c r="P12" s="408"/>
      <c r="Q12" s="408"/>
      <c r="R12" s="408"/>
      <c r="S12" s="407"/>
      <c r="T12" s="407"/>
      <c r="U12" s="407"/>
      <c r="V12" s="407"/>
      <c r="W12" s="407"/>
      <c r="X12" s="407"/>
      <c r="Y12" s="407"/>
      <c r="Z12" s="407"/>
      <c r="AA12" s="407"/>
      <c r="AB12" s="407"/>
    </row>
    <row r="13" spans="2:28">
      <c r="B13" s="405" t="s">
        <v>355</v>
      </c>
      <c r="C13" s="415">
        <f>C9*1.6/10000</f>
        <v>5.0003520000000004</v>
      </c>
      <c r="D13" s="415">
        <f>D9*1.6/10000</f>
        <v>5.0553558719999998</v>
      </c>
      <c r="E13" s="416">
        <f t="shared" ref="E13:H13" si="8">E9*1.6/10000</f>
        <v>5.0928251176224641</v>
      </c>
      <c r="F13" s="416">
        <f t="shared" si="8"/>
        <v>5.1039803572199158</v>
      </c>
      <c r="G13" s="416">
        <f t="shared" si="8"/>
        <v>5.1179587736524441</v>
      </c>
      <c r="H13" s="416">
        <f t="shared" si="8"/>
        <v>5.1291690655928486</v>
      </c>
      <c r="I13" s="415">
        <f>I9*1.6/10000</f>
        <v>5.1109647865919996</v>
      </c>
      <c r="J13" s="416">
        <f t="shared" ref="J13:S13" si="9">J9*1.6/10000</f>
        <v>5.1488461939163113</v>
      </c>
      <c r="K13" s="416">
        <f t="shared" si="9"/>
        <v>5.1601241411493346</v>
      </c>
      <c r="L13" s="416">
        <f t="shared" si="9"/>
        <v>5.1742563201626206</v>
      </c>
      <c r="M13" s="416">
        <f t="shared" si="9"/>
        <v>5.1855899253143694</v>
      </c>
      <c r="N13" s="415">
        <f t="shared" si="9"/>
        <v>5.1671853992445111</v>
      </c>
      <c r="O13" s="416">
        <f t="shared" si="9"/>
        <v>5.2054835020493906</v>
      </c>
      <c r="P13" s="416">
        <f t="shared" si="9"/>
        <v>5.2168855067019777</v>
      </c>
      <c r="Q13" s="416">
        <f t="shared" si="9"/>
        <v>5.231173139684409</v>
      </c>
      <c r="R13" s="416">
        <f t="shared" si="9"/>
        <v>5.2426314144928279</v>
      </c>
      <c r="S13" s="415">
        <f t="shared" si="9"/>
        <v>5.2240244386362003</v>
      </c>
      <c r="T13" s="415">
        <f t="shared" ref="T13:AB13" si="10">(S13+0.25)-(S24/1000)</f>
        <v>5.4740244386362003</v>
      </c>
      <c r="U13" s="415">
        <f t="shared" si="10"/>
        <v>5.7240244386362003</v>
      </c>
      <c r="V13" s="415">
        <f t="shared" si="10"/>
        <v>5.9740244386362003</v>
      </c>
      <c r="W13" s="415">
        <f t="shared" si="10"/>
        <v>6.2240244386362003</v>
      </c>
      <c r="X13" s="415">
        <f t="shared" si="10"/>
        <v>6.1628232167043899</v>
      </c>
      <c r="Y13" s="415">
        <f t="shared" si="10"/>
        <v>5.4883997341987314</v>
      </c>
      <c r="Z13" s="415">
        <f t="shared" si="10"/>
        <v>4.6407197873589849</v>
      </c>
      <c r="AA13" s="415">
        <f t="shared" si="10"/>
        <v>3.962575829887188</v>
      </c>
      <c r="AB13" s="415">
        <f t="shared" si="10"/>
        <v>3.4200606639097497</v>
      </c>
    </row>
    <row r="14" spans="2:28">
      <c r="B14" s="405" t="s">
        <v>356</v>
      </c>
      <c r="C14" s="415">
        <f>C10*1.35/10000</f>
        <v>2.9705535000000003</v>
      </c>
      <c r="D14" s="415">
        <f>D10*1.35/10000</f>
        <v>3.0032295885</v>
      </c>
      <c r="E14" s="416">
        <f t="shared" ref="E14:H14" si="11">E10*1.35/10000</f>
        <v>3.0254889011896213</v>
      </c>
      <c r="F14" s="416">
        <f t="shared" si="11"/>
        <v>3.0321158818560914</v>
      </c>
      <c r="G14" s="416">
        <f t="shared" si="11"/>
        <v>3.0404200240161043</v>
      </c>
      <c r="H14" s="416">
        <f t="shared" si="11"/>
        <v>3.0470797095661601</v>
      </c>
      <c r="I14" s="415">
        <f>I10*1.35/10000</f>
        <v>3.0362651139734997</v>
      </c>
      <c r="J14" s="416">
        <f t="shared" ref="J14:S14" si="12">J10*1.35/10000</f>
        <v>3.0587692791027066</v>
      </c>
      <c r="K14" s="416">
        <f t="shared" si="12"/>
        <v>3.0654691565565084</v>
      </c>
      <c r="L14" s="416">
        <f t="shared" si="12"/>
        <v>3.0738646442802815</v>
      </c>
      <c r="M14" s="416">
        <f t="shared" si="12"/>
        <v>3.0805975863713875</v>
      </c>
      <c r="N14" s="415">
        <f t="shared" si="12"/>
        <v>3.0696640302272082</v>
      </c>
      <c r="O14" s="416">
        <f t="shared" si="12"/>
        <v>3.0924157411728364</v>
      </c>
      <c r="P14" s="416">
        <f t="shared" si="12"/>
        <v>3.0991893172786305</v>
      </c>
      <c r="Q14" s="416">
        <f t="shared" si="12"/>
        <v>3.1076771553673646</v>
      </c>
      <c r="R14" s="416">
        <f t="shared" si="12"/>
        <v>3.114484159821473</v>
      </c>
      <c r="S14" s="415">
        <f t="shared" si="12"/>
        <v>3.1034303345597074</v>
      </c>
      <c r="T14" s="415">
        <f>(S14)-(S39*(S15/(S15+S14))/1000)</f>
        <v>3.1034303345597074</v>
      </c>
      <c r="U14" s="415">
        <f t="shared" ref="U14:AB14" si="13">(T14)-(T39*(T15/(T15+T14))/1000)</f>
        <v>3.1034303345597074</v>
      </c>
      <c r="V14" s="415">
        <f t="shared" si="13"/>
        <v>3.1034303345597074</v>
      </c>
      <c r="W14" s="415">
        <f t="shared" si="13"/>
        <v>3.1034303345597074</v>
      </c>
      <c r="X14" s="415">
        <f t="shared" si="13"/>
        <v>3.0479583913815871</v>
      </c>
      <c r="Y14" s="415">
        <f t="shared" si="13"/>
        <v>2.9397881021842522</v>
      </c>
      <c r="Z14" s="415">
        <f t="shared" si="13"/>
        <v>2.7342645527093161</v>
      </c>
      <c r="AA14" s="415">
        <f t="shared" si="13"/>
        <v>2.4568077609181525</v>
      </c>
      <c r="AB14" s="415">
        <f t="shared" si="13"/>
        <v>2.1423567302215005</v>
      </c>
    </row>
    <row r="15" spans="2:28">
      <c r="B15" s="405" t="s">
        <v>357</v>
      </c>
      <c r="C15" s="415">
        <f t="shared" ref="C15:H15" si="14">C11*0.2/10000</f>
        <v>2.1238740000000003</v>
      </c>
      <c r="D15" s="415">
        <f t="shared" si="14"/>
        <v>2.1472366139999997</v>
      </c>
      <c r="E15" s="416">
        <f t="shared" si="14"/>
        <v>2.1631514849085214</v>
      </c>
      <c r="F15" s="416">
        <f t="shared" si="14"/>
        <v>2.1678896160130505</v>
      </c>
      <c r="G15" s="416">
        <f t="shared" si="14"/>
        <v>2.1738268770743154</v>
      </c>
      <c r="H15" s="416">
        <f t="shared" si="14"/>
        <v>2.1785883913806359</v>
      </c>
      <c r="I15" s="415">
        <f>I11*0.2/10000</f>
        <v>2.1708562167539998</v>
      </c>
      <c r="J15" s="416">
        <f t="shared" ref="J15:S15" si="15">J11*0.2/10000</f>
        <v>2.1869461512425148</v>
      </c>
      <c r="K15" s="416">
        <f t="shared" si="15"/>
        <v>2.1917364017891945</v>
      </c>
      <c r="L15" s="416">
        <f t="shared" si="15"/>
        <v>2.1977389727221333</v>
      </c>
      <c r="M15" s="416">
        <f t="shared" si="15"/>
        <v>2.2025528636858227</v>
      </c>
      <c r="N15" s="415">
        <f t="shared" si="15"/>
        <v>2.1947356351382932</v>
      </c>
      <c r="O15" s="416">
        <f t="shared" si="15"/>
        <v>2.2110025589061819</v>
      </c>
      <c r="P15" s="416">
        <f t="shared" si="15"/>
        <v>2.2158455022088752</v>
      </c>
      <c r="Q15" s="416">
        <f t="shared" si="15"/>
        <v>2.2219141014220765</v>
      </c>
      <c r="R15" s="416">
        <f t="shared" si="15"/>
        <v>2.2267809451863663</v>
      </c>
      <c r="S15" s="415">
        <f t="shared" si="15"/>
        <v>2.2188777271248146</v>
      </c>
      <c r="T15" s="415">
        <f>(S15)-(S39*(S15/(S14+S15))/1000)</f>
        <v>2.2188777271248146</v>
      </c>
      <c r="U15" s="415">
        <f t="shared" ref="U15:AB15" si="16">(T15)-(T39*(T15/(T14+T15))/1000)</f>
        <v>2.2188777271248146</v>
      </c>
      <c r="V15" s="415">
        <f t="shared" si="16"/>
        <v>2.2188777271248146</v>
      </c>
      <c r="W15" s="415">
        <f t="shared" si="16"/>
        <v>2.2188777271248146</v>
      </c>
      <c r="X15" s="415">
        <f t="shared" si="16"/>
        <v>2.1634057839466942</v>
      </c>
      <c r="Y15" s="415">
        <f t="shared" si="16"/>
        <v>2.0552354947493594</v>
      </c>
      <c r="Z15" s="415">
        <f t="shared" si="16"/>
        <v>1.8497119452744235</v>
      </c>
      <c r="AA15" s="415">
        <f t="shared" si="16"/>
        <v>1.5722551534832601</v>
      </c>
      <c r="AB15" s="415">
        <f t="shared" si="16"/>
        <v>1.2578041227866081</v>
      </c>
    </row>
    <row r="16" spans="2:28">
      <c r="B16" s="405" t="s">
        <v>311</v>
      </c>
      <c r="C16" s="415">
        <f>C13+C14+C15</f>
        <v>10.094779500000001</v>
      </c>
      <c r="D16" s="415">
        <f>D13+D14+D15</f>
        <v>10.205822074499999</v>
      </c>
      <c r="E16" s="416">
        <f t="shared" ref="E16:H16" si="17">E13+E14+E15</f>
        <v>10.281465503720607</v>
      </c>
      <c r="F16" s="416">
        <f t="shared" si="17"/>
        <v>10.303985855089058</v>
      </c>
      <c r="G16" s="416">
        <f t="shared" si="17"/>
        <v>10.332205674742864</v>
      </c>
      <c r="H16" s="416">
        <f t="shared" si="17"/>
        <v>10.354837166539644</v>
      </c>
      <c r="I16" s="415">
        <f>I13+I14+I15</f>
        <v>10.318086117319499</v>
      </c>
      <c r="J16" s="416">
        <f t="shared" ref="J16:AB16" si="18">J13+J14+J15</f>
        <v>10.394561624261533</v>
      </c>
      <c r="K16" s="416">
        <f t="shared" si="18"/>
        <v>10.417329699495037</v>
      </c>
      <c r="L16" s="416">
        <f t="shared" si="18"/>
        <v>10.445859937165036</v>
      </c>
      <c r="M16" s="416">
        <f t="shared" si="18"/>
        <v>10.46874037537158</v>
      </c>
      <c r="N16" s="415">
        <f t="shared" si="18"/>
        <v>10.431585064610013</v>
      </c>
      <c r="O16" s="416">
        <f t="shared" si="18"/>
        <v>10.50890180212841</v>
      </c>
      <c r="P16" s="416">
        <f t="shared" si="18"/>
        <v>10.531920326189484</v>
      </c>
      <c r="Q16" s="416">
        <f t="shared" si="18"/>
        <v>10.56076439647385</v>
      </c>
      <c r="R16" s="416">
        <f t="shared" si="18"/>
        <v>10.583896519500668</v>
      </c>
      <c r="S16" s="415">
        <f t="shared" si="18"/>
        <v>10.546332500320721</v>
      </c>
      <c r="T16" s="415">
        <f t="shared" si="18"/>
        <v>10.796332500320721</v>
      </c>
      <c r="U16" s="415">
        <f t="shared" si="18"/>
        <v>11.046332500320721</v>
      </c>
      <c r="V16" s="415">
        <f t="shared" si="18"/>
        <v>11.296332500320721</v>
      </c>
      <c r="W16" s="415">
        <f t="shared" si="18"/>
        <v>11.546332500320721</v>
      </c>
      <c r="X16" s="415">
        <f t="shared" si="18"/>
        <v>11.37418739203267</v>
      </c>
      <c r="Y16" s="415">
        <f t="shared" si="18"/>
        <v>10.483423331132343</v>
      </c>
      <c r="Z16" s="415">
        <f t="shared" si="18"/>
        <v>9.2246962853427252</v>
      </c>
      <c r="AA16" s="415">
        <f t="shared" si="18"/>
        <v>7.9916387442886005</v>
      </c>
      <c r="AB16" s="415">
        <f t="shared" si="18"/>
        <v>6.8202215169178579</v>
      </c>
    </row>
    <row r="17" spans="1:28">
      <c r="B17" s="405"/>
      <c r="C17" s="395"/>
      <c r="D17" s="395"/>
      <c r="E17" s="417"/>
      <c r="F17" s="417"/>
      <c r="G17" s="417"/>
      <c r="H17" s="417"/>
      <c r="I17" s="418"/>
      <c r="J17" s="417"/>
      <c r="K17" s="417"/>
      <c r="L17" s="417"/>
      <c r="M17" s="417"/>
      <c r="N17" s="418"/>
      <c r="O17" s="417"/>
      <c r="P17" s="417"/>
      <c r="Q17" s="417"/>
      <c r="R17" s="417"/>
      <c r="S17" s="418"/>
      <c r="T17" s="418"/>
      <c r="U17" s="551"/>
      <c r="V17" s="418"/>
      <c r="W17" s="418"/>
      <c r="X17" s="418"/>
      <c r="Y17" s="418"/>
      <c r="Z17" s="418"/>
      <c r="AA17" s="418"/>
      <c r="AB17" s="418"/>
    </row>
    <row r="18" spans="1:28">
      <c r="B18" s="423" t="s">
        <v>433</v>
      </c>
      <c r="C18" s="424"/>
      <c r="D18" s="424"/>
      <c r="E18" s="425"/>
      <c r="F18" s="425"/>
      <c r="G18" s="425"/>
      <c r="H18" s="425"/>
      <c r="I18" s="426"/>
      <c r="J18" s="425"/>
      <c r="K18" s="425"/>
      <c r="L18" s="425"/>
      <c r="M18" s="425"/>
      <c r="N18" s="426"/>
      <c r="O18" s="425"/>
      <c r="P18" s="425"/>
      <c r="Q18" s="425"/>
      <c r="R18" s="425"/>
      <c r="S18" s="426"/>
      <c r="T18" s="426"/>
      <c r="U18" s="426"/>
      <c r="V18" s="426"/>
      <c r="W18" s="426"/>
      <c r="X18" s="426"/>
      <c r="Y18" s="426"/>
      <c r="Z18" s="426"/>
      <c r="AA18" s="426"/>
      <c r="AB18" s="426"/>
    </row>
    <row r="19" spans="1:28" s="427" customFormat="1" hidden="1" outlineLevel="1">
      <c r="B19" s="534" t="s">
        <v>64</v>
      </c>
      <c r="C19" s="535"/>
      <c r="D19" s="536">
        <f>D20*2</f>
        <v>0</v>
      </c>
      <c r="E19" s="536">
        <f>E20*2</f>
        <v>0</v>
      </c>
      <c r="F19" s="536">
        <f>F20*2</f>
        <v>0</v>
      </c>
      <c r="G19" s="536">
        <f>G20*2</f>
        <v>0</v>
      </c>
      <c r="H19" s="536">
        <v>0</v>
      </c>
      <c r="I19" s="537">
        <f>(H19+G19+F19+E19)/4</f>
        <v>0</v>
      </c>
      <c r="J19" s="536">
        <v>0</v>
      </c>
      <c r="K19" s="536">
        <v>0</v>
      </c>
      <c r="L19" s="536">
        <v>0</v>
      </c>
      <c r="M19" s="536">
        <v>0</v>
      </c>
      <c r="N19" s="537">
        <f>(M19+L19+K19+J19)/4</f>
        <v>0</v>
      </c>
      <c r="O19" s="536">
        <v>0</v>
      </c>
      <c r="P19" s="536">
        <v>0</v>
      </c>
      <c r="Q19" s="536">
        <v>0</v>
      </c>
      <c r="R19" s="536">
        <v>0</v>
      </c>
      <c r="S19" s="537">
        <f>(R19+Q19+P19+O19)/4</f>
        <v>0</v>
      </c>
      <c r="T19" s="536">
        <v>0</v>
      </c>
      <c r="U19" s="536">
        <v>0.05</v>
      </c>
      <c r="V19" s="536">
        <v>0.15</v>
      </c>
      <c r="W19" s="536">
        <v>0.3</v>
      </c>
      <c r="X19" s="536">
        <v>0.4</v>
      </c>
      <c r="Y19" s="536">
        <v>0.5</v>
      </c>
      <c r="Z19" s="536">
        <v>0.5</v>
      </c>
      <c r="AA19" s="536">
        <v>0.5</v>
      </c>
      <c r="AB19" s="536">
        <v>0.5</v>
      </c>
    </row>
    <row r="20" spans="1:28" s="427" customFormat="1" hidden="1" outlineLevel="1">
      <c r="B20" s="534" t="s">
        <v>65</v>
      </c>
      <c r="C20" s="535"/>
      <c r="D20" s="536">
        <v>0</v>
      </c>
      <c r="E20" s="536">
        <v>0</v>
      </c>
      <c r="F20" s="536">
        <v>0</v>
      </c>
      <c r="G20" s="536">
        <v>0</v>
      </c>
      <c r="H20" s="536">
        <v>0</v>
      </c>
      <c r="I20" s="537">
        <f t="shared" ref="I20:I22" si="19">(H20+G20+F20+E20)/4</f>
        <v>0</v>
      </c>
      <c r="J20" s="536">
        <v>0</v>
      </c>
      <c r="K20" s="536">
        <v>0</v>
      </c>
      <c r="L20" s="536">
        <v>0</v>
      </c>
      <c r="M20" s="536">
        <v>0</v>
      </c>
      <c r="N20" s="537">
        <f t="shared" ref="N20:N22" si="20">(M20+L20+K20+J20)/4</f>
        <v>0</v>
      </c>
      <c r="O20" s="536">
        <v>0</v>
      </c>
      <c r="P20" s="536">
        <v>0</v>
      </c>
      <c r="Q20" s="536">
        <v>0</v>
      </c>
      <c r="R20" s="536">
        <v>0</v>
      </c>
      <c r="S20" s="537">
        <f t="shared" ref="S20:S22" si="21">(R20+Q20+P20+O20)/4</f>
        <v>0</v>
      </c>
      <c r="T20" s="536">
        <v>0</v>
      </c>
      <c r="U20" s="536">
        <v>0</v>
      </c>
      <c r="V20" s="536">
        <v>0</v>
      </c>
      <c r="W20" s="536">
        <v>0.05</v>
      </c>
      <c r="X20" s="536">
        <v>0.15</v>
      </c>
      <c r="Y20" s="536">
        <v>0.2</v>
      </c>
      <c r="Z20" s="536">
        <v>0.2</v>
      </c>
      <c r="AA20" s="536">
        <v>0.2</v>
      </c>
      <c r="AB20" s="536">
        <v>0.2</v>
      </c>
    </row>
    <row r="21" spans="1:28" s="427" customFormat="1" hidden="1" outlineLevel="1">
      <c r="B21" s="534" t="s">
        <v>66</v>
      </c>
      <c r="C21" s="535"/>
      <c r="D21" s="536">
        <f>D20*0.5</f>
        <v>0</v>
      </c>
      <c r="E21" s="536">
        <f>E20*0.5</f>
        <v>0</v>
      </c>
      <c r="F21" s="536">
        <f>F20*0.5</f>
        <v>0</v>
      </c>
      <c r="G21" s="536">
        <f>G20*0.5</f>
        <v>0</v>
      </c>
      <c r="H21" s="536">
        <v>0</v>
      </c>
      <c r="I21" s="537">
        <f t="shared" si="19"/>
        <v>0</v>
      </c>
      <c r="J21" s="536">
        <v>0</v>
      </c>
      <c r="K21" s="536">
        <v>0</v>
      </c>
      <c r="L21" s="536">
        <v>0</v>
      </c>
      <c r="M21" s="536">
        <v>0</v>
      </c>
      <c r="N21" s="537">
        <f t="shared" si="20"/>
        <v>0</v>
      </c>
      <c r="O21" s="536">
        <v>0</v>
      </c>
      <c r="P21" s="536">
        <v>0</v>
      </c>
      <c r="Q21" s="536">
        <v>0</v>
      </c>
      <c r="R21" s="536">
        <v>0</v>
      </c>
      <c r="S21" s="537">
        <f t="shared" si="21"/>
        <v>0</v>
      </c>
      <c r="T21" s="536">
        <v>0</v>
      </c>
      <c r="U21" s="536">
        <v>0</v>
      </c>
      <c r="V21" s="536">
        <v>0</v>
      </c>
      <c r="W21" s="536">
        <v>0</v>
      </c>
      <c r="X21" s="536">
        <v>0</v>
      </c>
      <c r="Y21" s="536">
        <v>0</v>
      </c>
      <c r="Z21" s="536">
        <v>0</v>
      </c>
      <c r="AA21" s="536">
        <v>0</v>
      </c>
      <c r="AB21" s="536">
        <v>0</v>
      </c>
    </row>
    <row r="22" spans="1:28" s="427" customFormat="1" collapsed="1">
      <c r="A22" s="428"/>
      <c r="B22" s="538" t="s">
        <v>318</v>
      </c>
      <c r="C22" s="539"/>
      <c r="D22" s="540">
        <f>CHOOSE($T$2,D19,D20,D21)</f>
        <v>0</v>
      </c>
      <c r="E22" s="541">
        <f>CHOOSE($T$2,E19,E20,E21)</f>
        <v>0</v>
      </c>
      <c r="F22" s="541">
        <f>CHOOSE($T$2,F19,F20,F21)</f>
        <v>0</v>
      </c>
      <c r="G22" s="541">
        <f>CHOOSE($T$2,G19,G20,G21)</f>
        <v>0</v>
      </c>
      <c r="H22" s="541">
        <f>CHOOSE($T$2,H19,H20,H21)</f>
        <v>0</v>
      </c>
      <c r="I22" s="540">
        <f t="shared" si="19"/>
        <v>0</v>
      </c>
      <c r="J22" s="541">
        <f>CHOOSE($T$2,J19,J20,J21)</f>
        <v>0</v>
      </c>
      <c r="K22" s="541">
        <f>CHOOSE($T$2,K19,K20,K21)</f>
        <v>0</v>
      </c>
      <c r="L22" s="541">
        <f>CHOOSE($T$2,L19,L20,L21)</f>
        <v>0</v>
      </c>
      <c r="M22" s="541">
        <f>CHOOSE($T$2,M19,M20,M21)</f>
        <v>0</v>
      </c>
      <c r="N22" s="540">
        <f t="shared" si="20"/>
        <v>0</v>
      </c>
      <c r="O22" s="541">
        <f>CHOOSE($T$2,O19,O20,O21)</f>
        <v>0</v>
      </c>
      <c r="P22" s="541">
        <f>CHOOSE($T$2,P19,P20,P21)</f>
        <v>0</v>
      </c>
      <c r="Q22" s="541">
        <f>CHOOSE($T$2,Q19,Q20,Q21)</f>
        <v>0</v>
      </c>
      <c r="R22" s="541">
        <f>CHOOSE($T$2,R19,R20,R21)</f>
        <v>0</v>
      </c>
      <c r="S22" s="540">
        <f t="shared" si="21"/>
        <v>0</v>
      </c>
      <c r="T22" s="540">
        <f t="shared" ref="T22:AB22" si="22">CHOOSE($T$2,T19,T20,T21)</f>
        <v>0</v>
      </c>
      <c r="U22" s="540">
        <f t="shared" si="22"/>
        <v>0</v>
      </c>
      <c r="V22" s="540">
        <f t="shared" si="22"/>
        <v>0</v>
      </c>
      <c r="W22" s="540">
        <f t="shared" si="22"/>
        <v>0.05</v>
      </c>
      <c r="X22" s="540">
        <f t="shared" si="22"/>
        <v>0.15</v>
      </c>
      <c r="Y22" s="540">
        <f t="shared" si="22"/>
        <v>0.2</v>
      </c>
      <c r="Z22" s="540">
        <f t="shared" si="22"/>
        <v>0.2</v>
      </c>
      <c r="AA22" s="540">
        <f t="shared" si="22"/>
        <v>0.2</v>
      </c>
      <c r="AB22" s="540">
        <f t="shared" si="22"/>
        <v>0.2</v>
      </c>
    </row>
    <row r="23" spans="1:28">
      <c r="B23" s="405"/>
      <c r="C23" s="395"/>
      <c r="D23" s="395"/>
      <c r="E23" s="429"/>
      <c r="F23" s="429"/>
      <c r="G23" s="429"/>
      <c r="H23" s="429"/>
      <c r="I23" s="418"/>
      <c r="J23" s="429"/>
      <c r="K23" s="429"/>
      <c r="L23" s="429"/>
      <c r="M23" s="429"/>
      <c r="N23" s="418"/>
      <c r="O23" s="429"/>
      <c r="P23" s="429"/>
      <c r="Q23" s="429"/>
      <c r="R23" s="429"/>
      <c r="S23" s="418"/>
      <c r="T23" s="418"/>
      <c r="U23" s="418"/>
      <c r="V23" s="418"/>
      <c r="W23" s="418"/>
      <c r="X23" s="418"/>
      <c r="Y23" s="418"/>
      <c r="Z23" s="418"/>
      <c r="AA23" s="418"/>
      <c r="AB23" s="418"/>
    </row>
    <row r="24" spans="1:28">
      <c r="B24" s="405" t="s">
        <v>435</v>
      </c>
      <c r="C24" s="395"/>
      <c r="D24" s="395"/>
      <c r="E24" s="430"/>
      <c r="F24" s="430"/>
      <c r="G24" s="430"/>
      <c r="H24" s="430">
        <f>H13*H22*1000</f>
        <v>0</v>
      </c>
      <c r="I24" s="431">
        <f>H24</f>
        <v>0</v>
      </c>
      <c r="J24" s="430">
        <f>J13*J22*1000</f>
        <v>0</v>
      </c>
      <c r="K24" s="430">
        <f>K13*K22*1000</f>
        <v>0</v>
      </c>
      <c r="L24" s="430">
        <f>L13*L22*1000</f>
        <v>0</v>
      </c>
      <c r="M24" s="430">
        <f>M13*M22*1000</f>
        <v>0</v>
      </c>
      <c r="N24" s="431">
        <f>(M24+L24+K24+J24)/4</f>
        <v>0</v>
      </c>
      <c r="O24" s="430">
        <f>O13*O22*1000</f>
        <v>0</v>
      </c>
      <c r="P24" s="430">
        <f>P13*P22*1000</f>
        <v>0</v>
      </c>
      <c r="Q24" s="430">
        <f>Q13*Q22*1000</f>
        <v>0</v>
      </c>
      <c r="R24" s="430">
        <f>R13*R22*1000</f>
        <v>0</v>
      </c>
      <c r="S24" s="431">
        <f>(R24+Q24+P24+O24)/4</f>
        <v>0</v>
      </c>
      <c r="T24" s="530">
        <f t="shared" ref="T24:AB24" si="23">T13*T22*1000</f>
        <v>0</v>
      </c>
      <c r="U24" s="530">
        <f t="shared" si="23"/>
        <v>0</v>
      </c>
      <c r="V24" s="530">
        <f t="shared" si="23"/>
        <v>0</v>
      </c>
      <c r="W24" s="530">
        <f t="shared" si="23"/>
        <v>311.20122193181004</v>
      </c>
      <c r="X24" s="530">
        <f t="shared" si="23"/>
        <v>924.4234825056584</v>
      </c>
      <c r="Y24" s="530">
        <f t="shared" si="23"/>
        <v>1097.6799468397462</v>
      </c>
      <c r="Z24" s="530">
        <f t="shared" si="23"/>
        <v>928.14395747179697</v>
      </c>
      <c r="AA24" s="530">
        <f t="shared" si="23"/>
        <v>792.51516597743762</v>
      </c>
      <c r="AB24" s="530">
        <f t="shared" si="23"/>
        <v>684.01213278194996</v>
      </c>
    </row>
    <row r="25" spans="1:28">
      <c r="B25" s="405"/>
      <c r="C25" s="395"/>
      <c r="D25" s="395"/>
      <c r="E25" s="429"/>
      <c r="F25" s="429"/>
      <c r="G25" s="429"/>
      <c r="H25" s="429"/>
      <c r="I25" s="418"/>
      <c r="J25" s="429"/>
      <c r="K25" s="429"/>
      <c r="L25" s="429"/>
      <c r="M25" s="429"/>
      <c r="N25" s="418"/>
      <c r="O25" s="429"/>
      <c r="P25" s="429"/>
      <c r="Q25" s="429"/>
      <c r="R25" s="429"/>
      <c r="S25" s="418"/>
      <c r="T25" s="418"/>
      <c r="U25" s="418"/>
      <c r="V25" s="418"/>
      <c r="W25" s="418"/>
      <c r="X25" s="418"/>
      <c r="Y25" s="418"/>
      <c r="Z25" s="418"/>
      <c r="AA25" s="418"/>
      <c r="AB25" s="418"/>
    </row>
    <row r="26" spans="1:28">
      <c r="B26" s="607" t="s">
        <v>436</v>
      </c>
      <c r="C26" s="395"/>
      <c r="D26" s="432"/>
      <c r="E26" s="433"/>
      <c r="F26" s="433"/>
      <c r="G26" s="433"/>
      <c r="H26" s="433"/>
      <c r="I26" s="434"/>
      <c r="J26" s="433"/>
      <c r="K26" s="433"/>
      <c r="L26" s="433"/>
      <c r="M26" s="433"/>
      <c r="N26" s="436"/>
      <c r="O26" s="435"/>
      <c r="P26" s="435"/>
      <c r="Q26" s="435"/>
      <c r="R26" s="435"/>
      <c r="S26" s="436"/>
      <c r="T26" s="436"/>
      <c r="U26" s="606">
        <v>1000000</v>
      </c>
      <c r="V26" s="606">
        <f>U26*(1+V27)</f>
        <v>1000000</v>
      </c>
      <c r="W26" s="606">
        <f t="shared" ref="W26:AB26" si="24">V26*(1+W27)</f>
        <v>1000000</v>
      </c>
      <c r="X26" s="606">
        <f t="shared" si="24"/>
        <v>1000000</v>
      </c>
      <c r="Y26" s="606">
        <f t="shared" si="24"/>
        <v>1000000</v>
      </c>
      <c r="Z26" s="606">
        <f t="shared" si="24"/>
        <v>1000000</v>
      </c>
      <c r="AA26" s="606">
        <f t="shared" si="24"/>
        <v>1000000</v>
      </c>
      <c r="AB26" s="606">
        <f t="shared" si="24"/>
        <v>1000000</v>
      </c>
    </row>
    <row r="27" spans="1:28">
      <c r="B27" s="608" t="s">
        <v>437</v>
      </c>
      <c r="C27" s="395"/>
      <c r="D27" s="395"/>
      <c r="E27" s="429"/>
      <c r="F27" s="429"/>
      <c r="G27" s="429"/>
      <c r="H27" s="429"/>
      <c r="I27" s="418"/>
      <c r="J27" s="429"/>
      <c r="K27" s="429"/>
      <c r="L27" s="429"/>
      <c r="M27" s="429"/>
      <c r="N27" s="418"/>
      <c r="O27" s="429"/>
      <c r="P27" s="429"/>
      <c r="Q27" s="429"/>
      <c r="R27" s="429"/>
      <c r="S27" s="418"/>
      <c r="T27" s="418"/>
      <c r="U27" s="418"/>
      <c r="V27" s="605">
        <v>0</v>
      </c>
      <c r="W27" s="605">
        <v>0</v>
      </c>
      <c r="X27" s="605">
        <v>0</v>
      </c>
      <c r="Y27" s="605">
        <v>0</v>
      </c>
      <c r="Z27" s="605">
        <v>0</v>
      </c>
      <c r="AA27" s="605">
        <v>0</v>
      </c>
      <c r="AB27" s="605">
        <v>0</v>
      </c>
    </row>
    <row r="28" spans="1:28">
      <c r="B28" s="607" t="s">
        <v>438</v>
      </c>
      <c r="C28" s="395"/>
      <c r="D28" s="437"/>
      <c r="E28" s="430"/>
      <c r="F28" s="430"/>
      <c r="G28" s="430"/>
      <c r="H28" s="430"/>
      <c r="I28" s="438"/>
      <c r="J28" s="430"/>
      <c r="K28" s="430"/>
      <c r="L28" s="430"/>
      <c r="M28" s="430"/>
      <c r="N28" s="439"/>
      <c r="O28" s="435"/>
      <c r="P28" s="435"/>
      <c r="Q28" s="435"/>
      <c r="R28" s="435"/>
      <c r="S28" s="439"/>
      <c r="T28" s="439"/>
      <c r="U28" s="606">
        <f>U26*(1-U29)</f>
        <v>900000</v>
      </c>
      <c r="V28" s="606">
        <f t="shared" ref="V28:AB28" si="25">V26*(1-V29)</f>
        <v>900000</v>
      </c>
      <c r="W28" s="606">
        <f t="shared" si="25"/>
        <v>900000</v>
      </c>
      <c r="X28" s="606">
        <f t="shared" si="25"/>
        <v>900000</v>
      </c>
      <c r="Y28" s="606">
        <f t="shared" si="25"/>
        <v>900000</v>
      </c>
      <c r="Z28" s="606">
        <f t="shared" si="25"/>
        <v>900000</v>
      </c>
      <c r="AA28" s="606">
        <f t="shared" si="25"/>
        <v>900000</v>
      </c>
      <c r="AB28" s="606">
        <f t="shared" si="25"/>
        <v>900000</v>
      </c>
    </row>
    <row r="29" spans="1:28" s="414" customFormat="1">
      <c r="B29" s="608" t="s">
        <v>439</v>
      </c>
      <c r="C29" s="410"/>
      <c r="D29" s="440"/>
      <c r="E29" s="441"/>
      <c r="F29" s="441"/>
      <c r="G29" s="441"/>
      <c r="H29" s="441"/>
      <c r="I29" s="413"/>
      <c r="J29" s="441"/>
      <c r="K29" s="441"/>
      <c r="L29" s="441"/>
      <c r="M29" s="441"/>
      <c r="N29" s="413"/>
      <c r="O29" s="441"/>
      <c r="P29" s="441"/>
      <c r="Q29" s="441"/>
      <c r="R29" s="441"/>
      <c r="S29" s="413"/>
      <c r="T29" s="413"/>
      <c r="U29" s="605">
        <v>0.1</v>
      </c>
      <c r="V29" s="605">
        <f>U29</f>
        <v>0.1</v>
      </c>
      <c r="W29" s="605">
        <f t="shared" ref="W29:AB29" si="26">V29</f>
        <v>0.1</v>
      </c>
      <c r="X29" s="605">
        <f t="shared" si="26"/>
        <v>0.1</v>
      </c>
      <c r="Y29" s="605">
        <f t="shared" si="26"/>
        <v>0.1</v>
      </c>
      <c r="Z29" s="605">
        <f t="shared" si="26"/>
        <v>0.1</v>
      </c>
      <c r="AA29" s="605">
        <f t="shared" si="26"/>
        <v>0.1</v>
      </c>
      <c r="AB29" s="605">
        <f t="shared" si="26"/>
        <v>0.1</v>
      </c>
    </row>
    <row r="30" spans="1:28">
      <c r="B30" s="405"/>
      <c r="C30" s="395"/>
      <c r="D30" s="395"/>
      <c r="E30" s="429"/>
      <c r="F30" s="429"/>
      <c r="G30" s="429"/>
      <c r="H30" s="429"/>
      <c r="I30" s="418"/>
      <c r="J30" s="429"/>
      <c r="K30" s="429"/>
      <c r="L30" s="429"/>
      <c r="M30" s="429"/>
      <c r="N30" s="418"/>
      <c r="O30" s="429"/>
      <c r="P30" s="429"/>
      <c r="Q30" s="429"/>
      <c r="R30" s="429"/>
      <c r="S30" s="418"/>
      <c r="T30" s="418"/>
      <c r="U30" s="418"/>
      <c r="V30" s="418"/>
      <c r="W30" s="418"/>
      <c r="X30" s="418"/>
      <c r="Y30" s="418"/>
      <c r="Z30" s="418"/>
      <c r="AA30" s="418"/>
      <c r="AB30" s="418"/>
    </row>
    <row r="31" spans="1:28">
      <c r="B31" s="461" t="s">
        <v>440</v>
      </c>
      <c r="C31" s="462"/>
      <c r="D31" s="463"/>
      <c r="E31" s="464"/>
      <c r="F31" s="464"/>
      <c r="G31" s="464"/>
      <c r="H31" s="568"/>
      <c r="I31" s="463"/>
      <c r="J31" s="464"/>
      <c r="K31" s="464"/>
      <c r="L31" s="464"/>
      <c r="M31" s="464"/>
      <c r="N31" s="463"/>
      <c r="O31" s="464"/>
      <c r="P31" s="464"/>
      <c r="Q31" s="464"/>
      <c r="R31" s="464"/>
      <c r="S31" s="463"/>
      <c r="T31" s="463">
        <f>T24*T28/1000000</f>
        <v>0</v>
      </c>
      <c r="U31" s="463">
        <f>U24*U28/1000000</f>
        <v>0</v>
      </c>
      <c r="V31" s="463">
        <f t="shared" ref="V31:AB31" si="27">V24*V28/1000000</f>
        <v>0</v>
      </c>
      <c r="W31" s="463">
        <f t="shared" si="27"/>
        <v>280.08109973862906</v>
      </c>
      <c r="X31" s="463">
        <f t="shared" si="27"/>
        <v>831.98113425509246</v>
      </c>
      <c r="Y31" s="463">
        <f t="shared" si="27"/>
        <v>987.91195215577159</v>
      </c>
      <c r="Z31" s="463">
        <f t="shared" si="27"/>
        <v>835.32956172461729</v>
      </c>
      <c r="AA31" s="463">
        <f t="shared" si="27"/>
        <v>713.2636493796939</v>
      </c>
      <c r="AB31" s="463">
        <f t="shared" si="27"/>
        <v>615.61091950375499</v>
      </c>
    </row>
    <row r="32" spans="1:28" s="427" customFormat="1">
      <c r="B32" s="465" t="s">
        <v>316</v>
      </c>
      <c r="C32" s="466"/>
      <c r="D32" s="466"/>
      <c r="E32" s="467"/>
      <c r="F32" s="467"/>
      <c r="G32" s="467"/>
      <c r="H32" s="467"/>
      <c r="I32" s="468"/>
      <c r="J32" s="467"/>
      <c r="K32" s="467"/>
      <c r="L32" s="467"/>
      <c r="M32" s="467"/>
      <c r="N32" s="468"/>
      <c r="O32" s="467"/>
      <c r="P32" s="467"/>
      <c r="Q32" s="467"/>
      <c r="R32" s="467"/>
      <c r="S32" s="468"/>
      <c r="T32" s="468"/>
      <c r="U32" s="468"/>
      <c r="V32" s="468" t="e">
        <f>V31/U31-1</f>
        <v>#DIV/0!</v>
      </c>
      <c r="W32" s="468" t="e">
        <f t="shared" ref="W32" si="28">W31/V31-1</f>
        <v>#DIV/0!</v>
      </c>
      <c r="X32" s="468">
        <f t="shared" ref="X32" si="29">X31/W31-1</f>
        <v>1.9705008121986634</v>
      </c>
      <c r="Y32" s="468">
        <f t="shared" ref="Y32" si="30">Y31/X31-1</f>
        <v>0.18742109824436159</v>
      </c>
      <c r="Z32" s="468">
        <f t="shared" ref="Z32" si="31">Z31/Y31-1</f>
        <v>-0.1544493819496735</v>
      </c>
      <c r="AA32" s="468">
        <f t="shared" ref="AA32" si="32">AA31/Z31-1</f>
        <v>-0.14612904647227698</v>
      </c>
      <c r="AB32" s="468">
        <f t="shared" ref="AB32" si="33">AB31/AA31-1</f>
        <v>-0.13690972470118845</v>
      </c>
    </row>
    <row r="33" spans="1:28" s="427" customFormat="1">
      <c r="B33" s="465"/>
      <c r="C33" s="466"/>
      <c r="D33" s="466"/>
      <c r="E33" s="467"/>
      <c r="F33" s="467"/>
      <c r="G33" s="467"/>
      <c r="H33" s="467"/>
      <c r="I33" s="468"/>
      <c r="J33" s="467"/>
      <c r="K33" s="467"/>
      <c r="L33" s="467"/>
      <c r="M33" s="467"/>
      <c r="N33" s="468"/>
      <c r="O33" s="467"/>
      <c r="P33" s="467"/>
      <c r="Q33" s="467"/>
      <c r="R33" s="467"/>
      <c r="S33" s="468"/>
      <c r="T33" s="468"/>
      <c r="U33" s="468"/>
      <c r="V33" s="468"/>
      <c r="W33" s="468"/>
      <c r="X33" s="468"/>
      <c r="Y33" s="468"/>
      <c r="Z33" s="468"/>
      <c r="AA33" s="468"/>
      <c r="AB33" s="468"/>
    </row>
    <row r="34" spans="1:28" s="427" customFormat="1" hidden="1" outlineLevel="1">
      <c r="B34" s="534" t="s">
        <v>64</v>
      </c>
      <c r="C34" s="535"/>
      <c r="D34" s="536">
        <f>D35*2</f>
        <v>0</v>
      </c>
      <c r="E34" s="536">
        <f>E35*2</f>
        <v>0</v>
      </c>
      <c r="F34" s="536">
        <f>F35*2</f>
        <v>0</v>
      </c>
      <c r="G34" s="536">
        <f>G35*2</f>
        <v>0</v>
      </c>
      <c r="H34" s="536">
        <v>0</v>
      </c>
      <c r="I34" s="537">
        <f>(H34+G34+F34+E34)/4</f>
        <v>0</v>
      </c>
      <c r="J34" s="536">
        <v>0</v>
      </c>
      <c r="K34" s="536">
        <v>0</v>
      </c>
      <c r="L34" s="536">
        <v>0</v>
      </c>
      <c r="M34" s="536">
        <v>0</v>
      </c>
      <c r="N34" s="537">
        <f>(M34+L34+K34+J34)/4</f>
        <v>0</v>
      </c>
      <c r="O34" s="536">
        <v>0</v>
      </c>
      <c r="P34" s="536">
        <v>0</v>
      </c>
      <c r="Q34" s="536">
        <v>0</v>
      </c>
      <c r="R34" s="536">
        <v>0</v>
      </c>
      <c r="S34" s="537">
        <f>(R34+Q34+P34+O34)/4</f>
        <v>0</v>
      </c>
      <c r="T34" s="536">
        <v>0</v>
      </c>
      <c r="U34" s="536">
        <v>0.05</v>
      </c>
      <c r="V34" s="536">
        <v>0.15</v>
      </c>
      <c r="W34" s="536">
        <v>0.3</v>
      </c>
      <c r="X34" s="536">
        <v>0.4</v>
      </c>
      <c r="Y34" s="536">
        <v>0.5</v>
      </c>
      <c r="Z34" s="536">
        <v>0.5</v>
      </c>
      <c r="AA34" s="536">
        <v>0.5</v>
      </c>
      <c r="AB34" s="536">
        <v>0.5</v>
      </c>
    </row>
    <row r="35" spans="1:28" s="427" customFormat="1" hidden="1" outlineLevel="1">
      <c r="B35" s="534" t="s">
        <v>65</v>
      </c>
      <c r="C35" s="535"/>
      <c r="D35" s="536">
        <v>0</v>
      </c>
      <c r="E35" s="536">
        <v>0</v>
      </c>
      <c r="F35" s="536">
        <v>0</v>
      </c>
      <c r="G35" s="536">
        <v>0</v>
      </c>
      <c r="H35" s="536">
        <v>0</v>
      </c>
      <c r="I35" s="537">
        <f t="shared" ref="I35:I37" si="34">(H35+G35+F35+E35)/4</f>
        <v>0</v>
      </c>
      <c r="J35" s="536">
        <v>0</v>
      </c>
      <c r="K35" s="536">
        <v>0</v>
      </c>
      <c r="L35" s="536">
        <v>0</v>
      </c>
      <c r="M35" s="536">
        <v>0</v>
      </c>
      <c r="N35" s="537">
        <f t="shared" ref="N35:N37" si="35">(M35+L35+K35+J35)/4</f>
        <v>0</v>
      </c>
      <c r="O35" s="536">
        <v>0</v>
      </c>
      <c r="P35" s="536">
        <v>0</v>
      </c>
      <c r="Q35" s="536">
        <v>0</v>
      </c>
      <c r="R35" s="536">
        <v>0</v>
      </c>
      <c r="S35" s="537">
        <f t="shared" ref="S35:S37" si="36">(R35+Q35+P35+O35)/4</f>
        <v>0</v>
      </c>
      <c r="T35" s="536">
        <v>0</v>
      </c>
      <c r="U35" s="536">
        <v>0</v>
      </c>
      <c r="V35" s="536">
        <v>0</v>
      </c>
      <c r="W35" s="536">
        <v>2.5000000000000001E-2</v>
      </c>
      <c r="X35" s="536">
        <v>0.05</v>
      </c>
      <c r="Y35" s="536">
        <v>0.1</v>
      </c>
      <c r="Z35" s="536">
        <v>0.15</v>
      </c>
      <c r="AA35" s="536">
        <v>0.2</v>
      </c>
      <c r="AB35" s="536">
        <v>0.2</v>
      </c>
    </row>
    <row r="36" spans="1:28" s="427" customFormat="1" hidden="1" outlineLevel="1">
      <c r="B36" s="534" t="s">
        <v>66</v>
      </c>
      <c r="C36" s="535"/>
      <c r="D36" s="536">
        <f>D35*0.5</f>
        <v>0</v>
      </c>
      <c r="E36" s="536">
        <f>E35*0.5</f>
        <v>0</v>
      </c>
      <c r="F36" s="536">
        <f>F35*0.5</f>
        <v>0</v>
      </c>
      <c r="G36" s="536">
        <f>G35*0.5</f>
        <v>0</v>
      </c>
      <c r="H36" s="536">
        <v>0</v>
      </c>
      <c r="I36" s="537">
        <f t="shared" si="34"/>
        <v>0</v>
      </c>
      <c r="J36" s="536">
        <v>0</v>
      </c>
      <c r="K36" s="536">
        <v>0</v>
      </c>
      <c r="L36" s="536">
        <v>0</v>
      </c>
      <c r="M36" s="536">
        <v>0</v>
      </c>
      <c r="N36" s="537">
        <f t="shared" si="35"/>
        <v>0</v>
      </c>
      <c r="O36" s="536">
        <v>0</v>
      </c>
      <c r="P36" s="536">
        <v>0</v>
      </c>
      <c r="Q36" s="536">
        <v>0</v>
      </c>
      <c r="R36" s="536">
        <v>0</v>
      </c>
      <c r="S36" s="537">
        <f t="shared" si="36"/>
        <v>0</v>
      </c>
      <c r="T36" s="536">
        <v>0</v>
      </c>
      <c r="U36" s="536">
        <v>0</v>
      </c>
      <c r="V36" s="536">
        <v>0</v>
      </c>
      <c r="W36" s="536">
        <v>0</v>
      </c>
      <c r="X36" s="536">
        <v>0</v>
      </c>
      <c r="Y36" s="536">
        <v>0</v>
      </c>
      <c r="Z36" s="536">
        <v>0</v>
      </c>
      <c r="AA36" s="536">
        <v>0</v>
      </c>
      <c r="AB36" s="536">
        <v>0</v>
      </c>
    </row>
    <row r="37" spans="1:28" s="427" customFormat="1" collapsed="1">
      <c r="A37" s="428"/>
      <c r="B37" s="538" t="s">
        <v>441</v>
      </c>
      <c r="C37" s="539"/>
      <c r="D37" s="540">
        <f>CHOOSE($T$2,D34,D35,D36)</f>
        <v>0</v>
      </c>
      <c r="E37" s="541">
        <f>CHOOSE($T$2,E34,E35,E36)</f>
        <v>0</v>
      </c>
      <c r="F37" s="541">
        <f>CHOOSE($T$2,F34,F35,F36)</f>
        <v>0</v>
      </c>
      <c r="G37" s="541">
        <f>CHOOSE($T$2,G34,G35,G36)</f>
        <v>0</v>
      </c>
      <c r="H37" s="541">
        <f>CHOOSE($T$2,H34,H35,H36)</f>
        <v>0</v>
      </c>
      <c r="I37" s="540">
        <f t="shared" si="34"/>
        <v>0</v>
      </c>
      <c r="J37" s="541">
        <f>CHOOSE($T$2,J34,J35,J36)</f>
        <v>0</v>
      </c>
      <c r="K37" s="541">
        <f>CHOOSE($T$2,K34,K35,K36)</f>
        <v>0</v>
      </c>
      <c r="L37" s="541">
        <f>CHOOSE($T$2,L34,L35,L36)</f>
        <v>0</v>
      </c>
      <c r="M37" s="541">
        <f>CHOOSE($T$2,M34,M35,M36)</f>
        <v>0</v>
      </c>
      <c r="N37" s="540">
        <f t="shared" si="35"/>
        <v>0</v>
      </c>
      <c r="O37" s="541">
        <f>CHOOSE($T$2,O34,O35,O36)</f>
        <v>0</v>
      </c>
      <c r="P37" s="541">
        <f>CHOOSE($T$2,P34,P35,P36)</f>
        <v>0</v>
      </c>
      <c r="Q37" s="541">
        <f>CHOOSE($T$2,Q34,Q35,Q36)</f>
        <v>0</v>
      </c>
      <c r="R37" s="541">
        <f>CHOOSE($T$2,R34,R35,R36)</f>
        <v>0</v>
      </c>
      <c r="S37" s="540">
        <f t="shared" si="36"/>
        <v>0</v>
      </c>
      <c r="T37" s="540">
        <f t="shared" ref="T37:AB37" si="37">CHOOSE($T$2,T34,T35,T36)</f>
        <v>0</v>
      </c>
      <c r="U37" s="540">
        <f t="shared" si="37"/>
        <v>0</v>
      </c>
      <c r="V37" s="540">
        <f t="shared" si="37"/>
        <v>0</v>
      </c>
      <c r="W37" s="540">
        <f t="shared" si="37"/>
        <v>2.5000000000000001E-2</v>
      </c>
      <c r="X37" s="540">
        <f t="shared" si="37"/>
        <v>0.05</v>
      </c>
      <c r="Y37" s="540">
        <f t="shared" si="37"/>
        <v>0.1</v>
      </c>
      <c r="Z37" s="540">
        <f t="shared" si="37"/>
        <v>0.15</v>
      </c>
      <c r="AA37" s="540">
        <f t="shared" si="37"/>
        <v>0.2</v>
      </c>
      <c r="AB37" s="540">
        <f t="shared" si="37"/>
        <v>0.2</v>
      </c>
    </row>
    <row r="38" spans="1:28">
      <c r="B38" s="405"/>
      <c r="C38" s="395"/>
      <c r="D38" s="395"/>
      <c r="E38" s="429"/>
      <c r="F38" s="429"/>
      <c r="G38" s="429"/>
      <c r="H38" s="429"/>
      <c r="I38" s="418"/>
      <c r="J38" s="429"/>
      <c r="K38" s="429"/>
      <c r="L38" s="429"/>
      <c r="M38" s="429"/>
      <c r="N38" s="418"/>
      <c r="O38" s="429"/>
      <c r="P38" s="429"/>
      <c r="Q38" s="429"/>
      <c r="R38" s="429"/>
      <c r="S38" s="418"/>
      <c r="T38" s="418"/>
      <c r="U38" s="418"/>
      <c r="V38" s="418"/>
      <c r="W38" s="418"/>
      <c r="X38" s="418"/>
      <c r="Y38" s="418"/>
      <c r="Z38" s="418"/>
      <c r="AA38" s="418"/>
      <c r="AB38" s="418"/>
    </row>
    <row r="39" spans="1:28">
      <c r="B39" s="405" t="s">
        <v>435</v>
      </c>
      <c r="C39" s="395"/>
      <c r="D39" s="395"/>
      <c r="E39" s="430"/>
      <c r="F39" s="430"/>
      <c r="G39" s="430"/>
      <c r="H39" s="430">
        <f>(H14+H15)*H37*1000</f>
        <v>0</v>
      </c>
      <c r="I39" s="431">
        <f>H39</f>
        <v>0</v>
      </c>
      <c r="J39" s="430">
        <f>(J14+J15)*J37*1000</f>
        <v>0</v>
      </c>
      <c r="K39" s="430">
        <f>(K14+K15)*K37*1000</f>
        <v>0</v>
      </c>
      <c r="L39" s="430">
        <f>(L14+L15)*L37*1000</f>
        <v>0</v>
      </c>
      <c r="M39" s="430">
        <f>(M14+M15)*M37*1000</f>
        <v>0</v>
      </c>
      <c r="N39" s="431">
        <f>(M39+L39+K39+J39)/4</f>
        <v>0</v>
      </c>
      <c r="O39" s="430">
        <f>(O14+O15)*O37*1000</f>
        <v>0</v>
      </c>
      <c r="P39" s="430">
        <f>(P14+P15)*P37*1000</f>
        <v>0</v>
      </c>
      <c r="Q39" s="430">
        <f>(Q14+Q15)*Q37*1000</f>
        <v>0</v>
      </c>
      <c r="R39" s="430">
        <f>(R14+R15)*R37*1000</f>
        <v>0</v>
      </c>
      <c r="S39" s="431">
        <f>(R39+Q39+P39+O39)/4</f>
        <v>0</v>
      </c>
      <c r="T39" s="530">
        <f t="shared" ref="T39:AB39" si="38">(T14+T15)*T37*1000</f>
        <v>0</v>
      </c>
      <c r="U39" s="530">
        <f t="shared" si="38"/>
        <v>0</v>
      </c>
      <c r="V39" s="530">
        <f t="shared" si="38"/>
        <v>0</v>
      </c>
      <c r="W39" s="530">
        <f t="shared" si="38"/>
        <v>133.05770154211305</v>
      </c>
      <c r="X39" s="530">
        <f t="shared" si="38"/>
        <v>260.56820876641405</v>
      </c>
      <c r="Y39" s="530">
        <f t="shared" si="38"/>
        <v>499.5023596933612</v>
      </c>
      <c r="Z39" s="530">
        <f t="shared" si="38"/>
        <v>687.59647469756089</v>
      </c>
      <c r="AA39" s="530">
        <f t="shared" si="38"/>
        <v>805.81258288028266</v>
      </c>
      <c r="AB39" s="530">
        <f t="shared" si="38"/>
        <v>680.03217060162183</v>
      </c>
    </row>
    <row r="40" spans="1:28">
      <c r="B40" s="405"/>
      <c r="C40" s="395"/>
      <c r="D40" s="395"/>
      <c r="E40" s="429"/>
      <c r="F40" s="429"/>
      <c r="G40" s="429"/>
      <c r="H40" s="429"/>
      <c r="I40" s="418"/>
      <c r="J40" s="429"/>
      <c r="K40" s="429"/>
      <c r="L40" s="429"/>
      <c r="M40" s="429"/>
      <c r="N40" s="418"/>
      <c r="O40" s="429"/>
      <c r="P40" s="429"/>
      <c r="Q40" s="429"/>
      <c r="R40" s="429"/>
      <c r="S40" s="418"/>
      <c r="T40" s="418"/>
      <c r="U40" s="418"/>
      <c r="V40" s="418"/>
      <c r="W40" s="418"/>
      <c r="X40" s="418"/>
      <c r="Y40" s="418"/>
      <c r="Z40" s="418"/>
      <c r="AA40" s="418"/>
      <c r="AB40" s="418"/>
    </row>
    <row r="41" spans="1:28">
      <c r="B41" s="607" t="s">
        <v>436</v>
      </c>
      <c r="C41" s="395"/>
      <c r="D41" s="432"/>
      <c r="E41" s="433"/>
      <c r="F41" s="433"/>
      <c r="G41" s="433"/>
      <c r="H41" s="433"/>
      <c r="I41" s="434"/>
      <c r="J41" s="433"/>
      <c r="K41" s="433"/>
      <c r="L41" s="433"/>
      <c r="M41" s="433"/>
      <c r="N41" s="436"/>
      <c r="O41" s="435"/>
      <c r="P41" s="435"/>
      <c r="Q41" s="435"/>
      <c r="R41" s="435"/>
      <c r="S41" s="436"/>
      <c r="T41" s="436"/>
      <c r="U41" s="606">
        <f>U26</f>
        <v>1000000</v>
      </c>
      <c r="V41" s="606">
        <f>U41*(1+V42)</f>
        <v>1000000</v>
      </c>
      <c r="W41" s="606">
        <f t="shared" ref="W41" si="39">V41*(1+W42)</f>
        <v>1000000</v>
      </c>
      <c r="X41" s="606">
        <f t="shared" ref="X41" si="40">W41*(1+X42)</f>
        <v>1000000</v>
      </c>
      <c r="Y41" s="606">
        <f t="shared" ref="Y41" si="41">X41*(1+Y42)</f>
        <v>1000000</v>
      </c>
      <c r="Z41" s="606">
        <f t="shared" ref="Z41" si="42">Y41*(1+Z42)</f>
        <v>1000000</v>
      </c>
      <c r="AA41" s="606">
        <f t="shared" ref="AA41" si="43">Z41*(1+AA42)</f>
        <v>1000000</v>
      </c>
      <c r="AB41" s="606">
        <f t="shared" ref="AB41" si="44">AA41*(1+AB42)</f>
        <v>1000000</v>
      </c>
    </row>
    <row r="42" spans="1:28">
      <c r="B42" s="608" t="s">
        <v>437</v>
      </c>
      <c r="C42" s="395"/>
      <c r="D42" s="395"/>
      <c r="E42" s="429"/>
      <c r="F42" s="429"/>
      <c r="G42" s="429"/>
      <c r="H42" s="429"/>
      <c r="I42" s="418"/>
      <c r="J42" s="429"/>
      <c r="K42" s="429"/>
      <c r="L42" s="429"/>
      <c r="M42" s="429"/>
      <c r="N42" s="418"/>
      <c r="O42" s="429"/>
      <c r="P42" s="429"/>
      <c r="Q42" s="429"/>
      <c r="R42" s="429"/>
      <c r="S42" s="418"/>
      <c r="T42" s="418"/>
      <c r="U42" s="418"/>
      <c r="V42" s="605">
        <v>0</v>
      </c>
      <c r="W42" s="605">
        <v>0</v>
      </c>
      <c r="X42" s="605">
        <v>0</v>
      </c>
      <c r="Y42" s="605">
        <v>0</v>
      </c>
      <c r="Z42" s="605">
        <v>0</v>
      </c>
      <c r="AA42" s="605">
        <v>0</v>
      </c>
      <c r="AB42" s="605">
        <v>0</v>
      </c>
    </row>
    <row r="43" spans="1:28">
      <c r="B43" s="607" t="s">
        <v>438</v>
      </c>
      <c r="C43" s="395"/>
      <c r="D43" s="437"/>
      <c r="E43" s="430"/>
      <c r="F43" s="430"/>
      <c r="G43" s="430"/>
      <c r="H43" s="430"/>
      <c r="I43" s="438"/>
      <c r="J43" s="430"/>
      <c r="K43" s="430"/>
      <c r="L43" s="430"/>
      <c r="M43" s="430"/>
      <c r="N43" s="439"/>
      <c r="O43" s="435"/>
      <c r="P43" s="435"/>
      <c r="Q43" s="435"/>
      <c r="R43" s="435"/>
      <c r="S43" s="439"/>
      <c r="T43" s="439"/>
      <c r="U43" s="606">
        <f>U41*(1-U44)</f>
        <v>900000</v>
      </c>
      <c r="V43" s="606">
        <f t="shared" ref="V43" si="45">V41*(1-V44)</f>
        <v>900000</v>
      </c>
      <c r="W43" s="606">
        <f t="shared" ref="W43" si="46">W41*(1-W44)</f>
        <v>900000</v>
      </c>
      <c r="X43" s="606">
        <f t="shared" ref="X43" si="47">X41*(1-X44)</f>
        <v>900000</v>
      </c>
      <c r="Y43" s="606">
        <f t="shared" ref="Y43" si="48">Y41*(1-Y44)</f>
        <v>900000</v>
      </c>
      <c r="Z43" s="606">
        <f t="shared" ref="Z43" si="49">Z41*(1-Z44)</f>
        <v>900000</v>
      </c>
      <c r="AA43" s="606">
        <f t="shared" ref="AA43" si="50">AA41*(1-AA44)</f>
        <v>900000</v>
      </c>
      <c r="AB43" s="606">
        <f t="shared" ref="AB43" si="51">AB41*(1-AB44)</f>
        <v>900000</v>
      </c>
    </row>
    <row r="44" spans="1:28" s="414" customFormat="1">
      <c r="B44" s="608" t="s">
        <v>439</v>
      </c>
      <c r="C44" s="410"/>
      <c r="D44" s="440"/>
      <c r="E44" s="441"/>
      <c r="F44" s="441"/>
      <c r="G44" s="441"/>
      <c r="H44" s="441"/>
      <c r="I44" s="413"/>
      <c r="J44" s="441"/>
      <c r="K44" s="441"/>
      <c r="L44" s="441"/>
      <c r="M44" s="441"/>
      <c r="N44" s="413"/>
      <c r="O44" s="441"/>
      <c r="P44" s="441"/>
      <c r="Q44" s="441"/>
      <c r="R44" s="441"/>
      <c r="S44" s="413"/>
      <c r="T44" s="413"/>
      <c r="U44" s="605">
        <v>0.1</v>
      </c>
      <c r="V44" s="605">
        <f>U44</f>
        <v>0.1</v>
      </c>
      <c r="W44" s="605">
        <f t="shared" ref="W44:AB44" si="52">V44</f>
        <v>0.1</v>
      </c>
      <c r="X44" s="605">
        <f t="shared" si="52"/>
        <v>0.1</v>
      </c>
      <c r="Y44" s="605">
        <f t="shared" si="52"/>
        <v>0.1</v>
      </c>
      <c r="Z44" s="605">
        <f t="shared" si="52"/>
        <v>0.1</v>
      </c>
      <c r="AA44" s="605">
        <f t="shared" si="52"/>
        <v>0.1</v>
      </c>
      <c r="AB44" s="605">
        <f t="shared" si="52"/>
        <v>0.1</v>
      </c>
    </row>
    <row r="45" spans="1:28">
      <c r="B45" s="405"/>
      <c r="C45" s="395"/>
      <c r="D45" s="395"/>
      <c r="E45" s="429"/>
      <c r="F45" s="429"/>
      <c r="G45" s="429"/>
      <c r="H45" s="429"/>
      <c r="I45" s="418"/>
      <c r="J45" s="429"/>
      <c r="K45" s="429"/>
      <c r="L45" s="429"/>
      <c r="M45" s="429"/>
      <c r="N45" s="418"/>
      <c r="O45" s="429"/>
      <c r="P45" s="429"/>
      <c r="Q45" s="429"/>
      <c r="R45" s="429"/>
      <c r="S45" s="418"/>
      <c r="T45" s="418"/>
      <c r="U45" s="418"/>
      <c r="V45" s="418"/>
      <c r="W45" s="418"/>
      <c r="X45" s="418"/>
      <c r="Y45" s="418"/>
      <c r="Z45" s="418"/>
      <c r="AA45" s="418"/>
      <c r="AB45" s="418"/>
    </row>
    <row r="46" spans="1:28">
      <c r="B46" s="461" t="s">
        <v>442</v>
      </c>
      <c r="C46" s="462"/>
      <c r="D46" s="463"/>
      <c r="E46" s="464"/>
      <c r="F46" s="464"/>
      <c r="G46" s="464"/>
      <c r="H46" s="568"/>
      <c r="I46" s="463"/>
      <c r="J46" s="464"/>
      <c r="K46" s="464"/>
      <c r="L46" s="464"/>
      <c r="M46" s="464"/>
      <c r="N46" s="463"/>
      <c r="O46" s="464"/>
      <c r="P46" s="464"/>
      <c r="Q46" s="464"/>
      <c r="R46" s="464"/>
      <c r="S46" s="463"/>
      <c r="T46" s="463">
        <f>T39*T43/1000000</f>
        <v>0</v>
      </c>
      <c r="U46" s="463">
        <f>U39*U43/1000000</f>
        <v>0</v>
      </c>
      <c r="V46" s="463">
        <f t="shared" ref="V46:AB46" si="53">V39*V43/1000000</f>
        <v>0</v>
      </c>
      <c r="W46" s="463">
        <f t="shared" si="53"/>
        <v>119.75193138790175</v>
      </c>
      <c r="X46" s="463">
        <f t="shared" si="53"/>
        <v>234.51138788977266</v>
      </c>
      <c r="Y46" s="463">
        <f t="shared" si="53"/>
        <v>449.55212372402508</v>
      </c>
      <c r="Z46" s="463">
        <f t="shared" si="53"/>
        <v>618.83682722780475</v>
      </c>
      <c r="AA46" s="463">
        <f t="shared" si="53"/>
        <v>725.2313245922544</v>
      </c>
      <c r="AB46" s="463">
        <f t="shared" si="53"/>
        <v>612.02895354145971</v>
      </c>
    </row>
    <row r="47" spans="1:28" s="427" customFormat="1">
      <c r="B47" s="465" t="s">
        <v>316</v>
      </c>
      <c r="C47" s="466"/>
      <c r="D47" s="466"/>
      <c r="E47" s="467"/>
      <c r="F47" s="467"/>
      <c r="G47" s="467"/>
      <c r="H47" s="467"/>
      <c r="I47" s="468"/>
      <c r="J47" s="467"/>
      <c r="K47" s="467"/>
      <c r="L47" s="467"/>
      <c r="M47" s="467"/>
      <c r="N47" s="468"/>
      <c r="O47" s="467"/>
      <c r="P47" s="467"/>
      <c r="Q47" s="467"/>
      <c r="R47" s="467"/>
      <c r="S47" s="468"/>
      <c r="T47" s="468"/>
      <c r="U47" s="468"/>
      <c r="V47" s="468" t="e">
        <f>V46/U46-1</f>
        <v>#DIV/0!</v>
      </c>
      <c r="W47" s="468" t="e">
        <f t="shared" ref="W47" si="54">W46/V46-1</f>
        <v>#DIV/0!</v>
      </c>
      <c r="X47" s="468">
        <f t="shared" ref="X47" si="55">X46/W46-1</f>
        <v>0.9583098591549295</v>
      </c>
      <c r="Y47" s="468">
        <f t="shared" ref="Y47" si="56">Y46/X46-1</f>
        <v>0.91697353279631755</v>
      </c>
      <c r="Z47" s="468">
        <f t="shared" ref="Z47" si="57">Z46/Y46-1</f>
        <v>0.37656301587777974</v>
      </c>
      <c r="AA47" s="468">
        <f t="shared" ref="AA47" si="58">AA46/Z46-1</f>
        <v>0.17192657689921864</v>
      </c>
      <c r="AB47" s="468">
        <f t="shared" ref="AB47" si="59">AB46/AA46-1</f>
        <v>-0.15609139761639534</v>
      </c>
    </row>
    <row r="48" spans="1:28" s="427" customFormat="1">
      <c r="B48" s="465"/>
      <c r="C48" s="466"/>
      <c r="D48" s="466"/>
      <c r="E48" s="467"/>
      <c r="F48" s="467"/>
      <c r="G48" s="467"/>
      <c r="H48" s="467"/>
      <c r="I48" s="468"/>
      <c r="J48" s="467"/>
      <c r="K48" s="467"/>
      <c r="L48" s="467"/>
      <c r="M48" s="467"/>
      <c r="N48" s="468"/>
      <c r="O48" s="467"/>
      <c r="P48" s="467"/>
      <c r="Q48" s="467"/>
      <c r="R48" s="467"/>
      <c r="S48" s="468"/>
      <c r="T48" s="468"/>
      <c r="U48" s="468"/>
      <c r="V48" s="468"/>
      <c r="W48" s="468"/>
      <c r="X48" s="468"/>
      <c r="Y48" s="468"/>
      <c r="Z48" s="468"/>
      <c r="AA48" s="468"/>
      <c r="AB48" s="468"/>
    </row>
    <row r="49" spans="2:28">
      <c r="B49" s="405"/>
      <c r="E49" s="481"/>
      <c r="F49" s="481"/>
      <c r="G49" s="481"/>
      <c r="H49" s="481"/>
      <c r="I49" s="482"/>
      <c r="J49" s="481"/>
      <c r="K49" s="481"/>
      <c r="L49" s="481"/>
      <c r="M49" s="481"/>
      <c r="N49" s="482"/>
      <c r="O49" s="481"/>
      <c r="P49" s="481"/>
      <c r="Q49" s="481"/>
      <c r="R49" s="481"/>
      <c r="S49" s="482"/>
      <c r="T49" s="482"/>
      <c r="U49" s="482"/>
      <c r="V49" s="482"/>
      <c r="W49" s="482"/>
      <c r="X49" s="482"/>
      <c r="Y49" s="482"/>
      <c r="Z49" s="482"/>
      <c r="AA49" s="482"/>
      <c r="AB49" s="483"/>
    </row>
    <row r="50" spans="2:28" s="404" customFormat="1">
      <c r="B50" s="423" t="s">
        <v>434</v>
      </c>
      <c r="C50" s="402">
        <v>2014</v>
      </c>
      <c r="D50" s="402">
        <f>C50+1</f>
        <v>2015</v>
      </c>
      <c r="E50" s="403" t="s">
        <v>241</v>
      </c>
      <c r="F50" s="403" t="s">
        <v>256</v>
      </c>
      <c r="G50" s="403" t="s">
        <v>350</v>
      </c>
      <c r="H50" s="403" t="s">
        <v>361</v>
      </c>
      <c r="I50" s="403">
        <f>D50+1</f>
        <v>2016</v>
      </c>
      <c r="J50" s="403" t="s">
        <v>358</v>
      </c>
      <c r="K50" s="403" t="s">
        <v>328</v>
      </c>
      <c r="L50" s="403" t="s">
        <v>359</v>
      </c>
      <c r="M50" s="403" t="s">
        <v>360</v>
      </c>
      <c r="N50" s="403">
        <f t="shared" ref="N50" si="60">I50+1</f>
        <v>2017</v>
      </c>
      <c r="O50" s="403" t="s">
        <v>368</v>
      </c>
      <c r="P50" s="403" t="s">
        <v>369</v>
      </c>
      <c r="Q50" s="403" t="s">
        <v>370</v>
      </c>
      <c r="R50" s="403" t="s">
        <v>371</v>
      </c>
      <c r="S50" s="403">
        <f>N50+1</f>
        <v>2018</v>
      </c>
      <c r="T50" s="403">
        <f>S50+1</f>
        <v>2019</v>
      </c>
      <c r="U50" s="403">
        <f t="shared" ref="U50:AB50" si="61">T50+1</f>
        <v>2020</v>
      </c>
      <c r="V50" s="403">
        <f t="shared" si="61"/>
        <v>2021</v>
      </c>
      <c r="W50" s="403">
        <f t="shared" si="61"/>
        <v>2022</v>
      </c>
      <c r="X50" s="403">
        <f t="shared" si="61"/>
        <v>2023</v>
      </c>
      <c r="Y50" s="403">
        <f t="shared" si="61"/>
        <v>2024</v>
      </c>
      <c r="Z50" s="403">
        <f t="shared" si="61"/>
        <v>2025</v>
      </c>
      <c r="AA50" s="403">
        <f t="shared" si="61"/>
        <v>2026</v>
      </c>
      <c r="AB50" s="403">
        <f t="shared" si="61"/>
        <v>2027</v>
      </c>
    </row>
    <row r="51" spans="2:28" hidden="1">
      <c r="B51" s="405" t="s">
        <v>344</v>
      </c>
      <c r="C51" s="406">
        <v>743100</v>
      </c>
      <c r="D51" s="407">
        <f>C51*(1+D52)</f>
        <v>751274.1</v>
      </c>
      <c r="E51" s="408">
        <f>I51*1.011^-0.325</f>
        <v>756842.38727698638</v>
      </c>
      <c r="F51" s="408">
        <f>I51*1.011^-0.125</f>
        <v>758500.16227859957</v>
      </c>
      <c r="G51" s="408">
        <f>I51*1.011^0.125</f>
        <v>760577.48828505096</v>
      </c>
      <c r="H51" s="408">
        <f>I51*1.011^0.325</f>
        <v>762243.44458990998</v>
      </c>
      <c r="I51" s="407">
        <f>D51*(1+I52)</f>
        <v>759538.11509999994</v>
      </c>
      <c r="J51" s="408">
        <f>N51*1.011^-0.325</f>
        <v>765167.65353703313</v>
      </c>
      <c r="K51" s="408">
        <f>N51*1.011^-0.125</f>
        <v>766843.66406366404</v>
      </c>
      <c r="L51" s="408">
        <f>N51*1.011^0.125</f>
        <v>768943.84065618645</v>
      </c>
      <c r="M51" s="408">
        <f>N51*1.011^0.325</f>
        <v>770628.12248039898</v>
      </c>
      <c r="N51" s="407">
        <f t="shared" ref="N51" si="62">I51*(1+N52)</f>
        <v>767893.03436609986</v>
      </c>
      <c r="O51" s="408">
        <f>S51*1.011^-0.325</f>
        <v>773584.49772594043</v>
      </c>
      <c r="P51" s="408">
        <f>S51*1.011^-0.125</f>
        <v>775278.94436836429</v>
      </c>
      <c r="Q51" s="408">
        <f>S51*1.011^0.125</f>
        <v>777402.2229034045</v>
      </c>
      <c r="R51" s="408">
        <f>S51*1.011^0.325</f>
        <v>779105.03182768333</v>
      </c>
      <c r="S51" s="407">
        <f>N51*(1+S52)</f>
        <v>776339.85774412693</v>
      </c>
      <c r="T51" s="407">
        <f>S51*(1+T52)</f>
        <v>784879.59617931221</v>
      </c>
      <c r="U51" s="407">
        <f t="shared" ref="U51:AB51" si="63">T51*(1+U52)</f>
        <v>793513.27173728461</v>
      </c>
      <c r="V51" s="407">
        <f t="shared" si="63"/>
        <v>802241.9177263946</v>
      </c>
      <c r="W51" s="407">
        <f t="shared" si="63"/>
        <v>811066.57882138481</v>
      </c>
      <c r="X51" s="407">
        <f t="shared" si="63"/>
        <v>819988.31118841993</v>
      </c>
      <c r="Y51" s="407">
        <f t="shared" si="63"/>
        <v>829008.18261149246</v>
      </c>
      <c r="Z51" s="407">
        <f t="shared" si="63"/>
        <v>838127.27262021881</v>
      </c>
      <c r="AA51" s="407">
        <f t="shared" si="63"/>
        <v>847346.67261904117</v>
      </c>
      <c r="AB51" s="407">
        <f t="shared" si="63"/>
        <v>856667.48601785058</v>
      </c>
    </row>
    <row r="52" spans="2:28" s="414" customFormat="1" hidden="1">
      <c r="B52" s="409" t="s">
        <v>309</v>
      </c>
      <c r="C52" s="410"/>
      <c r="D52" s="411">
        <v>1.0999999999999999E-2</v>
      </c>
      <c r="E52" s="412"/>
      <c r="F52" s="412"/>
      <c r="G52" s="412"/>
      <c r="H52" s="412"/>
      <c r="I52" s="413">
        <f>D52</f>
        <v>1.0999999999999999E-2</v>
      </c>
      <c r="J52" s="412"/>
      <c r="K52" s="412"/>
      <c r="L52" s="412"/>
      <c r="M52" s="412"/>
      <c r="N52" s="413">
        <f t="shared" ref="N52" si="64">I52</f>
        <v>1.0999999999999999E-2</v>
      </c>
      <c r="O52" s="412"/>
      <c r="P52" s="412"/>
      <c r="Q52" s="412"/>
      <c r="R52" s="412"/>
      <c r="S52" s="413">
        <f>N52</f>
        <v>1.0999999999999999E-2</v>
      </c>
      <c r="T52" s="413">
        <f>S52</f>
        <v>1.0999999999999999E-2</v>
      </c>
      <c r="U52" s="413">
        <f t="shared" ref="U52:AB52" si="65">T52</f>
        <v>1.0999999999999999E-2</v>
      </c>
      <c r="V52" s="413">
        <f t="shared" si="65"/>
        <v>1.0999999999999999E-2</v>
      </c>
      <c r="W52" s="413">
        <f t="shared" si="65"/>
        <v>1.0999999999999999E-2</v>
      </c>
      <c r="X52" s="413">
        <f t="shared" si="65"/>
        <v>1.0999999999999999E-2</v>
      </c>
      <c r="Y52" s="413">
        <f t="shared" si="65"/>
        <v>1.0999999999999999E-2</v>
      </c>
      <c r="Z52" s="413">
        <f t="shared" si="65"/>
        <v>1.0999999999999999E-2</v>
      </c>
      <c r="AA52" s="413">
        <f t="shared" si="65"/>
        <v>1.0999999999999999E-2</v>
      </c>
      <c r="AB52" s="413">
        <f t="shared" si="65"/>
        <v>1.0999999999999999E-2</v>
      </c>
    </row>
    <row r="53" spans="2:28" hidden="1">
      <c r="B53" s="405" t="s">
        <v>310</v>
      </c>
      <c r="C53" s="407">
        <f>0.5*C51</f>
        <v>371550</v>
      </c>
      <c r="D53" s="407">
        <f t="shared" ref="D53:AB53" si="66">0.5*D51</f>
        <v>375637.05</v>
      </c>
      <c r="E53" s="408">
        <f>E51*0.5</f>
        <v>378421.19363849319</v>
      </c>
      <c r="F53" s="408">
        <f>F51*0.5</f>
        <v>379250.08113929979</v>
      </c>
      <c r="G53" s="408">
        <f>G51*0.5</f>
        <v>380288.74414252548</v>
      </c>
      <c r="H53" s="408">
        <f>H51*0.5</f>
        <v>381121.72229495499</v>
      </c>
      <c r="I53" s="407">
        <f t="shared" si="66"/>
        <v>379769.05754999997</v>
      </c>
      <c r="J53" s="408">
        <f>J51*0.5</f>
        <v>382583.82676851656</v>
      </c>
      <c r="K53" s="408">
        <f>K51*0.5</f>
        <v>383421.83203183202</v>
      </c>
      <c r="L53" s="408">
        <f>L51*0.5</f>
        <v>384471.92032809323</v>
      </c>
      <c r="M53" s="408">
        <f>M51*0.5</f>
        <v>385314.06124019949</v>
      </c>
      <c r="N53" s="407">
        <f t="shared" si="66"/>
        <v>383946.51718304993</v>
      </c>
      <c r="O53" s="408">
        <f>O51*0.5</f>
        <v>386792.24886297021</v>
      </c>
      <c r="P53" s="408">
        <f>P51*0.5</f>
        <v>387639.47218418214</v>
      </c>
      <c r="Q53" s="408">
        <f>Q51*0.5</f>
        <v>388701.11145170225</v>
      </c>
      <c r="R53" s="408">
        <f>R51*0.5</f>
        <v>389552.51591384166</v>
      </c>
      <c r="S53" s="407">
        <f t="shared" si="66"/>
        <v>388169.92887206346</v>
      </c>
      <c r="T53" s="407">
        <f t="shared" si="66"/>
        <v>392439.79808965611</v>
      </c>
      <c r="U53" s="407">
        <f t="shared" si="66"/>
        <v>396756.6358686423</v>
      </c>
      <c r="V53" s="407">
        <f t="shared" si="66"/>
        <v>401120.9588631973</v>
      </c>
      <c r="W53" s="407">
        <f t="shared" si="66"/>
        <v>405533.28941069241</v>
      </c>
      <c r="X53" s="407">
        <f t="shared" si="66"/>
        <v>409994.15559420997</v>
      </c>
      <c r="Y53" s="407">
        <f t="shared" si="66"/>
        <v>414504.09130574623</v>
      </c>
      <c r="Z53" s="407">
        <f t="shared" si="66"/>
        <v>419063.6363101094</v>
      </c>
      <c r="AA53" s="407">
        <f t="shared" si="66"/>
        <v>423673.33630952059</v>
      </c>
      <c r="AB53" s="407">
        <f t="shared" si="66"/>
        <v>428333.74300892529</v>
      </c>
    </row>
    <row r="54" spans="2:28" hidden="1">
      <c r="B54" s="405"/>
      <c r="C54" s="407"/>
      <c r="D54" s="407"/>
      <c r="E54" s="408"/>
      <c r="F54" s="408"/>
      <c r="G54" s="408"/>
      <c r="H54" s="408"/>
      <c r="I54" s="407"/>
      <c r="J54" s="408"/>
      <c r="K54" s="408"/>
      <c r="L54" s="408"/>
      <c r="M54" s="408"/>
      <c r="N54" s="407"/>
      <c r="O54" s="408"/>
      <c r="P54" s="408"/>
      <c r="Q54" s="408"/>
      <c r="R54" s="408"/>
      <c r="S54" s="407"/>
      <c r="T54" s="407"/>
      <c r="U54" s="407"/>
      <c r="V54" s="407"/>
      <c r="W54" s="407"/>
      <c r="X54" s="407"/>
      <c r="Y54" s="407"/>
      <c r="Z54" s="407"/>
      <c r="AA54" s="407"/>
      <c r="AB54" s="407"/>
    </row>
    <row r="55" spans="2:28" hidden="1">
      <c r="B55" s="405" t="s">
        <v>352</v>
      </c>
      <c r="C55" s="407">
        <f>0.196*C53</f>
        <v>72823.8</v>
      </c>
      <c r="D55" s="407">
        <f t="shared" ref="D55:AB55" si="67">0.196*D53</f>
        <v>73624.861799999999</v>
      </c>
      <c r="E55" s="408">
        <f t="shared" si="67"/>
        <v>74170.55395314467</v>
      </c>
      <c r="F55" s="408">
        <f t="shared" si="67"/>
        <v>74333.015903302759</v>
      </c>
      <c r="G55" s="408">
        <f t="shared" si="67"/>
        <v>74536.593851935002</v>
      </c>
      <c r="H55" s="408">
        <f t="shared" si="67"/>
        <v>74699.857569811182</v>
      </c>
      <c r="I55" s="407">
        <f t="shared" si="67"/>
        <v>74434.735279799992</v>
      </c>
      <c r="J55" s="408">
        <f t="shared" si="67"/>
        <v>74986.430046629248</v>
      </c>
      <c r="K55" s="408">
        <f t="shared" si="67"/>
        <v>75150.679078239074</v>
      </c>
      <c r="L55" s="408">
        <f t="shared" si="67"/>
        <v>75356.496384306272</v>
      </c>
      <c r="M55" s="408">
        <f t="shared" si="67"/>
        <v>75521.556003079109</v>
      </c>
      <c r="N55" s="407">
        <f t="shared" si="67"/>
        <v>75253.517367877794</v>
      </c>
      <c r="O55" s="408">
        <f t="shared" si="67"/>
        <v>75811.280777142165</v>
      </c>
      <c r="P55" s="408">
        <f t="shared" si="67"/>
        <v>75977.336548099702</v>
      </c>
      <c r="Q55" s="408">
        <f t="shared" si="67"/>
        <v>76185.417844533644</v>
      </c>
      <c r="R55" s="408">
        <f t="shared" si="67"/>
        <v>76352.293119112976</v>
      </c>
      <c r="S55" s="407">
        <f t="shared" si="67"/>
        <v>76081.306058924441</v>
      </c>
      <c r="T55" s="407">
        <f t="shared" si="67"/>
        <v>76918.200425572606</v>
      </c>
      <c r="U55" s="407">
        <f t="shared" si="67"/>
        <v>77764.3006302539</v>
      </c>
      <c r="V55" s="407">
        <f t="shared" si="67"/>
        <v>78619.707937186671</v>
      </c>
      <c r="W55" s="407">
        <f t="shared" si="67"/>
        <v>79484.524724495714</v>
      </c>
      <c r="X55" s="407">
        <f t="shared" si="67"/>
        <v>80358.854496465152</v>
      </c>
      <c r="Y55" s="407">
        <f t="shared" si="67"/>
        <v>81242.80189592627</v>
      </c>
      <c r="Z55" s="407">
        <f t="shared" si="67"/>
        <v>82136.472716781442</v>
      </c>
      <c r="AA55" s="407">
        <f t="shared" si="67"/>
        <v>83039.973916666044</v>
      </c>
      <c r="AB55" s="407">
        <f t="shared" si="67"/>
        <v>83953.413629749353</v>
      </c>
    </row>
    <row r="56" spans="2:28" hidden="1">
      <c r="B56" s="405" t="s">
        <v>353</v>
      </c>
      <c r="C56" s="407">
        <f>C53*0.138</f>
        <v>51273.9</v>
      </c>
      <c r="D56" s="407">
        <f t="shared" ref="D56:AB56" si="68">D53*0.138</f>
        <v>51837.912900000003</v>
      </c>
      <c r="E56" s="408">
        <f t="shared" si="68"/>
        <v>52222.124722112065</v>
      </c>
      <c r="F56" s="408">
        <f t="shared" si="68"/>
        <v>52336.511197223372</v>
      </c>
      <c r="G56" s="408">
        <f t="shared" si="68"/>
        <v>52479.846691668521</v>
      </c>
      <c r="H56" s="408">
        <f t="shared" si="68"/>
        <v>52594.797676703791</v>
      </c>
      <c r="I56" s="407">
        <f t="shared" si="68"/>
        <v>52408.129941899999</v>
      </c>
      <c r="J56" s="408">
        <f t="shared" si="68"/>
        <v>52796.568094055292</v>
      </c>
      <c r="K56" s="408">
        <f t="shared" si="68"/>
        <v>52912.212820392822</v>
      </c>
      <c r="L56" s="408">
        <f t="shared" si="68"/>
        <v>53057.125005276866</v>
      </c>
      <c r="M56" s="408">
        <f t="shared" si="68"/>
        <v>53173.340451147531</v>
      </c>
      <c r="N56" s="407">
        <f t="shared" si="68"/>
        <v>52984.619371260895</v>
      </c>
      <c r="O56" s="408">
        <f t="shared" si="68"/>
        <v>53377.330343089896</v>
      </c>
      <c r="P56" s="408">
        <f t="shared" si="68"/>
        <v>53494.247161417137</v>
      </c>
      <c r="Q56" s="408">
        <f t="shared" si="68"/>
        <v>53640.753380334914</v>
      </c>
      <c r="R56" s="408">
        <f t="shared" si="68"/>
        <v>53758.247196110155</v>
      </c>
      <c r="S56" s="407">
        <f t="shared" si="68"/>
        <v>53567.450184344765</v>
      </c>
      <c r="T56" s="407">
        <f t="shared" si="68"/>
        <v>54156.692136372549</v>
      </c>
      <c r="U56" s="407">
        <f t="shared" si="68"/>
        <v>54752.415749872642</v>
      </c>
      <c r="V56" s="407">
        <f t="shared" si="68"/>
        <v>55354.692323121235</v>
      </c>
      <c r="W56" s="407">
        <f t="shared" si="68"/>
        <v>55963.593938675556</v>
      </c>
      <c r="X56" s="407">
        <f t="shared" si="68"/>
        <v>56579.193472000981</v>
      </c>
      <c r="Y56" s="407">
        <f t="shared" si="68"/>
        <v>57201.564600192985</v>
      </c>
      <c r="Z56" s="407">
        <f t="shared" si="68"/>
        <v>57830.781810795103</v>
      </c>
      <c r="AA56" s="407">
        <f t="shared" si="68"/>
        <v>58466.920410713843</v>
      </c>
      <c r="AB56" s="407">
        <f t="shared" si="68"/>
        <v>59110.056535231692</v>
      </c>
    </row>
    <row r="57" spans="2:28" hidden="1">
      <c r="B57" s="405" t="s">
        <v>354</v>
      </c>
      <c r="C57" s="407">
        <f>C53-C55-C56</f>
        <v>247452.30000000002</v>
      </c>
      <c r="D57" s="407">
        <f t="shared" ref="D57:AB57" si="69">D53-D55-D56</f>
        <v>250174.27529999998</v>
      </c>
      <c r="E57" s="408">
        <f t="shared" si="69"/>
        <v>252028.51496323643</v>
      </c>
      <c r="F57" s="408">
        <f t="shared" si="69"/>
        <v>252580.55403877364</v>
      </c>
      <c r="G57" s="408">
        <f t="shared" si="69"/>
        <v>253272.30359892195</v>
      </c>
      <c r="H57" s="408">
        <f t="shared" si="69"/>
        <v>253827.06704844005</v>
      </c>
      <c r="I57" s="407">
        <f t="shared" si="69"/>
        <v>252926.19232830001</v>
      </c>
      <c r="J57" s="408">
        <f t="shared" si="69"/>
        <v>254800.828627832</v>
      </c>
      <c r="K57" s="408">
        <f t="shared" si="69"/>
        <v>255358.94013320011</v>
      </c>
      <c r="L57" s="408">
        <f t="shared" si="69"/>
        <v>256058.29893851007</v>
      </c>
      <c r="M57" s="408">
        <f t="shared" si="69"/>
        <v>256619.16478597285</v>
      </c>
      <c r="N57" s="407">
        <f t="shared" si="69"/>
        <v>255708.38044391127</v>
      </c>
      <c r="O57" s="408">
        <f t="shared" si="69"/>
        <v>257603.63774273818</v>
      </c>
      <c r="P57" s="408">
        <f t="shared" si="69"/>
        <v>258167.88847466529</v>
      </c>
      <c r="Q57" s="408">
        <f t="shared" si="69"/>
        <v>258874.94022683371</v>
      </c>
      <c r="R57" s="408">
        <f t="shared" si="69"/>
        <v>259441.97559861856</v>
      </c>
      <c r="S57" s="407">
        <f t="shared" si="69"/>
        <v>258521.17262879421</v>
      </c>
      <c r="T57" s="407">
        <f t="shared" si="69"/>
        <v>261364.90552771091</v>
      </c>
      <c r="U57" s="407">
        <f t="shared" si="69"/>
        <v>264239.91948851576</v>
      </c>
      <c r="V57" s="407">
        <f t="shared" si="69"/>
        <v>267146.55860288942</v>
      </c>
      <c r="W57" s="407">
        <f t="shared" si="69"/>
        <v>270085.17074752116</v>
      </c>
      <c r="X57" s="407">
        <f t="shared" si="69"/>
        <v>273056.10762574384</v>
      </c>
      <c r="Y57" s="407">
        <f t="shared" si="69"/>
        <v>276059.72480962699</v>
      </c>
      <c r="Z57" s="407">
        <f t="shared" si="69"/>
        <v>279096.3817825329</v>
      </c>
      <c r="AA57" s="407">
        <f t="shared" si="69"/>
        <v>282166.44198214071</v>
      </c>
      <c r="AB57" s="407">
        <f t="shared" si="69"/>
        <v>285270.2728439442</v>
      </c>
    </row>
    <row r="58" spans="2:28">
      <c r="B58" s="405"/>
      <c r="C58" s="407"/>
      <c r="D58" s="407"/>
      <c r="E58" s="408"/>
      <c r="F58" s="408"/>
      <c r="G58" s="408"/>
      <c r="H58" s="408"/>
      <c r="I58" s="407"/>
      <c r="J58" s="408"/>
      <c r="K58" s="408"/>
      <c r="L58" s="408"/>
      <c r="M58" s="408"/>
      <c r="N58" s="407"/>
      <c r="O58" s="408"/>
      <c r="P58" s="408"/>
      <c r="Q58" s="408"/>
      <c r="R58" s="408"/>
      <c r="S58" s="407"/>
      <c r="T58" s="407"/>
      <c r="U58" s="407"/>
      <c r="V58" s="407"/>
      <c r="W58" s="407"/>
      <c r="X58" s="407"/>
      <c r="Y58" s="407"/>
      <c r="Z58" s="407"/>
      <c r="AA58" s="407"/>
      <c r="AB58" s="407"/>
    </row>
    <row r="59" spans="2:28">
      <c r="B59" s="405" t="s">
        <v>355</v>
      </c>
      <c r="C59" s="415">
        <f>C55*1.6/10000</f>
        <v>11.651808000000001</v>
      </c>
      <c r="D59" s="415">
        <f>D55*1.6/10000</f>
        <v>11.779977887999999</v>
      </c>
      <c r="E59" s="416">
        <f t="shared" ref="E59:H59" si="70">E55*1.6/10000</f>
        <v>11.867288632503147</v>
      </c>
      <c r="F59" s="416">
        <f t="shared" si="70"/>
        <v>11.893282544528443</v>
      </c>
      <c r="G59" s="416">
        <f t="shared" si="70"/>
        <v>11.925855016309601</v>
      </c>
      <c r="H59" s="416">
        <f t="shared" si="70"/>
        <v>11.951977211169789</v>
      </c>
      <c r="I59" s="415">
        <f>I55*1.6/10000</f>
        <v>11.909557644768</v>
      </c>
      <c r="J59" s="416">
        <f t="shared" ref="J59:S59" si="71">J55*1.6/10000</f>
        <v>11.99782880746068</v>
      </c>
      <c r="K59" s="416">
        <f t="shared" si="71"/>
        <v>12.024108652518253</v>
      </c>
      <c r="L59" s="416">
        <f t="shared" si="71"/>
        <v>12.057039421489003</v>
      </c>
      <c r="M59" s="416">
        <f t="shared" si="71"/>
        <v>12.083448960492658</v>
      </c>
      <c r="N59" s="415">
        <f t="shared" si="71"/>
        <v>12.040562778860448</v>
      </c>
      <c r="O59" s="416">
        <f t="shared" si="71"/>
        <v>12.129804924342746</v>
      </c>
      <c r="P59" s="416">
        <f t="shared" si="71"/>
        <v>12.156373847695953</v>
      </c>
      <c r="Q59" s="416">
        <f t="shared" si="71"/>
        <v>12.189666855125385</v>
      </c>
      <c r="R59" s="416">
        <f t="shared" si="71"/>
        <v>12.216366899058077</v>
      </c>
      <c r="S59" s="415">
        <f t="shared" si="71"/>
        <v>12.173008969427912</v>
      </c>
      <c r="T59" s="415">
        <f t="shared" ref="T59:AB59" si="72">(S59+0.5)-(S70/1000)</f>
        <v>12.673008969427912</v>
      </c>
      <c r="U59" s="415">
        <f t="shared" si="72"/>
        <v>13.173008969427912</v>
      </c>
      <c r="V59" s="415">
        <f t="shared" si="72"/>
        <v>13.673008969427912</v>
      </c>
      <c r="W59" s="415">
        <f t="shared" si="72"/>
        <v>14.173008969427912</v>
      </c>
      <c r="X59" s="415">
        <f t="shared" si="72"/>
        <v>14.673008969427912</v>
      </c>
      <c r="Y59" s="415">
        <f t="shared" si="72"/>
        <v>14.879548790039353</v>
      </c>
      <c r="Z59" s="415">
        <f t="shared" si="72"/>
        <v>14.635571350537385</v>
      </c>
      <c r="AA59" s="415">
        <f t="shared" si="72"/>
        <v>14.111081355999767</v>
      </c>
      <c r="AB59" s="415">
        <f t="shared" si="72"/>
        <v>13.199973220399791</v>
      </c>
    </row>
    <row r="60" spans="2:28">
      <c r="B60" s="405" t="s">
        <v>356</v>
      </c>
      <c r="C60" s="415">
        <f>C56*1.35/10000</f>
        <v>6.9219764999999995</v>
      </c>
      <c r="D60" s="415">
        <f>D56*1.35/10000</f>
        <v>6.9981182415000003</v>
      </c>
      <c r="E60" s="416">
        <f t="shared" ref="E60:H60" si="73">E56*1.35/10000</f>
        <v>7.0499868374851289</v>
      </c>
      <c r="F60" s="416">
        <f t="shared" si="73"/>
        <v>7.0654290116251559</v>
      </c>
      <c r="G60" s="416">
        <f t="shared" si="73"/>
        <v>7.0847793033752504</v>
      </c>
      <c r="H60" s="416">
        <f t="shared" si="73"/>
        <v>7.1002976863550122</v>
      </c>
      <c r="I60" s="415">
        <f>I56*1.35/10000</f>
        <v>7.0750975421565006</v>
      </c>
      <c r="J60" s="416">
        <f t="shared" ref="J60:S60" si="74">J56*1.35/10000</f>
        <v>7.1275366926974648</v>
      </c>
      <c r="K60" s="416">
        <f t="shared" si="74"/>
        <v>7.1431487307530315</v>
      </c>
      <c r="L60" s="416">
        <f t="shared" si="74"/>
        <v>7.1627118757123771</v>
      </c>
      <c r="M60" s="416">
        <f t="shared" si="74"/>
        <v>7.1784009609049173</v>
      </c>
      <c r="N60" s="415">
        <f t="shared" si="74"/>
        <v>7.1529236151202218</v>
      </c>
      <c r="O60" s="416">
        <f t="shared" si="74"/>
        <v>7.2059395963171369</v>
      </c>
      <c r="P60" s="416">
        <f t="shared" si="74"/>
        <v>7.2217233667913137</v>
      </c>
      <c r="Q60" s="416">
        <f t="shared" si="74"/>
        <v>7.2415017063452138</v>
      </c>
      <c r="R60" s="416">
        <f t="shared" si="74"/>
        <v>7.2573633714748711</v>
      </c>
      <c r="S60" s="415">
        <f t="shared" si="74"/>
        <v>7.2316057748865434</v>
      </c>
      <c r="T60" s="415">
        <f>(S60)-(S85*(S61/(S61+S60))/1000)</f>
        <v>7.2316057748865434</v>
      </c>
      <c r="U60" s="415">
        <f t="shared" ref="U60:AB60" si="75">(T60)-(T85*(T61/(T61+T60))/1000)</f>
        <v>7.2316057748865434</v>
      </c>
      <c r="V60" s="415">
        <f t="shared" si="75"/>
        <v>7.2316057748865434</v>
      </c>
      <c r="W60" s="415">
        <f t="shared" si="75"/>
        <v>7.2316057748865434</v>
      </c>
      <c r="X60" s="415">
        <f t="shared" si="75"/>
        <v>7.2316057748865434</v>
      </c>
      <c r="Y60" s="415">
        <f t="shared" si="75"/>
        <v>7.1281973058350259</v>
      </c>
      <c r="Z60" s="415">
        <f t="shared" si="75"/>
        <v>6.8748465566588077</v>
      </c>
      <c r="AA60" s="415">
        <f t="shared" si="75"/>
        <v>6.537890060254437</v>
      </c>
      <c r="AB60" s="415">
        <f t="shared" si="75"/>
        <v>6.0902192864600595</v>
      </c>
    </row>
    <row r="61" spans="2:28">
      <c r="B61" s="405" t="s">
        <v>357</v>
      </c>
      <c r="C61" s="415">
        <f>C57*0.2/10000</f>
        <v>4.9490460000000009</v>
      </c>
      <c r="D61" s="415">
        <f t="shared" ref="D61:S61" si="76">D57*0.2/10000</f>
        <v>5.0034855060000005</v>
      </c>
      <c r="E61" s="416">
        <f t="shared" si="76"/>
        <v>5.0405702992647292</v>
      </c>
      <c r="F61" s="416">
        <f t="shared" si="76"/>
        <v>5.0516110807754728</v>
      </c>
      <c r="G61" s="416">
        <f t="shared" si="76"/>
        <v>5.0654460719784398</v>
      </c>
      <c r="H61" s="416">
        <f t="shared" si="76"/>
        <v>5.0765413409688014</v>
      </c>
      <c r="I61" s="415">
        <f t="shared" si="76"/>
        <v>5.0585238465660005</v>
      </c>
      <c r="J61" s="416">
        <f t="shared" si="76"/>
        <v>5.09601657255664</v>
      </c>
      <c r="K61" s="416">
        <f t="shared" si="76"/>
        <v>5.1071788026640021</v>
      </c>
      <c r="L61" s="416">
        <f t="shared" si="76"/>
        <v>5.1211659787702022</v>
      </c>
      <c r="M61" s="416">
        <f t="shared" si="76"/>
        <v>5.1323832957194568</v>
      </c>
      <c r="N61" s="415">
        <f t="shared" si="76"/>
        <v>5.1141676088782262</v>
      </c>
      <c r="O61" s="416">
        <f t="shared" si="76"/>
        <v>5.152072754854764</v>
      </c>
      <c r="P61" s="416">
        <f t="shared" si="76"/>
        <v>5.1633577694933059</v>
      </c>
      <c r="Q61" s="416">
        <f t="shared" si="76"/>
        <v>5.1774988045366745</v>
      </c>
      <c r="R61" s="416">
        <f t="shared" si="76"/>
        <v>5.1888395119723718</v>
      </c>
      <c r="S61" s="415">
        <f t="shared" si="76"/>
        <v>5.1704234525758848</v>
      </c>
      <c r="T61" s="415">
        <f>(S61)-(S85*(S61/(S60+S61))/1000)</f>
        <v>5.1704234525758848</v>
      </c>
      <c r="U61" s="415">
        <f t="shared" ref="U61:AB61" si="77">(T61)-(T85*(T61/(T60+T61))/1000)</f>
        <v>5.1704234525758848</v>
      </c>
      <c r="V61" s="415">
        <f t="shared" si="77"/>
        <v>5.1704234525758848</v>
      </c>
      <c r="W61" s="415">
        <f t="shared" si="77"/>
        <v>5.1704234525758848</v>
      </c>
      <c r="X61" s="415">
        <f t="shared" si="77"/>
        <v>5.1704234525758848</v>
      </c>
      <c r="Y61" s="415">
        <f t="shared" si="77"/>
        <v>5.0670149835243672</v>
      </c>
      <c r="Z61" s="415">
        <f t="shared" si="77"/>
        <v>4.8136642343481491</v>
      </c>
      <c r="AA61" s="415">
        <f t="shared" si="77"/>
        <v>4.4767077379437783</v>
      </c>
      <c r="AB61" s="415">
        <f t="shared" si="77"/>
        <v>4.0290369641494008</v>
      </c>
    </row>
    <row r="62" spans="2:28">
      <c r="B62" s="405" t="s">
        <v>311</v>
      </c>
      <c r="C62" s="415">
        <f>C59+C60+C61</f>
        <v>23.522830500000005</v>
      </c>
      <c r="D62" s="415">
        <f t="shared" ref="D62:AB62" si="78">D59+D60+D61</f>
        <v>23.7815816355</v>
      </c>
      <c r="E62" s="416">
        <f t="shared" si="78"/>
        <v>23.957845769253005</v>
      </c>
      <c r="F62" s="416">
        <f t="shared" si="78"/>
        <v>24.010322636929072</v>
      </c>
      <c r="G62" s="416">
        <f t="shared" si="78"/>
        <v>24.07608039166329</v>
      </c>
      <c r="H62" s="416">
        <f t="shared" si="78"/>
        <v>24.128816238493602</v>
      </c>
      <c r="I62" s="415">
        <f t="shared" si="78"/>
        <v>24.0431790334905</v>
      </c>
      <c r="J62" s="416">
        <f t="shared" si="78"/>
        <v>24.221382072714785</v>
      </c>
      <c r="K62" s="416">
        <f t="shared" si="78"/>
        <v>24.274436185935286</v>
      </c>
      <c r="L62" s="416">
        <f t="shared" si="78"/>
        <v>24.340917275971584</v>
      </c>
      <c r="M62" s="416">
        <f t="shared" si="78"/>
        <v>24.394233217117034</v>
      </c>
      <c r="N62" s="415">
        <f t="shared" si="78"/>
        <v>24.307654002858897</v>
      </c>
      <c r="O62" s="416">
        <f t="shared" si="78"/>
        <v>24.487817275514647</v>
      </c>
      <c r="P62" s="416">
        <f t="shared" si="78"/>
        <v>24.541454983980572</v>
      </c>
      <c r="Q62" s="416">
        <f t="shared" si="78"/>
        <v>24.608667366007275</v>
      </c>
      <c r="R62" s="416">
        <f t="shared" si="78"/>
        <v>24.662569782505319</v>
      </c>
      <c r="S62" s="415">
        <f t="shared" si="78"/>
        <v>24.57503819689034</v>
      </c>
      <c r="T62" s="415">
        <f t="shared" si="78"/>
        <v>25.07503819689034</v>
      </c>
      <c r="U62" s="415">
        <f t="shared" si="78"/>
        <v>25.57503819689034</v>
      </c>
      <c r="V62" s="415">
        <f t="shared" si="78"/>
        <v>26.07503819689034</v>
      </c>
      <c r="W62" s="415">
        <f t="shared" si="78"/>
        <v>26.57503819689034</v>
      </c>
      <c r="X62" s="415">
        <f t="shared" si="78"/>
        <v>27.07503819689034</v>
      </c>
      <c r="Y62" s="415">
        <f t="shared" si="78"/>
        <v>27.074761079398744</v>
      </c>
      <c r="Z62" s="415">
        <f t="shared" si="78"/>
        <v>26.324082141544341</v>
      </c>
      <c r="AA62" s="415">
        <f t="shared" si="78"/>
        <v>25.125679154197982</v>
      </c>
      <c r="AB62" s="415">
        <f t="shared" si="78"/>
        <v>23.319229471009251</v>
      </c>
    </row>
    <row r="63" spans="2:28">
      <c r="B63" s="405"/>
      <c r="C63" s="395"/>
      <c r="D63" s="395"/>
      <c r="E63" s="417"/>
      <c r="F63" s="417"/>
      <c r="G63" s="417"/>
      <c r="H63" s="417"/>
      <c r="I63" s="418"/>
      <c r="J63" s="417"/>
      <c r="K63" s="417"/>
      <c r="L63" s="417"/>
      <c r="M63" s="417"/>
      <c r="N63" s="418"/>
      <c r="O63" s="417"/>
      <c r="P63" s="417"/>
      <c r="Q63" s="417"/>
      <c r="R63" s="417"/>
      <c r="S63" s="418"/>
      <c r="T63" s="418"/>
      <c r="U63" s="418"/>
      <c r="V63" s="418"/>
      <c r="W63" s="418"/>
      <c r="X63" s="418"/>
      <c r="Y63" s="418"/>
      <c r="Z63" s="418"/>
      <c r="AA63" s="418"/>
      <c r="AB63" s="418"/>
    </row>
    <row r="64" spans="2:28">
      <c r="B64" s="423" t="s">
        <v>335</v>
      </c>
      <c r="C64" s="424"/>
      <c r="D64" s="424"/>
      <c r="E64" s="425"/>
      <c r="F64" s="425"/>
      <c r="G64" s="425"/>
      <c r="H64" s="425"/>
      <c r="I64" s="426"/>
      <c r="J64" s="425"/>
      <c r="K64" s="425"/>
      <c r="L64" s="425"/>
      <c r="M64" s="425"/>
      <c r="N64" s="426"/>
      <c r="O64" s="425"/>
      <c r="P64" s="425"/>
      <c r="Q64" s="425"/>
      <c r="R64" s="425"/>
      <c r="S64" s="426"/>
      <c r="T64" s="426"/>
      <c r="U64" s="426"/>
      <c r="V64" s="426"/>
      <c r="W64" s="426"/>
      <c r="X64" s="426"/>
      <c r="Y64" s="426"/>
      <c r="Z64" s="426"/>
      <c r="AA64" s="426"/>
      <c r="AB64" s="426"/>
    </row>
    <row r="65" spans="1:28" s="427" customFormat="1" hidden="1" outlineLevel="1">
      <c r="B65" s="534" t="s">
        <v>64</v>
      </c>
      <c r="C65" s="535"/>
      <c r="D65" s="536">
        <f>D66*2</f>
        <v>0</v>
      </c>
      <c r="E65" s="536">
        <f>E66*2</f>
        <v>0</v>
      </c>
      <c r="F65" s="536">
        <f>F66*2</f>
        <v>0</v>
      </c>
      <c r="G65" s="536">
        <f>G66*2</f>
        <v>0</v>
      </c>
      <c r="H65" s="536">
        <v>0</v>
      </c>
      <c r="I65" s="537">
        <f>(H65+G65+F65+E65)/4</f>
        <v>0</v>
      </c>
      <c r="J65" s="536">
        <v>0</v>
      </c>
      <c r="K65" s="536">
        <v>0</v>
      </c>
      <c r="L65" s="536">
        <v>0</v>
      </c>
      <c r="M65" s="536">
        <v>0</v>
      </c>
      <c r="N65" s="537">
        <f>(M65+L65+K65+J65)/4</f>
        <v>0</v>
      </c>
      <c r="O65" s="536">
        <v>0</v>
      </c>
      <c r="P65" s="536">
        <v>0</v>
      </c>
      <c r="Q65" s="536">
        <v>0</v>
      </c>
      <c r="R65" s="536">
        <v>0</v>
      </c>
      <c r="S65" s="537">
        <f>(R65+Q65+P65+O65)/4</f>
        <v>0</v>
      </c>
      <c r="T65" s="536">
        <v>0</v>
      </c>
      <c r="U65" s="536">
        <v>0</v>
      </c>
      <c r="V65" s="536">
        <v>0.03</v>
      </c>
      <c r="W65" s="536">
        <v>0.05</v>
      </c>
      <c r="X65" s="536">
        <v>7.0000000000000007E-2</v>
      </c>
      <c r="Y65" s="536">
        <v>0.1</v>
      </c>
      <c r="Z65" s="536">
        <v>0.15</v>
      </c>
      <c r="AA65" s="536">
        <v>0.2</v>
      </c>
      <c r="AB65" s="536">
        <v>0.3</v>
      </c>
    </row>
    <row r="66" spans="1:28" s="427" customFormat="1" hidden="1" outlineLevel="1">
      <c r="B66" s="534" t="s">
        <v>65</v>
      </c>
      <c r="C66" s="535"/>
      <c r="D66" s="536">
        <v>0</v>
      </c>
      <c r="E66" s="536">
        <v>0</v>
      </c>
      <c r="F66" s="536">
        <v>0</v>
      </c>
      <c r="G66" s="536">
        <v>0</v>
      </c>
      <c r="H66" s="536">
        <v>0</v>
      </c>
      <c r="I66" s="537">
        <f t="shared" ref="I66:I67" si="79">(H66+G66+F66+E66)/4</f>
        <v>0</v>
      </c>
      <c r="J66" s="536">
        <v>0</v>
      </c>
      <c r="K66" s="536">
        <v>0</v>
      </c>
      <c r="L66" s="536">
        <v>0</v>
      </c>
      <c r="M66" s="536">
        <v>0</v>
      </c>
      <c r="N66" s="537">
        <f t="shared" ref="N66:N68" si="80">(M66+L66+K66+J66)/4</f>
        <v>0</v>
      </c>
      <c r="O66" s="536">
        <v>0</v>
      </c>
      <c r="P66" s="536">
        <v>0</v>
      </c>
      <c r="Q66" s="536">
        <v>0</v>
      </c>
      <c r="R66" s="536">
        <v>0</v>
      </c>
      <c r="S66" s="537">
        <f t="shared" ref="S66:S68" si="81">(R66+Q66+P66+O66)/4</f>
        <v>0</v>
      </c>
      <c r="T66" s="536">
        <v>0</v>
      </c>
      <c r="U66" s="536">
        <v>0</v>
      </c>
      <c r="V66" s="536">
        <v>0</v>
      </c>
      <c r="W66" s="536">
        <v>0</v>
      </c>
      <c r="X66" s="536">
        <v>0.02</v>
      </c>
      <c r="Y66" s="536">
        <v>0.05</v>
      </c>
      <c r="Z66" s="536">
        <v>7.0000000000000007E-2</v>
      </c>
      <c r="AA66" s="536">
        <v>0.1</v>
      </c>
      <c r="AB66" s="536">
        <v>0.15</v>
      </c>
    </row>
    <row r="67" spans="1:28" s="427" customFormat="1" hidden="1" outlineLevel="1">
      <c r="B67" s="534" t="s">
        <v>66</v>
      </c>
      <c r="C67" s="535"/>
      <c r="D67" s="536">
        <f>D66*0.5</f>
        <v>0</v>
      </c>
      <c r="E67" s="536">
        <f>E66*0.5</f>
        <v>0</v>
      </c>
      <c r="F67" s="536">
        <f>F66*0.5</f>
        <v>0</v>
      </c>
      <c r="G67" s="536">
        <f>G66*0.5</f>
        <v>0</v>
      </c>
      <c r="H67" s="536">
        <v>0</v>
      </c>
      <c r="I67" s="537">
        <f t="shared" si="79"/>
        <v>0</v>
      </c>
      <c r="J67" s="536">
        <v>0</v>
      </c>
      <c r="K67" s="536">
        <v>0</v>
      </c>
      <c r="L67" s="536">
        <v>0</v>
      </c>
      <c r="M67" s="536">
        <v>0</v>
      </c>
      <c r="N67" s="537">
        <f t="shared" si="80"/>
        <v>0</v>
      </c>
      <c r="O67" s="536">
        <v>0</v>
      </c>
      <c r="P67" s="536">
        <v>0</v>
      </c>
      <c r="Q67" s="536">
        <v>0</v>
      </c>
      <c r="R67" s="536">
        <v>0</v>
      </c>
      <c r="S67" s="537">
        <f t="shared" si="81"/>
        <v>0</v>
      </c>
      <c r="T67" s="536">
        <v>0</v>
      </c>
      <c r="U67" s="536">
        <v>0</v>
      </c>
      <c r="V67" s="536">
        <v>0</v>
      </c>
      <c r="W67" s="536">
        <v>0</v>
      </c>
      <c r="X67" s="536">
        <v>0</v>
      </c>
      <c r="Y67" s="536">
        <v>0</v>
      </c>
      <c r="Z67" s="536">
        <v>0</v>
      </c>
      <c r="AA67" s="536">
        <v>0</v>
      </c>
      <c r="AB67" s="536">
        <v>0</v>
      </c>
    </row>
    <row r="68" spans="1:28" s="427" customFormat="1" collapsed="1">
      <c r="A68" s="428"/>
      <c r="B68" s="538" t="s">
        <v>318</v>
      </c>
      <c r="C68" s="539"/>
      <c r="D68" s="540">
        <f>CHOOSE($T$2,D65,D66,D67)</f>
        <v>0</v>
      </c>
      <c r="E68" s="541">
        <f>CHOOSE($T$2,E65,E66,E67)</f>
        <v>0</v>
      </c>
      <c r="F68" s="541">
        <f>CHOOSE($T$2,F65,F66,F67)</f>
        <v>0</v>
      </c>
      <c r="G68" s="541">
        <f>CHOOSE($T$2,G65,G66,G67)</f>
        <v>0</v>
      </c>
      <c r="H68" s="541">
        <f>CHOOSE($T$2,H65,H66,H67)</f>
        <v>0</v>
      </c>
      <c r="I68" s="540" t="e">
        <f>(I70/1000)/#REF!</f>
        <v>#REF!</v>
      </c>
      <c r="J68" s="541">
        <f>CHOOSE($T$2,J65,J66,J67)</f>
        <v>0</v>
      </c>
      <c r="K68" s="541">
        <f>CHOOSE($T$2,K65,K66,K67)</f>
        <v>0</v>
      </c>
      <c r="L68" s="541">
        <f>CHOOSE($T$2,L65,L66,L67)</f>
        <v>0</v>
      </c>
      <c r="M68" s="541">
        <f>CHOOSE($T$2,M65,M66,M67)</f>
        <v>0</v>
      </c>
      <c r="N68" s="540">
        <f t="shared" si="80"/>
        <v>0</v>
      </c>
      <c r="O68" s="541">
        <f>CHOOSE($T$2,O65,O66,O67)</f>
        <v>0</v>
      </c>
      <c r="P68" s="541">
        <f>CHOOSE($T$2,P65,P66,P67)</f>
        <v>0</v>
      </c>
      <c r="Q68" s="541">
        <f>CHOOSE($T$2,Q65,Q66,Q67)</f>
        <v>0</v>
      </c>
      <c r="R68" s="541">
        <f>CHOOSE($T$2,R65,R66,R67)</f>
        <v>0</v>
      </c>
      <c r="S68" s="540">
        <f t="shared" si="81"/>
        <v>0</v>
      </c>
      <c r="T68" s="540">
        <f t="shared" ref="T68:AB68" si="82">CHOOSE($T$2,T65,T66,T67)</f>
        <v>0</v>
      </c>
      <c r="U68" s="540">
        <f t="shared" si="82"/>
        <v>0</v>
      </c>
      <c r="V68" s="540">
        <f t="shared" si="82"/>
        <v>0</v>
      </c>
      <c r="W68" s="540">
        <f t="shared" si="82"/>
        <v>0</v>
      </c>
      <c r="X68" s="540">
        <f t="shared" si="82"/>
        <v>0.02</v>
      </c>
      <c r="Y68" s="540">
        <f t="shared" si="82"/>
        <v>0.05</v>
      </c>
      <c r="Z68" s="540">
        <f t="shared" si="82"/>
        <v>7.0000000000000007E-2</v>
      </c>
      <c r="AA68" s="540">
        <f t="shared" si="82"/>
        <v>0.1</v>
      </c>
      <c r="AB68" s="540">
        <f t="shared" si="82"/>
        <v>0.15</v>
      </c>
    </row>
    <row r="69" spans="1:28">
      <c r="B69" s="405"/>
      <c r="C69" s="395"/>
      <c r="D69" s="395"/>
      <c r="E69" s="429"/>
      <c r="F69" s="429"/>
      <c r="G69" s="429"/>
      <c r="H69" s="429"/>
      <c r="I69" s="418"/>
      <c r="J69" s="429"/>
      <c r="K69" s="429"/>
      <c r="L69" s="429"/>
      <c r="M69" s="429"/>
      <c r="N69" s="418"/>
      <c r="O69" s="429"/>
      <c r="P69" s="429"/>
      <c r="Q69" s="429"/>
      <c r="R69" s="429"/>
      <c r="S69" s="418"/>
      <c r="T69" s="418"/>
      <c r="U69" s="418"/>
      <c r="V69" s="418"/>
      <c r="W69" s="418"/>
      <c r="X69" s="418"/>
      <c r="Y69" s="418"/>
      <c r="Z69" s="418"/>
      <c r="AA69" s="418"/>
      <c r="AB69" s="418"/>
    </row>
    <row r="70" spans="1:28">
      <c r="B70" s="405" t="s">
        <v>435</v>
      </c>
      <c r="C70" s="395"/>
      <c r="D70" s="395"/>
      <c r="E70" s="430"/>
      <c r="F70" s="430"/>
      <c r="G70" s="430"/>
      <c r="H70" s="430">
        <f>H59*H68*1000</f>
        <v>0</v>
      </c>
      <c r="I70" s="431">
        <f>H70</f>
        <v>0</v>
      </c>
      <c r="J70" s="430">
        <f>J59*J68*1000</f>
        <v>0</v>
      </c>
      <c r="K70" s="430">
        <f>K59*K68*1000</f>
        <v>0</v>
      </c>
      <c r="L70" s="430">
        <f>L59*L68*1000</f>
        <v>0</v>
      </c>
      <c r="M70" s="430">
        <f>M59*M68*1000</f>
        <v>0</v>
      </c>
      <c r="N70" s="431">
        <f>(M70+L70+K70+J70)/4</f>
        <v>0</v>
      </c>
      <c r="O70" s="430">
        <f>O59*O68*1000</f>
        <v>0</v>
      </c>
      <c r="P70" s="430">
        <f>P59*P68*1000</f>
        <v>0</v>
      </c>
      <c r="Q70" s="430">
        <f>Q59*Q68*1000</f>
        <v>0</v>
      </c>
      <c r="R70" s="430">
        <f>R59*R68*1000</f>
        <v>0</v>
      </c>
      <c r="S70" s="431">
        <f>(R70+Q70+P70+O70)/4</f>
        <v>0</v>
      </c>
      <c r="T70" s="530">
        <f t="shared" ref="T70:AB70" si="83">T59*T68*1000</f>
        <v>0</v>
      </c>
      <c r="U70" s="530">
        <f t="shared" si="83"/>
        <v>0</v>
      </c>
      <c r="V70" s="530">
        <f t="shared" si="83"/>
        <v>0</v>
      </c>
      <c r="W70" s="530">
        <f t="shared" si="83"/>
        <v>0</v>
      </c>
      <c r="X70" s="530">
        <f t="shared" si="83"/>
        <v>293.46017938855823</v>
      </c>
      <c r="Y70" s="530">
        <f t="shared" si="83"/>
        <v>743.97743950196775</v>
      </c>
      <c r="Z70" s="530">
        <f t="shared" si="83"/>
        <v>1024.4899945376169</v>
      </c>
      <c r="AA70" s="530">
        <f t="shared" si="83"/>
        <v>1411.1081355999768</v>
      </c>
      <c r="AB70" s="530">
        <f t="shared" si="83"/>
        <v>1979.9959830599685</v>
      </c>
    </row>
    <row r="71" spans="1:28">
      <c r="B71" s="405"/>
      <c r="C71" s="395"/>
      <c r="D71" s="395"/>
      <c r="E71" s="429"/>
      <c r="F71" s="429"/>
      <c r="G71" s="429"/>
      <c r="H71" s="429"/>
      <c r="I71" s="418"/>
      <c r="J71" s="429"/>
      <c r="K71" s="429"/>
      <c r="L71" s="429"/>
      <c r="M71" s="429"/>
      <c r="N71" s="418"/>
      <c r="O71" s="429"/>
      <c r="P71" s="429"/>
      <c r="Q71" s="429"/>
      <c r="R71" s="429"/>
      <c r="S71" s="418"/>
      <c r="T71" s="418"/>
      <c r="U71" s="418"/>
      <c r="V71" s="418"/>
      <c r="W71" s="418"/>
      <c r="X71" s="418"/>
      <c r="Y71" s="418"/>
      <c r="Z71" s="418"/>
      <c r="AA71" s="418"/>
      <c r="AB71" s="418"/>
    </row>
    <row r="72" spans="1:28">
      <c r="B72" s="607" t="s">
        <v>436</v>
      </c>
      <c r="C72" s="395"/>
      <c r="D72" s="432"/>
      <c r="E72" s="433"/>
      <c r="F72" s="433"/>
      <c r="G72" s="433"/>
      <c r="H72" s="433"/>
      <c r="I72" s="434"/>
      <c r="J72" s="433"/>
      <c r="K72" s="433"/>
      <c r="L72" s="433"/>
      <c r="M72" s="433"/>
      <c r="N72" s="436"/>
      <c r="O72" s="435"/>
      <c r="P72" s="435"/>
      <c r="Q72" s="435"/>
      <c r="R72" s="435"/>
      <c r="S72" s="436"/>
      <c r="T72" s="436"/>
      <c r="U72" s="606">
        <f>U41*0.6</f>
        <v>600000</v>
      </c>
      <c r="V72" s="606">
        <f>U72*(1+V73)</f>
        <v>600000</v>
      </c>
      <c r="W72" s="606">
        <f t="shared" ref="W72" si="84">V72*(1+W73)</f>
        <v>600000</v>
      </c>
      <c r="X72" s="606">
        <f t="shared" ref="X72" si="85">W72*(1+X73)</f>
        <v>600000</v>
      </c>
      <c r="Y72" s="606">
        <f t="shared" ref="Y72" si="86">X72*(1+Y73)</f>
        <v>600000</v>
      </c>
      <c r="Z72" s="606">
        <f t="shared" ref="Z72" si="87">Y72*(1+Z73)</f>
        <v>600000</v>
      </c>
      <c r="AA72" s="606">
        <f t="shared" ref="AA72" si="88">Z72*(1+AA73)</f>
        <v>600000</v>
      </c>
      <c r="AB72" s="606">
        <f t="shared" ref="AB72" si="89">AA72*(1+AB73)</f>
        <v>600000</v>
      </c>
    </row>
    <row r="73" spans="1:28">
      <c r="B73" s="608" t="s">
        <v>437</v>
      </c>
      <c r="C73" s="395"/>
      <c r="D73" s="395"/>
      <c r="E73" s="429"/>
      <c r="F73" s="429"/>
      <c r="G73" s="429"/>
      <c r="H73" s="429"/>
      <c r="I73" s="418"/>
      <c r="J73" s="429"/>
      <c r="K73" s="429"/>
      <c r="L73" s="429"/>
      <c r="M73" s="429"/>
      <c r="N73" s="418"/>
      <c r="O73" s="429"/>
      <c r="P73" s="429"/>
      <c r="Q73" s="429"/>
      <c r="R73" s="429"/>
      <c r="S73" s="418"/>
      <c r="T73" s="418"/>
      <c r="U73" s="418"/>
      <c r="V73" s="605">
        <v>0</v>
      </c>
      <c r="W73" s="605">
        <v>0</v>
      </c>
      <c r="X73" s="605">
        <v>0</v>
      </c>
      <c r="Y73" s="605">
        <v>0</v>
      </c>
      <c r="Z73" s="605">
        <v>0</v>
      </c>
      <c r="AA73" s="605">
        <v>0</v>
      </c>
      <c r="AB73" s="605">
        <v>0</v>
      </c>
    </row>
    <row r="74" spans="1:28">
      <c r="B74" s="607" t="s">
        <v>438</v>
      </c>
      <c r="C74" s="395"/>
      <c r="D74" s="437"/>
      <c r="E74" s="430"/>
      <c r="F74" s="430"/>
      <c r="G74" s="430"/>
      <c r="H74" s="430"/>
      <c r="I74" s="438"/>
      <c r="J74" s="430"/>
      <c r="K74" s="430"/>
      <c r="L74" s="430"/>
      <c r="M74" s="430"/>
      <c r="N74" s="439"/>
      <c r="O74" s="435"/>
      <c r="P74" s="435"/>
      <c r="Q74" s="435"/>
      <c r="R74" s="435"/>
      <c r="S74" s="439"/>
      <c r="T74" s="439"/>
      <c r="U74" s="606">
        <f>U72*(1-U75)</f>
        <v>540000</v>
      </c>
      <c r="V74" s="606">
        <f t="shared" ref="V74" si="90">V72*(1-V75)</f>
        <v>540000</v>
      </c>
      <c r="W74" s="606">
        <f t="shared" ref="W74" si="91">W72*(1-W75)</f>
        <v>540000</v>
      </c>
      <c r="X74" s="606">
        <f t="shared" ref="X74" si="92">X72*(1-X75)</f>
        <v>540000</v>
      </c>
      <c r="Y74" s="606">
        <f t="shared" ref="Y74" si="93">Y72*(1-Y75)</f>
        <v>540000</v>
      </c>
      <c r="Z74" s="606">
        <f t="shared" ref="Z74" si="94">Z72*(1-Z75)</f>
        <v>540000</v>
      </c>
      <c r="AA74" s="606">
        <f t="shared" ref="AA74" si="95">AA72*(1-AA75)</f>
        <v>540000</v>
      </c>
      <c r="AB74" s="606">
        <f t="shared" ref="AB74" si="96">AB72*(1-AB75)</f>
        <v>540000</v>
      </c>
    </row>
    <row r="75" spans="1:28" s="414" customFormat="1">
      <c r="B75" s="608" t="s">
        <v>439</v>
      </c>
      <c r="C75" s="410"/>
      <c r="D75" s="440"/>
      <c r="E75" s="441"/>
      <c r="F75" s="441"/>
      <c r="G75" s="441"/>
      <c r="H75" s="441"/>
      <c r="I75" s="413"/>
      <c r="J75" s="441"/>
      <c r="K75" s="441"/>
      <c r="L75" s="441"/>
      <c r="M75" s="441"/>
      <c r="N75" s="413"/>
      <c r="O75" s="441"/>
      <c r="P75" s="441"/>
      <c r="Q75" s="441"/>
      <c r="R75" s="441"/>
      <c r="S75" s="413"/>
      <c r="T75" s="413"/>
      <c r="U75" s="605">
        <v>0.1</v>
      </c>
      <c r="V75" s="605">
        <f>U75</f>
        <v>0.1</v>
      </c>
      <c r="W75" s="605">
        <f t="shared" ref="W75:AB75" si="97">V75</f>
        <v>0.1</v>
      </c>
      <c r="X75" s="605">
        <f t="shared" si="97"/>
        <v>0.1</v>
      </c>
      <c r="Y75" s="605">
        <f t="shared" si="97"/>
        <v>0.1</v>
      </c>
      <c r="Z75" s="605">
        <f t="shared" si="97"/>
        <v>0.1</v>
      </c>
      <c r="AA75" s="605">
        <f t="shared" si="97"/>
        <v>0.1</v>
      </c>
      <c r="AB75" s="605">
        <f t="shared" si="97"/>
        <v>0.1</v>
      </c>
    </row>
    <row r="76" spans="1:28">
      <c r="B76" s="405"/>
      <c r="C76" s="395"/>
      <c r="D76" s="395"/>
      <c r="E76" s="429"/>
      <c r="F76" s="429"/>
      <c r="G76" s="429"/>
      <c r="H76" s="429"/>
      <c r="I76" s="418"/>
      <c r="J76" s="429"/>
      <c r="K76" s="429"/>
      <c r="L76" s="429"/>
      <c r="M76" s="429"/>
      <c r="N76" s="418"/>
      <c r="O76" s="429"/>
      <c r="P76" s="429"/>
      <c r="Q76" s="429"/>
      <c r="R76" s="429"/>
      <c r="S76" s="418"/>
      <c r="T76" s="418"/>
      <c r="U76" s="418"/>
      <c r="V76" s="418"/>
      <c r="W76" s="418"/>
      <c r="X76" s="418"/>
      <c r="Y76" s="418"/>
      <c r="Z76" s="418"/>
      <c r="AA76" s="418"/>
      <c r="AB76" s="418"/>
    </row>
    <row r="77" spans="1:28">
      <c r="B77" s="461" t="s">
        <v>444</v>
      </c>
      <c r="C77" s="462"/>
      <c r="D77" s="463"/>
      <c r="E77" s="464"/>
      <c r="F77" s="464"/>
      <c r="G77" s="464"/>
      <c r="H77" s="568"/>
      <c r="I77" s="463"/>
      <c r="J77" s="464"/>
      <c r="K77" s="464"/>
      <c r="L77" s="464"/>
      <c r="M77" s="464"/>
      <c r="N77" s="463"/>
      <c r="O77" s="464"/>
      <c r="P77" s="464"/>
      <c r="Q77" s="464"/>
      <c r="R77" s="464"/>
      <c r="S77" s="463"/>
      <c r="T77" s="463">
        <f>T70*T74/1000000</f>
        <v>0</v>
      </c>
      <c r="U77" s="463">
        <f>U70*U74/1000000</f>
        <v>0</v>
      </c>
      <c r="V77" s="463">
        <f t="shared" ref="V77:AB77" si="98">V70*V74/1000000</f>
        <v>0</v>
      </c>
      <c r="W77" s="463">
        <f t="shared" si="98"/>
        <v>0</v>
      </c>
      <c r="X77" s="463">
        <f t="shared" si="98"/>
        <v>158.46849686982145</v>
      </c>
      <c r="Y77" s="463">
        <f t="shared" si="98"/>
        <v>401.74781733106261</v>
      </c>
      <c r="Z77" s="463">
        <f t="shared" si="98"/>
        <v>553.22459705031315</v>
      </c>
      <c r="AA77" s="463">
        <f t="shared" si="98"/>
        <v>761.99839322398748</v>
      </c>
      <c r="AB77" s="463">
        <f t="shared" si="98"/>
        <v>1069.197830852383</v>
      </c>
    </row>
    <row r="78" spans="1:28" s="427" customFormat="1">
      <c r="B78" s="465" t="s">
        <v>316</v>
      </c>
      <c r="C78" s="466"/>
      <c r="D78" s="466"/>
      <c r="E78" s="467"/>
      <c r="F78" s="467"/>
      <c r="G78" s="467"/>
      <c r="H78" s="467"/>
      <c r="I78" s="468"/>
      <c r="J78" s="467"/>
      <c r="K78" s="467"/>
      <c r="L78" s="467"/>
      <c r="M78" s="467"/>
      <c r="N78" s="468"/>
      <c r="O78" s="467"/>
      <c r="P78" s="467"/>
      <c r="Q78" s="467"/>
      <c r="R78" s="467"/>
      <c r="S78" s="468"/>
      <c r="T78" s="468"/>
      <c r="U78" s="468"/>
      <c r="V78" s="468" t="e">
        <f>V77/U77-1</f>
        <v>#DIV/0!</v>
      </c>
      <c r="W78" s="468" t="e">
        <f t="shared" ref="W78:AB78" si="99">W77/V77-1</f>
        <v>#DIV/0!</v>
      </c>
      <c r="X78" s="468" t="e">
        <f t="shared" si="99"/>
        <v>#DIV/0!</v>
      </c>
      <c r="Y78" s="468">
        <f t="shared" si="99"/>
        <v>1.5351904338506475</v>
      </c>
      <c r="Z78" s="468">
        <f t="shared" si="99"/>
        <v>0.37704443729292314</v>
      </c>
      <c r="AA78" s="468">
        <f t="shared" si="99"/>
        <v>0.3773761999860743</v>
      </c>
      <c r="AB78" s="468">
        <f t="shared" si="99"/>
        <v>0.40314971837229985</v>
      </c>
    </row>
    <row r="79" spans="1:28" s="427" customFormat="1">
      <c r="B79" s="465"/>
      <c r="C79" s="466"/>
      <c r="D79" s="466"/>
      <c r="E79" s="467"/>
      <c r="F79" s="467"/>
      <c r="G79" s="467"/>
      <c r="H79" s="467"/>
      <c r="I79" s="468"/>
      <c r="J79" s="467"/>
      <c r="K79" s="467"/>
      <c r="L79" s="467"/>
      <c r="M79" s="467"/>
      <c r="N79" s="468"/>
      <c r="O79" s="467"/>
      <c r="P79" s="467"/>
      <c r="Q79" s="467"/>
      <c r="R79" s="467"/>
      <c r="S79" s="468"/>
      <c r="T79" s="468"/>
      <c r="U79" s="468"/>
      <c r="V79" s="468"/>
      <c r="W79" s="468"/>
      <c r="X79" s="468"/>
      <c r="Y79" s="468"/>
      <c r="Z79" s="468"/>
      <c r="AA79" s="468"/>
      <c r="AB79" s="468"/>
    </row>
    <row r="80" spans="1:28" s="427" customFormat="1" hidden="1" outlineLevel="1">
      <c r="B80" s="534" t="s">
        <v>64</v>
      </c>
      <c r="C80" s="535"/>
      <c r="D80" s="536">
        <f>D81*2</f>
        <v>0</v>
      </c>
      <c r="E80" s="536">
        <f>E81*2</f>
        <v>0</v>
      </c>
      <c r="F80" s="536">
        <f>F81*2</f>
        <v>0</v>
      </c>
      <c r="G80" s="536">
        <f>G81*2</f>
        <v>0</v>
      </c>
      <c r="H80" s="536">
        <v>0</v>
      </c>
      <c r="I80" s="537">
        <f>(H80+G80+F80+E80)/4</f>
        <v>0</v>
      </c>
      <c r="J80" s="536">
        <v>0</v>
      </c>
      <c r="K80" s="536">
        <v>0</v>
      </c>
      <c r="L80" s="536">
        <v>0</v>
      </c>
      <c r="M80" s="536">
        <v>0</v>
      </c>
      <c r="N80" s="537">
        <f>(M80+L80+K80+J80)/4</f>
        <v>0</v>
      </c>
      <c r="O80" s="536">
        <v>0</v>
      </c>
      <c r="P80" s="536">
        <v>0</v>
      </c>
      <c r="Q80" s="536">
        <v>0</v>
      </c>
      <c r="R80" s="536">
        <v>0</v>
      </c>
      <c r="S80" s="537">
        <f>(R80+Q80+P80+O80)/4</f>
        <v>0</v>
      </c>
      <c r="T80" s="536">
        <v>0</v>
      </c>
      <c r="U80" s="536">
        <v>0</v>
      </c>
      <c r="V80" s="536">
        <v>0.03</v>
      </c>
      <c r="W80" s="536">
        <v>0.05</v>
      </c>
      <c r="X80" s="536">
        <v>7.0000000000000007E-2</v>
      </c>
      <c r="Y80" s="536">
        <v>0.1</v>
      </c>
      <c r="Z80" s="536">
        <v>0.15</v>
      </c>
      <c r="AA80" s="536">
        <v>0.2</v>
      </c>
      <c r="AB80" s="536">
        <v>0.3</v>
      </c>
    </row>
    <row r="81" spans="1:28" s="427" customFormat="1" hidden="1" outlineLevel="1">
      <c r="B81" s="534" t="s">
        <v>65</v>
      </c>
      <c r="C81" s="535"/>
      <c r="D81" s="536">
        <v>0</v>
      </c>
      <c r="E81" s="536">
        <v>0</v>
      </c>
      <c r="F81" s="536">
        <v>0</v>
      </c>
      <c r="G81" s="536">
        <v>0</v>
      </c>
      <c r="H81" s="536">
        <v>0</v>
      </c>
      <c r="I81" s="537">
        <f t="shared" ref="I81:I82" si="100">(H81+G81+F81+E81)/4</f>
        <v>0</v>
      </c>
      <c r="J81" s="536">
        <v>0</v>
      </c>
      <c r="K81" s="536">
        <v>0</v>
      </c>
      <c r="L81" s="536">
        <v>0</v>
      </c>
      <c r="M81" s="536">
        <v>0</v>
      </c>
      <c r="N81" s="537">
        <f t="shared" ref="N81:N83" si="101">(M81+L81+K81+J81)/4</f>
        <v>0</v>
      </c>
      <c r="O81" s="536">
        <v>0</v>
      </c>
      <c r="P81" s="536">
        <v>0</v>
      </c>
      <c r="Q81" s="536">
        <v>0</v>
      </c>
      <c r="R81" s="536">
        <v>0</v>
      </c>
      <c r="S81" s="537">
        <f t="shared" ref="S81:S83" si="102">(R81+Q81+P81+O81)/4</f>
        <v>0</v>
      </c>
      <c r="T81" s="536">
        <v>0</v>
      </c>
      <c r="U81" s="536">
        <v>0</v>
      </c>
      <c r="V81" s="536">
        <v>0</v>
      </c>
      <c r="W81" s="536">
        <v>0</v>
      </c>
      <c r="X81" s="536">
        <v>0.02</v>
      </c>
      <c r="Y81" s="536">
        <v>0.05</v>
      </c>
      <c r="Z81" s="536">
        <v>7.0000000000000007E-2</v>
      </c>
      <c r="AA81" s="536">
        <v>0.1</v>
      </c>
      <c r="AB81" s="536">
        <v>0.12</v>
      </c>
    </row>
    <row r="82" spans="1:28" s="427" customFormat="1" hidden="1" outlineLevel="1">
      <c r="B82" s="534" t="s">
        <v>66</v>
      </c>
      <c r="C82" s="535"/>
      <c r="D82" s="536">
        <f>D81*0.5</f>
        <v>0</v>
      </c>
      <c r="E82" s="536">
        <f>E81*0.5</f>
        <v>0</v>
      </c>
      <c r="F82" s="536">
        <f>F81*0.5</f>
        <v>0</v>
      </c>
      <c r="G82" s="536">
        <f>G81*0.5</f>
        <v>0</v>
      </c>
      <c r="H82" s="536">
        <v>0</v>
      </c>
      <c r="I82" s="537">
        <f t="shared" si="100"/>
        <v>0</v>
      </c>
      <c r="J82" s="536">
        <v>0</v>
      </c>
      <c r="K82" s="536">
        <v>0</v>
      </c>
      <c r="L82" s="536">
        <v>0</v>
      </c>
      <c r="M82" s="536">
        <v>0</v>
      </c>
      <c r="N82" s="537">
        <f t="shared" si="101"/>
        <v>0</v>
      </c>
      <c r="O82" s="536">
        <v>0</v>
      </c>
      <c r="P82" s="536">
        <v>0</v>
      </c>
      <c r="Q82" s="536">
        <v>0</v>
      </c>
      <c r="R82" s="536">
        <v>0</v>
      </c>
      <c r="S82" s="537">
        <f t="shared" si="102"/>
        <v>0</v>
      </c>
      <c r="T82" s="536">
        <v>0</v>
      </c>
      <c r="U82" s="536">
        <v>0</v>
      </c>
      <c r="V82" s="536">
        <v>0</v>
      </c>
      <c r="W82" s="536">
        <v>0</v>
      </c>
      <c r="X82" s="536">
        <v>0</v>
      </c>
      <c r="Y82" s="536">
        <v>0</v>
      </c>
      <c r="Z82" s="536">
        <v>0</v>
      </c>
      <c r="AA82" s="536">
        <v>0</v>
      </c>
      <c r="AB82" s="536">
        <v>0</v>
      </c>
    </row>
    <row r="83" spans="1:28" s="427" customFormat="1" collapsed="1">
      <c r="A83" s="428"/>
      <c r="B83" s="538" t="s">
        <v>441</v>
      </c>
      <c r="C83" s="539"/>
      <c r="D83" s="540">
        <f>CHOOSE($T$2,D80,D81,D82)</f>
        <v>0</v>
      </c>
      <c r="E83" s="541">
        <f>CHOOSE($T$2,E80,E81,E82)</f>
        <v>0</v>
      </c>
      <c r="F83" s="541">
        <f>CHOOSE($T$2,F80,F81,F82)</f>
        <v>0</v>
      </c>
      <c r="G83" s="541">
        <f>CHOOSE($T$2,G80,G81,G82)</f>
        <v>0</v>
      </c>
      <c r="H83" s="541">
        <f>CHOOSE($T$2,H80,H81,H82)</f>
        <v>0</v>
      </c>
      <c r="I83" s="540" t="e">
        <f>(I85/1000)/I72</f>
        <v>#DIV/0!</v>
      </c>
      <c r="J83" s="541">
        <f>CHOOSE($T$2,J80,J81,J82)</f>
        <v>0</v>
      </c>
      <c r="K83" s="541">
        <f>CHOOSE($T$2,K80,K81,K82)</f>
        <v>0</v>
      </c>
      <c r="L83" s="541">
        <f>CHOOSE($T$2,L80,L81,L82)</f>
        <v>0</v>
      </c>
      <c r="M83" s="541">
        <f>CHOOSE($T$2,M80,M81,M82)</f>
        <v>0</v>
      </c>
      <c r="N83" s="540">
        <f t="shared" si="101"/>
        <v>0</v>
      </c>
      <c r="O83" s="541">
        <f>CHOOSE($T$2,O80,O81,O82)</f>
        <v>0</v>
      </c>
      <c r="P83" s="541">
        <f>CHOOSE($T$2,P80,P81,P82)</f>
        <v>0</v>
      </c>
      <c r="Q83" s="541">
        <f>CHOOSE($T$2,Q80,Q81,Q82)</f>
        <v>0</v>
      </c>
      <c r="R83" s="541">
        <f>CHOOSE($T$2,R80,R81,R82)</f>
        <v>0</v>
      </c>
      <c r="S83" s="540">
        <f t="shared" si="102"/>
        <v>0</v>
      </c>
      <c r="T83" s="540">
        <f t="shared" ref="T83:AB83" si="103">CHOOSE($T$2,T80,T81,T82)</f>
        <v>0</v>
      </c>
      <c r="U83" s="540">
        <f t="shared" si="103"/>
        <v>0</v>
      </c>
      <c r="V83" s="540">
        <f t="shared" si="103"/>
        <v>0</v>
      </c>
      <c r="W83" s="540">
        <f t="shared" si="103"/>
        <v>0</v>
      </c>
      <c r="X83" s="540">
        <f t="shared" si="103"/>
        <v>0.02</v>
      </c>
      <c r="Y83" s="540">
        <f t="shared" si="103"/>
        <v>0.05</v>
      </c>
      <c r="Z83" s="540">
        <f t="shared" si="103"/>
        <v>7.0000000000000007E-2</v>
      </c>
      <c r="AA83" s="540">
        <f t="shared" si="103"/>
        <v>0.1</v>
      </c>
      <c r="AB83" s="540">
        <f t="shared" si="103"/>
        <v>0.12</v>
      </c>
    </row>
    <row r="84" spans="1:28">
      <c r="B84" s="405"/>
      <c r="C84" s="395"/>
      <c r="D84" s="395"/>
      <c r="E84" s="429"/>
      <c r="F84" s="429"/>
      <c r="G84" s="429"/>
      <c r="H84" s="429"/>
      <c r="I84" s="418"/>
      <c r="J84" s="429"/>
      <c r="K84" s="429"/>
      <c r="L84" s="429"/>
      <c r="M84" s="429"/>
      <c r="N84" s="418"/>
      <c r="O84" s="429"/>
      <c r="P84" s="429"/>
      <c r="Q84" s="429"/>
      <c r="R84" s="429"/>
      <c r="S84" s="418"/>
      <c r="T84" s="418"/>
      <c r="U84" s="418"/>
      <c r="V84" s="418"/>
      <c r="W84" s="418"/>
      <c r="X84" s="418"/>
      <c r="Y84" s="418"/>
      <c r="Z84" s="418"/>
      <c r="AA84" s="418"/>
      <c r="AB84" s="418"/>
    </row>
    <row r="85" spans="1:28">
      <c r="B85" s="405" t="s">
        <v>435</v>
      </c>
      <c r="C85" s="395"/>
      <c r="D85" s="395"/>
      <c r="E85" s="430"/>
      <c r="F85" s="430"/>
      <c r="G85" s="430"/>
      <c r="H85" s="430">
        <f>(H60+H61)*H83*1000</f>
        <v>0</v>
      </c>
      <c r="I85" s="431">
        <f>H85</f>
        <v>0</v>
      </c>
      <c r="J85" s="430">
        <f>(J60+J61)*J83*1000</f>
        <v>0</v>
      </c>
      <c r="K85" s="430">
        <f>(K60+K61)*K83*1000</f>
        <v>0</v>
      </c>
      <c r="L85" s="430">
        <f>(L60+L61)*L83*1000</f>
        <v>0</v>
      </c>
      <c r="M85" s="430">
        <f>(M60+M61)*M83*1000</f>
        <v>0</v>
      </c>
      <c r="N85" s="431">
        <f>(M85+L85+K85+J85)/4</f>
        <v>0</v>
      </c>
      <c r="O85" s="430">
        <f>(O60+O61)*O83*1000</f>
        <v>0</v>
      </c>
      <c r="P85" s="430">
        <f>(P60+P61)*P83*1000</f>
        <v>0</v>
      </c>
      <c r="Q85" s="430">
        <f>(Q60+Q61)*Q83*1000</f>
        <v>0</v>
      </c>
      <c r="R85" s="430">
        <f>(R60+R61)*R83*1000</f>
        <v>0</v>
      </c>
      <c r="S85" s="431">
        <f>(R85+Q85+P85+O85)/4</f>
        <v>0</v>
      </c>
      <c r="T85" s="530">
        <f t="shared" ref="T85:AB85" si="104">(T60+T61)*T83*1000</f>
        <v>0</v>
      </c>
      <c r="U85" s="530">
        <f t="shared" si="104"/>
        <v>0</v>
      </c>
      <c r="V85" s="530">
        <f t="shared" si="104"/>
        <v>0</v>
      </c>
      <c r="W85" s="530">
        <f t="shared" si="104"/>
        <v>0</v>
      </c>
      <c r="X85" s="530">
        <f t="shared" si="104"/>
        <v>248.04058454924856</v>
      </c>
      <c r="Y85" s="530">
        <f t="shared" si="104"/>
        <v>609.76061446796973</v>
      </c>
      <c r="Z85" s="530">
        <f t="shared" si="104"/>
        <v>818.19575537048706</v>
      </c>
      <c r="AA85" s="530">
        <f t="shared" si="104"/>
        <v>1101.4597798198215</v>
      </c>
      <c r="AB85" s="530">
        <f t="shared" si="104"/>
        <v>1214.3107500731351</v>
      </c>
    </row>
    <row r="86" spans="1:28">
      <c r="B86" s="405"/>
      <c r="C86" s="395"/>
      <c r="D86" s="395"/>
      <c r="E86" s="429"/>
      <c r="F86" s="429"/>
      <c r="G86" s="429"/>
      <c r="H86" s="429"/>
      <c r="I86" s="418"/>
      <c r="J86" s="429"/>
      <c r="K86" s="429"/>
      <c r="L86" s="429"/>
      <c r="M86" s="429"/>
      <c r="N86" s="418"/>
      <c r="O86" s="429"/>
      <c r="P86" s="429"/>
      <c r="Q86" s="429"/>
      <c r="R86" s="429"/>
      <c r="S86" s="418"/>
      <c r="T86" s="418"/>
      <c r="U86" s="418"/>
      <c r="V86" s="418"/>
      <c r="W86" s="418"/>
      <c r="X86" s="418"/>
      <c r="Y86" s="418"/>
      <c r="Z86" s="418"/>
      <c r="AA86" s="418"/>
      <c r="AB86" s="418"/>
    </row>
    <row r="87" spans="1:28">
      <c r="B87" s="607" t="s">
        <v>436</v>
      </c>
      <c r="C87" s="395"/>
      <c r="D87" s="432"/>
      <c r="E87" s="433"/>
      <c r="F87" s="433"/>
      <c r="G87" s="433"/>
      <c r="H87" s="433"/>
      <c r="I87" s="434"/>
      <c r="J87" s="433"/>
      <c r="K87" s="433"/>
      <c r="L87" s="433"/>
      <c r="M87" s="433"/>
      <c r="N87" s="436"/>
      <c r="O87" s="435"/>
      <c r="P87" s="435"/>
      <c r="Q87" s="435"/>
      <c r="R87" s="435"/>
      <c r="S87" s="436"/>
      <c r="T87" s="436"/>
      <c r="U87" s="606">
        <f>U72</f>
        <v>600000</v>
      </c>
      <c r="V87" s="606">
        <f>U87*(1+V88)</f>
        <v>600000</v>
      </c>
      <c r="W87" s="606">
        <f t="shared" ref="W87" si="105">V87*(1+W88)</f>
        <v>600000</v>
      </c>
      <c r="X87" s="606">
        <f t="shared" ref="X87" si="106">W87*(1+X88)</f>
        <v>600000</v>
      </c>
      <c r="Y87" s="606">
        <f t="shared" ref="Y87" si="107">X87*(1+Y88)</f>
        <v>600000</v>
      </c>
      <c r="Z87" s="606">
        <f t="shared" ref="Z87" si="108">Y87*(1+Z88)</f>
        <v>600000</v>
      </c>
      <c r="AA87" s="606">
        <f t="shared" ref="AA87" si="109">Z87*(1+AA88)</f>
        <v>600000</v>
      </c>
      <c r="AB87" s="606">
        <f t="shared" ref="AB87" si="110">AA87*(1+AB88)</f>
        <v>600000</v>
      </c>
    </row>
    <row r="88" spans="1:28">
      <c r="B88" s="608" t="s">
        <v>437</v>
      </c>
      <c r="C88" s="395"/>
      <c r="D88" s="395"/>
      <c r="E88" s="429"/>
      <c r="F88" s="429"/>
      <c r="G88" s="429"/>
      <c r="H88" s="429"/>
      <c r="I88" s="418"/>
      <c r="J88" s="429"/>
      <c r="K88" s="429"/>
      <c r="L88" s="429"/>
      <c r="M88" s="429"/>
      <c r="N88" s="418"/>
      <c r="O88" s="429"/>
      <c r="P88" s="429"/>
      <c r="Q88" s="429"/>
      <c r="R88" s="429"/>
      <c r="S88" s="418"/>
      <c r="T88" s="418"/>
      <c r="U88" s="418"/>
      <c r="V88" s="605">
        <v>0</v>
      </c>
      <c r="W88" s="605">
        <v>0</v>
      </c>
      <c r="X88" s="605">
        <v>0</v>
      </c>
      <c r="Y88" s="605">
        <v>0</v>
      </c>
      <c r="Z88" s="605">
        <v>0</v>
      </c>
      <c r="AA88" s="605">
        <v>0</v>
      </c>
      <c r="AB88" s="605">
        <v>0</v>
      </c>
    </row>
    <row r="89" spans="1:28">
      <c r="B89" s="607" t="s">
        <v>438</v>
      </c>
      <c r="C89" s="395"/>
      <c r="D89" s="437"/>
      <c r="E89" s="430"/>
      <c r="F89" s="430"/>
      <c r="G89" s="430"/>
      <c r="H89" s="430"/>
      <c r="I89" s="438"/>
      <c r="J89" s="430"/>
      <c r="K89" s="430"/>
      <c r="L89" s="430"/>
      <c r="M89" s="430"/>
      <c r="N89" s="439"/>
      <c r="O89" s="435"/>
      <c r="P89" s="435"/>
      <c r="Q89" s="435"/>
      <c r="R89" s="435"/>
      <c r="S89" s="439"/>
      <c r="T89" s="439"/>
      <c r="U89" s="606">
        <f>U87*(1-U90)</f>
        <v>540000</v>
      </c>
      <c r="V89" s="606">
        <f t="shared" ref="V89" si="111">V87*(1-V90)</f>
        <v>540000</v>
      </c>
      <c r="W89" s="606">
        <f t="shared" ref="W89" si="112">W87*(1-W90)</f>
        <v>540000</v>
      </c>
      <c r="X89" s="606">
        <f t="shared" ref="X89" si="113">X87*(1-X90)</f>
        <v>540000</v>
      </c>
      <c r="Y89" s="606">
        <f t="shared" ref="Y89" si="114">Y87*(1-Y90)</f>
        <v>540000</v>
      </c>
      <c r="Z89" s="606">
        <f t="shared" ref="Z89" si="115">Z87*(1-Z90)</f>
        <v>540000</v>
      </c>
      <c r="AA89" s="606">
        <f t="shared" ref="AA89" si="116">AA87*(1-AA90)</f>
        <v>540000</v>
      </c>
      <c r="AB89" s="606">
        <f t="shared" ref="AB89" si="117">AB87*(1-AB90)</f>
        <v>540000</v>
      </c>
    </row>
    <row r="90" spans="1:28" s="414" customFormat="1">
      <c r="B90" s="608" t="s">
        <v>439</v>
      </c>
      <c r="C90" s="410"/>
      <c r="D90" s="440"/>
      <c r="E90" s="441"/>
      <c r="F90" s="441"/>
      <c r="G90" s="441"/>
      <c r="H90" s="441"/>
      <c r="I90" s="413"/>
      <c r="J90" s="441"/>
      <c r="K90" s="441"/>
      <c r="L90" s="441"/>
      <c r="M90" s="441"/>
      <c r="N90" s="413"/>
      <c r="O90" s="441"/>
      <c r="P90" s="441"/>
      <c r="Q90" s="441"/>
      <c r="R90" s="441"/>
      <c r="S90" s="413"/>
      <c r="T90" s="413"/>
      <c r="U90" s="605">
        <v>0.1</v>
      </c>
      <c r="V90" s="605">
        <f>U90</f>
        <v>0.1</v>
      </c>
      <c r="W90" s="605">
        <f t="shared" ref="W90:AB90" si="118">V90</f>
        <v>0.1</v>
      </c>
      <c r="X90" s="605">
        <f t="shared" si="118"/>
        <v>0.1</v>
      </c>
      <c r="Y90" s="605">
        <f t="shared" si="118"/>
        <v>0.1</v>
      </c>
      <c r="Z90" s="605">
        <f t="shared" si="118"/>
        <v>0.1</v>
      </c>
      <c r="AA90" s="605">
        <f t="shared" si="118"/>
        <v>0.1</v>
      </c>
      <c r="AB90" s="605">
        <f t="shared" si="118"/>
        <v>0.1</v>
      </c>
    </row>
    <row r="91" spans="1:28">
      <c r="B91" s="405"/>
      <c r="C91" s="395"/>
      <c r="D91" s="395"/>
      <c r="E91" s="429"/>
      <c r="F91" s="429"/>
      <c r="G91" s="429"/>
      <c r="H91" s="429"/>
      <c r="I91" s="418"/>
      <c r="J91" s="429"/>
      <c r="K91" s="429"/>
      <c r="L91" s="429"/>
      <c r="M91" s="429"/>
      <c r="N91" s="418"/>
      <c r="O91" s="429"/>
      <c r="P91" s="429"/>
      <c r="Q91" s="429"/>
      <c r="R91" s="429"/>
      <c r="S91" s="418"/>
      <c r="T91" s="418"/>
      <c r="U91" s="418"/>
      <c r="V91" s="418"/>
      <c r="W91" s="418"/>
      <c r="X91" s="418"/>
      <c r="Y91" s="418"/>
      <c r="Z91" s="418"/>
      <c r="AA91" s="418"/>
      <c r="AB91" s="418"/>
    </row>
    <row r="92" spans="1:28">
      <c r="B92" s="461" t="s">
        <v>443</v>
      </c>
      <c r="C92" s="462"/>
      <c r="D92" s="463"/>
      <c r="E92" s="464"/>
      <c r="F92" s="464"/>
      <c r="G92" s="464"/>
      <c r="H92" s="568"/>
      <c r="I92" s="463"/>
      <c r="J92" s="464"/>
      <c r="K92" s="464"/>
      <c r="L92" s="464"/>
      <c r="M92" s="464"/>
      <c r="N92" s="463"/>
      <c r="O92" s="464"/>
      <c r="P92" s="464"/>
      <c r="Q92" s="464"/>
      <c r="R92" s="464"/>
      <c r="S92" s="463"/>
      <c r="T92" s="463">
        <f>T85*T89/1000000</f>
        <v>0</v>
      </c>
      <c r="U92" s="463">
        <f>U85*U89/1000000</f>
        <v>0</v>
      </c>
      <c r="V92" s="463">
        <f t="shared" ref="V92:AB92" si="119">V85*V89/1000000</f>
        <v>0</v>
      </c>
      <c r="W92" s="463">
        <f t="shared" si="119"/>
        <v>0</v>
      </c>
      <c r="X92" s="463">
        <f t="shared" si="119"/>
        <v>133.94191565659423</v>
      </c>
      <c r="Y92" s="463">
        <f t="shared" si="119"/>
        <v>329.27073181270367</v>
      </c>
      <c r="Z92" s="463">
        <f t="shared" si="119"/>
        <v>441.82570790006304</v>
      </c>
      <c r="AA92" s="463">
        <f t="shared" si="119"/>
        <v>594.78828110270354</v>
      </c>
      <c r="AB92" s="463">
        <f t="shared" si="119"/>
        <v>655.72780503949298</v>
      </c>
    </row>
    <row r="93" spans="1:28" s="427" customFormat="1">
      <c r="B93" s="465" t="s">
        <v>316</v>
      </c>
      <c r="C93" s="466"/>
      <c r="D93" s="466"/>
      <c r="E93" s="467"/>
      <c r="F93" s="467"/>
      <c r="G93" s="467"/>
      <c r="H93" s="467"/>
      <c r="I93" s="468"/>
      <c r="J93" s="467"/>
      <c r="K93" s="467"/>
      <c r="L93" s="467"/>
      <c r="M93" s="467"/>
      <c r="N93" s="468"/>
      <c r="O93" s="467"/>
      <c r="P93" s="467"/>
      <c r="Q93" s="467"/>
      <c r="R93" s="467"/>
      <c r="S93" s="468"/>
      <c r="T93" s="468"/>
      <c r="U93" s="468"/>
      <c r="V93" s="468" t="e">
        <f>V92/U92-1</f>
        <v>#DIV/0!</v>
      </c>
      <c r="W93" s="468" t="e">
        <f t="shared" ref="W93" si="120">W92/V92-1</f>
        <v>#DIV/0!</v>
      </c>
      <c r="X93" s="468" t="e">
        <f t="shared" ref="X93" si="121">X92/W92-1</f>
        <v>#DIV/0!</v>
      </c>
      <c r="Y93" s="468">
        <f t="shared" ref="Y93" si="122">Y92/X92-1</f>
        <v>1.4583098591549297</v>
      </c>
      <c r="Z93" s="468">
        <f t="shared" ref="Z93" si="123">Z92/Y92-1</f>
        <v>0.34183109888850693</v>
      </c>
      <c r="AA93" s="468">
        <f t="shared" ref="AA93" si="124">AA92/Z92-1</f>
        <v>0.34620568805208429</v>
      </c>
      <c r="AB93" s="468">
        <f t="shared" ref="AB93" si="125">AB92/AA92-1</f>
        <v>0.10245582482528248</v>
      </c>
    </row>
    <row r="96" spans="1:28">
      <c r="B96" s="396" t="s">
        <v>447</v>
      </c>
      <c r="T96" s="619">
        <v>1</v>
      </c>
      <c r="U96" s="619">
        <f>T96</f>
        <v>1</v>
      </c>
      <c r="V96" s="619">
        <f t="shared" ref="V96:AB96" si="126">U96</f>
        <v>1</v>
      </c>
      <c r="W96" s="619">
        <f t="shared" si="126"/>
        <v>1</v>
      </c>
      <c r="X96" s="619">
        <f t="shared" si="126"/>
        <v>1</v>
      </c>
      <c r="Y96" s="619">
        <f t="shared" si="126"/>
        <v>1</v>
      </c>
      <c r="Z96" s="619">
        <f t="shared" si="126"/>
        <v>1</v>
      </c>
      <c r="AA96" s="619">
        <f t="shared" si="126"/>
        <v>1</v>
      </c>
      <c r="AB96" s="619">
        <f t="shared" si="126"/>
        <v>1</v>
      </c>
    </row>
    <row r="97" spans="2:28">
      <c r="B97" s="396" t="s">
        <v>448</v>
      </c>
      <c r="T97" s="440">
        <v>0.5</v>
      </c>
      <c r="U97" s="440">
        <f>T97</f>
        <v>0.5</v>
      </c>
      <c r="V97" s="440">
        <f t="shared" ref="V97:V98" si="127">U97</f>
        <v>0.5</v>
      </c>
      <c r="W97" s="440">
        <f t="shared" ref="W97:W98" si="128">V97</f>
        <v>0.5</v>
      </c>
      <c r="X97" s="440">
        <f t="shared" ref="X97:X98" si="129">W97</f>
        <v>0.5</v>
      </c>
      <c r="Y97" s="440">
        <f t="shared" ref="Y97:Y98" si="130">X97</f>
        <v>0.5</v>
      </c>
      <c r="Z97" s="440">
        <f t="shared" ref="Z97:Z98" si="131">Y97</f>
        <v>0.5</v>
      </c>
      <c r="AA97" s="440">
        <f t="shared" ref="AA97:AA98" si="132">Z97</f>
        <v>0.5</v>
      </c>
      <c r="AB97" s="440">
        <f t="shared" ref="AB97:AB98" si="133">AA97</f>
        <v>0.5</v>
      </c>
    </row>
    <row r="98" spans="2:28">
      <c r="B98" s="396" t="s">
        <v>449</v>
      </c>
      <c r="T98" s="619">
        <v>0</v>
      </c>
      <c r="U98" s="619">
        <f>T98</f>
        <v>0</v>
      </c>
      <c r="V98" s="619">
        <f t="shared" si="127"/>
        <v>0</v>
      </c>
      <c r="W98" s="619">
        <f t="shared" si="128"/>
        <v>0</v>
      </c>
      <c r="X98" s="619">
        <f t="shared" si="129"/>
        <v>0</v>
      </c>
      <c r="Y98" s="619">
        <f t="shared" si="130"/>
        <v>0</v>
      </c>
      <c r="Z98" s="619">
        <f t="shared" si="131"/>
        <v>0</v>
      </c>
      <c r="AA98" s="619">
        <f t="shared" si="132"/>
        <v>0</v>
      </c>
      <c r="AB98" s="619">
        <f t="shared" si="133"/>
        <v>0</v>
      </c>
    </row>
    <row r="99" spans="2:28" s="414" customFormat="1">
      <c r="B99" s="409" t="s">
        <v>454</v>
      </c>
      <c r="C99" s="618"/>
      <c r="D99" s="618"/>
      <c r="E99" s="618"/>
      <c r="F99" s="618"/>
      <c r="G99" s="618"/>
      <c r="H99" s="618"/>
      <c r="I99" s="618"/>
      <c r="J99" s="618"/>
      <c r="K99" s="618"/>
      <c r="L99" s="618"/>
      <c r="M99" s="618"/>
      <c r="N99" s="618"/>
      <c r="O99" s="618"/>
      <c r="P99" s="618"/>
      <c r="Q99" s="618"/>
      <c r="R99" s="618"/>
      <c r="S99" s="618"/>
      <c r="T99" s="440">
        <f>CHOOSE($T$2,T96,T97,T98)</f>
        <v>0.5</v>
      </c>
      <c r="U99" s="440">
        <f t="shared" ref="U99:AB99" si="134">CHOOSE($T$2,U96,U97,U98)</f>
        <v>0.5</v>
      </c>
      <c r="V99" s="440">
        <f t="shared" si="134"/>
        <v>0.5</v>
      </c>
      <c r="W99" s="440">
        <f t="shared" si="134"/>
        <v>0.5</v>
      </c>
      <c r="X99" s="440">
        <f t="shared" si="134"/>
        <v>0.5</v>
      </c>
      <c r="Y99" s="440">
        <f t="shared" si="134"/>
        <v>0.5</v>
      </c>
      <c r="Z99" s="440">
        <f t="shared" si="134"/>
        <v>0.5</v>
      </c>
      <c r="AA99" s="440">
        <f t="shared" si="134"/>
        <v>0.5</v>
      </c>
      <c r="AB99" s="440">
        <f t="shared" si="134"/>
        <v>0.5</v>
      </c>
    </row>
    <row r="101" spans="2:28">
      <c r="B101" s="423" t="s">
        <v>445</v>
      </c>
      <c r="C101" s="604"/>
      <c r="D101" s="603"/>
      <c r="E101" s="602"/>
      <c r="F101" s="602"/>
      <c r="G101" s="602"/>
      <c r="H101" s="601"/>
      <c r="I101" s="603"/>
      <c r="J101" s="602"/>
      <c r="K101" s="602"/>
      <c r="L101" s="602"/>
      <c r="M101" s="602"/>
      <c r="N101" s="603"/>
      <c r="O101" s="602"/>
      <c r="P101" s="602"/>
      <c r="Q101" s="602"/>
      <c r="R101" s="602"/>
      <c r="S101" s="603"/>
      <c r="T101" s="603">
        <f>IF($AA$2=2,0,T92+T77+T46+T31)*T99</f>
        <v>0</v>
      </c>
      <c r="U101" s="603">
        <f t="shared" ref="U101:AB101" si="135">IF($AA$2=2,0,U92+U77+U46+U31)*U99</f>
        <v>0</v>
      </c>
      <c r="V101" s="603">
        <f t="shared" si="135"/>
        <v>0</v>
      </c>
      <c r="W101" s="603">
        <f t="shared" si="135"/>
        <v>199.91651556326542</v>
      </c>
      <c r="X101" s="603">
        <f t="shared" si="135"/>
        <v>679.45146733564047</v>
      </c>
      <c r="Y101" s="603">
        <f t="shared" si="135"/>
        <v>1084.2413125117814</v>
      </c>
      <c r="Z101" s="603">
        <f t="shared" si="135"/>
        <v>1224.608346951399</v>
      </c>
      <c r="AA101" s="603">
        <f t="shared" si="135"/>
        <v>1397.6408241493198</v>
      </c>
      <c r="AB101" s="603">
        <f t="shared" si="135"/>
        <v>1476.2827544685456</v>
      </c>
    </row>
    <row r="102" spans="2:28" s="427" customFormat="1">
      <c r="B102" s="465" t="s">
        <v>316</v>
      </c>
      <c r="C102" s="466"/>
      <c r="D102" s="466"/>
      <c r="E102" s="467"/>
      <c r="F102" s="467"/>
      <c r="G102" s="467"/>
      <c r="H102" s="467"/>
      <c r="I102" s="468"/>
      <c r="J102" s="467"/>
      <c r="K102" s="467"/>
      <c r="L102" s="467"/>
      <c r="M102" s="467"/>
      <c r="N102" s="468"/>
      <c r="O102" s="467"/>
      <c r="P102" s="467"/>
      <c r="Q102" s="467"/>
      <c r="R102" s="467"/>
      <c r="S102" s="468"/>
      <c r="T102" s="468"/>
      <c r="U102" s="468"/>
      <c r="V102" s="468" t="e">
        <f>V101/U101-1</f>
        <v>#DIV/0!</v>
      </c>
      <c r="W102" s="468" t="e">
        <f t="shared" ref="W102" si="136">W101/V101-1</f>
        <v>#DIV/0!</v>
      </c>
      <c r="X102" s="468">
        <f t="shared" ref="X102" si="137">X101/W101-1</f>
        <v>2.3986760194438355</v>
      </c>
      <c r="Y102" s="468">
        <f t="shared" ref="Y102" si="138">Y101/X101-1</f>
        <v>0.59575976303864508</v>
      </c>
      <c r="Z102" s="468">
        <f t="shared" ref="Z102" si="139">Z101/Y101-1</f>
        <v>0.12946106445108585</v>
      </c>
      <c r="AA102" s="468">
        <f t="shared" ref="AA102" si="140">AA101/Z101-1</f>
        <v>0.14129617655201887</v>
      </c>
      <c r="AB102" s="468">
        <f t="shared" ref="AB102" si="141">AB101/AA101-1</f>
        <v>5.6267625387296238E-2</v>
      </c>
    </row>
    <row r="103" spans="2:28">
      <c r="U103" s="597"/>
    </row>
    <row r="105" spans="2:28">
      <c r="B105" s="395" t="s">
        <v>447</v>
      </c>
      <c r="T105" s="610">
        <f>AVERAGE(T19,T34)</f>
        <v>0</v>
      </c>
      <c r="U105" s="610">
        <f t="shared" ref="U105:AB105" si="142">AVERAGE(U19,U34)</f>
        <v>0.05</v>
      </c>
      <c r="V105" s="610">
        <f t="shared" si="142"/>
        <v>0.15</v>
      </c>
      <c r="W105" s="610">
        <f t="shared" si="142"/>
        <v>0.3</v>
      </c>
      <c r="X105" s="610">
        <f t="shared" si="142"/>
        <v>0.4</v>
      </c>
      <c r="Y105" s="610">
        <f t="shared" si="142"/>
        <v>0.5</v>
      </c>
      <c r="Z105" s="610">
        <f t="shared" si="142"/>
        <v>0.5</v>
      </c>
      <c r="AA105" s="610">
        <f t="shared" si="142"/>
        <v>0.5</v>
      </c>
      <c r="AB105" s="610">
        <f t="shared" si="142"/>
        <v>0.5</v>
      </c>
    </row>
    <row r="106" spans="2:28">
      <c r="B106" s="395" t="s">
        <v>448</v>
      </c>
      <c r="T106" s="610">
        <f>AVERAGE(T20,T35)</f>
        <v>0</v>
      </c>
      <c r="U106" s="610">
        <f t="shared" ref="U106:AB106" si="143">AVERAGE(U20,U35)</f>
        <v>0</v>
      </c>
      <c r="V106" s="610">
        <f t="shared" si="143"/>
        <v>0</v>
      </c>
      <c r="W106" s="610">
        <f t="shared" si="143"/>
        <v>3.7500000000000006E-2</v>
      </c>
      <c r="X106" s="610">
        <f t="shared" si="143"/>
        <v>0.1</v>
      </c>
      <c r="Y106" s="610">
        <f t="shared" si="143"/>
        <v>0.15000000000000002</v>
      </c>
      <c r="Z106" s="610">
        <f t="shared" si="143"/>
        <v>0.17499999999999999</v>
      </c>
      <c r="AA106" s="610">
        <f t="shared" si="143"/>
        <v>0.2</v>
      </c>
      <c r="AB106" s="610">
        <f t="shared" si="143"/>
        <v>0.2</v>
      </c>
    </row>
    <row r="107" spans="2:28">
      <c r="B107" s="395" t="s">
        <v>449</v>
      </c>
      <c r="T107" s="610">
        <f t="shared" ref="T107:AB107" si="144">AVERAGE(T21,T36)</f>
        <v>0</v>
      </c>
      <c r="U107" s="610">
        <f t="shared" si="144"/>
        <v>0</v>
      </c>
      <c r="V107" s="610">
        <f t="shared" si="144"/>
        <v>0</v>
      </c>
      <c r="W107" s="610">
        <f t="shared" si="144"/>
        <v>0</v>
      </c>
      <c r="X107" s="610">
        <f t="shared" si="144"/>
        <v>0</v>
      </c>
      <c r="Y107" s="610">
        <f t="shared" si="144"/>
        <v>0</v>
      </c>
      <c r="Z107" s="610">
        <f t="shared" si="144"/>
        <v>0</v>
      </c>
      <c r="AA107" s="610">
        <f t="shared" si="144"/>
        <v>0</v>
      </c>
      <c r="AB107" s="610">
        <f t="shared" si="144"/>
        <v>0</v>
      </c>
    </row>
    <row r="108" spans="2:28">
      <c r="T108" s="610"/>
    </row>
  </sheetData>
  <dataValidations disablePrompts="1" count="1">
    <dataValidation type="list" allowBlank="1" showInputMessage="1" showErrorMessage="1" sqref="C65503 WVW983007 WMA983007 WCE983007 VSI983007 VIM983007 UYQ983007 UOU983007 UEY983007 TVC983007 TLG983007 TBK983007 SRO983007 SHS983007 RXW983007 ROA983007 REE983007 QUI983007 QKM983007 QAQ983007 PQU983007 PGY983007 OXC983007 ONG983007 ODK983007 NTO983007 NJS983007 MZW983007 MQA983007 MGE983007 LWI983007 LMM983007 LCQ983007 KSU983007 KIY983007 JZC983007 JPG983007 JFK983007 IVO983007 ILS983007 IBW983007 HSA983007 HIE983007 GYI983007 GOM983007 GEQ983007 FUU983007 FKY983007 FBC983007 ERG983007 EHK983007 DXO983007 DNS983007 DDW983007 CUA983007 CKE983007 CAI983007 BQM983007 BGQ983007 AWU983007 AMY983007 ADC983007 TG983007 JK983007 C983007 WVW917471 WMA917471 WCE917471 VSI917471 VIM917471 UYQ917471 UOU917471 UEY917471 TVC917471 TLG917471 TBK917471 SRO917471 SHS917471 RXW917471 ROA917471 REE917471 QUI917471 QKM917471 QAQ917471 PQU917471 PGY917471 OXC917471 ONG917471 ODK917471 NTO917471 NJS917471 MZW917471 MQA917471 MGE917471 LWI917471 LMM917471 LCQ917471 KSU917471 KIY917471 JZC917471 JPG917471 JFK917471 IVO917471 ILS917471 IBW917471 HSA917471 HIE917471 GYI917471 GOM917471 GEQ917471 FUU917471 FKY917471 FBC917471 ERG917471 EHK917471 DXO917471 DNS917471 DDW917471 CUA917471 CKE917471 CAI917471 BQM917471 BGQ917471 AWU917471 AMY917471 ADC917471 TG917471 JK917471 C917471 WVW851935 WMA851935 WCE851935 VSI851935 VIM851935 UYQ851935 UOU851935 UEY851935 TVC851935 TLG851935 TBK851935 SRO851935 SHS851935 RXW851935 ROA851935 REE851935 QUI851935 QKM851935 QAQ851935 PQU851935 PGY851935 OXC851935 ONG851935 ODK851935 NTO851935 NJS851935 MZW851935 MQA851935 MGE851935 LWI851935 LMM851935 LCQ851935 KSU851935 KIY851935 JZC851935 JPG851935 JFK851935 IVO851935 ILS851935 IBW851935 HSA851935 HIE851935 GYI851935 GOM851935 GEQ851935 FUU851935 FKY851935 FBC851935 ERG851935 EHK851935 DXO851935 DNS851935 DDW851935 CUA851935 CKE851935 CAI851935 BQM851935 BGQ851935 AWU851935 AMY851935 ADC851935 TG851935 JK851935 C851935 WVW786399 WMA786399 WCE786399 VSI786399 VIM786399 UYQ786399 UOU786399 UEY786399 TVC786399 TLG786399 TBK786399 SRO786399 SHS786399 RXW786399 ROA786399 REE786399 QUI786399 QKM786399 QAQ786399 PQU786399 PGY786399 OXC786399 ONG786399 ODK786399 NTO786399 NJS786399 MZW786399 MQA786399 MGE786399 LWI786399 LMM786399 LCQ786399 KSU786399 KIY786399 JZC786399 JPG786399 JFK786399 IVO786399 ILS786399 IBW786399 HSA786399 HIE786399 GYI786399 GOM786399 GEQ786399 FUU786399 FKY786399 FBC786399 ERG786399 EHK786399 DXO786399 DNS786399 DDW786399 CUA786399 CKE786399 CAI786399 BQM786399 BGQ786399 AWU786399 AMY786399 ADC786399 TG786399 JK786399 C786399 WVW720863 WMA720863 WCE720863 VSI720863 VIM720863 UYQ720863 UOU720863 UEY720863 TVC720863 TLG720863 TBK720863 SRO720863 SHS720863 RXW720863 ROA720863 REE720863 QUI720863 QKM720863 QAQ720863 PQU720863 PGY720863 OXC720863 ONG720863 ODK720863 NTO720863 NJS720863 MZW720863 MQA720863 MGE720863 LWI720863 LMM720863 LCQ720863 KSU720863 KIY720863 JZC720863 JPG720863 JFK720863 IVO720863 ILS720863 IBW720863 HSA720863 HIE720863 GYI720863 GOM720863 GEQ720863 FUU720863 FKY720863 FBC720863 ERG720863 EHK720863 DXO720863 DNS720863 DDW720863 CUA720863 CKE720863 CAI720863 BQM720863 BGQ720863 AWU720863 AMY720863 ADC720863 TG720863 JK720863 C720863 WVW655327 WMA655327 WCE655327 VSI655327 VIM655327 UYQ655327 UOU655327 UEY655327 TVC655327 TLG655327 TBK655327 SRO655327 SHS655327 RXW655327 ROA655327 REE655327 QUI655327 QKM655327 QAQ655327 PQU655327 PGY655327 OXC655327 ONG655327 ODK655327 NTO655327 NJS655327 MZW655327 MQA655327 MGE655327 LWI655327 LMM655327 LCQ655327 KSU655327 KIY655327 JZC655327 JPG655327 JFK655327 IVO655327 ILS655327 IBW655327 HSA655327 HIE655327 GYI655327 GOM655327 GEQ655327 FUU655327 FKY655327 FBC655327 ERG655327 EHK655327 DXO655327 DNS655327 DDW655327 CUA655327 CKE655327 CAI655327 BQM655327 BGQ655327 AWU655327 AMY655327 ADC655327 TG655327 JK655327 C655327 WVW589791 WMA589791 WCE589791 VSI589791 VIM589791 UYQ589791 UOU589791 UEY589791 TVC589791 TLG589791 TBK589791 SRO589791 SHS589791 RXW589791 ROA589791 REE589791 QUI589791 QKM589791 QAQ589791 PQU589791 PGY589791 OXC589791 ONG589791 ODK589791 NTO589791 NJS589791 MZW589791 MQA589791 MGE589791 LWI589791 LMM589791 LCQ589791 KSU589791 KIY589791 JZC589791 JPG589791 JFK589791 IVO589791 ILS589791 IBW589791 HSA589791 HIE589791 GYI589791 GOM589791 GEQ589791 FUU589791 FKY589791 FBC589791 ERG589791 EHK589791 DXO589791 DNS589791 DDW589791 CUA589791 CKE589791 CAI589791 BQM589791 BGQ589791 AWU589791 AMY589791 ADC589791 TG589791 JK589791 C589791 WVW524255 WMA524255 WCE524255 VSI524255 VIM524255 UYQ524255 UOU524255 UEY524255 TVC524255 TLG524255 TBK524255 SRO524255 SHS524255 RXW524255 ROA524255 REE524255 QUI524255 QKM524255 QAQ524255 PQU524255 PGY524255 OXC524255 ONG524255 ODK524255 NTO524255 NJS524255 MZW524255 MQA524255 MGE524255 LWI524255 LMM524255 LCQ524255 KSU524255 KIY524255 JZC524255 JPG524255 JFK524255 IVO524255 ILS524255 IBW524255 HSA524255 HIE524255 GYI524255 GOM524255 GEQ524255 FUU524255 FKY524255 FBC524255 ERG524255 EHK524255 DXO524255 DNS524255 DDW524255 CUA524255 CKE524255 CAI524255 BQM524255 BGQ524255 AWU524255 AMY524255 ADC524255 TG524255 JK524255 C524255 WVW458719 WMA458719 WCE458719 VSI458719 VIM458719 UYQ458719 UOU458719 UEY458719 TVC458719 TLG458719 TBK458719 SRO458719 SHS458719 RXW458719 ROA458719 REE458719 QUI458719 QKM458719 QAQ458719 PQU458719 PGY458719 OXC458719 ONG458719 ODK458719 NTO458719 NJS458719 MZW458719 MQA458719 MGE458719 LWI458719 LMM458719 LCQ458719 KSU458719 KIY458719 JZC458719 JPG458719 JFK458719 IVO458719 ILS458719 IBW458719 HSA458719 HIE458719 GYI458719 GOM458719 GEQ458719 FUU458719 FKY458719 FBC458719 ERG458719 EHK458719 DXO458719 DNS458719 DDW458719 CUA458719 CKE458719 CAI458719 BQM458719 BGQ458719 AWU458719 AMY458719 ADC458719 TG458719 JK458719 C458719 WVW393183 WMA393183 WCE393183 VSI393183 VIM393183 UYQ393183 UOU393183 UEY393183 TVC393183 TLG393183 TBK393183 SRO393183 SHS393183 RXW393183 ROA393183 REE393183 QUI393183 QKM393183 QAQ393183 PQU393183 PGY393183 OXC393183 ONG393183 ODK393183 NTO393183 NJS393183 MZW393183 MQA393183 MGE393183 LWI393183 LMM393183 LCQ393183 KSU393183 KIY393183 JZC393183 JPG393183 JFK393183 IVO393183 ILS393183 IBW393183 HSA393183 HIE393183 GYI393183 GOM393183 GEQ393183 FUU393183 FKY393183 FBC393183 ERG393183 EHK393183 DXO393183 DNS393183 DDW393183 CUA393183 CKE393183 CAI393183 BQM393183 BGQ393183 AWU393183 AMY393183 ADC393183 TG393183 JK393183 C393183 WVW327647 WMA327647 WCE327647 VSI327647 VIM327647 UYQ327647 UOU327647 UEY327647 TVC327647 TLG327647 TBK327647 SRO327647 SHS327647 RXW327647 ROA327647 REE327647 QUI327647 QKM327647 QAQ327647 PQU327647 PGY327647 OXC327647 ONG327647 ODK327647 NTO327647 NJS327647 MZW327647 MQA327647 MGE327647 LWI327647 LMM327647 LCQ327647 KSU327647 KIY327647 JZC327647 JPG327647 JFK327647 IVO327647 ILS327647 IBW327647 HSA327647 HIE327647 GYI327647 GOM327647 GEQ327647 FUU327647 FKY327647 FBC327647 ERG327647 EHK327647 DXO327647 DNS327647 DDW327647 CUA327647 CKE327647 CAI327647 BQM327647 BGQ327647 AWU327647 AMY327647 ADC327647 TG327647 JK327647 C327647 WVW262111 WMA262111 WCE262111 VSI262111 VIM262111 UYQ262111 UOU262111 UEY262111 TVC262111 TLG262111 TBK262111 SRO262111 SHS262111 RXW262111 ROA262111 REE262111 QUI262111 QKM262111 QAQ262111 PQU262111 PGY262111 OXC262111 ONG262111 ODK262111 NTO262111 NJS262111 MZW262111 MQA262111 MGE262111 LWI262111 LMM262111 LCQ262111 KSU262111 KIY262111 JZC262111 JPG262111 JFK262111 IVO262111 ILS262111 IBW262111 HSA262111 HIE262111 GYI262111 GOM262111 GEQ262111 FUU262111 FKY262111 FBC262111 ERG262111 EHK262111 DXO262111 DNS262111 DDW262111 CUA262111 CKE262111 CAI262111 BQM262111 BGQ262111 AWU262111 AMY262111 ADC262111 TG262111 JK262111 C262111 WVW196575 WMA196575 WCE196575 VSI196575 VIM196575 UYQ196575 UOU196575 UEY196575 TVC196575 TLG196575 TBK196575 SRO196575 SHS196575 RXW196575 ROA196575 REE196575 QUI196575 QKM196575 QAQ196575 PQU196575 PGY196575 OXC196575 ONG196575 ODK196575 NTO196575 NJS196575 MZW196575 MQA196575 MGE196575 LWI196575 LMM196575 LCQ196575 KSU196575 KIY196575 JZC196575 JPG196575 JFK196575 IVO196575 ILS196575 IBW196575 HSA196575 HIE196575 GYI196575 GOM196575 GEQ196575 FUU196575 FKY196575 FBC196575 ERG196575 EHK196575 DXO196575 DNS196575 DDW196575 CUA196575 CKE196575 CAI196575 BQM196575 BGQ196575 AWU196575 AMY196575 ADC196575 TG196575 JK196575 C196575 WVW131039 WMA131039 WCE131039 VSI131039 VIM131039 UYQ131039 UOU131039 UEY131039 TVC131039 TLG131039 TBK131039 SRO131039 SHS131039 RXW131039 ROA131039 REE131039 QUI131039 QKM131039 QAQ131039 PQU131039 PGY131039 OXC131039 ONG131039 ODK131039 NTO131039 NJS131039 MZW131039 MQA131039 MGE131039 LWI131039 LMM131039 LCQ131039 KSU131039 KIY131039 JZC131039 JPG131039 JFK131039 IVO131039 ILS131039 IBW131039 HSA131039 HIE131039 GYI131039 GOM131039 GEQ131039 FUU131039 FKY131039 FBC131039 ERG131039 EHK131039 DXO131039 DNS131039 DDW131039 CUA131039 CKE131039 CAI131039 BQM131039 BGQ131039 AWU131039 AMY131039 ADC131039 TG131039 JK131039 C131039 WVW65503 WMA65503 WCE65503 VSI65503 VIM65503 UYQ65503 UOU65503 UEY65503 TVC65503 TLG65503 TBK65503 SRO65503 SHS65503 RXW65503 ROA65503 REE65503 QUI65503 QKM65503 QAQ65503 PQU65503 PGY65503 OXC65503 ONG65503 ODK65503 NTO65503 NJS65503 MZW65503 MQA65503 MGE65503 LWI65503 LMM65503 LCQ65503 KSU65503 KIY65503 JZC65503 JPG65503 JFK65503 IVO65503 ILS65503 IBW65503 HSA65503 HIE65503 GYI65503 GOM65503 GEQ65503 FUU65503 FKY65503 FBC65503 ERG65503 EHK65503 DXO65503 DNS65503 DDW65503 CUA65503 CKE65503 CAI65503 BQM65503 BGQ65503 AWU65503 AMY65503 ADC65503 TG65503 JK65503">
      <formula1>#REF!</formula1>
    </dataValidation>
  </dataValidations>
  <pageMargins left="0" right="0" top="0" bottom="0" header="0" footer="0"/>
  <pageSetup paperSize="5" scale="16"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AD119"/>
  <sheetViews>
    <sheetView showGridLines="0" topLeftCell="B1" zoomScale="85" zoomScaleNormal="85" workbookViewId="0">
      <pane xSplit="2" ySplit="2" topLeftCell="D3" activePane="bottomRight" state="frozen"/>
      <selection activeCell="S28" sqref="S28"/>
      <selection pane="topRight" activeCell="S28" sqref="S28"/>
      <selection pane="bottomLeft" activeCell="S28" sqref="S28"/>
      <selection pane="bottomRight" activeCell="C2" sqref="C2:P41"/>
    </sheetView>
  </sheetViews>
  <sheetFormatPr defaultRowHeight="12.75" outlineLevelRow="2"/>
  <cols>
    <col min="1" max="2" width="1.85546875" style="15" customWidth="1"/>
    <col min="3" max="3" width="59.5703125" style="184" customWidth="1"/>
    <col min="4" max="8" width="9.5703125" style="25" customWidth="1"/>
    <col min="9" max="9" width="9" style="25" customWidth="1"/>
    <col min="10" max="15" width="9.5703125" style="25" customWidth="1"/>
    <col min="16" max="20" width="9.140625" style="16" customWidth="1"/>
    <col min="21" max="21" width="9.140625" style="16"/>
    <col min="22" max="22" width="64.140625" bestFit="1" customWidth="1"/>
    <col min="28" max="30" width="9.140625" style="16"/>
    <col min="31" max="16384" width="9.140625" style="15"/>
  </cols>
  <sheetData>
    <row r="1" spans="1:29" s="14" customFormat="1" ht="12.75" customHeight="1" thickBot="1">
      <c r="A1" s="15"/>
      <c r="B1" s="15"/>
      <c r="C1" s="97"/>
      <c r="D1" s="25"/>
      <c r="E1" s="25"/>
      <c r="F1" s="25"/>
      <c r="G1" s="25"/>
      <c r="H1" s="25"/>
      <c r="I1" s="25"/>
      <c r="J1" s="25"/>
      <c r="K1" s="25"/>
      <c r="L1" s="25"/>
      <c r="M1" s="25"/>
      <c r="N1" s="25"/>
      <c r="O1" s="25"/>
      <c r="P1" s="16"/>
      <c r="Q1" s="16"/>
      <c r="R1" s="16"/>
      <c r="S1" s="16"/>
      <c r="T1" s="16"/>
      <c r="U1" s="16"/>
      <c r="V1"/>
      <c r="W1"/>
      <c r="X1"/>
      <c r="Y1"/>
      <c r="Z1"/>
      <c r="AA1"/>
      <c r="AB1" s="16"/>
      <c r="AC1" s="16"/>
    </row>
    <row r="2" spans="1:29" s="18" customFormat="1" ht="12.75" customHeight="1">
      <c r="A2" s="17"/>
      <c r="B2" s="39"/>
      <c r="C2" s="262" t="s">
        <v>268</v>
      </c>
      <c r="D2" s="271">
        <v>2013</v>
      </c>
      <c r="E2" s="271">
        <v>2014</v>
      </c>
      <c r="F2" s="271">
        <v>2015</v>
      </c>
      <c r="G2" s="271">
        <v>2016</v>
      </c>
      <c r="H2" s="271">
        <v>2017</v>
      </c>
      <c r="I2" s="271" t="s">
        <v>4</v>
      </c>
      <c r="J2" s="271" t="s">
        <v>5</v>
      </c>
      <c r="K2" s="271" t="s">
        <v>6</v>
      </c>
      <c r="L2" s="271" t="s">
        <v>58</v>
      </c>
      <c r="M2" s="271" t="s">
        <v>222</v>
      </c>
      <c r="N2" s="271" t="s">
        <v>223</v>
      </c>
      <c r="O2" s="271" t="s">
        <v>232</v>
      </c>
      <c r="P2" s="271" t="s">
        <v>233</v>
      </c>
      <c r="Q2" s="17"/>
      <c r="R2" s="17"/>
      <c r="S2" s="17"/>
      <c r="T2" s="17"/>
      <c r="U2" s="17"/>
      <c r="V2"/>
      <c r="W2"/>
      <c r="X2"/>
      <c r="Y2"/>
      <c r="Z2"/>
      <c r="AA2"/>
      <c r="AB2" s="17"/>
      <c r="AC2" s="17"/>
    </row>
    <row r="3" spans="1:29" s="253" customFormat="1" ht="12.75" customHeight="1">
      <c r="A3" s="260"/>
      <c r="B3" s="260"/>
      <c r="C3" s="269" t="s">
        <v>267</v>
      </c>
      <c r="D3" s="259"/>
      <c r="E3" s="259"/>
      <c r="F3" s="259"/>
      <c r="G3" s="259"/>
      <c r="H3" s="259"/>
      <c r="I3" s="259"/>
      <c r="J3" s="259"/>
      <c r="K3" s="259"/>
      <c r="L3" s="259"/>
      <c r="M3" s="259"/>
      <c r="N3" s="259"/>
      <c r="O3" s="259"/>
      <c r="P3" s="259"/>
      <c r="Q3" s="260"/>
      <c r="R3" s="260"/>
      <c r="S3" s="260"/>
      <c r="T3" s="260"/>
      <c r="U3" s="260"/>
      <c r="V3"/>
      <c r="W3"/>
      <c r="X3"/>
      <c r="Y3"/>
      <c r="Z3"/>
      <c r="AA3"/>
      <c r="AB3" s="260"/>
      <c r="AC3" s="260"/>
    </row>
    <row r="4" spans="1:29" s="14" customFormat="1" ht="12.75" customHeight="1">
      <c r="A4" s="16"/>
      <c r="B4" s="16"/>
      <c r="C4" s="177" t="s">
        <v>26</v>
      </c>
      <c r="D4" s="25"/>
      <c r="E4" s="25"/>
      <c r="F4" s="25"/>
      <c r="G4" s="25"/>
      <c r="H4" s="25"/>
      <c r="I4" s="36"/>
      <c r="J4" s="36"/>
      <c r="K4" s="36"/>
      <c r="L4" s="36"/>
      <c r="M4" s="36"/>
      <c r="N4" s="36"/>
      <c r="O4" s="36"/>
      <c r="P4" s="36"/>
      <c r="Q4" s="16"/>
      <c r="R4" s="16"/>
      <c r="S4" s="16"/>
      <c r="T4" s="16"/>
      <c r="U4" s="16"/>
      <c r="V4"/>
      <c r="W4"/>
      <c r="X4"/>
      <c r="Y4"/>
      <c r="Z4"/>
      <c r="AA4"/>
      <c r="AB4" s="16"/>
      <c r="AC4" s="16"/>
    </row>
    <row r="5" spans="1:29" s="14" customFormat="1" ht="12.75" customHeight="1">
      <c r="A5" s="15"/>
      <c r="B5" s="15"/>
      <c r="C5" s="178" t="s">
        <v>275</v>
      </c>
      <c r="D5" s="337">
        <v>256.96499999999997</v>
      </c>
      <c r="E5" s="337">
        <v>73.551000000000002</v>
      </c>
      <c r="F5" s="337">
        <v>80.304000000000002</v>
      </c>
      <c r="G5" s="337">
        <v>122.42</v>
      </c>
      <c r="H5" s="337">
        <v>599.69100000000003</v>
      </c>
      <c r="I5" s="337">
        <f>CF!H38</f>
        <v>652.58157807206476</v>
      </c>
      <c r="J5" s="337">
        <f>CF!I38</f>
        <v>690.5460962458875</v>
      </c>
      <c r="K5" s="337">
        <f>CF!J38</f>
        <v>800.82356318360974</v>
      </c>
      <c r="L5" s="337">
        <f>CF!K38</f>
        <v>995.41876295470388</v>
      </c>
      <c r="M5" s="337">
        <f>CF!L38</f>
        <v>1493.8570629612768</v>
      </c>
      <c r="N5" s="337">
        <f>CF!M38</f>
        <v>1993.4670481147812</v>
      </c>
      <c r="O5" s="337">
        <f>CF!N38</f>
        <v>2148.207872120086</v>
      </c>
      <c r="P5" s="337">
        <f>CF!O38</f>
        <v>2709.8036615983565</v>
      </c>
      <c r="Q5" s="16"/>
      <c r="R5" s="16"/>
      <c r="S5" s="16"/>
      <c r="T5" s="16"/>
      <c r="U5" s="16"/>
      <c r="V5"/>
      <c r="W5"/>
      <c r="X5"/>
      <c r="Y5"/>
      <c r="Z5"/>
      <c r="AA5"/>
      <c r="AB5" s="16"/>
      <c r="AC5" s="16"/>
    </row>
    <row r="6" spans="1:29" s="14" customFormat="1" ht="12.75" customHeight="1">
      <c r="A6" s="15"/>
      <c r="B6" s="15"/>
      <c r="C6" s="178" t="s">
        <v>270</v>
      </c>
      <c r="D6" s="337">
        <v>0</v>
      </c>
      <c r="E6" s="337">
        <v>136.79300000000001</v>
      </c>
      <c r="F6" s="337">
        <v>112.187</v>
      </c>
      <c r="G6" s="337">
        <v>195.42500000000001</v>
      </c>
      <c r="H6" s="337">
        <v>479.36900000000003</v>
      </c>
      <c r="I6" s="337">
        <f>H6-CF!H21-CF!H22</f>
        <v>479.36900000000003</v>
      </c>
      <c r="J6" s="337">
        <f>I6-CF!I21-CF!I22</f>
        <v>479.36900000000003</v>
      </c>
      <c r="K6" s="337">
        <f>J6-CF!J21-CF!J22</f>
        <v>479.36900000000003</v>
      </c>
      <c r="L6" s="337">
        <f>K6-CF!K21-CF!K22</f>
        <v>479.36900000000003</v>
      </c>
      <c r="M6" s="337">
        <f>L6-CF!L21-CF!L22</f>
        <v>479.36900000000003</v>
      </c>
      <c r="N6" s="337">
        <f>M6-CF!M21-CF!M22</f>
        <v>479.36900000000003</v>
      </c>
      <c r="O6" s="337">
        <f>N6-CF!N21-CF!N22</f>
        <v>479.36900000000003</v>
      </c>
      <c r="P6" s="337">
        <f>O6-CF!O21-CF!O22</f>
        <v>479.36900000000003</v>
      </c>
      <c r="Q6" s="16"/>
      <c r="R6" s="16"/>
      <c r="S6" s="16"/>
      <c r="T6" s="16"/>
      <c r="U6" s="16"/>
      <c r="V6"/>
      <c r="W6"/>
      <c r="X6"/>
      <c r="Y6"/>
      <c r="Z6"/>
      <c r="AA6"/>
      <c r="AB6" s="16"/>
      <c r="AC6" s="16"/>
    </row>
    <row r="7" spans="1:29" s="14" customFormat="1" ht="12.75" customHeight="1">
      <c r="A7" s="15"/>
      <c r="B7" s="15"/>
      <c r="C7" s="178" t="s">
        <v>162</v>
      </c>
      <c r="D7" s="337">
        <v>3.53</v>
      </c>
      <c r="E7" s="337">
        <v>2.4159999999999999</v>
      </c>
      <c r="F7" s="337">
        <v>3.9769999999999999</v>
      </c>
      <c r="G7" s="337">
        <v>5.2279999999999998</v>
      </c>
      <c r="H7" s="337">
        <v>29.468</v>
      </c>
      <c r="I7" s="337">
        <f t="shared" ref="I7:P7" si="0">I63</f>
        <v>11.826636009359815</v>
      </c>
      <c r="J7" s="337">
        <f t="shared" si="0"/>
        <v>19.574606625440129</v>
      </c>
      <c r="K7" s="337">
        <f t="shared" si="0"/>
        <v>23.553159245253347</v>
      </c>
      <c r="L7" s="337">
        <f t="shared" si="0"/>
        <v>26.709402116631694</v>
      </c>
      <c r="M7" s="337">
        <f t="shared" si="0"/>
        <v>37.91709813812431</v>
      </c>
      <c r="N7" s="337">
        <f t="shared" si="0"/>
        <v>42.054917253325456</v>
      </c>
      <c r="O7" s="337">
        <f t="shared" si="0"/>
        <v>48.541425553200845</v>
      </c>
      <c r="P7" s="337">
        <f t="shared" si="0"/>
        <v>48.707025905599011</v>
      </c>
      <c r="Q7" s="16"/>
      <c r="R7" s="16"/>
      <c r="S7" s="16"/>
      <c r="T7" s="16"/>
      <c r="U7" s="16"/>
      <c r="V7"/>
      <c r="W7"/>
      <c r="X7"/>
      <c r="Y7"/>
      <c r="Z7"/>
      <c r="AA7"/>
      <c r="AB7" s="16"/>
      <c r="AC7" s="16"/>
    </row>
    <row r="8" spans="1:29" s="14" customFormat="1" ht="12.75" customHeight="1">
      <c r="A8" s="15"/>
      <c r="B8" s="15"/>
      <c r="C8" s="178" t="s">
        <v>297</v>
      </c>
      <c r="D8" s="337">
        <v>7.25</v>
      </c>
      <c r="E8" s="337">
        <v>0</v>
      </c>
      <c r="F8" s="337">
        <v>10.695</v>
      </c>
      <c r="G8" s="337">
        <v>10.695</v>
      </c>
      <c r="H8" s="337">
        <v>0</v>
      </c>
      <c r="I8" s="337">
        <f t="shared" ref="I8:P8" si="1">H8</f>
        <v>0</v>
      </c>
      <c r="J8" s="337">
        <f t="shared" si="1"/>
        <v>0</v>
      </c>
      <c r="K8" s="337">
        <f t="shared" si="1"/>
        <v>0</v>
      </c>
      <c r="L8" s="337">
        <f t="shared" si="1"/>
        <v>0</v>
      </c>
      <c r="M8" s="337">
        <f t="shared" si="1"/>
        <v>0</v>
      </c>
      <c r="N8" s="337">
        <f t="shared" si="1"/>
        <v>0</v>
      </c>
      <c r="O8" s="337">
        <f t="shared" si="1"/>
        <v>0</v>
      </c>
      <c r="P8" s="337">
        <f t="shared" si="1"/>
        <v>0</v>
      </c>
      <c r="Q8" s="16"/>
      <c r="R8" s="16"/>
      <c r="S8" s="16"/>
      <c r="T8" s="16"/>
      <c r="U8" s="16"/>
      <c r="V8"/>
      <c r="W8"/>
      <c r="X8"/>
      <c r="Y8"/>
      <c r="Z8"/>
      <c r="AA8"/>
      <c r="AB8" s="16"/>
      <c r="AC8" s="16"/>
    </row>
    <row r="9" spans="1:29" s="14" customFormat="1" ht="12.75" customHeight="1">
      <c r="A9" s="15"/>
      <c r="B9" s="15"/>
      <c r="C9" s="178" t="s">
        <v>382</v>
      </c>
      <c r="D9" s="337">
        <v>2.423</v>
      </c>
      <c r="E9" s="337">
        <v>2.7970000000000002</v>
      </c>
      <c r="F9" s="337">
        <v>3.109</v>
      </c>
      <c r="G9" s="337">
        <v>12.813000000000001</v>
      </c>
      <c r="H9" s="337">
        <v>83.605000000000004</v>
      </c>
      <c r="I9" s="337">
        <f t="shared" ref="I9:P9" si="2">I65</f>
        <v>14.04413026111478</v>
      </c>
      <c r="J9" s="337">
        <f t="shared" si="2"/>
        <v>20.485053445228044</v>
      </c>
      <c r="K9" s="337">
        <f t="shared" si="2"/>
        <v>25.025231698081683</v>
      </c>
      <c r="L9" s="337">
        <f t="shared" si="2"/>
        <v>30.525030990436218</v>
      </c>
      <c r="M9" s="337">
        <f t="shared" si="2"/>
        <v>43.493141981966119</v>
      </c>
      <c r="N9" s="337">
        <f t="shared" si="2"/>
        <v>48.42687441292022</v>
      </c>
      <c r="O9" s="337">
        <f t="shared" si="2"/>
        <v>55.896187000655516</v>
      </c>
      <c r="P9" s="337">
        <f t="shared" si="2"/>
        <v>56.08687831553825</v>
      </c>
      <c r="Q9" s="16"/>
      <c r="R9" s="16"/>
      <c r="S9" s="16"/>
      <c r="T9" s="16"/>
      <c r="U9" s="16"/>
      <c r="V9"/>
      <c r="W9"/>
      <c r="X9"/>
      <c r="Y9"/>
      <c r="Z9"/>
      <c r="AA9"/>
      <c r="AB9" s="16"/>
      <c r="AC9" s="16"/>
    </row>
    <row r="10" spans="1:29" s="14" customFormat="1" ht="12.75" customHeight="1">
      <c r="A10" s="15"/>
      <c r="B10" s="15"/>
      <c r="C10" s="273" t="s">
        <v>276</v>
      </c>
      <c r="D10" s="338">
        <f>3.061-D9</f>
        <v>0.6379999999999999</v>
      </c>
      <c r="E10" s="338">
        <f>35.036-E9</f>
        <v>32.239000000000004</v>
      </c>
      <c r="F10" s="338">
        <f>17.38-F9</f>
        <v>14.270999999999999</v>
      </c>
      <c r="G10" s="338">
        <v>26.895</v>
      </c>
      <c r="H10" s="338">
        <v>36.511000000000003</v>
      </c>
      <c r="I10" s="338">
        <f t="shared" ref="I10:P10" si="3">H10</f>
        <v>36.511000000000003</v>
      </c>
      <c r="J10" s="338">
        <f t="shared" si="3"/>
        <v>36.511000000000003</v>
      </c>
      <c r="K10" s="338">
        <f t="shared" si="3"/>
        <v>36.511000000000003</v>
      </c>
      <c r="L10" s="338">
        <f t="shared" si="3"/>
        <v>36.511000000000003</v>
      </c>
      <c r="M10" s="338">
        <f t="shared" si="3"/>
        <v>36.511000000000003</v>
      </c>
      <c r="N10" s="338">
        <f t="shared" si="3"/>
        <v>36.511000000000003</v>
      </c>
      <c r="O10" s="338">
        <f t="shared" si="3"/>
        <v>36.511000000000003</v>
      </c>
      <c r="P10" s="338">
        <f t="shared" si="3"/>
        <v>36.511000000000003</v>
      </c>
      <c r="Q10" s="16"/>
      <c r="R10" s="16"/>
      <c r="S10" s="16"/>
      <c r="T10" s="16"/>
      <c r="U10" s="16"/>
      <c r="V10"/>
      <c r="W10"/>
      <c r="X10"/>
      <c r="Y10"/>
      <c r="Z10"/>
      <c r="AA10"/>
      <c r="AB10" s="16"/>
      <c r="AC10" s="16"/>
    </row>
    <row r="11" spans="1:29" s="14" customFormat="1" ht="12.75" customHeight="1">
      <c r="A11" s="16"/>
      <c r="B11" s="16"/>
      <c r="C11" s="180" t="s">
        <v>27</v>
      </c>
      <c r="D11" s="248">
        <f t="shared" ref="D11:P11" si="4">SUM(D5:D10)</f>
        <v>270.80599999999993</v>
      </c>
      <c r="E11" s="248">
        <f t="shared" si="4"/>
        <v>247.79599999999999</v>
      </c>
      <c r="F11" s="248">
        <f t="shared" si="4"/>
        <v>224.54299999999998</v>
      </c>
      <c r="G11" s="248">
        <f t="shared" si="4"/>
        <v>373.476</v>
      </c>
      <c r="H11" s="248">
        <f t="shared" si="4"/>
        <v>1228.644</v>
      </c>
      <c r="I11" s="248">
        <f t="shared" si="4"/>
        <v>1194.3323443425393</v>
      </c>
      <c r="J11" s="248">
        <f t="shared" si="4"/>
        <v>1246.4857563165556</v>
      </c>
      <c r="K11" s="248">
        <f t="shared" si="4"/>
        <v>1365.2819541269446</v>
      </c>
      <c r="L11" s="248">
        <f t="shared" si="4"/>
        <v>1568.5331960617716</v>
      </c>
      <c r="M11" s="248">
        <f t="shared" si="4"/>
        <v>2091.1473030813672</v>
      </c>
      <c r="N11" s="248">
        <f t="shared" si="4"/>
        <v>2599.828839781027</v>
      </c>
      <c r="O11" s="248">
        <f t="shared" si="4"/>
        <v>2768.5254846739426</v>
      </c>
      <c r="P11" s="248">
        <f t="shared" si="4"/>
        <v>3330.477565819494</v>
      </c>
      <c r="Q11" s="16"/>
      <c r="R11" s="16"/>
      <c r="S11" s="16"/>
      <c r="T11" s="16"/>
      <c r="U11" s="16"/>
      <c r="V11"/>
      <c r="W11"/>
      <c r="X11"/>
      <c r="Y11"/>
      <c r="Z11"/>
      <c r="AA11"/>
      <c r="AB11" s="16"/>
      <c r="AC11" s="16"/>
    </row>
    <row r="12" spans="1:29" s="14" customFormat="1" ht="12.75" customHeight="1">
      <c r="A12" s="16"/>
      <c r="B12" s="16"/>
      <c r="C12" s="180"/>
      <c r="D12" s="203"/>
      <c r="E12" s="203"/>
      <c r="F12" s="203"/>
      <c r="G12" s="203"/>
      <c r="H12" s="203"/>
      <c r="I12" s="203"/>
      <c r="J12" s="203"/>
      <c r="K12" s="203"/>
      <c r="L12" s="203"/>
      <c r="M12" s="203"/>
      <c r="N12" s="203"/>
      <c r="O12" s="203"/>
      <c r="P12" s="203"/>
      <c r="Q12" s="16"/>
      <c r="R12" s="16"/>
      <c r="S12" s="16"/>
      <c r="T12" s="16"/>
      <c r="U12" s="16"/>
      <c r="V12"/>
      <c r="W12"/>
      <c r="X12"/>
      <c r="Y12"/>
      <c r="Z12"/>
      <c r="AA12"/>
      <c r="AB12" s="16"/>
      <c r="AC12" s="16"/>
    </row>
    <row r="13" spans="1:29" s="14" customFormat="1" hidden="1" outlineLevel="1">
      <c r="A13" s="15"/>
      <c r="B13" s="15"/>
      <c r="C13" s="178" t="s">
        <v>197</v>
      </c>
      <c r="D13" s="337">
        <v>0</v>
      </c>
      <c r="E13" s="337">
        <v>0</v>
      </c>
      <c r="F13" s="337">
        <v>0</v>
      </c>
      <c r="G13" s="337">
        <f>F13</f>
        <v>0</v>
      </c>
      <c r="H13" s="337">
        <f t="shared" ref="H13:P13" si="5">G13</f>
        <v>0</v>
      </c>
      <c r="I13" s="337">
        <f t="shared" si="5"/>
        <v>0</v>
      </c>
      <c r="J13" s="337">
        <f t="shared" si="5"/>
        <v>0</v>
      </c>
      <c r="K13" s="337">
        <f t="shared" si="5"/>
        <v>0</v>
      </c>
      <c r="L13" s="337">
        <f t="shared" si="5"/>
        <v>0</v>
      </c>
      <c r="M13" s="337">
        <f t="shared" si="5"/>
        <v>0</v>
      </c>
      <c r="N13" s="337">
        <f t="shared" si="5"/>
        <v>0</v>
      </c>
      <c r="O13" s="337">
        <f t="shared" si="5"/>
        <v>0</v>
      </c>
      <c r="P13" s="337">
        <f t="shared" si="5"/>
        <v>0</v>
      </c>
      <c r="Q13" s="16"/>
      <c r="R13" s="16"/>
      <c r="S13" s="16"/>
      <c r="T13" s="16"/>
      <c r="U13" s="16"/>
      <c r="V13"/>
      <c r="W13"/>
      <c r="X13"/>
      <c r="Y13"/>
      <c r="Z13"/>
      <c r="AA13"/>
      <c r="AB13" s="16"/>
      <c r="AC13" s="16"/>
    </row>
    <row r="14" spans="1:29" s="14" customFormat="1" collapsed="1">
      <c r="A14" s="15"/>
      <c r="B14" s="15"/>
      <c r="C14" s="178" t="s">
        <v>271</v>
      </c>
      <c r="D14" s="337">
        <v>0.64700000000000002</v>
      </c>
      <c r="E14" s="337">
        <v>0.78200000000000003</v>
      </c>
      <c r="F14" s="337">
        <v>0.78300000000000003</v>
      </c>
      <c r="G14" s="337">
        <v>0.78400000000000003</v>
      </c>
      <c r="H14" s="337">
        <v>0</v>
      </c>
      <c r="I14" s="337">
        <f t="shared" ref="I14:P14" si="6">H14</f>
        <v>0</v>
      </c>
      <c r="J14" s="337">
        <f t="shared" si="6"/>
        <v>0</v>
      </c>
      <c r="K14" s="337">
        <f t="shared" si="6"/>
        <v>0</v>
      </c>
      <c r="L14" s="337">
        <f t="shared" si="6"/>
        <v>0</v>
      </c>
      <c r="M14" s="337">
        <f t="shared" si="6"/>
        <v>0</v>
      </c>
      <c r="N14" s="337">
        <f t="shared" si="6"/>
        <v>0</v>
      </c>
      <c r="O14" s="337">
        <f t="shared" si="6"/>
        <v>0</v>
      </c>
      <c r="P14" s="337">
        <f t="shared" si="6"/>
        <v>0</v>
      </c>
      <c r="Q14" s="16"/>
      <c r="R14" s="16"/>
      <c r="S14" s="16"/>
      <c r="T14" s="16"/>
      <c r="U14" s="16"/>
      <c r="V14"/>
      <c r="W14"/>
      <c r="X14"/>
      <c r="Y14"/>
      <c r="Z14"/>
      <c r="AA14"/>
      <c r="AB14" s="16"/>
      <c r="AC14" s="16"/>
    </row>
    <row r="15" spans="1:29" s="14" customFormat="1" ht="12.75" customHeight="1">
      <c r="A15" s="15"/>
      <c r="B15" s="15"/>
      <c r="C15" s="178" t="s">
        <v>272</v>
      </c>
      <c r="D15" s="337">
        <v>0</v>
      </c>
      <c r="E15" s="337">
        <v>0</v>
      </c>
      <c r="F15" s="337">
        <v>0</v>
      </c>
      <c r="G15" s="337">
        <f t="shared" ref="G15:P15" si="7">F15</f>
        <v>0</v>
      </c>
      <c r="H15" s="337">
        <v>0</v>
      </c>
      <c r="I15" s="337">
        <f t="shared" si="7"/>
        <v>0</v>
      </c>
      <c r="J15" s="337">
        <f t="shared" si="7"/>
        <v>0</v>
      </c>
      <c r="K15" s="337">
        <f t="shared" si="7"/>
        <v>0</v>
      </c>
      <c r="L15" s="337">
        <f t="shared" si="7"/>
        <v>0</v>
      </c>
      <c r="M15" s="337">
        <f t="shared" si="7"/>
        <v>0</v>
      </c>
      <c r="N15" s="337">
        <f t="shared" si="7"/>
        <v>0</v>
      </c>
      <c r="O15" s="337">
        <f t="shared" si="7"/>
        <v>0</v>
      </c>
      <c r="P15" s="337">
        <f t="shared" si="7"/>
        <v>0</v>
      </c>
      <c r="Q15" s="16"/>
      <c r="R15" s="16"/>
      <c r="S15" s="16"/>
      <c r="T15" s="16"/>
      <c r="U15" s="16"/>
      <c r="V15"/>
      <c r="W15"/>
      <c r="X15"/>
      <c r="Y15"/>
      <c r="Z15"/>
      <c r="AA15"/>
      <c r="AB15" s="16"/>
      <c r="AC15" s="16"/>
    </row>
    <row r="16" spans="1:29" s="14" customFormat="1" ht="12.75" customHeight="1">
      <c r="A16" s="15"/>
      <c r="B16" s="15"/>
      <c r="C16" s="178" t="s">
        <v>273</v>
      </c>
      <c r="D16" s="337">
        <v>15.048999999999999</v>
      </c>
      <c r="E16" s="337">
        <v>38.500999999999998</v>
      </c>
      <c r="F16" s="337">
        <v>37.344000000000001</v>
      </c>
      <c r="G16" s="337">
        <v>37.801000000000002</v>
      </c>
      <c r="H16" s="337">
        <v>43.155999999999999</v>
      </c>
      <c r="I16" s="337">
        <f>H16-CF!H20-CF!H8</f>
        <v>49.590798655003297</v>
      </c>
      <c r="J16" s="337">
        <f>I16-CF!I20-CF!I8</f>
        <v>55.187882563928078</v>
      </c>
      <c r="K16" s="337">
        <f>J16-CF!J20-CF!J8</f>
        <v>61.370761506979051</v>
      </c>
      <c r="L16" s="337">
        <f>K16-CF!K20-CF!K8</f>
        <v>67.929494782118311</v>
      </c>
      <c r="M16" s="337">
        <f>L16-CF!L20-CF!L8</f>
        <v>73.54612929733716</v>
      </c>
      <c r="N16" s="337">
        <f>M16-CF!M20-CF!M8</f>
        <v>78.940258060381638</v>
      </c>
      <c r="O16" s="337">
        <f>N16-CF!N20-CF!N8</f>
        <v>86.264016586155904</v>
      </c>
      <c r="P16" s="337">
        <f>O16-CF!O20-CF!O8</f>
        <v>95.812465721597832</v>
      </c>
      <c r="Q16" s="16"/>
      <c r="R16" s="16"/>
      <c r="S16" s="16"/>
      <c r="T16" s="16"/>
      <c r="U16" s="16"/>
      <c r="V16"/>
      <c r="W16"/>
      <c r="X16"/>
      <c r="Y16"/>
      <c r="Z16"/>
      <c r="AA16"/>
      <c r="AB16" s="16"/>
      <c r="AC16" s="16"/>
    </row>
    <row r="17" spans="1:29" s="14" customFormat="1" ht="12.75" customHeight="1">
      <c r="A17" s="15"/>
      <c r="B17" s="15"/>
      <c r="C17" s="179" t="s">
        <v>274</v>
      </c>
      <c r="D17" s="338">
        <f>5.042+0.025</f>
        <v>5.0670000000000002</v>
      </c>
      <c r="E17" s="338">
        <f>5.891+2.063</f>
        <v>7.9540000000000006</v>
      </c>
      <c r="F17" s="338">
        <f>4.47+6.642</f>
        <v>11.112</v>
      </c>
      <c r="G17" s="338">
        <f>8.076+3.967</f>
        <v>12.043000000000001</v>
      </c>
      <c r="H17" s="338">
        <f>14.355+21.809</f>
        <v>36.164000000000001</v>
      </c>
      <c r="I17" s="338">
        <f t="shared" ref="I17:P17" si="8">I69</f>
        <v>13.304965510529792</v>
      </c>
      <c r="J17" s="338">
        <f t="shared" si="8"/>
        <v>13.20147888692474</v>
      </c>
      <c r="K17" s="338">
        <f t="shared" si="8"/>
        <v>13.543066566020673</v>
      </c>
      <c r="L17" s="338">
        <f t="shared" si="8"/>
        <v>16.788767044739917</v>
      </c>
      <c r="M17" s="338">
        <f t="shared" si="8"/>
        <v>23.419384144135602</v>
      </c>
      <c r="N17" s="338">
        <f t="shared" si="8"/>
        <v>25.487828638379064</v>
      </c>
      <c r="O17" s="338">
        <f t="shared" si="8"/>
        <v>27.948093500327758</v>
      </c>
      <c r="P17" s="338">
        <f t="shared" si="8"/>
        <v>26.567468675781274</v>
      </c>
      <c r="Q17" s="16"/>
      <c r="R17" s="16"/>
      <c r="S17" s="16"/>
      <c r="T17" s="16"/>
      <c r="U17" s="16"/>
      <c r="V17"/>
      <c r="W17"/>
      <c r="X17"/>
      <c r="Y17"/>
      <c r="Z17"/>
      <c r="AA17"/>
      <c r="AB17" s="16"/>
      <c r="AC17" s="16"/>
    </row>
    <row r="18" spans="1:29" s="14" customFormat="1" ht="12.75" customHeight="1">
      <c r="A18" s="16"/>
      <c r="B18" s="16"/>
      <c r="C18" s="267" t="s">
        <v>29</v>
      </c>
      <c r="D18" s="261">
        <f t="shared" ref="D18:P18" si="9">SUM(D11:D17)</f>
        <v>291.5689999999999</v>
      </c>
      <c r="E18" s="261">
        <f t="shared" si="9"/>
        <v>295.03300000000002</v>
      </c>
      <c r="F18" s="261">
        <f t="shared" si="9"/>
        <v>273.78199999999998</v>
      </c>
      <c r="G18" s="261">
        <f t="shared" si="9"/>
        <v>424.10399999999998</v>
      </c>
      <c r="H18" s="261">
        <f t="shared" si="9"/>
        <v>1307.9639999999999</v>
      </c>
      <c r="I18" s="261">
        <f t="shared" si="9"/>
        <v>1257.2281085080724</v>
      </c>
      <c r="J18" s="261">
        <f t="shared" si="9"/>
        <v>1314.8751177674083</v>
      </c>
      <c r="K18" s="261">
        <f t="shared" si="9"/>
        <v>1440.1957821999442</v>
      </c>
      <c r="L18" s="261">
        <f t="shared" si="9"/>
        <v>1653.2514578886298</v>
      </c>
      <c r="M18" s="261">
        <f t="shared" si="9"/>
        <v>2188.1128165228401</v>
      </c>
      <c r="N18" s="261">
        <f t="shared" si="9"/>
        <v>2704.2569264797876</v>
      </c>
      <c r="O18" s="261">
        <f t="shared" si="9"/>
        <v>2882.737594760426</v>
      </c>
      <c r="P18" s="247">
        <f t="shared" si="9"/>
        <v>3452.8575002168727</v>
      </c>
      <c r="Q18" s="16"/>
      <c r="R18" s="16"/>
      <c r="S18" s="16"/>
      <c r="T18" s="16"/>
      <c r="U18" s="16"/>
      <c r="V18"/>
      <c r="W18"/>
      <c r="X18"/>
      <c r="Y18"/>
      <c r="Z18"/>
      <c r="AA18"/>
      <c r="AB18" s="16"/>
      <c r="AC18" s="16"/>
    </row>
    <row r="19" spans="1:29" s="14" customFormat="1" ht="9" customHeight="1">
      <c r="A19" s="16"/>
      <c r="B19" s="16"/>
      <c r="C19" s="181"/>
      <c r="D19" s="203"/>
      <c r="E19" s="203"/>
      <c r="F19" s="203"/>
      <c r="G19" s="203"/>
      <c r="H19" s="203"/>
      <c r="I19" s="203"/>
      <c r="J19" s="203"/>
      <c r="K19" s="203"/>
      <c r="L19" s="203"/>
      <c r="M19" s="203"/>
      <c r="N19" s="203"/>
      <c r="O19" s="203"/>
      <c r="P19" s="203"/>
      <c r="Q19" s="16"/>
      <c r="R19" s="16"/>
      <c r="S19" s="16"/>
      <c r="T19" s="16"/>
      <c r="U19" s="16"/>
      <c r="V19"/>
      <c r="W19"/>
      <c r="X19"/>
      <c r="Y19"/>
      <c r="Z19"/>
      <c r="AA19"/>
      <c r="AB19" s="16"/>
      <c r="AC19" s="16"/>
    </row>
    <row r="20" spans="1:29" s="14" customFormat="1" ht="12.75" customHeight="1">
      <c r="A20" s="16"/>
      <c r="B20" s="16"/>
      <c r="C20" s="181" t="s">
        <v>30</v>
      </c>
      <c r="D20" s="203"/>
      <c r="E20" s="203"/>
      <c r="F20" s="203"/>
      <c r="G20" s="203"/>
      <c r="H20" s="203"/>
      <c r="I20" s="203"/>
      <c r="J20" s="203"/>
      <c r="K20" s="203"/>
      <c r="L20" s="203"/>
      <c r="M20" s="203"/>
      <c r="N20" s="203"/>
      <c r="O20" s="203"/>
      <c r="P20" s="203"/>
      <c r="Q20" s="16"/>
      <c r="R20" s="16"/>
      <c r="S20" s="16"/>
      <c r="T20" s="16"/>
      <c r="U20" s="16"/>
      <c r="V20"/>
      <c r="W20"/>
      <c r="X20"/>
      <c r="Y20"/>
      <c r="Z20"/>
      <c r="AA20"/>
      <c r="AB20" s="16"/>
      <c r="AC20" s="16"/>
    </row>
    <row r="21" spans="1:29" s="14" customFormat="1" ht="12.75" customHeight="1">
      <c r="A21" s="19"/>
      <c r="B21" s="19"/>
      <c r="C21" s="178" t="s">
        <v>166</v>
      </c>
      <c r="D21" s="337">
        <v>8.08</v>
      </c>
      <c r="E21" s="337">
        <v>12.407999999999999</v>
      </c>
      <c r="F21" s="337">
        <v>20.234000000000002</v>
      </c>
      <c r="G21" s="337">
        <v>29.69</v>
      </c>
      <c r="H21" s="337">
        <v>8.4670000000000005</v>
      </c>
      <c r="I21" s="337">
        <f t="shared" ref="I21:P21" si="10">I71</f>
        <v>29.184100931204512</v>
      </c>
      <c r="J21" s="337">
        <f t="shared" si="10"/>
        <v>31.696583949233204</v>
      </c>
      <c r="K21" s="337">
        <f t="shared" si="10"/>
        <v>32.289823679167142</v>
      </c>
      <c r="L21" s="337">
        <f t="shared" si="10"/>
        <v>33.274773168214601</v>
      </c>
      <c r="M21" s="337">
        <f t="shared" si="10"/>
        <v>33.862287031380447</v>
      </c>
      <c r="N21" s="337">
        <f t="shared" si="10"/>
        <v>34.503862636156192</v>
      </c>
      <c r="O21" s="337">
        <f t="shared" si="10"/>
        <v>32.578355256967797</v>
      </c>
      <c r="P21" s="337">
        <f t="shared" si="10"/>
        <v>30.508872380961549</v>
      </c>
      <c r="Q21" s="20"/>
      <c r="R21" s="20"/>
      <c r="S21" s="20"/>
      <c r="T21" s="20"/>
      <c r="U21" s="20"/>
      <c r="V21"/>
      <c r="W21"/>
      <c r="X21"/>
      <c r="Y21"/>
      <c r="Z21"/>
      <c r="AA21"/>
      <c r="AB21" s="20"/>
      <c r="AC21" s="20"/>
    </row>
    <row r="22" spans="1:29" s="14" customFormat="1" ht="12.75" customHeight="1">
      <c r="A22" s="19"/>
      <c r="B22" s="19"/>
      <c r="C22" s="178" t="s">
        <v>124</v>
      </c>
      <c r="D22" s="337">
        <v>14.601000000000001</v>
      </c>
      <c r="E22" s="337">
        <v>17.366</v>
      </c>
      <c r="F22" s="337">
        <v>29.053000000000001</v>
      </c>
      <c r="G22" s="337">
        <v>31.015999999999998</v>
      </c>
      <c r="H22" s="337">
        <v>68.981999999999999</v>
      </c>
      <c r="I22" s="337">
        <f t="shared" ref="I22:P22" si="11">I75</f>
        <v>32.426778812449463</v>
      </c>
      <c r="J22" s="337">
        <f t="shared" si="11"/>
        <v>33.677620446060281</v>
      </c>
      <c r="K22" s="337">
        <f t="shared" si="11"/>
        <v>34.596239656250503</v>
      </c>
      <c r="L22" s="337">
        <f t="shared" si="11"/>
        <v>35.83437110423111</v>
      </c>
      <c r="M22" s="337">
        <f t="shared" si="11"/>
        <v>39.751380428142262</v>
      </c>
      <c r="N22" s="337">
        <f t="shared" si="11"/>
        <v>40.777292206366411</v>
      </c>
      <c r="O22" s="337">
        <f t="shared" si="11"/>
        <v>38.783756258295</v>
      </c>
      <c r="P22" s="337">
        <f t="shared" si="11"/>
        <v>36.61064685715386</v>
      </c>
      <c r="Q22" s="20"/>
      <c r="R22" s="20"/>
      <c r="S22" s="20"/>
      <c r="T22" s="20"/>
      <c r="U22" s="20"/>
      <c r="V22"/>
      <c r="W22"/>
      <c r="X22"/>
      <c r="Y22"/>
      <c r="Z22"/>
      <c r="AA22"/>
      <c r="AB22" s="20"/>
      <c r="AC22" s="20"/>
    </row>
    <row r="23" spans="1:29" s="14" customFormat="1" ht="12.75" customHeight="1">
      <c r="A23" s="19"/>
      <c r="B23" s="19"/>
      <c r="C23" s="178" t="s">
        <v>277</v>
      </c>
      <c r="D23" s="337">
        <v>9.1999999999999998E-2</v>
      </c>
      <c r="E23" s="337">
        <f>0.098+2.492</f>
        <v>2.59</v>
      </c>
      <c r="F23" s="337">
        <f>5.936+2.493</f>
        <v>8.4290000000000003</v>
      </c>
      <c r="G23" s="337">
        <v>10.108000000000001</v>
      </c>
      <c r="H23" s="337">
        <v>6.1749999999999998</v>
      </c>
      <c r="I23" s="337">
        <f t="shared" ref="I23:P23" si="12">H23</f>
        <v>6.1749999999999998</v>
      </c>
      <c r="J23" s="337">
        <f t="shared" si="12"/>
        <v>6.1749999999999998</v>
      </c>
      <c r="K23" s="337">
        <f t="shared" si="12"/>
        <v>6.1749999999999998</v>
      </c>
      <c r="L23" s="337">
        <f t="shared" si="12"/>
        <v>6.1749999999999998</v>
      </c>
      <c r="M23" s="337">
        <f t="shared" si="12"/>
        <v>6.1749999999999998</v>
      </c>
      <c r="N23" s="337">
        <f t="shared" si="12"/>
        <v>6.1749999999999998</v>
      </c>
      <c r="O23" s="337">
        <f t="shared" si="12"/>
        <v>6.1749999999999998</v>
      </c>
      <c r="P23" s="337">
        <f t="shared" si="12"/>
        <v>6.1749999999999998</v>
      </c>
      <c r="Q23" s="20"/>
      <c r="R23" s="20"/>
      <c r="S23" s="20"/>
      <c r="T23" s="20"/>
      <c r="U23" s="20"/>
      <c r="V23"/>
      <c r="W23"/>
      <c r="X23"/>
      <c r="Y23"/>
      <c r="Z23"/>
      <c r="AA23"/>
      <c r="AB23" s="20"/>
      <c r="AC23" s="20"/>
    </row>
    <row r="24" spans="1:29" s="14" customFormat="1" ht="12.75" customHeight="1">
      <c r="A24" s="15"/>
      <c r="B24" s="15"/>
      <c r="C24" s="178" t="s">
        <v>168</v>
      </c>
      <c r="D24" s="337">
        <v>3.2989999999999999</v>
      </c>
      <c r="E24" s="337">
        <v>3.3180000000000001</v>
      </c>
      <c r="F24" s="337">
        <v>3.3029999999999999</v>
      </c>
      <c r="G24" s="337">
        <v>3.3029999999999999</v>
      </c>
      <c r="H24" s="337">
        <v>3.3159999999999998</v>
      </c>
      <c r="I24" s="337">
        <f t="shared" ref="I24:P24" si="13">H24</f>
        <v>3.3159999999999998</v>
      </c>
      <c r="J24" s="337">
        <f t="shared" si="13"/>
        <v>3.3159999999999998</v>
      </c>
      <c r="K24" s="337">
        <f t="shared" si="13"/>
        <v>3.3159999999999998</v>
      </c>
      <c r="L24" s="337">
        <f t="shared" si="13"/>
        <v>3.3159999999999998</v>
      </c>
      <c r="M24" s="337">
        <f t="shared" si="13"/>
        <v>3.3159999999999998</v>
      </c>
      <c r="N24" s="337">
        <f t="shared" si="13"/>
        <v>3.3159999999999998</v>
      </c>
      <c r="O24" s="337">
        <f t="shared" si="13"/>
        <v>3.3159999999999998</v>
      </c>
      <c r="P24" s="337">
        <f t="shared" si="13"/>
        <v>3.3159999999999998</v>
      </c>
      <c r="Q24" s="16"/>
      <c r="R24" s="16"/>
      <c r="S24" s="16"/>
      <c r="T24" s="16"/>
      <c r="U24" s="16"/>
      <c r="V24"/>
      <c r="W24"/>
      <c r="X24"/>
      <c r="Y24"/>
      <c r="Z24"/>
      <c r="AA24"/>
      <c r="AB24" s="16"/>
      <c r="AC24" s="16"/>
    </row>
    <row r="25" spans="1:29" s="14" customFormat="1" ht="12.75" customHeight="1">
      <c r="A25" s="15"/>
      <c r="B25" s="15"/>
      <c r="C25" s="273" t="s">
        <v>278</v>
      </c>
      <c r="D25" s="338">
        <f>9.006+0.888</f>
        <v>9.8940000000000001</v>
      </c>
      <c r="E25" s="338">
        <v>1.1850000000000001</v>
      </c>
      <c r="F25" s="338">
        <v>1.2749999999999999</v>
      </c>
      <c r="G25" s="338">
        <v>1.3049999999999999</v>
      </c>
      <c r="H25" s="338">
        <v>1.3919999999999999</v>
      </c>
      <c r="I25" s="338">
        <f t="shared" ref="I25:P25" si="14">H25</f>
        <v>1.3919999999999999</v>
      </c>
      <c r="J25" s="338">
        <f t="shared" si="14"/>
        <v>1.3919999999999999</v>
      </c>
      <c r="K25" s="338">
        <f t="shared" si="14"/>
        <v>1.3919999999999999</v>
      </c>
      <c r="L25" s="338">
        <f t="shared" si="14"/>
        <v>1.3919999999999999</v>
      </c>
      <c r="M25" s="338">
        <f t="shared" si="14"/>
        <v>1.3919999999999999</v>
      </c>
      <c r="N25" s="338">
        <f t="shared" si="14"/>
        <v>1.3919999999999999</v>
      </c>
      <c r="O25" s="338">
        <f t="shared" si="14"/>
        <v>1.3919999999999999</v>
      </c>
      <c r="P25" s="338">
        <f t="shared" si="14"/>
        <v>1.3919999999999999</v>
      </c>
      <c r="Q25" s="16"/>
      <c r="R25" s="16"/>
      <c r="S25" s="16"/>
      <c r="T25" s="16"/>
      <c r="U25" s="16"/>
      <c r="V25"/>
      <c r="W25"/>
      <c r="X25"/>
      <c r="Y25"/>
      <c r="Z25"/>
      <c r="AA25"/>
      <c r="AB25" s="16"/>
      <c r="AC25" s="16"/>
    </row>
    <row r="26" spans="1:29" s="14" customFormat="1" ht="12.75" customHeight="1">
      <c r="A26" s="16"/>
      <c r="B26" s="16"/>
      <c r="C26" s="180" t="s">
        <v>31</v>
      </c>
      <c r="D26" s="248">
        <f>SUM(D21:D25)</f>
        <v>35.966000000000001</v>
      </c>
      <c r="E26" s="248">
        <f>SUM(E21:E25)</f>
        <v>36.867000000000004</v>
      </c>
      <c r="F26" s="248">
        <f>SUM(F21:F25)</f>
        <v>62.294000000000004</v>
      </c>
      <c r="G26" s="248">
        <f t="shared" ref="G26:P26" si="15">SUM(G21:G25)</f>
        <v>75.422000000000011</v>
      </c>
      <c r="H26" s="248">
        <f t="shared" si="15"/>
        <v>88.331999999999994</v>
      </c>
      <c r="I26" s="248">
        <f t="shared" si="15"/>
        <v>72.493879743653977</v>
      </c>
      <c r="J26" s="248">
        <f t="shared" si="15"/>
        <v>76.257204395293485</v>
      </c>
      <c r="K26" s="248">
        <f t="shared" si="15"/>
        <v>77.769063335417641</v>
      </c>
      <c r="L26" s="248">
        <f t="shared" si="15"/>
        <v>79.992144272445714</v>
      </c>
      <c r="M26" s="248">
        <f t="shared" si="15"/>
        <v>84.496667459522698</v>
      </c>
      <c r="N26" s="248">
        <f t="shared" si="15"/>
        <v>86.164154842522592</v>
      </c>
      <c r="O26" s="248">
        <f t="shared" si="15"/>
        <v>82.245111515262792</v>
      </c>
      <c r="P26" s="248">
        <f t="shared" si="15"/>
        <v>78.002519238115397</v>
      </c>
      <c r="Q26" s="16"/>
      <c r="R26" s="16"/>
      <c r="S26" s="16"/>
      <c r="T26" s="16"/>
      <c r="U26" s="16"/>
      <c r="V26"/>
      <c r="W26"/>
      <c r="X26"/>
      <c r="Y26"/>
      <c r="Z26"/>
      <c r="AA26"/>
      <c r="AB26" s="16"/>
      <c r="AC26" s="16"/>
    </row>
    <row r="27" spans="1:29" s="14" customFormat="1" ht="12.75" customHeight="1">
      <c r="A27" s="16"/>
      <c r="B27" s="16"/>
      <c r="C27" s="181"/>
      <c r="D27" s="203"/>
      <c r="E27" s="203"/>
      <c r="F27" s="203"/>
      <c r="G27" s="203"/>
      <c r="H27" s="203"/>
      <c r="I27" s="203"/>
      <c r="J27" s="203"/>
      <c r="K27" s="203"/>
      <c r="L27" s="203"/>
      <c r="M27" s="203"/>
      <c r="N27" s="203"/>
      <c r="O27" s="203"/>
      <c r="P27" s="203"/>
      <c r="Q27" s="16"/>
      <c r="R27" s="16"/>
      <c r="S27" s="16"/>
      <c r="T27" s="16"/>
      <c r="U27" s="16"/>
      <c r="V27"/>
      <c r="W27"/>
      <c r="X27"/>
      <c r="Y27"/>
      <c r="Z27"/>
      <c r="AA27"/>
      <c r="AB27" s="16"/>
      <c r="AC27" s="16"/>
    </row>
    <row r="28" spans="1:29" s="14" customFormat="1" ht="12.75" customHeight="1">
      <c r="A28" s="16"/>
      <c r="B28" s="16"/>
      <c r="C28" s="178" t="s">
        <v>280</v>
      </c>
      <c r="D28" s="337">
        <v>0</v>
      </c>
      <c r="E28" s="337">
        <v>0</v>
      </c>
      <c r="F28" s="337">
        <v>0</v>
      </c>
      <c r="G28" s="337">
        <v>0</v>
      </c>
      <c r="H28" s="337">
        <v>0</v>
      </c>
      <c r="I28" s="337">
        <f t="shared" ref="I28:P28" si="16">I73</f>
        <v>4.1393226032759358</v>
      </c>
      <c r="J28" s="337">
        <f t="shared" si="16"/>
        <v>5.2350692137804993</v>
      </c>
      <c r="K28" s="337">
        <f t="shared" si="16"/>
        <v>7.6547767547073367</v>
      </c>
      <c r="L28" s="337">
        <f t="shared" si="16"/>
        <v>11.065323734033129</v>
      </c>
      <c r="M28" s="337">
        <f t="shared" si="16"/>
        <v>17.843340300293793</v>
      </c>
      <c r="N28" s="337">
        <f t="shared" si="16"/>
        <v>22.301850058581685</v>
      </c>
      <c r="O28" s="337">
        <f t="shared" si="16"/>
        <v>27.948093500327758</v>
      </c>
      <c r="P28" s="337">
        <f t="shared" si="16"/>
        <v>30.257394880750898</v>
      </c>
      <c r="Q28" s="16"/>
      <c r="R28" s="16"/>
      <c r="S28" s="16"/>
      <c r="T28" s="16"/>
      <c r="U28" s="16"/>
      <c r="V28"/>
      <c r="W28"/>
      <c r="X28"/>
      <c r="Y28"/>
      <c r="Z28"/>
      <c r="AA28"/>
      <c r="AB28" s="16"/>
      <c r="AC28" s="16"/>
    </row>
    <row r="29" spans="1:29" s="14" customFormat="1" ht="12.75" customHeight="1">
      <c r="A29" s="16"/>
      <c r="B29" s="16"/>
      <c r="C29" s="178" t="s">
        <v>279</v>
      </c>
      <c r="D29" s="337">
        <v>1.5760000000000001</v>
      </c>
      <c r="E29" s="337">
        <v>1.476</v>
      </c>
      <c r="F29" s="337">
        <v>14.968999999999999</v>
      </c>
      <c r="G29" s="337">
        <v>6.0419999999999998</v>
      </c>
      <c r="H29" s="337">
        <v>424.87599999999998</v>
      </c>
      <c r="I29" s="337">
        <f>H29+CF!H30</f>
        <v>424.87599999999998</v>
      </c>
      <c r="J29" s="337">
        <f>I29+CF!I30</f>
        <v>424.87599999999998</v>
      </c>
      <c r="K29" s="337">
        <f>J29+CF!J30</f>
        <v>424.87599999999998</v>
      </c>
      <c r="L29" s="337">
        <f>K29+CF!K30</f>
        <v>384.87599999999998</v>
      </c>
      <c r="M29" s="337">
        <f>L29+CF!L30</f>
        <v>384.87599999999998</v>
      </c>
      <c r="N29" s="337">
        <f>M29+CF!M30</f>
        <v>384.87599999999998</v>
      </c>
      <c r="O29" s="337">
        <f>N29+CF!N30</f>
        <v>0</v>
      </c>
      <c r="P29" s="337">
        <f>O29+CF!O30</f>
        <v>0</v>
      </c>
      <c r="Q29" s="16"/>
      <c r="R29" s="16"/>
      <c r="S29" s="16"/>
      <c r="T29" s="16"/>
      <c r="U29" s="16"/>
      <c r="V29"/>
      <c r="W29"/>
      <c r="X29"/>
      <c r="Y29"/>
      <c r="Z29"/>
      <c r="AA29"/>
      <c r="AB29" s="16"/>
      <c r="AC29" s="16"/>
    </row>
    <row r="30" spans="1:29" s="14" customFormat="1" ht="12.75" customHeight="1">
      <c r="A30" s="16"/>
      <c r="B30" s="16"/>
      <c r="C30" s="178" t="s">
        <v>281</v>
      </c>
      <c r="D30" s="338">
        <v>6.835</v>
      </c>
      <c r="E30" s="338">
        <f>2.262+6.775</f>
        <v>9.0370000000000008</v>
      </c>
      <c r="F30" s="338">
        <v>6.1719999999999997</v>
      </c>
      <c r="G30" s="338">
        <v>5.9489999999999998</v>
      </c>
      <c r="H30" s="338">
        <v>5.5389999999999997</v>
      </c>
      <c r="I30" s="338">
        <f t="shared" ref="I30:P30" si="17">I77</f>
        <v>1.9456067287469676</v>
      </c>
      <c r="J30" s="338">
        <f t="shared" si="17"/>
        <v>2.3772437961924902</v>
      </c>
      <c r="K30" s="338">
        <f t="shared" si="17"/>
        <v>2.7676991725000404</v>
      </c>
      <c r="L30" s="338">
        <f t="shared" si="17"/>
        <v>3.0715175232198093</v>
      </c>
      <c r="M30" s="338">
        <f t="shared" si="17"/>
        <v>3.5334560380570896</v>
      </c>
      <c r="N30" s="338">
        <f t="shared" si="17"/>
        <v>3.7640577421261301</v>
      </c>
      <c r="O30" s="338">
        <f t="shared" si="17"/>
        <v>3.7232406007963199</v>
      </c>
      <c r="P30" s="338">
        <f t="shared" si="17"/>
        <v>3.6610646857153859</v>
      </c>
      <c r="Q30" s="16"/>
      <c r="R30" s="16"/>
      <c r="S30" s="16"/>
      <c r="T30" s="16"/>
      <c r="U30" s="16"/>
      <c r="V30"/>
      <c r="W30"/>
      <c r="X30"/>
      <c r="Y30"/>
      <c r="Z30"/>
      <c r="AA30"/>
      <c r="AB30" s="16"/>
      <c r="AC30" s="16"/>
    </row>
    <row r="31" spans="1:29" s="14" customFormat="1" ht="12.75" customHeight="1">
      <c r="A31" s="16"/>
      <c r="B31" s="16"/>
      <c r="C31" s="267" t="s">
        <v>214</v>
      </c>
      <c r="D31" s="261">
        <f t="shared" ref="D31:P31" si="18">SUM(D26:D30)</f>
        <v>44.377000000000002</v>
      </c>
      <c r="E31" s="261">
        <f t="shared" si="18"/>
        <v>47.38</v>
      </c>
      <c r="F31" s="261">
        <f t="shared" si="18"/>
        <v>83.435000000000002</v>
      </c>
      <c r="G31" s="261">
        <f t="shared" si="18"/>
        <v>87.413000000000011</v>
      </c>
      <c r="H31" s="261">
        <f t="shared" si="18"/>
        <v>518.74699999999996</v>
      </c>
      <c r="I31" s="261">
        <f t="shared" si="18"/>
        <v>503.45480907567685</v>
      </c>
      <c r="J31" s="261">
        <f t="shared" si="18"/>
        <v>508.74551740526647</v>
      </c>
      <c r="K31" s="261">
        <f t="shared" si="18"/>
        <v>513.06753926262502</v>
      </c>
      <c r="L31" s="261">
        <f t="shared" si="18"/>
        <v>479.00498552969867</v>
      </c>
      <c r="M31" s="261">
        <f t="shared" si="18"/>
        <v>490.74946379787355</v>
      </c>
      <c r="N31" s="261">
        <f t="shared" si="18"/>
        <v>497.10606264323036</v>
      </c>
      <c r="O31" s="261">
        <f t="shared" si="18"/>
        <v>113.91644561638687</v>
      </c>
      <c r="P31" s="247">
        <f t="shared" si="18"/>
        <v>111.92097880458168</v>
      </c>
      <c r="Q31" s="16"/>
      <c r="R31" s="16"/>
      <c r="S31" s="16"/>
      <c r="T31" s="16"/>
      <c r="U31" s="16"/>
      <c r="V31"/>
      <c r="W31"/>
      <c r="X31"/>
      <c r="Y31"/>
      <c r="Z31"/>
      <c r="AA31"/>
      <c r="AB31" s="16"/>
      <c r="AC31" s="16"/>
    </row>
    <row r="32" spans="1:29" s="14" customFormat="1" ht="9" customHeight="1">
      <c r="A32" s="16"/>
      <c r="B32" s="16"/>
      <c r="C32" s="181"/>
      <c r="D32" s="203"/>
      <c r="E32" s="203"/>
      <c r="F32" s="203"/>
      <c r="G32" s="203"/>
      <c r="H32" s="203"/>
      <c r="I32" s="203"/>
      <c r="J32" s="203"/>
      <c r="K32" s="203"/>
      <c r="L32" s="203"/>
      <c r="M32" s="203"/>
      <c r="N32" s="203"/>
      <c r="O32" s="203"/>
      <c r="P32" s="203"/>
      <c r="Q32" s="16"/>
      <c r="R32" s="16"/>
      <c r="S32" s="16"/>
      <c r="T32" s="16"/>
      <c r="U32" s="16"/>
      <c r="V32"/>
      <c r="W32"/>
      <c r="X32"/>
      <c r="Y32"/>
      <c r="Z32"/>
      <c r="AA32"/>
      <c r="AB32" s="16"/>
      <c r="AC32" s="16"/>
    </row>
    <row r="33" spans="1:29" s="14" customFormat="1" ht="12.75" customHeight="1">
      <c r="A33" s="15"/>
      <c r="B33" s="15"/>
      <c r="C33" s="182" t="s">
        <v>32</v>
      </c>
      <c r="D33" s="202"/>
      <c r="E33" s="202"/>
      <c r="F33" s="202"/>
      <c r="G33" s="202"/>
      <c r="H33" s="202"/>
      <c r="I33" s="202"/>
      <c r="J33" s="202"/>
      <c r="K33" s="202"/>
      <c r="L33" s="202"/>
      <c r="M33" s="202"/>
      <c r="N33" s="202"/>
      <c r="O33" s="202"/>
      <c r="P33" s="202"/>
      <c r="Q33" s="16"/>
      <c r="R33" s="16"/>
      <c r="S33" s="16"/>
      <c r="T33" s="16"/>
      <c r="U33" s="16"/>
      <c r="V33"/>
      <c r="W33"/>
      <c r="X33"/>
      <c r="Y33"/>
      <c r="Z33"/>
      <c r="AA33"/>
      <c r="AB33" s="16"/>
      <c r="AC33" s="16"/>
    </row>
    <row r="34" spans="1:29" s="14" customFormat="1" ht="12.75" hidden="1" customHeight="1" outlineLevel="1">
      <c r="A34" s="15"/>
      <c r="B34" s="15"/>
      <c r="C34" s="178" t="s">
        <v>282</v>
      </c>
      <c r="D34" s="337">
        <v>0</v>
      </c>
      <c r="E34" s="337">
        <v>0</v>
      </c>
      <c r="F34" s="337">
        <f>E34</f>
        <v>0</v>
      </c>
      <c r="G34" s="337">
        <f>F34</f>
        <v>0</v>
      </c>
      <c r="H34" s="337">
        <f t="shared" ref="H34" si="19">G34</f>
        <v>0</v>
      </c>
      <c r="I34" s="337">
        <f t="shared" ref="I34:I35" si="20">H34</f>
        <v>0</v>
      </c>
      <c r="J34" s="337">
        <f t="shared" ref="J34:J35" si="21">I34</f>
        <v>0</v>
      </c>
      <c r="K34" s="337">
        <f t="shared" ref="K34:K35" si="22">J34</f>
        <v>0</v>
      </c>
      <c r="L34" s="337">
        <f t="shared" ref="L34:L35" si="23">K34</f>
        <v>0</v>
      </c>
      <c r="M34" s="337">
        <f t="shared" ref="M34:M35" si="24">L34</f>
        <v>0</v>
      </c>
      <c r="N34" s="337">
        <f t="shared" ref="N34:N35" si="25">M34</f>
        <v>0</v>
      </c>
      <c r="O34" s="337">
        <f t="shared" ref="O34:O35" si="26">N34</f>
        <v>0</v>
      </c>
      <c r="P34" s="337">
        <f t="shared" ref="P34:P35" si="27">O34</f>
        <v>0</v>
      </c>
      <c r="Q34" s="16"/>
      <c r="R34" s="16"/>
      <c r="S34" s="16"/>
      <c r="T34" s="16"/>
      <c r="U34" s="16"/>
      <c r="V34"/>
      <c r="W34"/>
      <c r="X34"/>
      <c r="Y34"/>
      <c r="Z34"/>
      <c r="AA34"/>
      <c r="AB34" s="16"/>
      <c r="AC34" s="16"/>
    </row>
    <row r="35" spans="1:29" s="14" customFormat="1" ht="12.75" customHeight="1" collapsed="1">
      <c r="A35" s="15"/>
      <c r="B35" s="15"/>
      <c r="C35" s="178" t="s">
        <v>283</v>
      </c>
      <c r="D35" s="337">
        <v>4.0000000000000001E-3</v>
      </c>
      <c r="E35" s="337">
        <v>4.0000000000000001E-3</v>
      </c>
      <c r="F35" s="337">
        <v>5.0000000000000001E-3</v>
      </c>
      <c r="G35" s="337">
        <v>5.0000000000000001E-3</v>
      </c>
      <c r="H35" s="337">
        <v>6.0000000000000001E-3</v>
      </c>
      <c r="I35" s="337">
        <f t="shared" si="20"/>
        <v>6.0000000000000001E-3</v>
      </c>
      <c r="J35" s="337">
        <f t="shared" si="21"/>
        <v>6.0000000000000001E-3</v>
      </c>
      <c r="K35" s="337">
        <f t="shared" si="22"/>
        <v>6.0000000000000001E-3</v>
      </c>
      <c r="L35" s="337">
        <f t="shared" si="23"/>
        <v>6.0000000000000001E-3</v>
      </c>
      <c r="M35" s="337">
        <f t="shared" si="24"/>
        <v>6.0000000000000001E-3</v>
      </c>
      <c r="N35" s="337">
        <f t="shared" si="25"/>
        <v>6.0000000000000001E-3</v>
      </c>
      <c r="O35" s="337">
        <f t="shared" si="26"/>
        <v>6.0000000000000001E-3</v>
      </c>
      <c r="P35" s="337">
        <f t="shared" si="27"/>
        <v>6.0000000000000001E-3</v>
      </c>
      <c r="Q35" s="16"/>
      <c r="R35" s="16"/>
      <c r="S35" s="16"/>
      <c r="T35" s="16"/>
      <c r="U35" s="16"/>
      <c r="V35"/>
      <c r="W35"/>
      <c r="X35"/>
      <c r="Y35"/>
      <c r="Z35"/>
      <c r="AA35"/>
      <c r="AB35" s="16"/>
      <c r="AC35" s="16"/>
    </row>
    <row r="36" spans="1:29" s="14" customFormat="1" ht="12.75" customHeight="1">
      <c r="A36" s="15"/>
      <c r="B36" s="15"/>
      <c r="C36" s="178" t="s">
        <v>284</v>
      </c>
      <c r="D36" s="337">
        <v>790.42399999999998</v>
      </c>
      <c r="E36" s="337">
        <v>926.76900000000001</v>
      </c>
      <c r="F36" s="337">
        <v>1089.508</v>
      </c>
      <c r="G36" s="337">
        <v>1503.126</v>
      </c>
      <c r="H36" s="337">
        <v>2006.598</v>
      </c>
      <c r="I36" s="337">
        <f>H36+CF!H78+CF!H9</f>
        <v>2038.3471673228946</v>
      </c>
      <c r="J36" s="337">
        <f>I36+CF!I78+CF!I9</f>
        <v>2070.0138848337392</v>
      </c>
      <c r="K36" s="337">
        <f>J36+CF!J78+CF!J9</f>
        <v>2101.6034462130269</v>
      </c>
      <c r="L36" s="337">
        <f>K36+CF!K78+CF!K9</f>
        <v>2133.1208052611169</v>
      </c>
      <c r="M36" s="337">
        <f>L36+CF!L78+CF!L9</f>
        <v>2164.5705977201983</v>
      </c>
      <c r="N36" s="337">
        <f>M36+CF!M78+CF!M9</f>
        <v>2195.957161695178</v>
      </c>
      <c r="O36" s="337">
        <f>N36+CF!N78+CF!N9</f>
        <v>2227.2845567634472</v>
      </c>
      <c r="P36" s="337">
        <f>O36+CF!O78+CF!O9</f>
        <v>2258.5565818577079</v>
      </c>
      <c r="Q36" s="285"/>
      <c r="R36" s="285"/>
      <c r="S36" s="16"/>
      <c r="T36" s="16"/>
      <c r="U36" s="16"/>
      <c r="V36"/>
      <c r="W36"/>
      <c r="X36"/>
      <c r="Y36"/>
      <c r="Z36"/>
      <c r="AA36"/>
      <c r="AB36" s="16"/>
      <c r="AC36" s="16"/>
    </row>
    <row r="37" spans="1:29" s="14" customFormat="1" ht="12.75" customHeight="1">
      <c r="A37" s="15"/>
      <c r="B37" s="15"/>
      <c r="C37" s="178" t="s">
        <v>285</v>
      </c>
      <c r="D37" s="337">
        <v>0</v>
      </c>
      <c r="E37" s="337">
        <v>-9.5000000000000001E-2</v>
      </c>
      <c r="F37" s="337">
        <v>-0.111</v>
      </c>
      <c r="G37" s="337">
        <v>-0.12</v>
      </c>
      <c r="H37" s="337">
        <v>-0.379</v>
      </c>
      <c r="I37" s="337">
        <f t="shared" ref="I37" si="28">H37</f>
        <v>-0.379</v>
      </c>
      <c r="J37" s="337">
        <f t="shared" ref="J37" si="29">I37</f>
        <v>-0.379</v>
      </c>
      <c r="K37" s="337">
        <f t="shared" ref="K37" si="30">J37</f>
        <v>-0.379</v>
      </c>
      <c r="L37" s="337">
        <f t="shared" ref="L37" si="31">K37</f>
        <v>-0.379</v>
      </c>
      <c r="M37" s="337">
        <f t="shared" ref="M37" si="32">L37</f>
        <v>-0.379</v>
      </c>
      <c r="N37" s="337">
        <f t="shared" ref="N37" si="33">M37</f>
        <v>-0.379</v>
      </c>
      <c r="O37" s="337">
        <f t="shared" ref="O37" si="34">N37</f>
        <v>-0.379</v>
      </c>
      <c r="P37" s="337">
        <f t="shared" ref="P37" si="35">O37</f>
        <v>-0.379</v>
      </c>
      <c r="Q37" s="16"/>
      <c r="R37" s="16"/>
      <c r="S37" s="16"/>
      <c r="T37" s="16"/>
      <c r="U37" s="16"/>
      <c r="V37"/>
      <c r="W37"/>
      <c r="X37"/>
      <c r="Y37"/>
      <c r="Z37"/>
      <c r="AA37"/>
      <c r="AB37" s="16"/>
      <c r="AC37" s="16"/>
    </row>
    <row r="38" spans="1:29" s="14" customFormat="1" ht="12.75" customHeight="1">
      <c r="A38" s="15"/>
      <c r="B38" s="15"/>
      <c r="C38" s="178" t="s">
        <v>299</v>
      </c>
      <c r="D38" s="338">
        <v>-543.23599999999999</v>
      </c>
      <c r="E38" s="338">
        <v>-679.02499999999998</v>
      </c>
      <c r="F38" s="338">
        <v>-899.05499999999995</v>
      </c>
      <c r="G38" s="338">
        <v>-1166.32</v>
      </c>
      <c r="H38" s="338">
        <v>-1217.008</v>
      </c>
      <c r="I38" s="338">
        <f>H38+CF!H6</f>
        <v>-1284.2008678904992</v>
      </c>
      <c r="J38" s="338">
        <f>I38+CF!I6</f>
        <v>-1263.5112844715975</v>
      </c>
      <c r="K38" s="338">
        <f>J38+CF!J6</f>
        <v>-1174.1022032757078</v>
      </c>
      <c r="L38" s="338">
        <f>K38+CF!K6</f>
        <v>-958.50133290218582</v>
      </c>
      <c r="M38" s="338">
        <f>L38+CF!L6</f>
        <v>-466.8342449952321</v>
      </c>
      <c r="N38" s="338">
        <f>M38+CF!M6</f>
        <v>11.566702141378869</v>
      </c>
      <c r="O38" s="338">
        <f>N38+CF!N6</f>
        <v>541.90959238059145</v>
      </c>
      <c r="P38" s="338">
        <f>O38+CF!O6</f>
        <v>1082.752939554583</v>
      </c>
      <c r="Q38" s="16"/>
      <c r="R38" s="16"/>
      <c r="S38" s="16"/>
      <c r="T38" s="16"/>
      <c r="U38" s="16"/>
      <c r="V38"/>
      <c r="W38"/>
      <c r="X38"/>
      <c r="Y38"/>
      <c r="Z38"/>
      <c r="AA38"/>
      <c r="AB38" s="16"/>
      <c r="AC38" s="16"/>
    </row>
    <row r="39" spans="1:29" s="14" customFormat="1" ht="12.75" customHeight="1">
      <c r="A39" s="16"/>
      <c r="B39" s="16"/>
      <c r="C39" s="267" t="s">
        <v>286</v>
      </c>
      <c r="D39" s="261">
        <f t="shared" ref="D39:F39" si="36">SUM(D34:D38)</f>
        <v>247.19200000000001</v>
      </c>
      <c r="E39" s="261">
        <f t="shared" si="36"/>
        <v>247.65300000000002</v>
      </c>
      <c r="F39" s="261">
        <f t="shared" si="36"/>
        <v>190.34700000000009</v>
      </c>
      <c r="G39" s="261">
        <f t="shared" ref="G39:P39" si="37">SUM(G34:G38)</f>
        <v>336.69100000000026</v>
      </c>
      <c r="H39" s="261">
        <f t="shared" si="37"/>
        <v>789.2170000000001</v>
      </c>
      <c r="I39" s="261">
        <f t="shared" si="37"/>
        <v>753.77329943239556</v>
      </c>
      <c r="J39" s="261">
        <f t="shared" si="37"/>
        <v>806.12960036214167</v>
      </c>
      <c r="K39" s="261">
        <f t="shared" si="37"/>
        <v>927.1282429373191</v>
      </c>
      <c r="L39" s="261">
        <f t="shared" si="37"/>
        <v>1174.246472358931</v>
      </c>
      <c r="M39" s="261">
        <f t="shared" si="37"/>
        <v>1697.3633527249663</v>
      </c>
      <c r="N39" s="261">
        <f t="shared" si="37"/>
        <v>2207.1508638365567</v>
      </c>
      <c r="O39" s="261">
        <f t="shared" si="37"/>
        <v>2768.8211491440388</v>
      </c>
      <c r="P39" s="247">
        <f t="shared" si="37"/>
        <v>3340.9365214122909</v>
      </c>
      <c r="Q39" s="16"/>
      <c r="R39" s="16"/>
      <c r="S39" s="16"/>
      <c r="T39" s="16"/>
      <c r="U39" s="16"/>
      <c r="V39"/>
      <c r="W39"/>
      <c r="X39"/>
      <c r="Y39"/>
      <c r="Z39"/>
      <c r="AA39"/>
      <c r="AB39" s="16"/>
      <c r="AC39" s="16"/>
    </row>
    <row r="40" spans="1:29" s="14" customFormat="1" ht="9" customHeight="1">
      <c r="A40" s="21"/>
      <c r="B40" s="21"/>
      <c r="C40" s="183"/>
      <c r="D40" s="204"/>
      <c r="E40" s="204"/>
      <c r="F40" s="204"/>
      <c r="G40" s="204"/>
      <c r="H40" s="204"/>
      <c r="I40" s="204"/>
      <c r="J40" s="204"/>
      <c r="K40" s="204"/>
      <c r="L40" s="204"/>
      <c r="M40" s="204"/>
      <c r="N40" s="204"/>
      <c r="O40" s="204"/>
      <c r="P40" s="204"/>
      <c r="Q40" s="22"/>
      <c r="R40" s="22"/>
      <c r="S40" s="22"/>
      <c r="T40" s="22"/>
      <c r="U40" s="22"/>
      <c r="V40"/>
      <c r="W40"/>
      <c r="X40"/>
      <c r="Y40"/>
      <c r="Z40"/>
      <c r="AA40"/>
      <c r="AB40" s="22"/>
      <c r="AC40" s="22"/>
    </row>
    <row r="41" spans="1:29" s="14" customFormat="1" ht="12.75" customHeight="1" thickBot="1">
      <c r="A41" s="20"/>
      <c r="B41" s="20"/>
      <c r="C41" s="246" t="s">
        <v>287</v>
      </c>
      <c r="D41" s="245">
        <f t="shared" ref="D41" si="38">D31+D39</f>
        <v>291.56900000000002</v>
      </c>
      <c r="E41" s="245">
        <f t="shared" ref="E41:F41" si="39">E31+E39</f>
        <v>295.03300000000002</v>
      </c>
      <c r="F41" s="245">
        <f t="shared" si="39"/>
        <v>273.7820000000001</v>
      </c>
      <c r="G41" s="245">
        <f t="shared" ref="G41:P41" si="40">G31+G39</f>
        <v>424.10400000000027</v>
      </c>
      <c r="H41" s="245">
        <f t="shared" si="40"/>
        <v>1307.9639999999999</v>
      </c>
      <c r="I41" s="245">
        <f t="shared" si="40"/>
        <v>1257.2281085080724</v>
      </c>
      <c r="J41" s="245">
        <f t="shared" si="40"/>
        <v>1314.875117767408</v>
      </c>
      <c r="K41" s="245">
        <f t="shared" si="40"/>
        <v>1440.195782199944</v>
      </c>
      <c r="L41" s="245">
        <f t="shared" si="40"/>
        <v>1653.2514578886296</v>
      </c>
      <c r="M41" s="245">
        <f t="shared" si="40"/>
        <v>2188.1128165228397</v>
      </c>
      <c r="N41" s="245">
        <f t="shared" si="40"/>
        <v>2704.2569264797871</v>
      </c>
      <c r="O41" s="245">
        <f t="shared" si="40"/>
        <v>2882.7375947604255</v>
      </c>
      <c r="P41" s="264">
        <f t="shared" si="40"/>
        <v>3452.8575002168727</v>
      </c>
      <c r="Q41" s="20"/>
      <c r="R41" s="20"/>
      <c r="S41" s="20"/>
      <c r="T41" s="20"/>
      <c r="U41" s="20"/>
      <c r="V41"/>
      <c r="W41"/>
      <c r="X41"/>
      <c r="Y41"/>
      <c r="Z41"/>
      <c r="AA41"/>
      <c r="AB41" s="20"/>
      <c r="AC41" s="20"/>
    </row>
    <row r="42" spans="1:29" s="14" customFormat="1" ht="12.75" customHeight="1" thickTop="1">
      <c r="A42" s="15"/>
      <c r="B42" s="15"/>
      <c r="C42" s="184"/>
      <c r="D42" s="24"/>
      <c r="E42" s="24"/>
      <c r="F42" s="24"/>
      <c r="G42" s="24"/>
      <c r="H42" s="24"/>
      <c r="I42" s="25"/>
      <c r="J42" s="25"/>
      <c r="K42" s="25"/>
      <c r="L42" s="25"/>
      <c r="M42" s="25"/>
      <c r="N42" s="25"/>
      <c r="O42" s="25"/>
      <c r="P42" s="25"/>
      <c r="Q42" s="16"/>
      <c r="R42" s="16"/>
      <c r="S42" s="16"/>
      <c r="T42" s="16"/>
      <c r="U42" s="16"/>
      <c r="V42"/>
      <c r="W42"/>
      <c r="X42"/>
      <c r="Y42"/>
      <c r="Z42"/>
      <c r="AA42"/>
      <c r="AB42" s="16"/>
      <c r="AC42" s="16"/>
    </row>
    <row r="43" spans="1:29" s="14" customFormat="1" ht="12.75" customHeight="1">
      <c r="A43" s="15"/>
      <c r="B43" s="15"/>
      <c r="C43" s="185" t="s">
        <v>122</v>
      </c>
      <c r="D43" s="82">
        <f t="shared" ref="D43:P43" si="41">D18-D41</f>
        <v>0</v>
      </c>
      <c r="E43" s="82">
        <f t="shared" si="41"/>
        <v>0</v>
      </c>
      <c r="F43" s="82">
        <f t="shared" si="41"/>
        <v>0</v>
      </c>
      <c r="G43" s="82">
        <f t="shared" si="41"/>
        <v>0</v>
      </c>
      <c r="H43" s="82">
        <f t="shared" si="41"/>
        <v>0</v>
      </c>
      <c r="I43" s="82">
        <f t="shared" si="41"/>
        <v>0</v>
      </c>
      <c r="J43" s="82">
        <f t="shared" si="41"/>
        <v>0</v>
      </c>
      <c r="K43" s="82">
        <f t="shared" si="41"/>
        <v>0</v>
      </c>
      <c r="L43" s="82">
        <f t="shared" si="41"/>
        <v>0</v>
      </c>
      <c r="M43" s="82">
        <f t="shared" si="41"/>
        <v>0</v>
      </c>
      <c r="N43" s="82">
        <f t="shared" si="41"/>
        <v>0</v>
      </c>
      <c r="O43" s="82">
        <f t="shared" si="41"/>
        <v>0</v>
      </c>
      <c r="P43" s="82">
        <f t="shared" si="41"/>
        <v>0</v>
      </c>
      <c r="Q43" s="16"/>
      <c r="R43" s="16"/>
      <c r="S43" s="16"/>
      <c r="T43" s="16"/>
      <c r="U43" s="16"/>
      <c r="V43"/>
      <c r="W43"/>
      <c r="X43"/>
      <c r="Y43"/>
      <c r="Z43"/>
      <c r="AA43"/>
      <c r="AB43" s="16"/>
      <c r="AC43" s="16"/>
    </row>
    <row r="44" spans="1:29" s="14" customFormat="1" ht="12.75" customHeight="1">
      <c r="A44" s="15"/>
      <c r="B44" s="15"/>
      <c r="C44" s="186" t="s">
        <v>33</v>
      </c>
      <c r="D44" s="37"/>
      <c r="E44" s="37"/>
      <c r="F44" s="37"/>
      <c r="G44" s="37"/>
      <c r="H44" s="37"/>
      <c r="I44" s="37"/>
      <c r="J44" s="37"/>
      <c r="K44" s="37"/>
      <c r="L44" s="37"/>
      <c r="M44" s="37"/>
      <c r="N44" s="37"/>
      <c r="O44" s="37"/>
      <c r="P44" s="37"/>
      <c r="Q44" s="16"/>
      <c r="R44" s="16"/>
      <c r="S44" s="16"/>
      <c r="T44" s="16"/>
      <c r="U44" s="16"/>
      <c r="V44"/>
      <c r="W44"/>
      <c r="X44"/>
      <c r="Y44"/>
      <c r="Z44"/>
      <c r="AA44"/>
      <c r="AB44" s="16"/>
      <c r="AC44" s="16"/>
    </row>
    <row r="45" spans="1:29" s="14" customFormat="1" ht="12.75" customHeight="1">
      <c r="A45" s="15"/>
      <c r="B45" s="15"/>
      <c r="C45" s="186"/>
      <c r="D45" s="37"/>
      <c r="E45" s="37"/>
      <c r="F45" s="37"/>
      <c r="G45" s="37"/>
      <c r="H45" s="37"/>
      <c r="I45" s="37"/>
      <c r="J45" s="37"/>
      <c r="K45" s="37"/>
      <c r="L45" s="37"/>
      <c r="M45" s="37"/>
      <c r="N45" s="37"/>
      <c r="O45" s="37"/>
      <c r="P45" s="37"/>
      <c r="Q45" s="16"/>
      <c r="R45" s="16"/>
      <c r="S45" s="16"/>
      <c r="T45" s="16"/>
      <c r="U45" s="16"/>
      <c r="V45"/>
      <c r="W45"/>
      <c r="X45"/>
      <c r="Y45"/>
      <c r="Z45"/>
      <c r="AA45"/>
      <c r="AB45" s="16"/>
      <c r="AC45" s="16"/>
    </row>
    <row r="46" spans="1:29" ht="12.75" customHeight="1">
      <c r="D46" s="35"/>
      <c r="E46" s="35"/>
      <c r="F46" s="35"/>
      <c r="G46" s="35"/>
      <c r="H46" s="35"/>
      <c r="I46" s="35"/>
      <c r="J46" s="35"/>
      <c r="K46" s="35"/>
      <c r="L46" s="35"/>
      <c r="M46" s="35"/>
      <c r="N46" s="35"/>
      <c r="O46" s="35"/>
      <c r="P46" s="35"/>
    </row>
    <row r="47" spans="1:29" ht="12.75" customHeight="1" outlineLevel="1">
      <c r="C47" s="187" t="s">
        <v>215</v>
      </c>
      <c r="D47" s="339">
        <f>D2</f>
        <v>2013</v>
      </c>
      <c r="E47" s="339">
        <f t="shared" ref="E47:F47" si="42">E2</f>
        <v>2014</v>
      </c>
      <c r="F47" s="339">
        <f t="shared" si="42"/>
        <v>2015</v>
      </c>
      <c r="G47" s="339">
        <f t="shared" ref="G47:P47" si="43">G2</f>
        <v>2016</v>
      </c>
      <c r="H47" s="339">
        <f t="shared" si="43"/>
        <v>2017</v>
      </c>
      <c r="I47" s="339" t="str">
        <f t="shared" si="43"/>
        <v>2018E</v>
      </c>
      <c r="J47" s="339" t="str">
        <f t="shared" si="43"/>
        <v>2019E</v>
      </c>
      <c r="K47" s="339" t="str">
        <f t="shared" si="43"/>
        <v>2020E</v>
      </c>
      <c r="L47" s="339" t="str">
        <f t="shared" si="43"/>
        <v>2021E</v>
      </c>
      <c r="M47" s="339" t="str">
        <f t="shared" si="43"/>
        <v>2022E</v>
      </c>
      <c r="N47" s="339" t="str">
        <f t="shared" si="43"/>
        <v>2023E</v>
      </c>
      <c r="O47" s="339" t="str">
        <f t="shared" si="43"/>
        <v>2024E</v>
      </c>
      <c r="P47" s="339" t="str">
        <f t="shared" si="43"/>
        <v>2025E</v>
      </c>
    </row>
    <row r="48" spans="1:29" ht="12.75" customHeight="1" outlineLevel="1">
      <c r="C48" s="188" t="s">
        <v>150</v>
      </c>
      <c r="D48" s="83">
        <f>IS!G11</f>
        <v>14.218999999999999</v>
      </c>
      <c r="E48" s="83">
        <f>IS!L11</f>
        <v>9.7569999999999979</v>
      </c>
      <c r="F48" s="83">
        <f>IS!Q11</f>
        <v>1.2529999999999999</v>
      </c>
      <c r="G48" s="83">
        <f>IS!V11</f>
        <v>5.4210000000000003</v>
      </c>
      <c r="H48" s="83">
        <f>IS!AA11</f>
        <v>154.584</v>
      </c>
      <c r="I48" s="83">
        <f>IS!AF11</f>
        <v>295.66590023399539</v>
      </c>
      <c r="J48" s="83">
        <f>IS!AK11</f>
        <v>455.2234098939565</v>
      </c>
      <c r="K48" s="83">
        <f>IS!AP11</f>
        <v>588.82898113133365</v>
      </c>
      <c r="L48" s="83">
        <f>IS!AU11</f>
        <v>763.12577476090541</v>
      </c>
      <c r="M48" s="83">
        <f>IS!AZ11</f>
        <v>1115.208768768362</v>
      </c>
      <c r="N48" s="83">
        <f>IS!BE11</f>
        <v>1274.3914319189532</v>
      </c>
      <c r="O48" s="83">
        <f>IS!BJ11</f>
        <v>1470.9522894909346</v>
      </c>
      <c r="P48" s="84">
        <f>IS!BO11</f>
        <v>1475.9704819878486</v>
      </c>
    </row>
    <row r="49" spans="3:16" ht="12.75" customHeight="1" outlineLevel="1">
      <c r="C49" s="189" t="s">
        <v>9</v>
      </c>
      <c r="D49" s="85">
        <f>IS!G16</f>
        <v>0</v>
      </c>
      <c r="E49" s="85">
        <f>IS!L16</f>
        <v>0</v>
      </c>
      <c r="F49" s="85">
        <f>IS!Q16</f>
        <v>0</v>
      </c>
      <c r="G49" s="85">
        <f>IS!V16</f>
        <v>0.13</v>
      </c>
      <c r="H49" s="85">
        <f>IS!AA16</f>
        <v>7.3529999999999998</v>
      </c>
      <c r="I49" s="85">
        <f>IS!AF16</f>
        <v>43.582988124494555</v>
      </c>
      <c r="J49" s="85">
        <f>IS!AK16</f>
        <v>81.578399365415009</v>
      </c>
      <c r="K49" s="85">
        <f>IS!AP16</f>
        <v>121.94836841667336</v>
      </c>
      <c r="L49" s="85">
        <f>IS!AU16</f>
        <v>159.16542442830144</v>
      </c>
      <c r="M49" s="85">
        <f>IS!AZ16</f>
        <v>223.60799576255658</v>
      </c>
      <c r="N49" s="85">
        <f>IS!BE16</f>
        <v>254.38533233959222</v>
      </c>
      <c r="O49" s="85">
        <f>IS!BJ16</f>
        <v>239.75693145674163</v>
      </c>
      <c r="P49" s="86">
        <f>IS!BO16</f>
        <v>221.39557229817729</v>
      </c>
    </row>
    <row r="50" spans="3:16" ht="12.75" customHeight="1" outlineLevel="1">
      <c r="C50" s="190" t="s">
        <v>151</v>
      </c>
      <c r="D50" s="85">
        <f>IS!G16+IS!G22+IS!G26</f>
        <v>92.611999999999995</v>
      </c>
      <c r="E50" s="85">
        <f>IS!L16+IS!L22+IS!L26</f>
        <v>123.18699999999998</v>
      </c>
      <c r="F50" s="85">
        <f>IS!Q16+IS!Q22+IS!Q26</f>
        <v>189.32</v>
      </c>
      <c r="G50" s="85">
        <f>IS!V16+IS!V22+IS!V26</f>
        <v>196.84299999999999</v>
      </c>
      <c r="H50" s="85">
        <f>IS!AA16+IS!AA22+IS!AA26</f>
        <v>241.25700000000001</v>
      </c>
      <c r="I50" s="85">
        <f>IS!AF16+IS!AF22+IS!AF26</f>
        <v>324.26778812449459</v>
      </c>
      <c r="J50" s="85">
        <f>IS!AK16+IS!AK22+IS!AK26</f>
        <v>396.20729936541505</v>
      </c>
      <c r="K50" s="85">
        <f>IS!AP16+IS!AP22+IS!AP26</f>
        <v>461.28319541667338</v>
      </c>
      <c r="L50" s="85">
        <f>IS!AU16+IS!AU22+IS!AU26</f>
        <v>511.91958720330155</v>
      </c>
      <c r="M50" s="85">
        <f>IS!AZ16+IS!AZ22+IS!AZ26</f>
        <v>588.90933967618162</v>
      </c>
      <c r="N50" s="85">
        <f>IS!BE16+IS!BE22+IS!BE26</f>
        <v>627.34295702102168</v>
      </c>
      <c r="O50" s="85">
        <f>IS!BJ16+IS!BJ22+IS!BJ26</f>
        <v>620.54010013272</v>
      </c>
      <c r="P50" s="86">
        <f>IS!BO16+IS!BO22+IS!BO26</f>
        <v>610.17744761923097</v>
      </c>
    </row>
    <row r="51" spans="3:16" ht="12.75" customHeight="1" outlineLevel="1">
      <c r="C51" s="190" t="s">
        <v>81</v>
      </c>
      <c r="D51" s="85">
        <f>IS!G34</f>
        <v>0</v>
      </c>
      <c r="E51" s="85">
        <f>IS!L34</f>
        <v>0</v>
      </c>
      <c r="F51" s="85">
        <f>IS!Q34</f>
        <v>0</v>
      </c>
      <c r="G51" s="85">
        <f>IS!V34</f>
        <v>0</v>
      </c>
      <c r="H51" s="85">
        <f>IS!AA34</f>
        <v>0</v>
      </c>
      <c r="I51" s="85">
        <f>IS!AF34</f>
        <v>0</v>
      </c>
      <c r="J51" s="85">
        <f>IS!AK34</f>
        <v>0</v>
      </c>
      <c r="K51" s="85">
        <f>IS!AP34</f>
        <v>0</v>
      </c>
      <c r="L51" s="85">
        <f>IS!AU34</f>
        <v>0</v>
      </c>
      <c r="M51" s="85">
        <f>IS!AU34</f>
        <v>0</v>
      </c>
      <c r="N51" s="85">
        <f>IS!BE34</f>
        <v>136.50737807612688</v>
      </c>
      <c r="O51" s="85">
        <f>IS!BJ34</f>
        <v>301.973479359576</v>
      </c>
      <c r="P51" s="86">
        <f>IS!BO34</f>
        <v>307.62757155522633</v>
      </c>
    </row>
    <row r="52" spans="3:16" ht="12.75" customHeight="1" outlineLevel="1">
      <c r="C52" s="190" t="s">
        <v>152</v>
      </c>
      <c r="D52" s="85">
        <f>IS!G36</f>
        <v>-78.067000000000007</v>
      </c>
      <c r="E52" s="85">
        <f>IS!L36</f>
        <v>-112.65100000000001</v>
      </c>
      <c r="F52" s="85">
        <f>IS!Q36</f>
        <v>-187.91300000000001</v>
      </c>
      <c r="G52" s="85">
        <f>CF!F6</f>
        <v>-267.26499999999999</v>
      </c>
      <c r="H52" s="85">
        <f>CF!G6</f>
        <v>-50.688000000000002</v>
      </c>
      <c r="I52" s="85">
        <f>CF!H6</f>
        <v>-67.192867890499215</v>
      </c>
      <c r="J52" s="85">
        <f>CF!I6</f>
        <v>20.689583418901769</v>
      </c>
      <c r="K52" s="85">
        <f>CF!J6</f>
        <v>89.409081195889669</v>
      </c>
      <c r="L52" s="85">
        <f>CF!K6</f>
        <v>215.6008703735219</v>
      </c>
      <c r="M52" s="85">
        <f>CF!L6</f>
        <v>491.66708790695372</v>
      </c>
      <c r="N52" s="85">
        <f>CF!M6</f>
        <v>478.40094713661097</v>
      </c>
      <c r="O52" s="85">
        <f>CF!N6</f>
        <v>530.34289023921258</v>
      </c>
      <c r="P52" s="86">
        <f>CF!O6</f>
        <v>540.84334717399167</v>
      </c>
    </row>
    <row r="53" spans="3:16" ht="12.75" customHeight="1" outlineLevel="1">
      <c r="C53" s="190" t="s">
        <v>153</v>
      </c>
      <c r="D53" s="85">
        <f>CF!C16</f>
        <v>-64.694999999999993</v>
      </c>
      <c r="E53" s="85">
        <f>CF!D16</f>
        <v>-128.53899999999999</v>
      </c>
      <c r="F53" s="85">
        <f>CF!E16</f>
        <v>-149.46500000000003</v>
      </c>
      <c r="G53" s="85">
        <f>CF!F16</f>
        <v>-245.82000000000002</v>
      </c>
      <c r="H53" s="85">
        <f>CF!G16</f>
        <v>-231.99599999999998</v>
      </c>
      <c r="I53" s="85">
        <f>CF!H16</f>
        <v>64.911376259699793</v>
      </c>
      <c r="J53" s="85">
        <f>CF!I16</f>
        <v>50.419502959796759</v>
      </c>
      <c r="K53" s="85">
        <f>CF!J16</f>
        <v>123.87363008671778</v>
      </c>
      <c r="L53" s="85">
        <f>CF!K16</f>
        <v>248.80535621822227</v>
      </c>
      <c r="M53" s="85">
        <f>CF!L16</f>
        <v>514.18163907901703</v>
      </c>
      <c r="N53" s="85">
        <f>CF!M16</f>
        <v>517.80429265730891</v>
      </c>
      <c r="O53" s="85">
        <f>CF!N16</f>
        <v>560.8187132793995</v>
      </c>
      <c r="P53" s="86">
        <f>CF!O16</f>
        <v>582.92832161382796</v>
      </c>
    </row>
    <row r="54" spans="3:16" ht="12.75" customHeight="1" outlineLevel="1">
      <c r="C54" s="191" t="s">
        <v>154</v>
      </c>
      <c r="D54" s="87">
        <f>CF!C20</f>
        <v>-2.37</v>
      </c>
      <c r="E54" s="87">
        <f>CF!D20</f>
        <v>-25.443999999999999</v>
      </c>
      <c r="F54" s="87">
        <f>CF!E20</f>
        <v>-3.4009999999999998</v>
      </c>
      <c r="G54" s="87">
        <f>CF!F20</f>
        <v>-5.3410000000000002</v>
      </c>
      <c r="H54" s="87">
        <f>CF!G20</f>
        <v>-12</v>
      </c>
      <c r="I54" s="87">
        <f>CF!H20</f>
        <v>-13.304965510529792</v>
      </c>
      <c r="J54" s="87">
        <f>CF!I20</f>
        <v>-13.656702296818695</v>
      </c>
      <c r="K54" s="87">
        <f>CF!J20</f>
        <v>-14.720724528283341</v>
      </c>
      <c r="L54" s="87">
        <f>CF!K20</f>
        <v>-15.262515495218109</v>
      </c>
      <c r="M54" s="87">
        <f>CF!L20</f>
        <v>-16.728131531525431</v>
      </c>
      <c r="N54" s="87">
        <f>CF!M20</f>
        <v>-19.115871478784296</v>
      </c>
      <c r="O54" s="87">
        <f>CF!N20</f>
        <v>-22.064284342364019</v>
      </c>
      <c r="P54" s="88">
        <f>CF!O20</f>
        <v>-22.139557229817729</v>
      </c>
    </row>
    <row r="55" spans="3:16" ht="12.75" customHeight="1" outlineLevel="1">
      <c r="C55" s="23"/>
      <c r="D55" s="38"/>
      <c r="E55" s="38"/>
      <c r="F55" s="38"/>
      <c r="G55" s="38"/>
      <c r="H55" s="38"/>
      <c r="I55" s="38"/>
      <c r="J55" s="38"/>
      <c r="K55" s="38"/>
      <c r="L55" s="38"/>
      <c r="M55" s="38"/>
      <c r="N55" s="38"/>
      <c r="O55" s="38"/>
      <c r="P55" s="38"/>
    </row>
    <row r="56" spans="3:16" ht="12.75" customHeight="1" outlineLevel="1">
      <c r="C56" s="192" t="s">
        <v>155</v>
      </c>
      <c r="D56" s="38"/>
      <c r="E56" s="38"/>
      <c r="F56" s="38"/>
      <c r="G56" s="38"/>
      <c r="H56" s="38"/>
      <c r="I56" s="38"/>
      <c r="J56" s="38"/>
      <c r="K56" s="38"/>
      <c r="L56" s="38"/>
      <c r="M56" s="38"/>
      <c r="N56" s="38"/>
      <c r="O56" s="38"/>
      <c r="P56" s="38"/>
    </row>
    <row r="57" spans="3:16" ht="12.75" customHeight="1" outlineLevel="1">
      <c r="C57" s="193" t="s">
        <v>156</v>
      </c>
      <c r="D57" s="72">
        <f>IF(ISERROR(D48/D7),"NM",D48/D7)</f>
        <v>4.0280453257790372</v>
      </c>
      <c r="E57" s="72">
        <f>IF(ISERROR(E48/E7),"NM",E48/E7)</f>
        <v>4.0384933774834426</v>
      </c>
      <c r="F57" s="72">
        <f>IF(ISERROR(F48/F7),"NM",F48/F7)</f>
        <v>0.31506160422428964</v>
      </c>
      <c r="G57" s="72">
        <f t="shared" ref="G57:P57" si="44">IF(ISERROR(G48/G7),"NM",G48/G7)</f>
        <v>1.0369166029074217</v>
      </c>
      <c r="H57" s="72">
        <f t="shared" si="44"/>
        <v>5.2458259807248542</v>
      </c>
      <c r="I57" s="72">
        <f t="shared" si="44"/>
        <v>25</v>
      </c>
      <c r="J57" s="72">
        <f t="shared" si="44"/>
        <v>23.255813953488371</v>
      </c>
      <c r="K57" s="72">
        <f t="shared" si="44"/>
        <v>25</v>
      </c>
      <c r="L57" s="72">
        <f t="shared" si="44"/>
        <v>28.571428571428566</v>
      </c>
      <c r="M57" s="72">
        <f t="shared" si="44"/>
        <v>29.411764705882351</v>
      </c>
      <c r="N57" s="72">
        <f t="shared" si="44"/>
        <v>30.303030303030305</v>
      </c>
      <c r="O57" s="72">
        <f t="shared" si="44"/>
        <v>30.303030303030301</v>
      </c>
      <c r="P57" s="73">
        <f t="shared" si="44"/>
        <v>30.303030303030301</v>
      </c>
    </row>
    <row r="58" spans="3:16" ht="12.75" customHeight="1" outlineLevel="1">
      <c r="C58" s="190" t="s">
        <v>157</v>
      </c>
      <c r="D58" s="43" t="str">
        <f>IF(ISERROR(D49/D119),"NM",D49/D119)</f>
        <v>NM</v>
      </c>
      <c r="E58" s="43" t="str">
        <f>IF(ISERROR(E49/E119),"NM",E49/E119)</f>
        <v>NM</v>
      </c>
      <c r="F58" s="43" t="str">
        <f>IF(ISERROR(F49/F119),"NM",F49/F119)</f>
        <v>NM</v>
      </c>
      <c r="G58" s="43" t="str">
        <f t="shared" ref="G58:P58" si="45">IF(ISERROR(G49/G119),"NM",G49/G119)</f>
        <v>NM</v>
      </c>
      <c r="H58" s="43" t="str">
        <f t="shared" si="45"/>
        <v>NM</v>
      </c>
      <c r="I58" s="43" t="str">
        <f t="shared" si="45"/>
        <v>NM</v>
      </c>
      <c r="J58" s="43" t="str">
        <f t="shared" si="45"/>
        <v>NM</v>
      </c>
      <c r="K58" s="43" t="str">
        <f t="shared" si="45"/>
        <v>NM</v>
      </c>
      <c r="L58" s="43" t="str">
        <f t="shared" si="45"/>
        <v>NM</v>
      </c>
      <c r="M58" s="43" t="str">
        <f t="shared" si="45"/>
        <v>NM</v>
      </c>
      <c r="N58" s="43" t="str">
        <f t="shared" si="45"/>
        <v>NM</v>
      </c>
      <c r="O58" s="43" t="str">
        <f t="shared" si="45"/>
        <v>NM</v>
      </c>
      <c r="P58" s="51" t="str">
        <f t="shared" si="45"/>
        <v>NM</v>
      </c>
    </row>
    <row r="59" spans="3:16" ht="12.75" customHeight="1" outlineLevel="1">
      <c r="C59" s="190" t="s">
        <v>158</v>
      </c>
      <c r="D59" s="43">
        <f>IF(ISERROR(D49/(D21+D22)),"NM",D49/(D21+D22))</f>
        <v>0</v>
      </c>
      <c r="E59" s="43">
        <f t="shared" ref="E59:F59" si="46">IF(ISERROR(E49/(E21+E22)),"NM",E49/(E21+E22))</f>
        <v>0</v>
      </c>
      <c r="F59" s="43">
        <f t="shared" si="46"/>
        <v>0</v>
      </c>
      <c r="G59" s="43">
        <f t="shared" ref="G59:P59" si="47">IF(ISERROR(G49/(G21+G22)),"NM",G49/(G21+G22))</f>
        <v>2.1414687180838798E-3</v>
      </c>
      <c r="H59" s="43">
        <f t="shared" si="47"/>
        <v>9.4939895931516222E-2</v>
      </c>
      <c r="I59" s="43">
        <f t="shared" si="47"/>
        <v>0.70739110212078538</v>
      </c>
      <c r="J59" s="43">
        <f t="shared" si="47"/>
        <v>1.2478683315538464</v>
      </c>
      <c r="K59" s="43">
        <f t="shared" si="47"/>
        <v>1.8232253826201641</v>
      </c>
      <c r="L59" s="43">
        <f t="shared" si="47"/>
        <v>2.3031022320408292</v>
      </c>
      <c r="M59" s="43">
        <f t="shared" si="47"/>
        <v>3.0375880387362839</v>
      </c>
      <c r="N59" s="43">
        <f t="shared" si="47"/>
        <v>3.3791369549488173</v>
      </c>
      <c r="O59" s="43">
        <f t="shared" si="47"/>
        <v>3.3597230570379475</v>
      </c>
      <c r="P59" s="51">
        <f t="shared" si="47"/>
        <v>3.2985273853459396</v>
      </c>
    </row>
    <row r="60" spans="3:16" ht="12.75" customHeight="1" outlineLevel="1">
      <c r="C60" s="194" t="s">
        <v>159</v>
      </c>
      <c r="D60" s="43">
        <f>IF(ISERROR(366/D57), "NM", (366/D57))</f>
        <v>90.862929882551512</v>
      </c>
      <c r="E60" s="43">
        <f t="shared" ref="E60:F61" si="48">IF(ISERROR(366/E57), "NM", (366/E57))</f>
        <v>90.627856923234631</v>
      </c>
      <c r="F60" s="43">
        <f t="shared" si="48"/>
        <v>1161.6775738228253</v>
      </c>
      <c r="G60" s="43">
        <f t="shared" ref="G60:P60" si="49">IF(ISERROR(366/G57), "NM", (366/G57))</f>
        <v>352.96956281128939</v>
      </c>
      <c r="H60" s="43">
        <f t="shared" si="49"/>
        <v>69.769756249029655</v>
      </c>
      <c r="I60" s="43">
        <f t="shared" si="49"/>
        <v>14.64</v>
      </c>
      <c r="J60" s="43">
        <f t="shared" si="49"/>
        <v>15.738000000000001</v>
      </c>
      <c r="K60" s="43">
        <f t="shared" si="49"/>
        <v>14.64</v>
      </c>
      <c r="L60" s="43">
        <f t="shared" si="49"/>
        <v>12.810000000000002</v>
      </c>
      <c r="M60" s="43">
        <f t="shared" si="49"/>
        <v>12.444000000000001</v>
      </c>
      <c r="N60" s="43">
        <f t="shared" si="49"/>
        <v>12.077999999999999</v>
      </c>
      <c r="O60" s="43">
        <f t="shared" si="49"/>
        <v>12.078000000000001</v>
      </c>
      <c r="P60" s="51">
        <f t="shared" si="49"/>
        <v>12.078000000000001</v>
      </c>
    </row>
    <row r="61" spans="3:16" ht="12.75" customHeight="1" outlineLevel="1">
      <c r="C61" s="195" t="s">
        <v>160</v>
      </c>
      <c r="D61" s="43" t="str">
        <f>IF(ISERROR(366/D58), "NM", (366/D58))</f>
        <v>NM</v>
      </c>
      <c r="E61" s="43" t="str">
        <f t="shared" si="48"/>
        <v>NM</v>
      </c>
      <c r="F61" s="43" t="str">
        <f t="shared" si="48"/>
        <v>NM</v>
      </c>
      <c r="G61" s="43" t="str">
        <f t="shared" ref="G61:P61" si="50">IF(ISERROR(366/G58), "NM", (366/G58))</f>
        <v>NM</v>
      </c>
      <c r="H61" s="43" t="str">
        <f t="shared" si="50"/>
        <v>NM</v>
      </c>
      <c r="I61" s="43" t="str">
        <f t="shared" si="50"/>
        <v>NM</v>
      </c>
      <c r="J61" s="43" t="str">
        <f t="shared" si="50"/>
        <v>NM</v>
      </c>
      <c r="K61" s="43" t="str">
        <f t="shared" si="50"/>
        <v>NM</v>
      </c>
      <c r="L61" s="43" t="str">
        <f t="shared" si="50"/>
        <v>NM</v>
      </c>
      <c r="M61" s="43" t="str">
        <f t="shared" si="50"/>
        <v>NM</v>
      </c>
      <c r="N61" s="43" t="str">
        <f t="shared" si="50"/>
        <v>NM</v>
      </c>
      <c r="O61" s="43" t="str">
        <f t="shared" si="50"/>
        <v>NM</v>
      </c>
      <c r="P61" s="51" t="str">
        <f t="shared" si="50"/>
        <v>NM</v>
      </c>
    </row>
    <row r="62" spans="3:16" ht="12.75" customHeight="1" outlineLevel="1">
      <c r="C62" s="194" t="s">
        <v>161</v>
      </c>
      <c r="D62" s="43" t="str">
        <f t="shared" ref="D62:F62" si="51">IF(ISERROR(366/D59), "NM", (366/D59))</f>
        <v>NM</v>
      </c>
      <c r="E62" s="43" t="str">
        <f t="shared" si="51"/>
        <v>NM</v>
      </c>
      <c r="F62" s="43" t="str">
        <f t="shared" si="51"/>
        <v>NM</v>
      </c>
      <c r="G62" s="43">
        <f t="shared" ref="G62:P62" si="52">IF(ISERROR(366/G59), "NM", (366/G59))</f>
        <v>170910.73846153845</v>
      </c>
      <c r="H62" s="43">
        <f t="shared" si="52"/>
        <v>3855.0705834353325</v>
      </c>
      <c r="I62" s="43">
        <f t="shared" si="52"/>
        <v>517.39412455531055</v>
      </c>
      <c r="J62" s="43">
        <f t="shared" si="52"/>
        <v>293.30017498260941</v>
      </c>
      <c r="K62" s="43">
        <f t="shared" si="52"/>
        <v>200.7431464529196</v>
      </c>
      <c r="L62" s="43">
        <f t="shared" si="52"/>
        <v>158.91608931127621</v>
      </c>
      <c r="M62" s="43">
        <f t="shared" si="52"/>
        <v>120.49033487512203</v>
      </c>
      <c r="N62" s="43">
        <f t="shared" si="52"/>
        <v>108.31167984002107</v>
      </c>
      <c r="O62" s="43">
        <f t="shared" si="52"/>
        <v>108.9375504428269</v>
      </c>
      <c r="P62" s="51">
        <f t="shared" si="52"/>
        <v>110.95860583907658</v>
      </c>
    </row>
    <row r="63" spans="3:16" ht="12.75" customHeight="1" outlineLevel="1">
      <c r="C63" s="190" t="s">
        <v>162</v>
      </c>
      <c r="D63" s="43">
        <f>D7</f>
        <v>3.53</v>
      </c>
      <c r="E63" s="43">
        <f>E7</f>
        <v>2.4159999999999999</v>
      </c>
      <c r="F63" s="43">
        <f>F7</f>
        <v>3.9769999999999999</v>
      </c>
      <c r="G63" s="43">
        <f>G7</f>
        <v>5.2279999999999998</v>
      </c>
      <c r="H63" s="43">
        <f t="shared" ref="H63:P63" si="53">H48*H64</f>
        <v>6.9562799999999996</v>
      </c>
      <c r="I63" s="43">
        <f t="shared" si="53"/>
        <v>11.826636009359815</v>
      </c>
      <c r="J63" s="43">
        <f t="shared" si="53"/>
        <v>19.574606625440129</v>
      </c>
      <c r="K63" s="43">
        <f t="shared" si="53"/>
        <v>23.553159245253347</v>
      </c>
      <c r="L63" s="43">
        <f t="shared" si="53"/>
        <v>26.709402116631694</v>
      </c>
      <c r="M63" s="43">
        <f t="shared" si="53"/>
        <v>37.91709813812431</v>
      </c>
      <c r="N63" s="43">
        <f t="shared" si="53"/>
        <v>42.054917253325456</v>
      </c>
      <c r="O63" s="43">
        <f t="shared" si="53"/>
        <v>48.541425553200845</v>
      </c>
      <c r="P63" s="51">
        <f t="shared" si="53"/>
        <v>48.707025905599011</v>
      </c>
    </row>
    <row r="64" spans="3:16" ht="12.75" customHeight="1" outlineLevel="1">
      <c r="C64" s="196" t="s">
        <v>163</v>
      </c>
      <c r="D64" s="44">
        <f>D63/D48</f>
        <v>0.24825937126380196</v>
      </c>
      <c r="E64" s="44">
        <f>E63/E48</f>
        <v>0.24761709541867383</v>
      </c>
      <c r="F64" s="44">
        <f>F63/F48</f>
        <v>3.1739824421388669</v>
      </c>
      <c r="G64" s="44">
        <f>G63/G48</f>
        <v>0.9643977125991513</v>
      </c>
      <c r="H64" s="47">
        <v>4.4999999999999998E-2</v>
      </c>
      <c r="I64" s="47">
        <v>0.04</v>
      </c>
      <c r="J64" s="47">
        <v>4.2999999999999997E-2</v>
      </c>
      <c r="K64" s="47">
        <v>0.04</v>
      </c>
      <c r="L64" s="47">
        <v>3.5000000000000003E-2</v>
      </c>
      <c r="M64" s="47">
        <v>3.4000000000000002E-2</v>
      </c>
      <c r="N64" s="47">
        <v>3.3000000000000002E-2</v>
      </c>
      <c r="O64" s="47">
        <v>3.3000000000000002E-2</v>
      </c>
      <c r="P64" s="52">
        <v>3.3000000000000002E-2</v>
      </c>
    </row>
    <row r="65" spans="3:16" ht="12.75" customHeight="1" outlineLevel="1">
      <c r="C65" s="190" t="s">
        <v>323</v>
      </c>
      <c r="D65" s="43">
        <f>+D9+D10</f>
        <v>3.0609999999999999</v>
      </c>
      <c r="E65" s="43">
        <f>+E9+E10</f>
        <v>35.036000000000001</v>
      </c>
      <c r="F65" s="43">
        <f>+F9+F10</f>
        <v>17.38</v>
      </c>
      <c r="G65" s="43">
        <f>+G9+G10</f>
        <v>39.707999999999998</v>
      </c>
      <c r="H65" s="43">
        <f t="shared" ref="H65:P65" si="54">H48*H66</f>
        <v>7.7292000000000005</v>
      </c>
      <c r="I65" s="43">
        <f t="shared" si="54"/>
        <v>14.04413026111478</v>
      </c>
      <c r="J65" s="43">
        <f t="shared" si="54"/>
        <v>20.485053445228044</v>
      </c>
      <c r="K65" s="43">
        <f t="shared" si="54"/>
        <v>25.025231698081683</v>
      </c>
      <c r="L65" s="43">
        <f t="shared" si="54"/>
        <v>30.525030990436218</v>
      </c>
      <c r="M65" s="43">
        <f t="shared" si="54"/>
        <v>43.493141981966119</v>
      </c>
      <c r="N65" s="43">
        <f t="shared" si="54"/>
        <v>48.42687441292022</v>
      </c>
      <c r="O65" s="43">
        <f t="shared" si="54"/>
        <v>55.896187000655516</v>
      </c>
      <c r="P65" s="51">
        <f t="shared" si="54"/>
        <v>56.08687831553825</v>
      </c>
    </row>
    <row r="66" spans="3:16" ht="12.75" customHeight="1" outlineLevel="1">
      <c r="C66" s="196" t="s">
        <v>164</v>
      </c>
      <c r="D66" s="44">
        <f>D65/D48</f>
        <v>0.21527533581827132</v>
      </c>
      <c r="E66" s="44">
        <f>E65/E48</f>
        <v>3.5908578456492783</v>
      </c>
      <c r="F66" s="44">
        <f>F65/F48</f>
        <v>13.870710295291302</v>
      </c>
      <c r="G66" s="44">
        <f>G65/G48</f>
        <v>7.3248478140564464</v>
      </c>
      <c r="H66" s="47">
        <v>0.05</v>
      </c>
      <c r="I66" s="47">
        <v>4.7500000000000001E-2</v>
      </c>
      <c r="J66" s="47">
        <v>4.4999999999999998E-2</v>
      </c>
      <c r="K66" s="47">
        <v>4.2500000000000003E-2</v>
      </c>
      <c r="L66" s="47">
        <v>0.04</v>
      </c>
      <c r="M66" s="47">
        <v>3.9E-2</v>
      </c>
      <c r="N66" s="47">
        <v>3.7999999999999999E-2</v>
      </c>
      <c r="O66" s="47">
        <v>3.7999999999999999E-2</v>
      </c>
      <c r="P66" s="52">
        <v>3.7999999999999999E-2</v>
      </c>
    </row>
    <row r="67" spans="3:16" ht="12.75" hidden="1" customHeight="1" outlineLevel="2">
      <c r="C67" s="190" t="s">
        <v>68</v>
      </c>
      <c r="D67" s="43">
        <f>+D119</f>
        <v>0</v>
      </c>
      <c r="E67" s="43">
        <f>+E119</f>
        <v>0</v>
      </c>
      <c r="F67" s="43">
        <f>+F119</f>
        <v>0</v>
      </c>
      <c r="G67" s="43">
        <f>+G119</f>
        <v>0</v>
      </c>
      <c r="H67" s="43"/>
      <c r="I67" s="43"/>
      <c r="J67" s="43"/>
      <c r="K67" s="43"/>
      <c r="L67" s="43"/>
      <c r="M67" s="43"/>
      <c r="N67" s="43"/>
      <c r="O67" s="43"/>
      <c r="P67" s="51"/>
    </row>
    <row r="68" spans="3:16" ht="12.75" hidden="1" customHeight="1" outlineLevel="2">
      <c r="C68" s="196" t="s">
        <v>164</v>
      </c>
      <c r="D68" s="47">
        <f>D67/D48</f>
        <v>0</v>
      </c>
      <c r="E68" s="47">
        <f>E67/E48</f>
        <v>0</v>
      </c>
      <c r="F68" s="47">
        <f>F67/F48</f>
        <v>0</v>
      </c>
      <c r="G68" s="47">
        <f>G67/G48</f>
        <v>0</v>
      </c>
      <c r="H68" s="47"/>
      <c r="I68" s="47"/>
      <c r="J68" s="47"/>
      <c r="K68" s="47"/>
      <c r="L68" s="47"/>
      <c r="M68" s="47"/>
      <c r="N68" s="47"/>
      <c r="O68" s="47"/>
      <c r="P68" s="52"/>
    </row>
    <row r="69" spans="3:16" ht="12.75" customHeight="1" outlineLevel="1" collapsed="1">
      <c r="C69" s="190" t="s">
        <v>165</v>
      </c>
      <c r="D69" s="43">
        <f>D17</f>
        <v>5.0670000000000002</v>
      </c>
      <c r="E69" s="43">
        <f>E17</f>
        <v>7.9540000000000006</v>
      </c>
      <c r="F69" s="43">
        <f>F17</f>
        <v>11.112</v>
      </c>
      <c r="G69" s="43">
        <f>G17</f>
        <v>12.043000000000001</v>
      </c>
      <c r="H69" s="43">
        <f t="shared" ref="H69:P69" si="55">H48*H70</f>
        <v>12.366720000000001</v>
      </c>
      <c r="I69" s="43">
        <f t="shared" si="55"/>
        <v>13.304965510529792</v>
      </c>
      <c r="J69" s="43">
        <f t="shared" si="55"/>
        <v>13.20147888692474</v>
      </c>
      <c r="K69" s="43">
        <f t="shared" si="55"/>
        <v>13.543066566020673</v>
      </c>
      <c r="L69" s="43">
        <f t="shared" si="55"/>
        <v>16.788767044739917</v>
      </c>
      <c r="M69" s="43">
        <f t="shared" si="55"/>
        <v>23.419384144135602</v>
      </c>
      <c r="N69" s="43">
        <f t="shared" si="55"/>
        <v>25.487828638379064</v>
      </c>
      <c r="O69" s="43">
        <f t="shared" si="55"/>
        <v>27.948093500327758</v>
      </c>
      <c r="P69" s="51">
        <f t="shared" si="55"/>
        <v>26.567468675781274</v>
      </c>
    </row>
    <row r="70" spans="3:16" ht="12.75" customHeight="1" outlineLevel="1">
      <c r="C70" s="196" t="s">
        <v>164</v>
      </c>
      <c r="D70" s="44">
        <f>D69/D48</f>
        <v>0.35635417399254521</v>
      </c>
      <c r="E70" s="44">
        <f>E69/E48</f>
        <v>0.8152095931126373</v>
      </c>
      <c r="F70" s="44">
        <f>F69/F48</f>
        <v>8.8683160415003996</v>
      </c>
      <c r="G70" s="44">
        <f>G69/G48</f>
        <v>2.2215458402508763</v>
      </c>
      <c r="H70" s="47">
        <v>0.08</v>
      </c>
      <c r="I70" s="47">
        <v>4.4999999999999998E-2</v>
      </c>
      <c r="J70" s="47">
        <v>2.9000000000000001E-2</v>
      </c>
      <c r="K70" s="47">
        <v>2.3E-2</v>
      </c>
      <c r="L70" s="47">
        <v>2.1999999999999999E-2</v>
      </c>
      <c r="M70" s="47">
        <v>2.1000000000000001E-2</v>
      </c>
      <c r="N70" s="47">
        <v>0.02</v>
      </c>
      <c r="O70" s="47">
        <v>1.9E-2</v>
      </c>
      <c r="P70" s="52">
        <v>1.7999999999999999E-2</v>
      </c>
    </row>
    <row r="71" spans="3:16" ht="12.75" customHeight="1" outlineLevel="1">
      <c r="C71" s="190" t="s">
        <v>166</v>
      </c>
      <c r="D71" s="43">
        <f>D21</f>
        <v>8.08</v>
      </c>
      <c r="E71" s="43">
        <f>E21</f>
        <v>12.407999999999999</v>
      </c>
      <c r="F71" s="43">
        <f>F21</f>
        <v>20.234000000000002</v>
      </c>
      <c r="G71" s="43">
        <f>G21</f>
        <v>29.69</v>
      </c>
      <c r="H71" s="43">
        <f t="shared" ref="H71:P71" si="56">H50*H72</f>
        <v>28.950839999999999</v>
      </c>
      <c r="I71" s="43">
        <f t="shared" si="56"/>
        <v>29.184100931204512</v>
      </c>
      <c r="J71" s="43">
        <f t="shared" si="56"/>
        <v>31.696583949233204</v>
      </c>
      <c r="K71" s="43">
        <f t="shared" si="56"/>
        <v>32.289823679167142</v>
      </c>
      <c r="L71" s="43">
        <f t="shared" si="56"/>
        <v>33.274773168214601</v>
      </c>
      <c r="M71" s="43">
        <f t="shared" si="56"/>
        <v>33.862287031380447</v>
      </c>
      <c r="N71" s="43">
        <f t="shared" si="56"/>
        <v>34.503862636156192</v>
      </c>
      <c r="O71" s="43">
        <f t="shared" si="56"/>
        <v>32.578355256967797</v>
      </c>
      <c r="P71" s="51">
        <f t="shared" si="56"/>
        <v>30.508872380961549</v>
      </c>
    </row>
    <row r="72" spans="3:16" ht="12.75" customHeight="1" outlineLevel="1">
      <c r="C72" s="196" t="s">
        <v>167</v>
      </c>
      <c r="D72" s="44">
        <f>D71/D50</f>
        <v>8.7245713298492636E-2</v>
      </c>
      <c r="E72" s="44">
        <f>E71/E50</f>
        <v>0.10072491415490271</v>
      </c>
      <c r="F72" s="44">
        <f>F71/F50</f>
        <v>0.10687724487639975</v>
      </c>
      <c r="G72" s="44">
        <f>G71/G50</f>
        <v>0.15083086520729719</v>
      </c>
      <c r="H72" s="47">
        <v>0.12</v>
      </c>
      <c r="I72" s="47">
        <v>0.09</v>
      </c>
      <c r="J72" s="47">
        <v>0.08</v>
      </c>
      <c r="K72" s="47">
        <v>7.0000000000000007E-2</v>
      </c>
      <c r="L72" s="47">
        <v>6.5000000000000002E-2</v>
      </c>
      <c r="M72" s="47">
        <v>5.7500000000000002E-2</v>
      </c>
      <c r="N72" s="47">
        <v>5.5E-2</v>
      </c>
      <c r="O72" s="47">
        <v>5.2499999999999998E-2</v>
      </c>
      <c r="P72" s="52">
        <v>0.05</v>
      </c>
    </row>
    <row r="73" spans="3:16" ht="12.75" customHeight="1" outlineLevel="1">
      <c r="C73" s="190" t="s">
        <v>168</v>
      </c>
      <c r="D73" s="43">
        <f>D24+D28</f>
        <v>3.2989999999999999</v>
      </c>
      <c r="E73" s="43">
        <f>E24+E28</f>
        <v>3.3180000000000001</v>
      </c>
      <c r="F73" s="43">
        <f>F24+F28</f>
        <v>3.3029999999999999</v>
      </c>
      <c r="G73" s="43">
        <f>G24+G28</f>
        <v>3.3029999999999999</v>
      </c>
      <c r="H73" s="43">
        <f t="shared" ref="H73:P73" si="57">H48*H74</f>
        <v>3.8646000000000003</v>
      </c>
      <c r="I73" s="43">
        <f t="shared" si="57"/>
        <v>4.1393226032759358</v>
      </c>
      <c r="J73" s="43">
        <f t="shared" si="57"/>
        <v>5.2350692137804993</v>
      </c>
      <c r="K73" s="43">
        <f t="shared" si="57"/>
        <v>7.6547767547073367</v>
      </c>
      <c r="L73" s="43">
        <f t="shared" si="57"/>
        <v>11.065323734033129</v>
      </c>
      <c r="M73" s="43">
        <f t="shared" si="57"/>
        <v>17.843340300293793</v>
      </c>
      <c r="N73" s="43">
        <f t="shared" si="57"/>
        <v>22.301850058581685</v>
      </c>
      <c r="O73" s="43">
        <f t="shared" si="57"/>
        <v>27.948093500327758</v>
      </c>
      <c r="P73" s="51">
        <f t="shared" si="57"/>
        <v>30.257394880750898</v>
      </c>
    </row>
    <row r="74" spans="3:16" ht="12.75" customHeight="1" outlineLevel="1">
      <c r="C74" s="196" t="s">
        <v>164</v>
      </c>
      <c r="D74" s="44">
        <f>D73/D48</f>
        <v>0.23201350305928686</v>
      </c>
      <c r="E74" s="44">
        <f>E73/E48</f>
        <v>0.34006354412216877</v>
      </c>
      <c r="F74" s="44">
        <f>F73/F48</f>
        <v>2.6360734237829213</v>
      </c>
      <c r="G74" s="44">
        <f>G73/G48</f>
        <v>0.60929717764250135</v>
      </c>
      <c r="H74" s="47">
        <v>2.5000000000000001E-2</v>
      </c>
      <c r="I74" s="47">
        <v>1.4E-2</v>
      </c>
      <c r="J74" s="47">
        <v>1.15E-2</v>
      </c>
      <c r="K74" s="47">
        <v>1.2999999999999999E-2</v>
      </c>
      <c r="L74" s="47">
        <v>1.4500000000000001E-2</v>
      </c>
      <c r="M74" s="47">
        <v>1.6E-2</v>
      </c>
      <c r="N74" s="47">
        <v>1.7500000000000002E-2</v>
      </c>
      <c r="O74" s="47">
        <v>1.9E-2</v>
      </c>
      <c r="P74" s="52">
        <v>2.0500000000000001E-2</v>
      </c>
    </row>
    <row r="75" spans="3:16" ht="12.75" customHeight="1" outlineLevel="1">
      <c r="C75" s="190" t="s">
        <v>124</v>
      </c>
      <c r="D75" s="43">
        <f>D22</f>
        <v>14.601000000000001</v>
      </c>
      <c r="E75" s="43">
        <f>E22</f>
        <v>17.366</v>
      </c>
      <c r="F75" s="43">
        <f>F22</f>
        <v>29.053000000000001</v>
      </c>
      <c r="G75" s="43">
        <f>G22</f>
        <v>31.015999999999998</v>
      </c>
      <c r="H75" s="43">
        <f t="shared" ref="H75:P75" si="58">H50*H76</f>
        <v>31.363410000000002</v>
      </c>
      <c r="I75" s="43">
        <f t="shared" si="58"/>
        <v>32.426778812449463</v>
      </c>
      <c r="J75" s="43">
        <f t="shared" si="58"/>
        <v>33.677620446060281</v>
      </c>
      <c r="K75" s="43">
        <f t="shared" si="58"/>
        <v>34.596239656250503</v>
      </c>
      <c r="L75" s="43">
        <f t="shared" si="58"/>
        <v>35.83437110423111</v>
      </c>
      <c r="M75" s="43">
        <f t="shared" si="58"/>
        <v>39.751380428142262</v>
      </c>
      <c r="N75" s="43">
        <f t="shared" si="58"/>
        <v>40.777292206366411</v>
      </c>
      <c r="O75" s="43">
        <f t="shared" si="58"/>
        <v>38.783756258295</v>
      </c>
      <c r="P75" s="51">
        <f t="shared" si="58"/>
        <v>36.61064685715386</v>
      </c>
    </row>
    <row r="76" spans="3:16" ht="12.75" customHeight="1" outlineLevel="1">
      <c r="C76" s="196" t="s">
        <v>167</v>
      </c>
      <c r="D76" s="44">
        <f>D75/D50</f>
        <v>0.15765775493456574</v>
      </c>
      <c r="E76" s="44">
        <f>E75/E50</f>
        <v>0.14097266757044169</v>
      </c>
      <c r="F76" s="44">
        <f>F75/F50</f>
        <v>0.15345975068666809</v>
      </c>
      <c r="G76" s="44">
        <f>G75/G50</f>
        <v>0.15756719822396528</v>
      </c>
      <c r="H76" s="47">
        <v>0.13</v>
      </c>
      <c r="I76" s="47">
        <v>0.1</v>
      </c>
      <c r="J76" s="47">
        <v>8.5000000000000006E-2</v>
      </c>
      <c r="K76" s="47">
        <v>7.4999999999999997E-2</v>
      </c>
      <c r="L76" s="47">
        <v>7.0000000000000007E-2</v>
      </c>
      <c r="M76" s="47">
        <v>6.7500000000000004E-2</v>
      </c>
      <c r="N76" s="47">
        <v>6.5000000000000002E-2</v>
      </c>
      <c r="O76" s="47">
        <v>6.25E-2</v>
      </c>
      <c r="P76" s="52">
        <v>0.06</v>
      </c>
    </row>
    <row r="77" spans="3:16" ht="12.75" customHeight="1" outlineLevel="1">
      <c r="C77" s="190" t="s">
        <v>169</v>
      </c>
      <c r="D77" s="43">
        <f>+D25</f>
        <v>9.8940000000000001</v>
      </c>
      <c r="E77" s="43">
        <f t="shared" ref="E77:F77" si="59">+E25</f>
        <v>1.1850000000000001</v>
      </c>
      <c r="F77" s="43">
        <f t="shared" si="59"/>
        <v>1.2749999999999999</v>
      </c>
      <c r="G77" s="43">
        <f t="shared" ref="G77" si="60">+G25</f>
        <v>1.3049999999999999</v>
      </c>
      <c r="H77" s="43">
        <f t="shared" ref="H77:P77" si="61">H50*H78</f>
        <v>1.4475420000000001</v>
      </c>
      <c r="I77" s="43">
        <f t="shared" si="61"/>
        <v>1.9456067287469676</v>
      </c>
      <c r="J77" s="43">
        <f t="shared" si="61"/>
        <v>2.3772437961924902</v>
      </c>
      <c r="K77" s="43">
        <f t="shared" si="61"/>
        <v>2.7676991725000404</v>
      </c>
      <c r="L77" s="43">
        <f t="shared" si="61"/>
        <v>3.0715175232198093</v>
      </c>
      <c r="M77" s="43">
        <f t="shared" si="61"/>
        <v>3.5334560380570896</v>
      </c>
      <c r="N77" s="43">
        <f t="shared" si="61"/>
        <v>3.7640577421261301</v>
      </c>
      <c r="O77" s="43">
        <f t="shared" si="61"/>
        <v>3.7232406007963199</v>
      </c>
      <c r="P77" s="51">
        <f t="shared" si="61"/>
        <v>3.6610646857153859</v>
      </c>
    </row>
    <row r="78" spans="3:16" ht="12.75" customHeight="1" outlineLevel="1">
      <c r="C78" s="197" t="s">
        <v>167</v>
      </c>
      <c r="D78" s="620">
        <f>D77/D50</f>
        <v>0.10683280784347601</v>
      </c>
      <c r="E78" s="620">
        <f>E77/E50</f>
        <v>9.6195215404222857E-3</v>
      </c>
      <c r="F78" s="620">
        <f>F77/F50</f>
        <v>6.7346291992393826E-3</v>
      </c>
      <c r="G78" s="620">
        <f>G77/G50</f>
        <v>6.6296490096168009E-3</v>
      </c>
      <c r="H78" s="96">
        <v>6.0000000000000001E-3</v>
      </c>
      <c r="I78" s="96">
        <v>6.0000000000000001E-3</v>
      </c>
      <c r="J78" s="96">
        <v>6.0000000000000001E-3</v>
      </c>
      <c r="K78" s="96">
        <v>6.0000000000000001E-3</v>
      </c>
      <c r="L78" s="96">
        <v>6.0000000000000001E-3</v>
      </c>
      <c r="M78" s="96">
        <v>6.0000000000000001E-3</v>
      </c>
      <c r="N78" s="96">
        <v>6.0000000000000001E-3</v>
      </c>
      <c r="O78" s="96">
        <v>6.0000000000000001E-3</v>
      </c>
      <c r="P78" s="387">
        <v>6.0000000000000001E-3</v>
      </c>
    </row>
    <row r="79" spans="3:16" ht="12.75" customHeight="1" outlineLevel="1">
      <c r="C79" s="23"/>
      <c r="D79" s="38"/>
      <c r="E79" s="38"/>
      <c r="F79" s="38"/>
      <c r="G79" s="38"/>
      <c r="H79" s="38"/>
      <c r="I79" s="38"/>
      <c r="J79" s="38"/>
      <c r="K79" s="38"/>
      <c r="L79" s="38"/>
      <c r="M79" s="38"/>
      <c r="N79" s="38"/>
      <c r="O79" s="38"/>
      <c r="P79" s="38"/>
    </row>
    <row r="80" spans="3:16" ht="12.75" customHeight="1" outlineLevel="1">
      <c r="C80" s="192" t="s">
        <v>28</v>
      </c>
      <c r="D80" s="38"/>
      <c r="E80" s="38"/>
      <c r="F80" s="38"/>
      <c r="G80" s="38"/>
      <c r="H80" s="38"/>
      <c r="I80" s="38"/>
      <c r="J80" s="38"/>
      <c r="K80" s="38"/>
      <c r="L80" s="38"/>
      <c r="M80" s="38"/>
      <c r="N80" s="38"/>
      <c r="O80" s="38"/>
      <c r="P80" s="38"/>
    </row>
    <row r="81" spans="3:16" ht="12.75" customHeight="1" outlineLevel="1">
      <c r="C81" s="198" t="s">
        <v>217</v>
      </c>
      <c r="D81" s="49">
        <v>3.3969999999999998</v>
      </c>
      <c r="E81" s="49">
        <f>+D86</f>
        <v>15.048999999999999</v>
      </c>
      <c r="F81" s="49">
        <f>E86</f>
        <v>38.500999999999998</v>
      </c>
      <c r="G81" s="49">
        <f t="shared" ref="G81:H81" si="62">F86</f>
        <v>37.344000000000001</v>
      </c>
      <c r="H81" s="49">
        <f t="shared" si="62"/>
        <v>37.801000000000002</v>
      </c>
      <c r="I81" s="49">
        <f t="shared" ref="I81:P81" si="63">H86</f>
        <v>43.155999999999999</v>
      </c>
      <c r="J81" s="49">
        <f t="shared" si="63"/>
        <v>49.590798655003297</v>
      </c>
      <c r="K81" s="49">
        <f t="shared" si="63"/>
        <v>55.187882563928078</v>
      </c>
      <c r="L81" s="49">
        <f t="shared" si="63"/>
        <v>61.370761506979051</v>
      </c>
      <c r="M81" s="49">
        <f t="shared" si="63"/>
        <v>67.929494782118311</v>
      </c>
      <c r="N81" s="49">
        <f t="shared" si="63"/>
        <v>73.54612929733716</v>
      </c>
      <c r="O81" s="49">
        <f t="shared" si="63"/>
        <v>78.940258060381638</v>
      </c>
      <c r="P81" s="50">
        <f t="shared" si="63"/>
        <v>86.264016586155904</v>
      </c>
    </row>
    <row r="82" spans="3:16" ht="12.75" customHeight="1" outlineLevel="1">
      <c r="C82" s="190" t="s">
        <v>170</v>
      </c>
      <c r="D82" s="43">
        <f t="shared" ref="D82" si="64">-D54</f>
        <v>2.37</v>
      </c>
      <c r="E82" s="43">
        <f>-E54</f>
        <v>25.443999999999999</v>
      </c>
      <c r="F82" s="43">
        <f>-F54</f>
        <v>3.4009999999999998</v>
      </c>
      <c r="G82" s="43">
        <f t="shared" ref="G82:H82" si="65">-G54</f>
        <v>5.3410000000000002</v>
      </c>
      <c r="H82" s="43">
        <f t="shared" si="65"/>
        <v>12</v>
      </c>
      <c r="I82" s="43">
        <f t="shared" ref="I82:P82" si="66">I83*I48</f>
        <v>13.304965510529792</v>
      </c>
      <c r="J82" s="43">
        <f t="shared" si="66"/>
        <v>13.656702296818695</v>
      </c>
      <c r="K82" s="43">
        <f t="shared" si="66"/>
        <v>14.720724528283341</v>
      </c>
      <c r="L82" s="43">
        <f t="shared" si="66"/>
        <v>15.262515495218109</v>
      </c>
      <c r="M82" s="43">
        <f t="shared" si="66"/>
        <v>16.728131531525431</v>
      </c>
      <c r="N82" s="43">
        <f t="shared" si="66"/>
        <v>19.115871478784296</v>
      </c>
      <c r="O82" s="43">
        <f t="shared" si="66"/>
        <v>22.064284342364019</v>
      </c>
      <c r="P82" s="51">
        <f t="shared" si="66"/>
        <v>22.139557229817729</v>
      </c>
    </row>
    <row r="83" spans="3:16" ht="12.75" customHeight="1" outlineLevel="1">
      <c r="C83" s="196" t="s">
        <v>163</v>
      </c>
      <c r="D83" s="340">
        <f t="shared" ref="D83" si="67">D82/D48</f>
        <v>0.16667838807229765</v>
      </c>
      <c r="E83" s="340">
        <f>E82/E48</f>
        <v>2.6077687813877222</v>
      </c>
      <c r="F83" s="340">
        <f>F82/F48</f>
        <v>2.7142857142857144</v>
      </c>
      <c r="G83" s="340">
        <f t="shared" ref="G83:H83" si="68">G82/G48</f>
        <v>0.98524257517063274</v>
      </c>
      <c r="H83" s="340">
        <f t="shared" si="68"/>
        <v>7.76276975624903E-2</v>
      </c>
      <c r="I83" s="47">
        <v>4.4999999999999998E-2</v>
      </c>
      <c r="J83" s="47">
        <v>0.03</v>
      </c>
      <c r="K83" s="47">
        <v>2.5000000000000001E-2</v>
      </c>
      <c r="L83" s="47">
        <v>0.02</v>
      </c>
      <c r="M83" s="47">
        <v>1.4999999999999999E-2</v>
      </c>
      <c r="N83" s="47">
        <v>1.4999999999999999E-2</v>
      </c>
      <c r="O83" s="47">
        <v>1.4999999999999999E-2</v>
      </c>
      <c r="P83" s="52">
        <v>1.4999999999999999E-2</v>
      </c>
    </row>
    <row r="84" spans="3:16" ht="12.75" customHeight="1" outlineLevel="1">
      <c r="C84" s="190" t="s">
        <v>171</v>
      </c>
      <c r="D84" s="43">
        <f>-CF!C8</f>
        <v>-1.2769999999999999</v>
      </c>
      <c r="E84" s="43">
        <f>-CF!D8</f>
        <v>-3.69</v>
      </c>
      <c r="F84" s="43">
        <f>-CF!E8</f>
        <v>-5.2469999999999999</v>
      </c>
      <c r="G84" s="43">
        <f>-CF!F8</f>
        <v>-5.6909999999999998</v>
      </c>
      <c r="H84" s="43">
        <f>-CF!G8</f>
        <v>-8.0920000000000005</v>
      </c>
      <c r="I84" s="43">
        <f>-CF!H8</f>
        <v>-6.8701668555264899</v>
      </c>
      <c r="J84" s="43">
        <f>-CF!I8</f>
        <v>-8.0596183878939147</v>
      </c>
      <c r="K84" s="43">
        <f>-CF!J8</f>
        <v>-8.5378455852323576</v>
      </c>
      <c r="L84" s="43">
        <f>-CF!K8</f>
        <v>-8.703782220078855</v>
      </c>
      <c r="M84" s="43">
        <f>-CF!L8</f>
        <v>-11.111497016306588</v>
      </c>
      <c r="N84" s="43">
        <f>-CF!M8</f>
        <v>-13.721742715739817</v>
      </c>
      <c r="O84" s="43">
        <f>-CF!N8</f>
        <v>-14.740525816589747</v>
      </c>
      <c r="P84" s="51">
        <f>-CF!O8</f>
        <v>-12.591108094375803</v>
      </c>
    </row>
    <row r="85" spans="3:16" ht="12.75" customHeight="1" outlineLevel="1">
      <c r="C85" s="190" t="s">
        <v>172</v>
      </c>
      <c r="D85" s="341">
        <f>+D86-D81-D82-D84</f>
        <v>10.558999999999999</v>
      </c>
      <c r="E85" s="341">
        <f t="shared" ref="E85:F85" si="69">+E86-E81-E82-E84</f>
        <v>1.6979999999999991</v>
      </c>
      <c r="F85" s="341">
        <f t="shared" si="69"/>
        <v>0.68900000000000361</v>
      </c>
      <c r="G85" s="341">
        <f t="shared" ref="G85:H85" si="70">+G86-G81-G82-G84</f>
        <v>0.80700000000000038</v>
      </c>
      <c r="H85" s="341">
        <f t="shared" si="70"/>
        <v>1.4469999999999974</v>
      </c>
      <c r="I85" s="48">
        <v>0</v>
      </c>
      <c r="J85" s="48">
        <v>0</v>
      </c>
      <c r="K85" s="48">
        <v>0</v>
      </c>
      <c r="L85" s="48">
        <v>0</v>
      </c>
      <c r="M85" s="48">
        <v>0</v>
      </c>
      <c r="N85" s="48">
        <v>0</v>
      </c>
      <c r="O85" s="48">
        <v>0</v>
      </c>
      <c r="P85" s="53">
        <v>0</v>
      </c>
    </row>
    <row r="86" spans="3:16" ht="12.75" customHeight="1" outlineLevel="1">
      <c r="C86" s="199" t="s">
        <v>173</v>
      </c>
      <c r="D86" s="54">
        <f t="shared" ref="D86" si="71">D16</f>
        <v>15.048999999999999</v>
      </c>
      <c r="E86" s="54">
        <f>E16</f>
        <v>38.500999999999998</v>
      </c>
      <c r="F86" s="54">
        <f>F16</f>
        <v>37.344000000000001</v>
      </c>
      <c r="G86" s="54">
        <f t="shared" ref="G86:H86" si="72">G16</f>
        <v>37.801000000000002</v>
      </c>
      <c r="H86" s="54">
        <f t="shared" si="72"/>
        <v>43.155999999999999</v>
      </c>
      <c r="I86" s="54">
        <f t="shared" ref="I86:P86" si="73">I81+I82+I84+I85</f>
        <v>49.590798655003297</v>
      </c>
      <c r="J86" s="54">
        <f t="shared" si="73"/>
        <v>55.187882563928078</v>
      </c>
      <c r="K86" s="54">
        <f t="shared" si="73"/>
        <v>61.370761506979051</v>
      </c>
      <c r="L86" s="54">
        <f t="shared" si="73"/>
        <v>67.929494782118311</v>
      </c>
      <c r="M86" s="54">
        <f t="shared" si="73"/>
        <v>73.54612929733716</v>
      </c>
      <c r="N86" s="54">
        <f t="shared" si="73"/>
        <v>78.940258060381638</v>
      </c>
      <c r="O86" s="54">
        <f t="shared" si="73"/>
        <v>86.264016586155904</v>
      </c>
      <c r="P86" s="55">
        <f t="shared" si="73"/>
        <v>95.812465721597832</v>
      </c>
    </row>
    <row r="87" spans="3:16" ht="12.75" customHeight="1" outlineLevel="1">
      <c r="C87" s="97"/>
      <c r="D87" s="38"/>
      <c r="E87" s="38"/>
      <c r="F87" s="38"/>
      <c r="G87" s="38"/>
      <c r="H87" s="38"/>
      <c r="I87" s="38"/>
      <c r="J87" s="38"/>
      <c r="K87" s="38"/>
      <c r="L87" s="38"/>
      <c r="M87" s="38"/>
      <c r="N87" s="38"/>
      <c r="O87" s="38"/>
      <c r="P87" s="38"/>
    </row>
    <row r="88" spans="3:16" ht="12.75" customHeight="1" outlineLevel="1">
      <c r="C88" s="192" t="s">
        <v>147</v>
      </c>
      <c r="D88" s="38"/>
      <c r="E88" s="38">
        <v>10</v>
      </c>
      <c r="F88" s="38"/>
      <c r="G88" s="38"/>
      <c r="H88" s="38"/>
      <c r="I88" s="38"/>
      <c r="J88" s="38"/>
      <c r="K88" s="38"/>
      <c r="L88" s="38"/>
      <c r="M88" s="38"/>
      <c r="N88" s="38"/>
      <c r="O88" s="38"/>
      <c r="P88" s="38"/>
    </row>
    <row r="89" spans="3:16" ht="12.75" customHeight="1" outlineLevel="1">
      <c r="C89" s="200"/>
      <c r="D89" s="45"/>
      <c r="E89" s="45"/>
      <c r="F89" s="45"/>
      <c r="G89" s="45"/>
      <c r="H89" s="45"/>
      <c r="I89" s="45"/>
      <c r="J89" s="45"/>
      <c r="K89" s="45"/>
      <c r="L89" s="45"/>
      <c r="M89" s="45"/>
      <c r="N89" s="45"/>
      <c r="O89" s="45"/>
      <c r="P89" s="46"/>
    </row>
    <row r="90" spans="3:16" ht="12.75" customHeight="1" outlineLevel="1">
      <c r="C90" s="190" t="s">
        <v>34</v>
      </c>
      <c r="D90" s="57"/>
      <c r="E90" s="342">
        <f>E103-SUM(E91:E98)</f>
        <v>2.4177999999999997</v>
      </c>
      <c r="F90" s="342">
        <f>E90-E90*(1/$E$88)</f>
        <v>2.1760199999999998</v>
      </c>
      <c r="G90" s="342">
        <f t="shared" ref="G90:P90" si="74">F90-F90*(1/$E$88)</f>
        <v>1.9584179999999998</v>
      </c>
      <c r="H90" s="342">
        <f t="shared" si="74"/>
        <v>1.7625761999999998</v>
      </c>
      <c r="I90" s="342">
        <f t="shared" si="74"/>
        <v>1.5863185799999999</v>
      </c>
      <c r="J90" s="342">
        <f t="shared" si="74"/>
        <v>1.4276867219999998</v>
      </c>
      <c r="K90" s="342">
        <f t="shared" si="74"/>
        <v>1.2849180497999999</v>
      </c>
      <c r="L90" s="342">
        <f t="shared" si="74"/>
        <v>1.15642624482</v>
      </c>
      <c r="M90" s="342">
        <f t="shared" si="74"/>
        <v>1.0407836203380001</v>
      </c>
      <c r="N90" s="342">
        <f t="shared" si="74"/>
        <v>0.93670525830420004</v>
      </c>
      <c r="O90" s="342">
        <f t="shared" si="74"/>
        <v>0.84303473247378002</v>
      </c>
      <c r="P90" s="343">
        <f t="shared" si="74"/>
        <v>0.75873125922640205</v>
      </c>
    </row>
    <row r="91" spans="3:16" ht="12.75" customHeight="1" outlineLevel="1">
      <c r="C91" s="190" t="s">
        <v>174</v>
      </c>
      <c r="D91" s="43"/>
      <c r="E91" s="344">
        <f>E$82/$E$88/2</f>
        <v>1.2722</v>
      </c>
      <c r="F91" s="344">
        <f>MAX(0,MIN($E$91*2,F$82-SUM($E91:E91)))</f>
        <v>2.1288</v>
      </c>
      <c r="G91" s="344">
        <f>MAX(0,MIN($E$91*2,G$82-SUM($E91:F91)))</f>
        <v>1.9400000000000004</v>
      </c>
      <c r="H91" s="344">
        <f>MAX(0,MIN($E$91*2,H$82-SUM($E91:G91)))</f>
        <v>2.5444</v>
      </c>
      <c r="I91" s="344">
        <f>MAX(0,MIN($E$91*2,I$82-SUM($E91:H91)))</f>
        <v>2.5444</v>
      </c>
      <c r="J91" s="344">
        <f>MAX(0,MIN($E$91*2,J$82-SUM($E91:I91)))</f>
        <v>2.5444</v>
      </c>
      <c r="K91" s="344">
        <f>MAX(0,MIN($E$91*2,K$82-SUM($E91:J91)))</f>
        <v>1.7465245282833415</v>
      </c>
      <c r="L91" s="344">
        <f>MAX(0,MIN($E$91*2,L$82-SUM($E91:K91)))</f>
        <v>0.54179096693476758</v>
      </c>
      <c r="M91" s="344">
        <f>MAX(0,MIN($E$91*2,M$82-SUM($E91:L91)))</f>
        <v>1.4656160363073223</v>
      </c>
      <c r="N91" s="344">
        <f>MAX(0,MIN($E$91*2,N$82-SUM($E91:M91)))</f>
        <v>2.387739947258865</v>
      </c>
      <c r="O91" s="344">
        <f>MAX(0,MIN($E$91*2,O$82-SUM($E91:N91)))</f>
        <v>2.5444</v>
      </c>
      <c r="P91" s="345">
        <f>MAX(0,MIN($E$91*2,P$82-SUM($E91:O91)))</f>
        <v>0.47928575103343363</v>
      </c>
    </row>
    <row r="92" spans="3:16" ht="12.75" customHeight="1" outlineLevel="1">
      <c r="C92" s="190" t="s">
        <v>175</v>
      </c>
      <c r="D92" s="43"/>
      <c r="E92" s="344"/>
      <c r="F92" s="344">
        <f>F$82/$E$88/2</f>
        <v>0.17004999999999998</v>
      </c>
      <c r="G92" s="344">
        <f>MAX(0,MIN($F$92*2,G$82-SUM($F92:F92)))</f>
        <v>0.34009999999999996</v>
      </c>
      <c r="H92" s="344">
        <f>MAX(0,MIN($F$92*2,H$82-SUM($F92:G92)))</f>
        <v>0.34009999999999996</v>
      </c>
      <c r="I92" s="344">
        <f>MAX(0,MIN($F$92*2,I$82-SUM($F92:H92)))</f>
        <v>0.34009999999999996</v>
      </c>
      <c r="J92" s="344">
        <f>MAX(0,MIN($F$92*2,J$82-SUM($F92:I92)))</f>
        <v>0.34009999999999996</v>
      </c>
      <c r="K92" s="344">
        <f>MAX(0,MIN($F$92*2,K$82-SUM($F92:J92)))</f>
        <v>0.34009999999999996</v>
      </c>
      <c r="L92" s="344">
        <f>MAX(0,MIN($F$92*2,L$82-SUM($F92:K92)))</f>
        <v>0.34009999999999996</v>
      </c>
      <c r="M92" s="344">
        <f>MAX(0,MIN($F$92*2,M$82-SUM($F92:L92)))</f>
        <v>0.34009999999999996</v>
      </c>
      <c r="N92" s="344">
        <f>MAX(0,MIN($F$92*2,N$82-SUM($F92:M92)))</f>
        <v>0.34009999999999996</v>
      </c>
      <c r="O92" s="344">
        <f>MAX(0,MIN($F$92*2,O$82-SUM($F92:N92)))</f>
        <v>0.34009999999999996</v>
      </c>
      <c r="P92" s="345">
        <f>MAX(0,MIN($F$92*2,P$82-SUM($F92:O92)))</f>
        <v>0.34009999999999996</v>
      </c>
    </row>
    <row r="93" spans="3:16" ht="12.75" customHeight="1" outlineLevel="1">
      <c r="C93" s="190" t="s">
        <v>176</v>
      </c>
      <c r="D93" s="43"/>
      <c r="E93" s="344"/>
      <c r="F93" s="344"/>
      <c r="G93" s="344">
        <f>G$82/$E$88/2</f>
        <v>0.26705000000000001</v>
      </c>
      <c r="H93" s="344">
        <f>MAX(0,MIN($G$93*2,H$82-SUM($G93:G93)))</f>
        <v>0.53410000000000002</v>
      </c>
      <c r="I93" s="344">
        <f>MAX(0,MIN($G$93*2,I$82-SUM($G93:H93)))</f>
        <v>0.53410000000000002</v>
      </c>
      <c r="J93" s="344">
        <f>MAX(0,MIN($G$93*2,J$82-SUM($G93:I93)))</f>
        <v>0.53410000000000002</v>
      </c>
      <c r="K93" s="344">
        <f>MAX(0,MIN($G$93*2,K$82-SUM($G93:J93)))</f>
        <v>0.53410000000000002</v>
      </c>
      <c r="L93" s="344">
        <f>MAX(0,MIN($G$93*2,L$82-SUM($G93:K93)))</f>
        <v>0.53410000000000002</v>
      </c>
      <c r="M93" s="344">
        <f>MAX(0,MIN($G$93*2,M$82-SUM($G93:L93)))</f>
        <v>0.53410000000000002</v>
      </c>
      <c r="N93" s="344">
        <f>MAX(0,MIN($G$93*2,N$82-SUM($G93:M93)))</f>
        <v>0.53410000000000002</v>
      </c>
      <c r="O93" s="344">
        <f>MAX(0,MIN($G$93*2,O$82-SUM($G93:N93)))</f>
        <v>0.53410000000000002</v>
      </c>
      <c r="P93" s="345">
        <f>MAX(0,MIN($G$93*2,P$82-SUM($G93:O93)))</f>
        <v>0.53410000000000002</v>
      </c>
    </row>
    <row r="94" spans="3:16" ht="12.75" customHeight="1" outlineLevel="1">
      <c r="C94" s="190" t="s">
        <v>177</v>
      </c>
      <c r="D94" s="38"/>
      <c r="E94" s="342"/>
      <c r="F94" s="342"/>
      <c r="G94" s="342"/>
      <c r="H94" s="344">
        <f>H$82/$E$88/2</f>
        <v>0.6</v>
      </c>
      <c r="I94" s="344">
        <f>MAX(0,MIN($H$94*2,I$82-SUM($H94:H94)))</f>
        <v>1.2</v>
      </c>
      <c r="J94" s="344">
        <f>MAX(0,MIN($H$94*2,J$82-SUM($H94:I94)))</f>
        <v>1.2</v>
      </c>
      <c r="K94" s="344">
        <f>MAX(0,MIN($H$94*2,K$82-SUM($H94:J94)))</f>
        <v>1.2</v>
      </c>
      <c r="L94" s="344">
        <f>MAX(0,MIN($H$94*2,L$82-SUM($H94:K94)))</f>
        <v>1.2</v>
      </c>
      <c r="M94" s="344">
        <f>MAX(0,MIN($H$94*2,M$82-SUM($H94:L94)))</f>
        <v>1.2</v>
      </c>
      <c r="N94" s="344">
        <f>MAX(0,MIN($H$94*2,N$82-SUM($H94:M94)))</f>
        <v>1.2</v>
      </c>
      <c r="O94" s="344">
        <f>MAX(0,MIN($H$94*2,O$82-SUM($H94:N94)))</f>
        <v>1.2</v>
      </c>
      <c r="P94" s="345">
        <f>MAX(0,MIN($H$94*2,P$82-SUM($H94:O94)))</f>
        <v>1.2</v>
      </c>
    </row>
    <row r="95" spans="3:16" ht="12.75" customHeight="1" outlineLevel="1">
      <c r="C95" s="190" t="s">
        <v>178</v>
      </c>
      <c r="D95" s="38"/>
      <c r="E95" s="342"/>
      <c r="F95" s="342"/>
      <c r="G95" s="342"/>
      <c r="H95" s="342"/>
      <c r="I95" s="344">
        <f>I$82/$E$88/2</f>
        <v>0.66524827552648957</v>
      </c>
      <c r="J95" s="344">
        <f>MAX(0,MIN($I$95*2,J$82-SUM($I95:I95)))</f>
        <v>1.3304965510529791</v>
      </c>
      <c r="K95" s="344">
        <f>MAX(0,MIN($I$95*2,K$82-SUM($I95:J95)))</f>
        <v>1.3304965510529791</v>
      </c>
      <c r="L95" s="344">
        <f>MAX(0,MIN($I$95*2,L$82-SUM($I95:K95)))</f>
        <v>1.3304965510529791</v>
      </c>
      <c r="M95" s="344">
        <f>MAX(0,MIN($I$95*2,M$82-SUM($I95:L95)))</f>
        <v>1.3304965510529791</v>
      </c>
      <c r="N95" s="344">
        <f>MAX(0,MIN($I$95*2,N$82-SUM($I95:M95)))</f>
        <v>1.3304965510529791</v>
      </c>
      <c r="O95" s="344">
        <f>MAX(0,MIN($I$95*2,O$82-SUM($I95:N95)))</f>
        <v>1.3304965510529791</v>
      </c>
      <c r="P95" s="345">
        <f>MAX(0,MIN($I$95*2,P$82-SUM($I95:O95)))</f>
        <v>1.3304965510529791</v>
      </c>
    </row>
    <row r="96" spans="3:16" ht="12.75" customHeight="1" outlineLevel="1">
      <c r="C96" s="190" t="s">
        <v>179</v>
      </c>
      <c r="D96" s="38"/>
      <c r="E96" s="342"/>
      <c r="F96" s="342"/>
      <c r="G96" s="342"/>
      <c r="H96" s="342"/>
      <c r="I96" s="342"/>
      <c r="J96" s="344">
        <f>J$82/$E$88/2</f>
        <v>0.68283511484093473</v>
      </c>
      <c r="K96" s="344">
        <f>MAX(0,MIN($J$96*2,K$82-SUM($J96:J96)))</f>
        <v>1.3656702296818695</v>
      </c>
      <c r="L96" s="344">
        <f>MAX(0,MIN($J$96*2,L$82-SUM($J96:K96)))</f>
        <v>1.3656702296818695</v>
      </c>
      <c r="M96" s="344">
        <f>MAX(0,MIN($J$96*2,M$82-SUM($J96:L96)))</f>
        <v>1.3656702296818695</v>
      </c>
      <c r="N96" s="344">
        <f>MAX(0,MIN($J$96*2,N$82-SUM($J96:M96)))</f>
        <v>1.3656702296818695</v>
      </c>
      <c r="O96" s="344">
        <f>MAX(0,MIN($J$96*2,O$82-SUM($J96:N96)))</f>
        <v>1.3656702296818695</v>
      </c>
      <c r="P96" s="345">
        <f>MAX(0,MIN($J$96*2,P$82-SUM($J96:O96)))</f>
        <v>1.3656702296818695</v>
      </c>
    </row>
    <row r="97" spans="3:16" ht="12.75" customHeight="1" outlineLevel="1">
      <c r="C97" s="190" t="s">
        <v>180</v>
      </c>
      <c r="D97" s="38"/>
      <c r="E97" s="342"/>
      <c r="F97" s="342"/>
      <c r="G97" s="342"/>
      <c r="H97" s="342"/>
      <c r="I97" s="342"/>
      <c r="J97" s="342"/>
      <c r="K97" s="344">
        <f>K$82/$E$88/2</f>
        <v>0.73603622641416711</v>
      </c>
      <c r="L97" s="344">
        <f>MAX(0,MIN($K$97*2,L$82-SUM($K97:K97)))</f>
        <v>1.4720724528283342</v>
      </c>
      <c r="M97" s="344">
        <f>MAX(0,MIN($K$97*2,M$82-SUM($K97:L97)))</f>
        <v>1.4720724528283342</v>
      </c>
      <c r="N97" s="344">
        <f>MAX(0,MIN($K$97*2,N$82-SUM($K97:M97)))</f>
        <v>1.4720724528283342</v>
      </c>
      <c r="O97" s="344">
        <f>MAX(0,MIN($K$97*2,O$82-SUM($K97:N97)))</f>
        <v>1.4720724528283342</v>
      </c>
      <c r="P97" s="345">
        <f>MAX(0,MIN($K$97*2,P$82-SUM($K97:O97)))</f>
        <v>1.4720724528283342</v>
      </c>
    </row>
    <row r="98" spans="3:16" ht="12.75" customHeight="1" outlineLevel="1">
      <c r="C98" s="190" t="s">
        <v>182</v>
      </c>
      <c r="D98" s="38"/>
      <c r="E98" s="342"/>
      <c r="F98" s="342"/>
      <c r="G98" s="342"/>
      <c r="H98" s="342"/>
      <c r="I98" s="342"/>
      <c r="J98" s="342"/>
      <c r="K98" s="342"/>
      <c r="L98" s="344">
        <f>L$82/$E$88/2</f>
        <v>0.76312577476090548</v>
      </c>
      <c r="M98" s="344">
        <f>MAX(0,MIN($L$98*2,M$82-SUM($L98:L98)))</f>
        <v>1.526251549521811</v>
      </c>
      <c r="N98" s="344">
        <f>MAX(0,MIN($L$98*2,N$82-SUM($L98:M98)))</f>
        <v>1.526251549521811</v>
      </c>
      <c r="O98" s="344">
        <f>MAX(0,MIN($L$98*2,O$82-SUM($L98:N98)))</f>
        <v>1.526251549521811</v>
      </c>
      <c r="P98" s="345">
        <f>MAX(0,MIN($L$98*2,P$82-SUM($L98:O98)))</f>
        <v>1.526251549521811</v>
      </c>
    </row>
    <row r="99" spans="3:16" ht="12.75" customHeight="1" outlineLevel="1">
      <c r="C99" s="190" t="s">
        <v>224</v>
      </c>
      <c r="D99" s="38"/>
      <c r="E99" s="342"/>
      <c r="F99" s="342"/>
      <c r="G99" s="342"/>
      <c r="H99" s="342"/>
      <c r="I99" s="342"/>
      <c r="J99" s="342"/>
      <c r="K99" s="342"/>
      <c r="L99" s="344"/>
      <c r="M99" s="344">
        <f>M$82/$E$88/2</f>
        <v>0.8364065765762716</v>
      </c>
      <c r="N99" s="344">
        <f>MAX(0,MIN($M$99*2,N$82-SUM($M99:M99)))</f>
        <v>1.6728131531525432</v>
      </c>
      <c r="O99" s="344">
        <f>MAX(0,MIN($M$99*2,O$82-SUM($M99:N99)))</f>
        <v>1.6728131531525432</v>
      </c>
      <c r="P99" s="345">
        <f>MAX(0,MIN($M$99*2,P$82-SUM($M99:O99)))</f>
        <v>1.6728131531525432</v>
      </c>
    </row>
    <row r="100" spans="3:16" ht="12.75" customHeight="1" outlineLevel="1">
      <c r="C100" s="190" t="s">
        <v>225</v>
      </c>
      <c r="D100" s="38"/>
      <c r="E100" s="342"/>
      <c r="F100" s="342"/>
      <c r="G100" s="342"/>
      <c r="H100" s="342"/>
      <c r="I100" s="342"/>
      <c r="J100" s="342"/>
      <c r="K100" s="342"/>
      <c r="L100" s="344"/>
      <c r="M100" s="344"/>
      <c r="N100" s="344">
        <f>N$82/$E$88/2</f>
        <v>0.95579357393921482</v>
      </c>
      <c r="O100" s="344">
        <f>MAX(0,MIN($N$100*2,O$82-SUM($N100:N100)))</f>
        <v>1.9115871478784296</v>
      </c>
      <c r="P100" s="345">
        <f>MAX(0,MIN($N$100*2,P$82-SUM($N100:O100)))</f>
        <v>1.9115871478784296</v>
      </c>
    </row>
    <row r="101" spans="3:16" ht="12.75" customHeight="1" outlineLevel="1">
      <c r="C101" s="190" t="s">
        <v>325</v>
      </c>
      <c r="D101" s="38"/>
      <c r="E101" s="342"/>
      <c r="F101" s="342"/>
      <c r="G101" s="342"/>
      <c r="H101" s="342"/>
      <c r="I101" s="342"/>
      <c r="J101" s="342"/>
      <c r="K101" s="342"/>
      <c r="L101" s="344"/>
      <c r="M101" s="344"/>
      <c r="N101" s="344"/>
      <c r="O101" s="344">
        <f>O$82/$E$88/2</f>
        <v>1.1032142171182009</v>
      </c>
      <c r="P101" s="345">
        <f>MAX(0,MIN($O$101*2,P$82-SUM($O101:O101)))</f>
        <v>2.2064284342364018</v>
      </c>
    </row>
    <row r="102" spans="3:16" ht="12.75" customHeight="1" outlineLevel="1">
      <c r="C102" s="190" t="s">
        <v>326</v>
      </c>
      <c r="D102" s="38"/>
      <c r="E102" s="342"/>
      <c r="F102" s="342"/>
      <c r="G102" s="342"/>
      <c r="H102" s="342"/>
      <c r="I102" s="342"/>
      <c r="J102" s="342"/>
      <c r="K102" s="342"/>
      <c r="L102" s="344"/>
      <c r="M102" s="344"/>
      <c r="N102" s="344"/>
      <c r="O102" s="344"/>
      <c r="P102" s="345">
        <f>P$82/$E$88/2</f>
        <v>1.1069778614908865</v>
      </c>
    </row>
    <row r="103" spans="3:16" ht="12.75" customHeight="1" outlineLevel="1">
      <c r="C103" s="201" t="s">
        <v>181</v>
      </c>
      <c r="D103" s="56"/>
      <c r="E103" s="346">
        <f>-E84</f>
        <v>3.69</v>
      </c>
      <c r="F103" s="346">
        <f t="shared" ref="F103:M103" si="75">SUM(F90:F100)</f>
        <v>4.4748699999999992</v>
      </c>
      <c r="G103" s="346">
        <f t="shared" si="75"/>
        <v>4.5055680000000002</v>
      </c>
      <c r="H103" s="346">
        <f t="shared" si="75"/>
        <v>5.7811761999999991</v>
      </c>
      <c r="I103" s="346">
        <f t="shared" si="75"/>
        <v>6.8701668555264899</v>
      </c>
      <c r="J103" s="346">
        <f t="shared" si="75"/>
        <v>8.0596183878939147</v>
      </c>
      <c r="K103" s="346">
        <f t="shared" si="75"/>
        <v>8.5378455852323576</v>
      </c>
      <c r="L103" s="346">
        <f t="shared" si="75"/>
        <v>8.703782220078855</v>
      </c>
      <c r="M103" s="346">
        <f t="shared" si="75"/>
        <v>11.111497016306588</v>
      </c>
      <c r="N103" s="346">
        <f>SUM(N90:N100)</f>
        <v>13.721742715739817</v>
      </c>
      <c r="O103" s="346">
        <f t="shared" ref="O103" si="76">SUM(O90:O100)</f>
        <v>14.740525816589747</v>
      </c>
      <c r="P103" s="347">
        <f>SUM(P90:P100)</f>
        <v>12.591108094375803</v>
      </c>
    </row>
    <row r="104" spans="3:16" ht="12.75" customHeight="1" outlineLevel="1">
      <c r="C104" s="23"/>
      <c r="D104" s="38"/>
      <c r="E104" s="38"/>
      <c r="F104" s="38"/>
      <c r="G104" s="38"/>
      <c r="H104" s="38"/>
      <c r="I104" s="38"/>
      <c r="J104" s="38"/>
      <c r="K104" s="38"/>
      <c r="L104" s="38"/>
      <c r="M104" s="38"/>
      <c r="N104" s="38"/>
      <c r="O104" s="38"/>
    </row>
    <row r="116" spans="1:29" customFormat="1"/>
    <row r="117" spans="1:29">
      <c r="C117" s="176" t="s">
        <v>246</v>
      </c>
    </row>
    <row r="118" spans="1:29">
      <c r="C118" s="159" t="s">
        <v>248</v>
      </c>
      <c r="D118" s="129" t="s">
        <v>249</v>
      </c>
      <c r="E118" s="129" t="s">
        <v>249</v>
      </c>
      <c r="F118" s="129" t="s">
        <v>249</v>
      </c>
      <c r="G118" s="129" t="s">
        <v>249</v>
      </c>
      <c r="H118" s="129" t="s">
        <v>249</v>
      </c>
      <c r="I118" s="129" t="s">
        <v>249</v>
      </c>
      <c r="J118" s="129" t="s">
        <v>249</v>
      </c>
      <c r="K118" s="129" t="s">
        <v>249</v>
      </c>
      <c r="L118" s="129" t="s">
        <v>249</v>
      </c>
      <c r="M118" s="129" t="s">
        <v>249</v>
      </c>
      <c r="N118" s="129" t="s">
        <v>249</v>
      </c>
      <c r="O118" s="129" t="s">
        <v>249</v>
      </c>
      <c r="P118" s="129" t="s">
        <v>249</v>
      </c>
    </row>
    <row r="119" spans="1:29" s="14" customFormat="1" ht="12.75" customHeight="1">
      <c r="A119" s="15"/>
      <c r="B119" s="15"/>
      <c r="C119" s="178" t="s">
        <v>68</v>
      </c>
      <c r="D119" s="202">
        <v>0</v>
      </c>
      <c r="E119" s="202">
        <v>0</v>
      </c>
      <c r="F119" s="202">
        <v>0</v>
      </c>
      <c r="G119" s="202">
        <v>0</v>
      </c>
      <c r="H119" s="202">
        <v>0</v>
      </c>
      <c r="I119" s="202">
        <v>0</v>
      </c>
      <c r="J119" s="202">
        <v>0</v>
      </c>
      <c r="K119" s="202">
        <v>0</v>
      </c>
      <c r="L119" s="202">
        <v>0</v>
      </c>
      <c r="M119" s="202">
        <v>0</v>
      </c>
      <c r="N119" s="202">
        <v>0</v>
      </c>
      <c r="O119" s="202">
        <v>0</v>
      </c>
      <c r="P119" s="202">
        <v>0</v>
      </c>
      <c r="Q119" s="16"/>
      <c r="R119" s="16"/>
      <c r="S119" s="16"/>
      <c r="T119" s="16"/>
      <c r="U119" s="16"/>
      <c r="V119"/>
      <c r="W119"/>
      <c r="X119"/>
      <c r="Y119"/>
      <c r="Z119"/>
      <c r="AA119"/>
      <c r="AB119" s="16"/>
      <c r="AC119" s="16"/>
    </row>
  </sheetData>
  <phoneticPr fontId="8" type="noConversion"/>
  <pageMargins left="0" right="0" top="0" bottom="0" header="0" footer="0"/>
  <pageSetup paperSize="5" scale="41"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BN167"/>
  <sheetViews>
    <sheetView showGridLines="0" zoomScale="85" zoomScaleNormal="85" workbookViewId="0">
      <pane xSplit="4" ySplit="1" topLeftCell="E2" activePane="bottomRight" state="frozen"/>
      <selection pane="topRight" activeCell="E1" sqref="E1"/>
      <selection pane="bottomLeft" activeCell="A2" sqref="A2"/>
      <selection pane="bottomRight" activeCell="O40" sqref="B2:O40"/>
    </sheetView>
  </sheetViews>
  <sheetFormatPr defaultRowHeight="12.75"/>
  <cols>
    <col min="1" max="1" width="2.28515625" style="26" customWidth="1"/>
    <col min="2" max="2" width="71.85546875" style="26" bestFit="1" customWidth="1"/>
    <col min="3" max="14" width="9.7109375" style="28" customWidth="1"/>
    <col min="15" max="20" width="9.140625" style="26" customWidth="1"/>
    <col min="21" max="21" width="9.140625" style="26"/>
    <col min="22" max="22" width="36.85546875" customWidth="1"/>
    <col min="28" max="66" width="9.140625" style="26"/>
    <col min="67" max="16384" width="9.140625" style="27"/>
  </cols>
  <sheetData>
    <row r="1" spans="1:66" ht="13.5" thickBot="1">
      <c r="AD1" s="577" t="str">
        <f>IS!$CC$2</f>
        <v>SRPT.O</v>
      </c>
    </row>
    <row r="2" spans="1:66" s="18" customFormat="1" ht="12.75" customHeight="1">
      <c r="A2" s="17"/>
      <c r="B2" s="262" t="s">
        <v>268</v>
      </c>
      <c r="C2" s="272">
        <v>2013</v>
      </c>
      <c r="D2" s="272">
        <v>2014</v>
      </c>
      <c r="E2" s="272">
        <v>2015</v>
      </c>
      <c r="F2" s="272">
        <v>2016</v>
      </c>
      <c r="G2" s="272">
        <v>2017</v>
      </c>
      <c r="H2" s="272" t="s">
        <v>4</v>
      </c>
      <c r="I2" s="272" t="s">
        <v>5</v>
      </c>
      <c r="J2" s="272" t="s">
        <v>6</v>
      </c>
      <c r="K2" s="272" t="s">
        <v>58</v>
      </c>
      <c r="L2" s="272" t="s">
        <v>222</v>
      </c>
      <c r="M2" s="272" t="s">
        <v>223</v>
      </c>
      <c r="N2" s="272" t="s">
        <v>232</v>
      </c>
      <c r="O2" s="272" t="s">
        <v>233</v>
      </c>
      <c r="P2" s="17"/>
      <c r="Q2" s="17"/>
      <c r="V2"/>
      <c r="W2"/>
      <c r="X2"/>
      <c r="Y2"/>
      <c r="Z2"/>
      <c r="AA2"/>
      <c r="AD2" s="578" t="str">
        <f>IS!$CC$3</f>
        <v>USD</v>
      </c>
    </row>
    <row r="3" spans="1:66" s="253" customFormat="1" ht="12.75" customHeight="1">
      <c r="A3" s="260"/>
      <c r="B3" s="270" t="s">
        <v>267</v>
      </c>
      <c r="C3" s="268"/>
      <c r="D3" s="268"/>
      <c r="E3" s="268"/>
      <c r="F3" s="268"/>
      <c r="G3" s="268"/>
      <c r="H3" s="268"/>
      <c r="I3" s="268"/>
      <c r="J3" s="268"/>
      <c r="K3" s="268"/>
      <c r="L3" s="268"/>
      <c r="M3" s="268"/>
      <c r="N3" s="268"/>
      <c r="O3" s="268"/>
      <c r="P3" s="260"/>
      <c r="Q3" s="260"/>
      <c r="V3"/>
      <c r="W3"/>
      <c r="X3"/>
      <c r="Y3"/>
      <c r="Z3"/>
      <c r="AA3"/>
    </row>
    <row r="4" spans="1:66">
      <c r="B4" s="219" t="s">
        <v>288</v>
      </c>
      <c r="C4" s="220"/>
      <c r="D4" s="220"/>
      <c r="E4" s="220"/>
      <c r="F4" s="220"/>
      <c r="G4" s="220"/>
      <c r="H4" s="220"/>
      <c r="I4" s="220"/>
      <c r="J4" s="220"/>
      <c r="K4" s="220"/>
      <c r="L4" s="220"/>
      <c r="M4" s="220"/>
      <c r="N4" s="220"/>
      <c r="O4" s="220"/>
    </row>
    <row r="5" spans="1:66">
      <c r="B5" s="219"/>
      <c r="C5" s="220"/>
      <c r="D5" s="220"/>
      <c r="E5" s="220"/>
      <c r="F5" s="220"/>
      <c r="G5" s="220"/>
      <c r="H5" s="220"/>
      <c r="I5" s="220"/>
      <c r="J5" s="220"/>
      <c r="K5" s="220"/>
      <c r="L5" s="220"/>
      <c r="M5" s="220"/>
      <c r="N5" s="220"/>
      <c r="O5" s="220"/>
    </row>
    <row r="6" spans="1:66" s="30" customFormat="1">
      <c r="A6" s="29"/>
      <c r="B6" s="221" t="s">
        <v>185</v>
      </c>
      <c r="C6" s="222">
        <v>-111.985</v>
      </c>
      <c r="D6" s="222">
        <v>-135.78899999999999</v>
      </c>
      <c r="E6" s="222">
        <v>-220.03</v>
      </c>
      <c r="F6" s="222">
        <v>-267.26499999999999</v>
      </c>
      <c r="G6" s="222">
        <v>-50.688000000000002</v>
      </c>
      <c r="H6" s="222">
        <f>IS!AF46</f>
        <v>-67.192867890499215</v>
      </c>
      <c r="I6" s="222">
        <f>IS!AK46</f>
        <v>20.689583418901769</v>
      </c>
      <c r="J6" s="222">
        <f>IS!AP46</f>
        <v>89.409081195889669</v>
      </c>
      <c r="K6" s="222">
        <f>IS!AU46</f>
        <v>215.6008703735219</v>
      </c>
      <c r="L6" s="222">
        <f>IS!AZ46</f>
        <v>491.66708790695372</v>
      </c>
      <c r="M6" s="222">
        <f>IS!BE46</f>
        <v>478.40094713661097</v>
      </c>
      <c r="N6" s="222">
        <f>IS!BJ46</f>
        <v>530.34289023921258</v>
      </c>
      <c r="O6" s="222">
        <f>IS!BO46</f>
        <v>540.84334717399167</v>
      </c>
      <c r="P6" s="29"/>
      <c r="Q6" s="29"/>
      <c r="R6" s="29"/>
      <c r="S6" s="29"/>
      <c r="T6" s="29"/>
      <c r="U6" s="29"/>
      <c r="V6"/>
      <c r="W6"/>
      <c r="X6"/>
      <c r="Y6"/>
      <c r="Z6"/>
      <c r="AA6"/>
      <c r="AB6" s="29"/>
      <c r="AC6" s="29"/>
      <c r="AD6" s="29"/>
      <c r="AE6" s="29"/>
      <c r="AF6" s="29"/>
      <c r="AG6" s="29"/>
      <c r="AH6" s="29"/>
      <c r="AI6" s="29"/>
      <c r="AJ6" s="29"/>
      <c r="AK6" s="29"/>
      <c r="AL6" s="29"/>
      <c r="AM6" s="29"/>
      <c r="AN6" s="29"/>
      <c r="AO6" s="29"/>
      <c r="AP6" s="29"/>
      <c r="AQ6" s="29"/>
      <c r="AR6" s="29"/>
      <c r="AS6" s="29"/>
      <c r="AT6" s="29"/>
      <c r="AU6" s="29"/>
      <c r="AV6" s="29"/>
      <c r="AW6" s="29"/>
      <c r="AX6" s="29"/>
      <c r="AY6" s="29"/>
      <c r="AZ6" s="29"/>
      <c r="BA6" s="29"/>
      <c r="BB6" s="29"/>
      <c r="BC6" s="29"/>
      <c r="BD6" s="29"/>
      <c r="BE6" s="29"/>
      <c r="BF6" s="29"/>
      <c r="BG6" s="29"/>
      <c r="BH6" s="29"/>
      <c r="BI6" s="29"/>
      <c r="BJ6" s="29"/>
      <c r="BK6" s="29"/>
      <c r="BL6" s="29"/>
      <c r="BM6" s="29"/>
      <c r="BN6" s="29"/>
    </row>
    <row r="7" spans="1:66" s="30" customFormat="1">
      <c r="A7" s="29"/>
      <c r="B7" s="221" t="s">
        <v>186</v>
      </c>
      <c r="C7" s="283"/>
      <c r="D7" s="223"/>
      <c r="E7" s="283"/>
      <c r="F7" s="223"/>
      <c r="G7" s="223"/>
      <c r="H7" s="223"/>
      <c r="I7" s="223"/>
      <c r="J7" s="223"/>
      <c r="K7" s="223"/>
      <c r="L7" s="223"/>
      <c r="M7" s="223"/>
      <c r="N7" s="223"/>
      <c r="O7" s="223"/>
      <c r="P7" s="29"/>
      <c r="Q7" s="29"/>
      <c r="R7" s="29"/>
      <c r="S7" s="29"/>
      <c r="T7" s="29"/>
      <c r="U7" s="29"/>
      <c r="V7"/>
      <c r="W7"/>
      <c r="X7"/>
      <c r="Y7"/>
      <c r="Z7"/>
      <c r="AA7"/>
      <c r="AB7" s="29"/>
      <c r="AC7" s="29"/>
      <c r="AD7" s="29"/>
      <c r="AE7" s="29"/>
      <c r="AF7" s="29"/>
      <c r="AG7" s="29"/>
      <c r="AH7" s="29"/>
      <c r="AI7" s="29"/>
      <c r="AJ7" s="29"/>
      <c r="AK7" s="29"/>
      <c r="AL7" s="29"/>
      <c r="AM7" s="29"/>
      <c r="AN7" s="29"/>
      <c r="AO7" s="29"/>
      <c r="AP7" s="29"/>
      <c r="AQ7" s="29"/>
      <c r="AR7" s="29"/>
      <c r="AS7" s="29"/>
      <c r="AT7" s="29"/>
      <c r="AU7" s="29"/>
      <c r="AV7" s="29"/>
      <c r="AW7" s="29"/>
      <c r="AX7" s="29"/>
      <c r="AY7" s="29"/>
      <c r="AZ7" s="29"/>
      <c r="BA7" s="29"/>
      <c r="BB7" s="29"/>
      <c r="BC7" s="29"/>
      <c r="BD7" s="29"/>
      <c r="BE7" s="29"/>
      <c r="BF7" s="29"/>
      <c r="BG7" s="29"/>
      <c r="BH7" s="29"/>
      <c r="BI7" s="29"/>
      <c r="BJ7" s="29"/>
      <c r="BK7" s="29"/>
      <c r="BL7" s="29"/>
      <c r="BM7" s="29"/>
      <c r="BN7" s="29"/>
    </row>
    <row r="8" spans="1:66" s="30" customFormat="1">
      <c r="A8" s="29"/>
      <c r="B8" s="224" t="s">
        <v>289</v>
      </c>
      <c r="C8" s="222">
        <v>1.2769999999999999</v>
      </c>
      <c r="D8" s="222">
        <v>3.69</v>
      </c>
      <c r="E8" s="222">
        <v>5.2469999999999999</v>
      </c>
      <c r="F8" s="222">
        <f>5.611+0.08</f>
        <v>5.6909999999999998</v>
      </c>
      <c r="G8" s="222">
        <v>8.0920000000000005</v>
      </c>
      <c r="H8" s="222">
        <f>BS!I103</f>
        <v>6.8701668555264899</v>
      </c>
      <c r="I8" s="222">
        <f>BS!J103</f>
        <v>8.0596183878939147</v>
      </c>
      <c r="J8" s="222">
        <f>BS!K103</f>
        <v>8.5378455852323576</v>
      </c>
      <c r="K8" s="222">
        <f>BS!L103</f>
        <v>8.703782220078855</v>
      </c>
      <c r="L8" s="222">
        <f>BS!M103</f>
        <v>11.111497016306588</v>
      </c>
      <c r="M8" s="222">
        <f>BS!N103</f>
        <v>13.721742715739817</v>
      </c>
      <c r="N8" s="222">
        <f>BS!O103</f>
        <v>14.740525816589747</v>
      </c>
      <c r="O8" s="222">
        <f>BS!P103</f>
        <v>12.591108094375803</v>
      </c>
      <c r="P8" s="29"/>
      <c r="Q8" s="29"/>
      <c r="R8" s="29"/>
      <c r="S8" s="29"/>
      <c r="T8" s="29"/>
      <c r="U8" s="29"/>
      <c r="V8"/>
      <c r="W8"/>
      <c r="X8"/>
      <c r="Y8"/>
      <c r="Z8"/>
      <c r="AA8"/>
      <c r="AB8" s="29"/>
      <c r="AC8" s="29"/>
      <c r="AD8" s="29"/>
      <c r="AE8" s="29"/>
      <c r="AF8" s="29"/>
      <c r="AG8" s="29"/>
      <c r="AH8" s="29"/>
      <c r="AI8" s="29"/>
      <c r="AJ8" s="29"/>
      <c r="AK8" s="29"/>
      <c r="AL8" s="29"/>
      <c r="AM8" s="29"/>
      <c r="AN8" s="29"/>
      <c r="AO8" s="29"/>
      <c r="AP8" s="29"/>
      <c r="AQ8" s="29"/>
      <c r="AR8" s="29"/>
      <c r="AS8" s="29"/>
      <c r="AT8" s="29"/>
      <c r="AU8" s="29"/>
      <c r="AV8" s="29"/>
      <c r="AW8" s="29"/>
      <c r="AX8" s="29"/>
      <c r="AY8" s="29"/>
      <c r="AZ8" s="29"/>
      <c r="BA8" s="29"/>
      <c r="BB8" s="29"/>
      <c r="BC8" s="29"/>
      <c r="BD8" s="29"/>
      <c r="BE8" s="29"/>
      <c r="BF8" s="29"/>
      <c r="BG8" s="29"/>
      <c r="BH8" s="29"/>
      <c r="BI8" s="29"/>
      <c r="BJ8" s="29"/>
      <c r="BK8" s="29"/>
      <c r="BL8" s="29"/>
      <c r="BM8" s="29"/>
      <c r="BN8" s="29"/>
    </row>
    <row r="9" spans="1:66" s="30" customFormat="1">
      <c r="A9" s="29"/>
      <c r="B9" s="224" t="s">
        <v>183</v>
      </c>
      <c r="C9" s="222">
        <v>11.127000000000001</v>
      </c>
      <c r="D9" s="222">
        <v>20.344999999999999</v>
      </c>
      <c r="E9" s="222">
        <v>32.116999999999997</v>
      </c>
      <c r="F9" s="222">
        <v>29.962</v>
      </c>
      <c r="G9" s="222">
        <v>30.465</v>
      </c>
      <c r="H9" s="222">
        <f>-IS!AF60</f>
        <v>30.465000000000003</v>
      </c>
      <c r="I9" s="222">
        <f>-IS!AK60</f>
        <v>30.465000000000003</v>
      </c>
      <c r="J9" s="222">
        <f>-IS!AP60</f>
        <v>30.465000000000003</v>
      </c>
      <c r="K9" s="222">
        <f>-IS!AU60</f>
        <v>30.465000000000003</v>
      </c>
      <c r="L9" s="222">
        <f>-IS!AZ60</f>
        <v>30.465000000000003</v>
      </c>
      <c r="M9" s="222">
        <f>-IS!BE60</f>
        <v>30.465000000000003</v>
      </c>
      <c r="N9" s="222">
        <f>-IS!BJ60</f>
        <v>30.465000000000003</v>
      </c>
      <c r="O9" s="222">
        <f>-IS!BO60</f>
        <v>30.465000000000003</v>
      </c>
      <c r="P9" s="29"/>
      <c r="Q9" s="29"/>
      <c r="R9" s="29"/>
      <c r="S9" s="29"/>
      <c r="T9" s="29"/>
      <c r="U9" s="29"/>
      <c r="V9"/>
      <c r="W9"/>
      <c r="X9"/>
      <c r="Y9"/>
      <c r="Z9"/>
      <c r="AA9"/>
      <c r="AB9" s="29"/>
      <c r="AC9" s="29"/>
      <c r="AD9" s="29"/>
      <c r="AE9" s="29"/>
      <c r="AF9" s="29"/>
      <c r="AG9" s="29"/>
      <c r="AH9" s="29"/>
      <c r="AI9" s="29"/>
      <c r="AJ9" s="29"/>
      <c r="AK9" s="29"/>
      <c r="AL9" s="29"/>
      <c r="AM9" s="29"/>
      <c r="AN9" s="29"/>
      <c r="AO9" s="29"/>
      <c r="AP9" s="29"/>
      <c r="AQ9" s="29"/>
      <c r="AR9" s="29"/>
      <c r="AS9" s="29"/>
      <c r="AT9" s="29"/>
      <c r="AU9" s="29"/>
      <c r="AV9" s="29"/>
      <c r="AW9" s="29"/>
      <c r="AX9" s="29"/>
      <c r="AY9" s="29"/>
      <c r="AZ9" s="29"/>
      <c r="BA9" s="29"/>
      <c r="BB9" s="29"/>
      <c r="BC9" s="29"/>
      <c r="BD9" s="29"/>
      <c r="BE9" s="29"/>
      <c r="BF9" s="29"/>
      <c r="BG9" s="29"/>
      <c r="BH9" s="29"/>
      <c r="BI9" s="29"/>
      <c r="BJ9" s="29"/>
      <c r="BK9" s="29"/>
      <c r="BL9" s="29"/>
      <c r="BM9" s="29"/>
      <c r="BN9" s="29"/>
    </row>
    <row r="10" spans="1:66" s="30" customFormat="1">
      <c r="A10" s="29"/>
      <c r="B10" s="224" t="s">
        <v>184</v>
      </c>
      <c r="C10" s="222">
        <f>0.59+22.027</f>
        <v>22.617000000000001</v>
      </c>
      <c r="D10" s="222">
        <f>2.432+0.012+0.128+2.779</f>
        <v>5.351</v>
      </c>
      <c r="E10" s="222">
        <f>0.652+0.367+0.197</f>
        <v>1.2160000000000002</v>
      </c>
      <c r="F10" s="222">
        <f>0.355+0.293+0.911</f>
        <v>1.5589999999999999</v>
      </c>
      <c r="G10" s="222">
        <f>-125-0.888+2.679+0.805</f>
        <v>-122.404</v>
      </c>
      <c r="H10" s="222">
        <v>0</v>
      </c>
      <c r="I10" s="222">
        <v>0</v>
      </c>
      <c r="J10" s="222">
        <v>0</v>
      </c>
      <c r="K10" s="222">
        <v>0</v>
      </c>
      <c r="L10" s="222">
        <v>0</v>
      </c>
      <c r="M10" s="222">
        <v>0</v>
      </c>
      <c r="N10" s="222">
        <v>0</v>
      </c>
      <c r="O10" s="222">
        <v>0</v>
      </c>
      <c r="P10" s="29"/>
      <c r="Q10" s="29"/>
      <c r="R10" s="29"/>
      <c r="S10" s="29"/>
      <c r="T10" s="29"/>
      <c r="U10" s="29"/>
      <c r="V10"/>
      <c r="W10"/>
      <c r="X10"/>
      <c r="Y10"/>
      <c r="Z10"/>
      <c r="AA10"/>
      <c r="AB10" s="29"/>
      <c r="AC10" s="29"/>
      <c r="AD10" s="29"/>
      <c r="AE10" s="29"/>
      <c r="AF10" s="29"/>
      <c r="AG10" s="29"/>
      <c r="AH10" s="29"/>
      <c r="AI10" s="29"/>
      <c r="AJ10" s="29"/>
      <c r="AK10" s="29"/>
      <c r="AL10" s="29"/>
      <c r="AM10" s="29"/>
      <c r="AN10" s="29"/>
      <c r="AO10" s="29"/>
      <c r="AP10" s="29"/>
      <c r="AQ10" s="29"/>
      <c r="AR10" s="29"/>
      <c r="AS10" s="29"/>
      <c r="AT10" s="29"/>
      <c r="AU10" s="29"/>
      <c r="AV10" s="29"/>
      <c r="AW10" s="29"/>
      <c r="AX10" s="29"/>
      <c r="AY10" s="29"/>
      <c r="AZ10" s="29"/>
      <c r="BA10" s="29"/>
      <c r="BB10" s="29"/>
      <c r="BC10" s="29"/>
      <c r="BD10" s="29"/>
      <c r="BE10" s="29"/>
      <c r="BF10" s="29"/>
      <c r="BG10" s="29"/>
      <c r="BH10" s="29"/>
      <c r="BI10" s="29"/>
      <c r="BJ10" s="29"/>
      <c r="BK10" s="29"/>
      <c r="BL10" s="29"/>
      <c r="BM10" s="29"/>
      <c r="BN10" s="29"/>
    </row>
    <row r="11" spans="1:66" s="30" customFormat="1">
      <c r="A11" s="29"/>
      <c r="B11" s="225"/>
      <c r="C11" s="222"/>
      <c r="D11" s="222"/>
      <c r="E11" s="222"/>
      <c r="F11" s="222"/>
      <c r="G11" s="222"/>
      <c r="H11" s="222"/>
      <c r="I11" s="222"/>
      <c r="J11" s="222"/>
      <c r="K11" s="222"/>
      <c r="L11" s="222"/>
      <c r="M11" s="222"/>
      <c r="N11" s="222"/>
      <c r="O11" s="222"/>
      <c r="P11" s="29"/>
      <c r="Q11" s="29"/>
      <c r="R11" s="29"/>
      <c r="S11" s="29"/>
      <c r="T11" s="29"/>
      <c r="U11" s="29"/>
      <c r="V11"/>
      <c r="W11"/>
      <c r="X11"/>
      <c r="Y11"/>
      <c r="Z11"/>
      <c r="AA11"/>
      <c r="AB11" s="29"/>
      <c r="AC11" s="29"/>
      <c r="AD11" s="29"/>
      <c r="AE11" s="29"/>
      <c r="AF11" s="29"/>
      <c r="AG11" s="29"/>
      <c r="AH11" s="29"/>
      <c r="AI11" s="29"/>
      <c r="AJ11" s="29"/>
      <c r="AK11" s="29"/>
      <c r="AL11" s="29"/>
      <c r="AM11" s="29"/>
      <c r="AN11" s="29"/>
      <c r="AO11" s="29"/>
      <c r="AP11" s="29"/>
      <c r="AQ11" s="29"/>
      <c r="AR11" s="29"/>
      <c r="AS11" s="29"/>
      <c r="AT11" s="29"/>
      <c r="AU11" s="29"/>
      <c r="AV11" s="29"/>
      <c r="AW11" s="29"/>
      <c r="AX11" s="29"/>
      <c r="AY11" s="29"/>
      <c r="AZ11" s="29"/>
      <c r="BA11" s="29"/>
      <c r="BB11" s="29"/>
      <c r="BC11" s="29"/>
      <c r="BD11" s="29"/>
      <c r="BE11" s="29"/>
      <c r="BF11" s="29"/>
      <c r="BG11" s="29"/>
      <c r="BH11" s="29"/>
      <c r="BI11" s="29"/>
      <c r="BJ11" s="29"/>
      <c r="BK11" s="29"/>
      <c r="BL11" s="29"/>
      <c r="BM11" s="29"/>
      <c r="BN11" s="29"/>
    </row>
    <row r="12" spans="1:66" s="30" customFormat="1">
      <c r="A12" s="29"/>
      <c r="B12" s="221" t="s">
        <v>187</v>
      </c>
      <c r="C12" s="222"/>
      <c r="D12" s="222"/>
      <c r="E12" s="222"/>
      <c r="F12" s="222"/>
      <c r="G12" s="222"/>
      <c r="H12" s="222"/>
      <c r="I12" s="222"/>
      <c r="J12" s="222"/>
      <c r="K12" s="222"/>
      <c r="L12" s="222"/>
      <c r="M12" s="222"/>
      <c r="N12" s="222"/>
      <c r="O12" s="222"/>
      <c r="P12" s="29"/>
      <c r="Q12" s="29"/>
      <c r="R12" s="29"/>
      <c r="S12" s="29"/>
      <c r="T12" s="29"/>
      <c r="U12" s="29"/>
      <c r="V12"/>
      <c r="W12"/>
      <c r="X12"/>
      <c r="Y12"/>
      <c r="Z12"/>
      <c r="AA12"/>
      <c r="AB12" s="29"/>
      <c r="AC12" s="29"/>
      <c r="AD12" s="29"/>
      <c r="AE12" s="29"/>
      <c r="AF12" s="29"/>
      <c r="AG12" s="29"/>
      <c r="AH12" s="29"/>
      <c r="AI12" s="29"/>
      <c r="AJ12" s="29"/>
      <c r="AK12" s="29"/>
      <c r="AL12" s="29"/>
      <c r="AM12" s="29"/>
      <c r="AN12" s="29"/>
      <c r="AO12" s="29"/>
      <c r="AP12" s="29"/>
      <c r="AQ12" s="29"/>
      <c r="AR12" s="29"/>
      <c r="AS12" s="29"/>
      <c r="AT12" s="29"/>
      <c r="AU12" s="29"/>
      <c r="AV12" s="29"/>
      <c r="AW12" s="29"/>
      <c r="AX12" s="29"/>
      <c r="AY12" s="29"/>
      <c r="AZ12" s="29"/>
      <c r="BA12" s="29"/>
      <c r="BB12" s="29"/>
      <c r="BC12" s="29"/>
      <c r="BD12" s="29"/>
      <c r="BE12" s="29"/>
      <c r="BF12" s="29"/>
      <c r="BG12" s="29"/>
      <c r="BH12" s="29"/>
      <c r="BI12" s="29"/>
      <c r="BJ12" s="29"/>
      <c r="BK12" s="29"/>
      <c r="BL12" s="29"/>
      <c r="BM12" s="29"/>
      <c r="BN12" s="29"/>
    </row>
    <row r="13" spans="1:66" s="30" customFormat="1">
      <c r="A13" s="29"/>
      <c r="B13" s="224" t="s">
        <v>162</v>
      </c>
      <c r="C13" s="222">
        <v>1.1830000000000001</v>
      </c>
      <c r="D13" s="222">
        <v>1.1140000000000001</v>
      </c>
      <c r="E13" s="222">
        <v>-1.5609999999999999</v>
      </c>
      <c r="F13" s="388">
        <v>-1.2509999999999999</v>
      </c>
      <c r="G13" s="388">
        <v>-24.24</v>
      </c>
      <c r="H13" s="388">
        <f>BS!H7-BS!I7</f>
        <v>17.641363990640187</v>
      </c>
      <c r="I13" s="388">
        <f>BS!I7-BS!J7</f>
        <v>-7.7479706160803143</v>
      </c>
      <c r="J13" s="388">
        <f>BS!J7-BS!K7</f>
        <v>-3.9785526198132182</v>
      </c>
      <c r="K13" s="388">
        <f>BS!K7-BS!L7</f>
        <v>-3.1562428713783461</v>
      </c>
      <c r="L13" s="388">
        <f>BS!L7-BS!M7</f>
        <v>-11.207696021492616</v>
      </c>
      <c r="M13" s="388">
        <f>BS!M7-BS!N7</f>
        <v>-4.1378191152011468</v>
      </c>
      <c r="N13" s="388">
        <f>BS!N7-BS!O7</f>
        <v>-6.4865082998753891</v>
      </c>
      <c r="O13" s="388">
        <f>BS!O7-BS!P7</f>
        <v>-0.16560035239816528</v>
      </c>
      <c r="P13" s="29"/>
      <c r="Q13" s="29"/>
      <c r="R13" s="29"/>
      <c r="S13" s="29"/>
      <c r="T13" s="29"/>
      <c r="U13" s="29"/>
      <c r="V13"/>
      <c r="W13"/>
      <c r="X13"/>
      <c r="Y13"/>
      <c r="Z13"/>
      <c r="AA13"/>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row>
    <row r="14" spans="1:66" s="30" customFormat="1">
      <c r="A14" s="29"/>
      <c r="B14" s="224" t="s">
        <v>274</v>
      </c>
      <c r="C14" s="222">
        <v>1.6180000000000001</v>
      </c>
      <c r="D14" s="222">
        <v>-34.012999999999998</v>
      </c>
      <c r="E14" s="222">
        <v>15.249000000000001</v>
      </c>
      <c r="F14" s="388">
        <v>-12.813000000000001</v>
      </c>
      <c r="G14" s="388">
        <f>-70.792-15.354</f>
        <v>-86.146000000000001</v>
      </c>
      <c r="H14" s="388">
        <f>(BS!H10+BS!H17+BS!H9+BS!H8)-(BS!I10+BS!I17+BS!I9+BS!I8)</f>
        <v>92.419904228355449</v>
      </c>
      <c r="I14" s="388">
        <f>(BS!I10+BS!I17+BS!I9+BS!I8)-(BS!J10+BS!J17+BS!J9+BS!J8)</f>
        <v>-6.3374365605082161</v>
      </c>
      <c r="J14" s="388">
        <f>(BS!J10+BS!J17+BS!J9+BS!J8)-(BS!K10+BS!K17+BS!K9+BS!K8)</f>
        <v>-4.8817659319495732</v>
      </c>
      <c r="K14" s="388">
        <f>(BS!K10+BS!K17+BS!K9+BS!K8)-(BS!L10+BS!L17+BS!L9+BS!L8)</f>
        <v>-8.7454997710737814</v>
      </c>
      <c r="L14" s="388">
        <f>(BS!L10+BS!L17+BS!L9+BS!L8)-(BS!M10+BS!M17+BS!M9+BS!M8)</f>
        <v>-19.598728090925576</v>
      </c>
      <c r="M14" s="388">
        <f>(BS!M10+BS!M17+BS!M9+BS!M8)-(BS!N10+BS!N17+BS!N9+BS!N8)</f>
        <v>-7.0021769251975599</v>
      </c>
      <c r="N14" s="388">
        <f>(BS!N10+BS!N17+BS!N9+BS!N8)-(BS!O10+BS!O17+BS!O9+BS!O8)</f>
        <v>-9.9295774496839897</v>
      </c>
      <c r="O14" s="388">
        <f>(BS!O10+BS!O17+BS!O9+BS!O8)-(BS!P10+BS!P17+BS!P9+BS!P8)</f>
        <v>1.1899335096637458</v>
      </c>
      <c r="P14" s="29"/>
      <c r="Q14" s="29"/>
      <c r="R14" s="29"/>
      <c r="S14" s="29"/>
      <c r="T14" s="29"/>
      <c r="U14" s="29"/>
      <c r="V14"/>
      <c r="W14"/>
      <c r="X14"/>
      <c r="Y14"/>
      <c r="Z14"/>
      <c r="AA14"/>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row>
    <row r="15" spans="1:66" s="30" customFormat="1">
      <c r="A15" s="29"/>
      <c r="B15" s="224" t="s">
        <v>290</v>
      </c>
      <c r="C15" s="222">
        <v>9.468</v>
      </c>
      <c r="D15" s="222">
        <v>10.763</v>
      </c>
      <c r="E15" s="222">
        <v>18.297000000000001</v>
      </c>
      <c r="F15" s="388">
        <f>-9.012+7.309</f>
        <v>-1.7030000000000003</v>
      </c>
      <c r="G15" s="388">
        <v>12.925000000000001</v>
      </c>
      <c r="H15" s="388">
        <f>(BS!I21+BS!I22+BS!I24+BS!I25+BS!I28+BS!I30)-(BS!H21+BS!H22+BS!H24+BS!H25+BS!H28+BS!H30)</f>
        <v>-15.292190924323123</v>
      </c>
      <c r="I15" s="388">
        <f>(BS!J21+BS!J22+BS!J24+BS!J25+BS!J28+BS!J30)-(BS!I21+BS!I22+BS!I24+BS!I25+BS!I28+BS!I30)</f>
        <v>5.2907083295896058</v>
      </c>
      <c r="J15" s="388">
        <f>(BS!K21+BS!K22+BS!K24+BS!K25+BS!K28+BS!K30)-(BS!J21+BS!J22+BS!J24+BS!J25+BS!J28+BS!J30)</f>
        <v>4.3220218573585498</v>
      </c>
      <c r="K15" s="388">
        <f>(BS!L21+BS!L22+BS!L24+BS!L25+BS!L28+BS!L30)-(BS!K21+BS!K22+BS!K24+BS!K25+BS!K28+BS!K30)</f>
        <v>5.937446267073625</v>
      </c>
      <c r="L15" s="388">
        <f>(BS!M21+BS!M22+BS!M24+BS!M25+BS!M28+BS!M30)-(BS!L21+BS!L22+BS!L24+BS!L25+BS!L28+BS!L30)</f>
        <v>11.74447826817493</v>
      </c>
      <c r="M15" s="388">
        <f>(BS!N21+BS!N22+BS!N24+BS!N25+BS!N28+BS!N30)-(BS!M21+BS!M22+BS!M24+BS!M25+BS!M28+BS!M30)</f>
        <v>6.3565988453568281</v>
      </c>
      <c r="N15" s="388">
        <f>(BS!O21+BS!O22+BS!O24+BS!O25+BS!O28+BS!O30)-(BS!N21+BS!N22+BS!N24+BS!N25+BS!N28+BS!N30)</f>
        <v>1.686382973156455</v>
      </c>
      <c r="O15" s="388">
        <f>(BS!P21+BS!P22+BS!P24+BS!P25+BS!P28+BS!P30)-(BS!O21+BS!O22+BS!O24+BS!O25+BS!O28+BS!O30)</f>
        <v>-1.995466811805187</v>
      </c>
      <c r="P15" s="29"/>
      <c r="Q15" s="29"/>
      <c r="R15" s="29"/>
      <c r="S15" s="29"/>
      <c r="T15" s="29"/>
      <c r="U15" s="29"/>
      <c r="V15"/>
      <c r="W15"/>
      <c r="X15"/>
      <c r="Y15"/>
      <c r="Z15"/>
      <c r="AA15"/>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row>
    <row r="16" spans="1:66" s="31" customFormat="1" ht="13.5" customHeight="1" thickBot="1">
      <c r="A16" s="29"/>
      <c r="B16" s="249" t="s">
        <v>55</v>
      </c>
      <c r="C16" s="266">
        <f>SUM(C6:C15)</f>
        <v>-64.694999999999993</v>
      </c>
      <c r="D16" s="266">
        <f>SUM(D6:D15)</f>
        <v>-128.53899999999999</v>
      </c>
      <c r="E16" s="266">
        <f>SUM(E6:E15)</f>
        <v>-149.46500000000003</v>
      </c>
      <c r="F16" s="266">
        <f t="shared" ref="F16:O16" si="0">SUM(F6:F15)</f>
        <v>-245.82000000000002</v>
      </c>
      <c r="G16" s="266">
        <f t="shared" si="0"/>
        <v>-231.99599999999998</v>
      </c>
      <c r="H16" s="266">
        <f t="shared" si="0"/>
        <v>64.911376259699793</v>
      </c>
      <c r="I16" s="266">
        <f t="shared" si="0"/>
        <v>50.419502959796759</v>
      </c>
      <c r="J16" s="266">
        <f t="shared" si="0"/>
        <v>123.87363008671778</v>
      </c>
      <c r="K16" s="266">
        <f t="shared" si="0"/>
        <v>248.80535621822227</v>
      </c>
      <c r="L16" s="266">
        <f t="shared" si="0"/>
        <v>514.18163907901703</v>
      </c>
      <c r="M16" s="266">
        <f t="shared" si="0"/>
        <v>517.80429265730891</v>
      </c>
      <c r="N16" s="266">
        <f t="shared" si="0"/>
        <v>560.8187132793995</v>
      </c>
      <c r="O16" s="265">
        <f t="shared" si="0"/>
        <v>582.92832161382796</v>
      </c>
      <c r="P16" s="29"/>
      <c r="Q16" s="29"/>
      <c r="R16" s="29"/>
      <c r="S16" s="29"/>
      <c r="T16" s="29"/>
      <c r="U16" s="29"/>
      <c r="V16"/>
      <c r="W16"/>
      <c r="X16"/>
      <c r="Y16"/>
      <c r="Z16"/>
      <c r="AA16"/>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row>
    <row r="17" spans="1:66" s="30" customFormat="1" ht="9" customHeight="1">
      <c r="A17" s="29"/>
      <c r="B17" s="226"/>
      <c r="C17" s="222"/>
      <c r="D17" s="222"/>
      <c r="E17" s="222"/>
      <c r="F17" s="222"/>
      <c r="G17" s="222"/>
      <c r="H17" s="222"/>
      <c r="I17" s="222"/>
      <c r="J17" s="222"/>
      <c r="K17" s="222"/>
      <c r="L17" s="222"/>
      <c r="M17" s="222"/>
      <c r="N17" s="222"/>
      <c r="O17" s="222"/>
      <c r="P17" s="29"/>
      <c r="Q17" s="29"/>
      <c r="R17" s="29"/>
      <c r="S17" s="29"/>
      <c r="T17" s="29"/>
      <c r="U17" s="29"/>
      <c r="V17"/>
      <c r="W17"/>
      <c r="X17"/>
      <c r="Y17"/>
      <c r="Z17"/>
      <c r="AA17"/>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row>
    <row r="18" spans="1:66" s="30" customFormat="1">
      <c r="A18" s="29"/>
      <c r="B18" s="219" t="s">
        <v>188</v>
      </c>
      <c r="C18" s="222"/>
      <c r="D18" s="222"/>
      <c r="E18" s="222"/>
      <c r="F18" s="222"/>
      <c r="G18" s="222"/>
      <c r="H18" s="222"/>
      <c r="I18" s="222"/>
      <c r="J18" s="222"/>
      <c r="K18" s="222"/>
      <c r="L18" s="222"/>
      <c r="M18" s="222"/>
      <c r="N18" s="222"/>
      <c r="O18" s="222"/>
      <c r="P18" s="29"/>
      <c r="Q18" s="29"/>
      <c r="R18" s="29"/>
      <c r="S18" s="29"/>
      <c r="T18" s="29"/>
      <c r="U18" s="29"/>
      <c r="V18"/>
      <c r="W18"/>
      <c r="X18"/>
      <c r="Y18"/>
      <c r="Z18"/>
      <c r="AA18"/>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row>
    <row r="19" spans="1:66" s="30" customFormat="1">
      <c r="A19" s="29"/>
      <c r="B19" s="226"/>
      <c r="C19" s="222"/>
      <c r="D19" s="222"/>
      <c r="E19" s="222"/>
      <c r="F19" s="222"/>
      <c r="G19" s="222"/>
      <c r="H19" s="222"/>
      <c r="I19" s="222"/>
      <c r="J19" s="222"/>
      <c r="K19" s="222"/>
      <c r="L19" s="222"/>
      <c r="M19" s="222"/>
      <c r="N19" s="222"/>
      <c r="O19" s="222"/>
      <c r="P19" s="29"/>
      <c r="Q19" s="29"/>
      <c r="R19" s="29"/>
      <c r="S19" s="29"/>
      <c r="T19" s="29"/>
      <c r="U19" s="29"/>
      <c r="V19"/>
      <c r="W19"/>
      <c r="X19"/>
      <c r="Y19"/>
      <c r="Z19"/>
      <c r="AA1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row>
    <row r="20" spans="1:66" s="30" customFormat="1">
      <c r="A20" s="29"/>
      <c r="B20" s="227" t="s">
        <v>190</v>
      </c>
      <c r="C20" s="222">
        <v>-2.37</v>
      </c>
      <c r="D20" s="222">
        <v>-25.443999999999999</v>
      </c>
      <c r="E20" s="222">
        <v>-3.4009999999999998</v>
      </c>
      <c r="F20" s="222">
        <v>-5.3410000000000002</v>
      </c>
      <c r="G20" s="222">
        <v>-12</v>
      </c>
      <c r="H20" s="222">
        <f>-BS!I82</f>
        <v>-13.304965510529792</v>
      </c>
      <c r="I20" s="222">
        <f>-BS!J82</f>
        <v>-13.656702296818695</v>
      </c>
      <c r="J20" s="222">
        <f>-BS!K82</f>
        <v>-14.720724528283341</v>
      </c>
      <c r="K20" s="222">
        <f>-BS!L82</f>
        <v>-15.262515495218109</v>
      </c>
      <c r="L20" s="222">
        <f>-BS!M82</f>
        <v>-16.728131531525431</v>
      </c>
      <c r="M20" s="222">
        <f>-BS!N82</f>
        <v>-19.115871478784296</v>
      </c>
      <c r="N20" s="222">
        <f>-BS!O82</f>
        <v>-22.064284342364019</v>
      </c>
      <c r="O20" s="222">
        <f>-BS!P82</f>
        <v>-22.139557229817729</v>
      </c>
      <c r="P20" s="29"/>
      <c r="Q20" s="29"/>
      <c r="R20" s="29"/>
      <c r="S20" s="29"/>
      <c r="T20" s="29"/>
      <c r="U20" s="29"/>
      <c r="V20"/>
      <c r="W20"/>
      <c r="X20"/>
      <c r="Y20"/>
      <c r="Z20"/>
      <c r="AA20"/>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row>
    <row r="21" spans="1:66" s="30" customFormat="1">
      <c r="A21" s="29"/>
      <c r="B21" s="227" t="s">
        <v>191</v>
      </c>
      <c r="C21" s="222">
        <v>0</v>
      </c>
      <c r="D21" s="222">
        <v>-274.36799999999999</v>
      </c>
      <c r="E21" s="222">
        <v>-162.001</v>
      </c>
      <c r="F21" s="222">
        <v>-195.42699999999999</v>
      </c>
      <c r="G21" s="222">
        <v>-589.52</v>
      </c>
      <c r="H21" s="222">
        <v>0</v>
      </c>
      <c r="I21" s="222">
        <v>0</v>
      </c>
      <c r="J21" s="222">
        <v>0</v>
      </c>
      <c r="K21" s="222">
        <v>0</v>
      </c>
      <c r="L21" s="222">
        <v>0</v>
      </c>
      <c r="M21" s="222">
        <v>0</v>
      </c>
      <c r="N21" s="222">
        <v>0</v>
      </c>
      <c r="O21" s="222">
        <v>0</v>
      </c>
      <c r="P21" s="29"/>
      <c r="Q21" s="29"/>
      <c r="R21" s="29"/>
      <c r="S21" s="29"/>
      <c r="T21" s="29"/>
      <c r="U21" s="29"/>
      <c r="V21"/>
      <c r="W21"/>
      <c r="X21"/>
      <c r="Y21"/>
      <c r="Z21"/>
      <c r="AA21"/>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row>
    <row r="22" spans="1:66" s="30" customFormat="1">
      <c r="A22" s="29"/>
      <c r="B22" s="227" t="s">
        <v>192</v>
      </c>
      <c r="C22" s="222">
        <v>0</v>
      </c>
      <c r="D22" s="222">
        <v>134.91300000000001</v>
      </c>
      <c r="E22" s="222">
        <v>185.93899999999999</v>
      </c>
      <c r="F22" s="222">
        <v>112.1</v>
      </c>
      <c r="G22" s="222">
        <f>296.225+10.695</f>
        <v>306.92</v>
      </c>
      <c r="H22" s="222">
        <v>0</v>
      </c>
      <c r="I22" s="222">
        <v>0</v>
      </c>
      <c r="J22" s="222">
        <v>0</v>
      </c>
      <c r="K22" s="222">
        <v>0</v>
      </c>
      <c r="L22" s="222">
        <v>0</v>
      </c>
      <c r="M22" s="222">
        <v>0</v>
      </c>
      <c r="N22" s="222">
        <v>0</v>
      </c>
      <c r="O22" s="222">
        <v>0</v>
      </c>
      <c r="P22" s="29"/>
      <c r="Q22" s="29"/>
      <c r="R22" s="29"/>
      <c r="S22" s="29"/>
      <c r="T22" s="29"/>
      <c r="U22" s="29"/>
      <c r="V22"/>
      <c r="W22"/>
      <c r="X22"/>
      <c r="Y22"/>
      <c r="Z22"/>
      <c r="AA22"/>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row>
    <row r="23" spans="1:66" s="30" customFormat="1">
      <c r="A23" s="29"/>
      <c r="B23" s="227" t="s">
        <v>240</v>
      </c>
      <c r="C23" s="222">
        <v>-7.8970000000000002</v>
      </c>
      <c r="D23" s="222">
        <v>0</v>
      </c>
      <c r="E23" s="222">
        <v>-10.695</v>
      </c>
      <c r="F23" s="222">
        <v>0</v>
      </c>
      <c r="G23" s="222">
        <v>0</v>
      </c>
      <c r="H23" s="222">
        <v>0</v>
      </c>
      <c r="I23" s="222">
        <v>0</v>
      </c>
      <c r="J23" s="222">
        <v>0</v>
      </c>
      <c r="K23" s="222">
        <v>0</v>
      </c>
      <c r="L23" s="222">
        <v>0</v>
      </c>
      <c r="M23" s="222">
        <v>0</v>
      </c>
      <c r="N23" s="222">
        <v>0</v>
      </c>
      <c r="O23" s="222">
        <v>0</v>
      </c>
      <c r="P23" s="29"/>
      <c r="Q23" s="29"/>
      <c r="R23" s="29"/>
      <c r="S23" s="29"/>
      <c r="T23" s="29"/>
      <c r="U23" s="29"/>
      <c r="V23"/>
      <c r="W23"/>
      <c r="X23"/>
      <c r="Y23"/>
      <c r="Z23"/>
      <c r="AA23"/>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row>
    <row r="24" spans="1:66" s="30" customFormat="1">
      <c r="A24" s="29"/>
      <c r="B24" s="227" t="s">
        <v>291</v>
      </c>
      <c r="C24" s="222">
        <v>-1.405</v>
      </c>
      <c r="D24" s="222">
        <f>7.25-1.381</f>
        <v>5.8689999999999998</v>
      </c>
      <c r="E24" s="222">
        <v>-1.4319999999999999</v>
      </c>
      <c r="F24" s="222">
        <f>-1.525</f>
        <v>-1.5249999999999999</v>
      </c>
      <c r="G24" s="222">
        <f>-9.215+125</f>
        <v>115.785</v>
      </c>
      <c r="H24" s="222">
        <v>0</v>
      </c>
      <c r="I24" s="222">
        <v>0</v>
      </c>
      <c r="J24" s="222">
        <v>0</v>
      </c>
      <c r="K24" s="222">
        <v>0</v>
      </c>
      <c r="L24" s="222">
        <v>0</v>
      </c>
      <c r="M24" s="222">
        <v>0</v>
      </c>
      <c r="N24" s="222">
        <v>0</v>
      </c>
      <c r="O24" s="222">
        <v>0</v>
      </c>
      <c r="P24" s="29"/>
      <c r="Q24" s="29"/>
      <c r="R24" s="29"/>
      <c r="S24" s="29"/>
      <c r="T24" s="29"/>
      <c r="U24" s="29"/>
      <c r="V24"/>
      <c r="W24"/>
      <c r="X24"/>
      <c r="Y24"/>
      <c r="Z24"/>
      <c r="AA24"/>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row>
    <row r="25" spans="1:66" s="31" customFormat="1" ht="13.5" customHeight="1" thickBot="1">
      <c r="A25" s="29"/>
      <c r="B25" s="249" t="s">
        <v>56</v>
      </c>
      <c r="C25" s="266">
        <f t="shared" ref="C25" si="1">SUM(C20:C24)</f>
        <v>-11.671999999999999</v>
      </c>
      <c r="D25" s="266">
        <f t="shared" ref="D25:O25" si="2">SUM(D20:D24)</f>
        <v>-159.03</v>
      </c>
      <c r="E25" s="266">
        <f t="shared" si="2"/>
        <v>8.409999999999977</v>
      </c>
      <c r="F25" s="266">
        <f t="shared" si="2"/>
        <v>-90.193000000000012</v>
      </c>
      <c r="G25" s="266">
        <f t="shared" si="2"/>
        <v>-178.81499999999997</v>
      </c>
      <c r="H25" s="266">
        <f t="shared" si="2"/>
        <v>-13.304965510529792</v>
      </c>
      <c r="I25" s="266">
        <f t="shared" si="2"/>
        <v>-13.656702296818695</v>
      </c>
      <c r="J25" s="266">
        <f t="shared" si="2"/>
        <v>-14.720724528283341</v>
      </c>
      <c r="K25" s="266">
        <f t="shared" si="2"/>
        <v>-15.262515495218109</v>
      </c>
      <c r="L25" s="266">
        <f t="shared" si="2"/>
        <v>-16.728131531525431</v>
      </c>
      <c r="M25" s="266">
        <f t="shared" si="2"/>
        <v>-19.115871478784296</v>
      </c>
      <c r="N25" s="266">
        <f t="shared" si="2"/>
        <v>-22.064284342364019</v>
      </c>
      <c r="O25" s="265">
        <f t="shared" si="2"/>
        <v>-22.139557229817729</v>
      </c>
      <c r="P25" s="29"/>
      <c r="Q25" s="29"/>
      <c r="R25" s="29"/>
      <c r="S25" s="29"/>
      <c r="T25" s="29"/>
      <c r="U25" s="29"/>
      <c r="V25"/>
      <c r="W25"/>
      <c r="X25"/>
      <c r="Y25"/>
      <c r="Z25"/>
      <c r="AA25"/>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row>
    <row r="26" spans="1:66" s="30" customFormat="1" ht="9" customHeight="1">
      <c r="A26" s="29"/>
      <c r="B26" s="226"/>
      <c r="C26" s="222"/>
      <c r="D26" s="222"/>
      <c r="E26" s="222"/>
      <c r="F26" s="222"/>
      <c r="G26" s="222"/>
      <c r="H26" s="222"/>
      <c r="I26" s="222"/>
      <c r="J26" s="222"/>
      <c r="K26" s="222"/>
      <c r="L26" s="222"/>
      <c r="M26" s="222"/>
      <c r="N26" s="222"/>
      <c r="O26" s="222"/>
      <c r="P26" s="29"/>
      <c r="Q26" s="29"/>
      <c r="R26" s="29"/>
      <c r="S26" s="29"/>
      <c r="T26" s="29"/>
      <c r="U26" s="29"/>
      <c r="V26"/>
      <c r="W26"/>
      <c r="X26"/>
      <c r="Y26"/>
      <c r="Z26"/>
      <c r="AA26"/>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row>
    <row r="27" spans="1:66" s="30" customFormat="1">
      <c r="A27" s="29"/>
      <c r="B27" s="219" t="s">
        <v>189</v>
      </c>
      <c r="C27" s="222"/>
      <c r="D27" s="222"/>
      <c r="E27" s="222"/>
      <c r="F27" s="222"/>
      <c r="G27" s="222"/>
      <c r="H27" s="222"/>
      <c r="I27" s="222"/>
      <c r="J27" s="222"/>
      <c r="K27" s="222"/>
      <c r="L27" s="222"/>
      <c r="M27" s="222"/>
      <c r="N27" s="222"/>
      <c r="O27" s="222"/>
      <c r="P27" s="29"/>
      <c r="Q27" s="29"/>
      <c r="R27" s="29"/>
      <c r="S27" s="29"/>
      <c r="T27" s="29"/>
      <c r="U27" s="29"/>
      <c r="V27"/>
      <c r="W27"/>
      <c r="X27"/>
      <c r="Y27"/>
      <c r="Z27"/>
      <c r="AA27"/>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row>
    <row r="28" spans="1:66" s="30" customFormat="1">
      <c r="A28" s="29"/>
      <c r="B28" s="226"/>
      <c r="C28" s="222"/>
      <c r="D28" s="222"/>
      <c r="E28" s="222"/>
      <c r="F28" s="222"/>
      <c r="G28" s="222"/>
      <c r="H28" s="222"/>
      <c r="I28" s="222"/>
      <c r="J28" s="222"/>
      <c r="K28" s="222"/>
      <c r="L28" s="222"/>
      <c r="M28" s="222"/>
      <c r="N28" s="222"/>
      <c r="O28" s="222"/>
      <c r="P28" s="29"/>
      <c r="Q28" s="29"/>
      <c r="R28" s="29"/>
      <c r="S28" s="29"/>
      <c r="T28" s="29"/>
      <c r="U28" s="29"/>
      <c r="V28"/>
      <c r="W28"/>
      <c r="X28"/>
      <c r="Y28"/>
      <c r="Z28"/>
      <c r="AA28"/>
      <c r="AB28" s="29"/>
      <c r="AC28" s="29"/>
      <c r="AD28" s="29"/>
      <c r="AE28" s="29"/>
      <c r="AF28" s="29"/>
      <c r="AG28" s="29"/>
      <c r="AH28" s="29"/>
      <c r="AI28" s="29"/>
      <c r="AJ28" s="29"/>
      <c r="AK28" s="29"/>
      <c r="AL28" s="29"/>
      <c r="AM28" s="29"/>
      <c r="AN28" s="29"/>
      <c r="AO28" s="29"/>
      <c r="AP28" s="29"/>
      <c r="AQ28" s="29"/>
      <c r="AR28" s="29"/>
      <c r="AS28" s="29"/>
      <c r="AT28" s="29"/>
      <c r="AU28" s="29"/>
      <c r="AV28" s="29"/>
      <c r="AW28" s="29"/>
      <c r="AX28" s="29"/>
      <c r="AY28" s="29"/>
      <c r="AZ28" s="29"/>
      <c r="BA28" s="29"/>
      <c r="BB28" s="29"/>
      <c r="BC28" s="29"/>
      <c r="BD28" s="29"/>
      <c r="BE28" s="29"/>
      <c r="BF28" s="29"/>
      <c r="BG28" s="29"/>
      <c r="BH28" s="29"/>
      <c r="BI28" s="29"/>
      <c r="BJ28" s="29"/>
      <c r="BK28" s="29"/>
      <c r="BL28" s="29"/>
      <c r="BM28" s="29"/>
      <c r="BN28" s="29"/>
    </row>
    <row r="29" spans="1:66" s="30" customFormat="1" ht="12" customHeight="1">
      <c r="A29" s="29"/>
      <c r="B29" s="227" t="s">
        <v>193</v>
      </c>
      <c r="C29" s="222">
        <v>145.98599999999999</v>
      </c>
      <c r="D29" s="222">
        <v>104.249</v>
      </c>
      <c r="E29" s="222">
        <v>130.80500000000001</v>
      </c>
      <c r="F29" s="222">
        <v>364.80200000000002</v>
      </c>
      <c r="G29" s="222">
        <f>353.959</f>
        <v>353.959</v>
      </c>
      <c r="H29" s="222">
        <f t="shared" ref="H29:O29" si="3">H70</f>
        <v>0</v>
      </c>
      <c r="I29" s="222">
        <f t="shared" si="3"/>
        <v>0</v>
      </c>
      <c r="J29" s="222">
        <f t="shared" si="3"/>
        <v>0</v>
      </c>
      <c r="K29" s="222">
        <f t="shared" si="3"/>
        <v>0</v>
      </c>
      <c r="L29" s="222">
        <f t="shared" si="3"/>
        <v>0</v>
      </c>
      <c r="M29" s="222">
        <f t="shared" si="3"/>
        <v>0</v>
      </c>
      <c r="N29" s="222">
        <f t="shared" si="3"/>
        <v>0</v>
      </c>
      <c r="O29" s="222">
        <f t="shared" si="3"/>
        <v>0</v>
      </c>
      <c r="P29" s="29"/>
      <c r="Q29" s="29"/>
      <c r="R29" s="29"/>
      <c r="S29" s="29"/>
      <c r="T29" s="29"/>
      <c r="U29" s="29"/>
      <c r="V29"/>
      <c r="W29"/>
      <c r="X29"/>
      <c r="Y29"/>
      <c r="Z29"/>
      <c r="AA29"/>
      <c r="AB29" s="29"/>
      <c r="AC29" s="29"/>
      <c r="AD29" s="29"/>
      <c r="AE29" s="29"/>
      <c r="AF29" s="29"/>
      <c r="AG29" s="29"/>
      <c r="AH29" s="29"/>
      <c r="AI29" s="29"/>
      <c r="AJ29" s="29"/>
      <c r="AK29" s="29"/>
      <c r="AL29" s="29"/>
      <c r="AM29" s="29"/>
      <c r="AN29" s="29"/>
      <c r="AO29" s="29"/>
      <c r="AP29" s="29"/>
      <c r="AQ29" s="29"/>
      <c r="AR29" s="29"/>
      <c r="AS29" s="29"/>
      <c r="AT29" s="29"/>
      <c r="AU29" s="29"/>
      <c r="AV29" s="29"/>
      <c r="AW29" s="29"/>
      <c r="AX29" s="29"/>
      <c r="AY29" s="29"/>
      <c r="AZ29" s="29"/>
      <c r="BA29" s="29"/>
      <c r="BB29" s="29"/>
      <c r="BC29" s="29"/>
      <c r="BD29" s="29"/>
      <c r="BE29" s="29"/>
      <c r="BF29" s="29"/>
      <c r="BG29" s="29"/>
      <c r="BH29" s="29"/>
      <c r="BI29" s="29"/>
      <c r="BJ29" s="29"/>
      <c r="BK29" s="29"/>
      <c r="BL29" s="29"/>
      <c r="BM29" s="29"/>
      <c r="BN29" s="29"/>
    </row>
    <row r="30" spans="1:66" s="30" customFormat="1" ht="12" customHeight="1">
      <c r="A30" s="29"/>
      <c r="B30" s="227" t="s">
        <v>292</v>
      </c>
      <c r="C30" s="222">
        <v>0</v>
      </c>
      <c r="D30" s="222">
        <v>0</v>
      </c>
      <c r="E30" s="222">
        <f>19.601</f>
        <v>19.600999999999999</v>
      </c>
      <c r="F30" s="222">
        <v>-7.6029999999999998</v>
      </c>
      <c r="G30" s="222">
        <f>570+30+39.708-15.109-15.154-50.901-39.645</f>
        <v>518.899</v>
      </c>
      <c r="H30" s="222">
        <f>-IS!AF106</f>
        <v>0</v>
      </c>
      <c r="I30" s="222">
        <f>-IS!AK106</f>
        <v>0</v>
      </c>
      <c r="J30" s="222">
        <f>-IS!AP106</f>
        <v>0</v>
      </c>
      <c r="K30" s="222">
        <f>-IS!AU106</f>
        <v>-40</v>
      </c>
      <c r="L30" s="222">
        <f>-IS!AZ106</f>
        <v>0</v>
      </c>
      <c r="M30" s="222">
        <f>-IS!BE106</f>
        <v>0</v>
      </c>
      <c r="N30" s="222">
        <f>-IS!BJ106</f>
        <v>-384.87599999999998</v>
      </c>
      <c r="O30" s="222">
        <f>-IS!BO106</f>
        <v>0</v>
      </c>
      <c r="P30" s="29"/>
      <c r="Q30" s="29"/>
      <c r="R30" s="29"/>
      <c r="S30" s="29"/>
      <c r="T30" s="29"/>
      <c r="U30" s="29"/>
      <c r="V30"/>
      <c r="W30"/>
      <c r="X30"/>
      <c r="Y30"/>
      <c r="Z30"/>
      <c r="AA30"/>
      <c r="AB30" s="29"/>
      <c r="AC30" s="29"/>
      <c r="AD30" s="29"/>
      <c r="AE30" s="29"/>
      <c r="AF30" s="29"/>
      <c r="AG30" s="29"/>
      <c r="AH30" s="29"/>
      <c r="AI30" s="29"/>
      <c r="AJ30" s="29"/>
      <c r="AK30" s="29"/>
      <c r="AL30" s="29"/>
      <c r="AM30" s="29"/>
      <c r="AN30" s="29"/>
      <c r="AO30" s="29"/>
      <c r="AP30" s="29"/>
      <c r="AQ30" s="29"/>
      <c r="AR30" s="29"/>
      <c r="AS30" s="29"/>
      <c r="AT30" s="29"/>
      <c r="AU30" s="29"/>
      <c r="AV30" s="29"/>
      <c r="AW30" s="29"/>
      <c r="AX30" s="29"/>
      <c r="AY30" s="29"/>
      <c r="AZ30" s="29"/>
      <c r="BA30" s="29"/>
      <c r="BB30" s="29"/>
      <c r="BC30" s="29"/>
      <c r="BD30" s="29"/>
      <c r="BE30" s="29"/>
      <c r="BF30" s="29"/>
      <c r="BG30" s="29"/>
      <c r="BH30" s="29"/>
      <c r="BI30" s="29"/>
      <c r="BJ30" s="29"/>
      <c r="BK30" s="29"/>
      <c r="BL30" s="29"/>
      <c r="BM30" s="29"/>
      <c r="BN30" s="29"/>
    </row>
    <row r="31" spans="1:66" s="30" customFormat="1" ht="12" customHeight="1">
      <c r="A31" s="29"/>
      <c r="B31" s="227" t="s">
        <v>324</v>
      </c>
      <c r="C31" s="222">
        <v>-8.8999999999999996E-2</v>
      </c>
      <c r="D31" s="222">
        <v>-9.4E-2</v>
      </c>
      <c r="E31" s="222">
        <v>-2.5979999999999999</v>
      </c>
      <c r="F31" s="222">
        <v>20.93</v>
      </c>
      <c r="G31" s="222">
        <v>15.224</v>
      </c>
      <c r="H31" s="222">
        <f t="shared" ref="H31:O31" si="4">H71+H76</f>
        <v>1.2841673228947623</v>
      </c>
      <c r="I31" s="222">
        <f t="shared" si="4"/>
        <v>1.2017175108447151</v>
      </c>
      <c r="J31" s="222">
        <f t="shared" si="4"/>
        <v>1.1245613792877709</v>
      </c>
      <c r="K31" s="222">
        <f t="shared" si="4"/>
        <v>1.0523590480899874</v>
      </c>
      <c r="L31" s="222">
        <f t="shared" si="4"/>
        <v>0.98479245908147983</v>
      </c>
      <c r="M31" s="222">
        <f t="shared" si="4"/>
        <v>0.92156397497978171</v>
      </c>
      <c r="N31" s="222">
        <f t="shared" si="4"/>
        <v>0.86239506826916901</v>
      </c>
      <c r="O31" s="222">
        <f t="shared" si="4"/>
        <v>0.8070250942603322</v>
      </c>
      <c r="P31" s="29"/>
      <c r="Q31" s="29"/>
      <c r="R31" s="29"/>
      <c r="S31" s="29"/>
      <c r="T31" s="29"/>
      <c r="U31" s="29"/>
      <c r="V31"/>
      <c r="W31"/>
      <c r="X31"/>
      <c r="Y31"/>
      <c r="Z31"/>
      <c r="AA31"/>
      <c r="AB31" s="29"/>
      <c r="AC31" s="29"/>
      <c r="AD31" s="29"/>
      <c r="AE31" s="29"/>
      <c r="AF31" s="29"/>
      <c r="AG31" s="29"/>
      <c r="AH31" s="29"/>
      <c r="AI31" s="29"/>
      <c r="AJ31" s="29"/>
      <c r="AK31" s="29"/>
      <c r="AL31" s="29"/>
      <c r="AM31" s="29"/>
      <c r="AN31" s="29"/>
      <c r="AO31" s="29"/>
      <c r="AP31" s="29"/>
      <c r="AQ31" s="29"/>
      <c r="AR31" s="29"/>
      <c r="AS31" s="29"/>
      <c r="AT31" s="29"/>
      <c r="AU31" s="29"/>
      <c r="AV31" s="29"/>
      <c r="AW31" s="29"/>
      <c r="AX31" s="29"/>
      <c r="AY31" s="29"/>
      <c r="AZ31" s="29"/>
      <c r="BA31" s="29"/>
      <c r="BB31" s="29"/>
      <c r="BC31" s="29"/>
      <c r="BD31" s="29"/>
      <c r="BE31" s="29"/>
      <c r="BF31" s="29"/>
      <c r="BG31" s="29"/>
      <c r="BH31" s="29"/>
      <c r="BI31" s="29"/>
      <c r="BJ31" s="29"/>
      <c r="BK31" s="29"/>
      <c r="BL31" s="29"/>
      <c r="BM31" s="29"/>
      <c r="BN31" s="29"/>
    </row>
    <row r="32" spans="1:66" s="30" customFormat="1" ht="12" customHeight="1">
      <c r="A32" s="29"/>
      <c r="B32" s="227" t="s">
        <v>118</v>
      </c>
      <c r="C32" s="222">
        <v>-0.22600000000000001</v>
      </c>
      <c r="D32" s="222">
        <v>0</v>
      </c>
      <c r="E32" s="222">
        <v>0</v>
      </c>
      <c r="F32" s="222">
        <v>0</v>
      </c>
      <c r="G32" s="222">
        <v>0</v>
      </c>
      <c r="H32" s="222">
        <v>0</v>
      </c>
      <c r="I32" s="222">
        <v>0</v>
      </c>
      <c r="J32" s="222">
        <v>0</v>
      </c>
      <c r="K32" s="222">
        <v>0</v>
      </c>
      <c r="L32" s="222">
        <v>0</v>
      </c>
      <c r="M32" s="222">
        <v>0</v>
      </c>
      <c r="N32" s="222">
        <v>0</v>
      </c>
      <c r="O32" s="222">
        <v>0</v>
      </c>
      <c r="P32" s="29"/>
      <c r="Q32" s="29"/>
      <c r="R32" s="29"/>
      <c r="S32" s="29"/>
      <c r="T32" s="29"/>
      <c r="U32" s="29"/>
      <c r="V32"/>
      <c r="W32"/>
      <c r="X32"/>
      <c r="Y32"/>
      <c r="Z32"/>
      <c r="AA32"/>
      <c r="AB32" s="29"/>
      <c r="AC32" s="29"/>
      <c r="AD32" s="29"/>
      <c r="AE32" s="29"/>
      <c r="AF32" s="29"/>
      <c r="AG32" s="29"/>
      <c r="AH32" s="29"/>
      <c r="AI32" s="29"/>
      <c r="AJ32" s="29"/>
      <c r="AK32" s="29"/>
      <c r="AL32" s="29"/>
      <c r="AM32" s="29"/>
      <c r="AN32" s="29"/>
      <c r="AO32" s="29"/>
      <c r="AP32" s="29"/>
      <c r="AQ32" s="29"/>
      <c r="AR32" s="29"/>
      <c r="AS32" s="29"/>
      <c r="AT32" s="29"/>
      <c r="AU32" s="29"/>
      <c r="AV32" s="29"/>
      <c r="AW32" s="29"/>
      <c r="AX32" s="29"/>
      <c r="AY32" s="29"/>
      <c r="AZ32" s="29"/>
      <c r="BA32" s="29"/>
      <c r="BB32" s="29"/>
      <c r="BC32" s="29"/>
      <c r="BD32" s="29"/>
      <c r="BE32" s="29"/>
      <c r="BF32" s="29"/>
      <c r="BG32" s="29"/>
      <c r="BH32" s="29"/>
      <c r="BI32" s="29"/>
      <c r="BJ32" s="29"/>
      <c r="BK32" s="29"/>
      <c r="BL32" s="29"/>
      <c r="BM32" s="29"/>
      <c r="BN32" s="29"/>
    </row>
    <row r="33" spans="1:66" s="31" customFormat="1" ht="13.5" customHeight="1" thickBot="1">
      <c r="A33" s="29"/>
      <c r="B33" s="249" t="s">
        <v>57</v>
      </c>
      <c r="C33" s="266">
        <f>SUM(C29:C32)</f>
        <v>145.67099999999999</v>
      </c>
      <c r="D33" s="266">
        <f>SUM(D29:D32)</f>
        <v>104.155</v>
      </c>
      <c r="E33" s="266">
        <f>SUM(E29:E32)</f>
        <v>147.80799999999999</v>
      </c>
      <c r="F33" s="266">
        <f t="shared" ref="F33:O33" si="5">SUM(F29:F32)</f>
        <v>378.12900000000002</v>
      </c>
      <c r="G33" s="266">
        <f t="shared" si="5"/>
        <v>888.08199999999999</v>
      </c>
      <c r="H33" s="266">
        <f t="shared" si="5"/>
        <v>1.2841673228947623</v>
      </c>
      <c r="I33" s="266">
        <f t="shared" si="5"/>
        <v>1.2017175108447151</v>
      </c>
      <c r="J33" s="266">
        <f t="shared" si="5"/>
        <v>1.1245613792877709</v>
      </c>
      <c r="K33" s="266">
        <f t="shared" si="5"/>
        <v>-38.94764095191001</v>
      </c>
      <c r="L33" s="266">
        <f t="shared" si="5"/>
        <v>0.98479245908147983</v>
      </c>
      <c r="M33" s="266">
        <f t="shared" si="5"/>
        <v>0.92156397497978171</v>
      </c>
      <c r="N33" s="266">
        <f t="shared" si="5"/>
        <v>-384.01360493173081</v>
      </c>
      <c r="O33" s="265">
        <f t="shared" si="5"/>
        <v>0.8070250942603322</v>
      </c>
      <c r="P33" s="29"/>
      <c r="Q33" s="29"/>
      <c r="R33" s="29"/>
      <c r="S33" s="29"/>
      <c r="T33" s="29"/>
      <c r="U33" s="29"/>
      <c r="V33"/>
      <c r="W33"/>
      <c r="X33"/>
      <c r="Y33"/>
      <c r="Z33"/>
      <c r="AA33"/>
      <c r="AB33" s="29"/>
      <c r="AC33" s="29"/>
      <c r="AD33" s="29"/>
      <c r="AE33" s="29"/>
      <c r="AF33" s="29"/>
      <c r="AG33" s="29"/>
      <c r="AH33" s="29"/>
      <c r="AI33" s="29"/>
      <c r="AJ33" s="29"/>
      <c r="AK33" s="29"/>
      <c r="AL33" s="29"/>
      <c r="AM33" s="29"/>
      <c r="AN33" s="29"/>
      <c r="AO33" s="29"/>
      <c r="AP33" s="29"/>
      <c r="AQ33" s="29"/>
      <c r="AR33" s="29"/>
      <c r="AS33" s="29"/>
      <c r="AT33" s="29"/>
      <c r="AU33" s="29"/>
      <c r="AV33" s="29"/>
      <c r="AW33" s="29"/>
      <c r="AX33" s="29"/>
      <c r="AY33" s="29"/>
      <c r="AZ33" s="29"/>
      <c r="BA33" s="29"/>
      <c r="BB33" s="29"/>
      <c r="BC33" s="29"/>
      <c r="BD33" s="29"/>
      <c r="BE33" s="29"/>
      <c r="BF33" s="29"/>
      <c r="BG33" s="29"/>
      <c r="BH33" s="29"/>
      <c r="BI33" s="29"/>
      <c r="BJ33" s="29"/>
      <c r="BK33" s="29"/>
      <c r="BL33" s="29"/>
      <c r="BM33" s="29"/>
      <c r="BN33" s="29"/>
    </row>
    <row r="34" spans="1:66" s="29" customFormat="1" ht="9" customHeight="1">
      <c r="B34" s="226"/>
      <c r="C34" s="229"/>
      <c r="D34" s="229"/>
      <c r="E34" s="229"/>
      <c r="F34" s="229"/>
      <c r="G34" s="229"/>
      <c r="H34" s="229"/>
      <c r="I34" s="229"/>
      <c r="J34" s="229"/>
      <c r="K34" s="229"/>
      <c r="L34" s="229"/>
      <c r="M34" s="229"/>
      <c r="N34" s="229"/>
      <c r="O34" s="229"/>
      <c r="V34"/>
      <c r="W34"/>
      <c r="X34"/>
      <c r="Y34"/>
      <c r="Z34"/>
      <c r="AA34"/>
    </row>
    <row r="35" spans="1:66" s="30" customFormat="1" ht="13.5" customHeight="1">
      <c r="A35" s="29"/>
      <c r="B35" s="230" t="s">
        <v>194</v>
      </c>
      <c r="C35" s="228">
        <f>SUM(C16,C25,C33)</f>
        <v>69.304000000000002</v>
      </c>
      <c r="D35" s="228">
        <f>SUM(D16,D25,D33)</f>
        <v>-183.41399999999996</v>
      </c>
      <c r="E35" s="228">
        <f>SUM(E16,E25,E33)</f>
        <v>6.7529999999999291</v>
      </c>
      <c r="F35" s="228">
        <f t="shared" ref="F35:O35" si="6">SUM(F16,F25,F33)</f>
        <v>42.115999999999985</v>
      </c>
      <c r="G35" s="228">
        <f t="shared" si="6"/>
        <v>477.27100000000007</v>
      </c>
      <c r="H35" s="228">
        <f t="shared" si="6"/>
        <v>52.890578072064763</v>
      </c>
      <c r="I35" s="228">
        <f t="shared" si="6"/>
        <v>37.964518173822782</v>
      </c>
      <c r="J35" s="228">
        <f t="shared" si="6"/>
        <v>110.27746693772221</v>
      </c>
      <c r="K35" s="228">
        <f t="shared" si="6"/>
        <v>194.59519977109414</v>
      </c>
      <c r="L35" s="228">
        <f t="shared" si="6"/>
        <v>498.43830000657306</v>
      </c>
      <c r="M35" s="228">
        <f t="shared" si="6"/>
        <v>499.6099851535044</v>
      </c>
      <c r="N35" s="228">
        <f t="shared" si="6"/>
        <v>154.74082400530472</v>
      </c>
      <c r="O35" s="228">
        <f t="shared" si="6"/>
        <v>561.5957894782706</v>
      </c>
      <c r="P35" s="29"/>
      <c r="Q35" s="29"/>
      <c r="R35" s="29"/>
      <c r="S35" s="29"/>
      <c r="T35" s="29"/>
      <c r="U35" s="29"/>
      <c r="V35"/>
      <c r="W35"/>
      <c r="X35"/>
      <c r="Y35"/>
      <c r="Z35"/>
      <c r="AA35"/>
      <c r="AB35" s="29"/>
      <c r="AC35" s="29"/>
      <c r="AD35" s="29"/>
      <c r="AE35" s="29"/>
      <c r="AF35" s="29"/>
      <c r="AG35" s="29"/>
      <c r="AH35" s="29"/>
      <c r="AI35" s="29"/>
      <c r="AJ35" s="29"/>
      <c r="AK35" s="29"/>
      <c r="AL35" s="29"/>
      <c r="AM35" s="29"/>
      <c r="AN35" s="29"/>
      <c r="AO35" s="29"/>
      <c r="AP35" s="29"/>
      <c r="AQ35" s="29"/>
      <c r="AR35" s="29"/>
      <c r="AS35" s="29"/>
      <c r="AT35" s="29"/>
      <c r="AU35" s="29"/>
      <c r="AV35" s="29"/>
      <c r="AW35" s="29"/>
      <c r="AX35" s="29"/>
      <c r="AY35" s="29"/>
      <c r="AZ35" s="29"/>
      <c r="BA35" s="29"/>
      <c r="BB35" s="29"/>
      <c r="BC35" s="29"/>
      <c r="BD35" s="29"/>
      <c r="BE35" s="29"/>
      <c r="BF35" s="29"/>
      <c r="BG35" s="29"/>
      <c r="BH35" s="29"/>
      <c r="BI35" s="29"/>
      <c r="BJ35" s="29"/>
      <c r="BK35" s="29"/>
      <c r="BL35" s="29"/>
      <c r="BM35" s="29"/>
      <c r="BN35" s="29"/>
    </row>
    <row r="36" spans="1:66" s="30" customFormat="1" ht="13.5" customHeight="1">
      <c r="A36" s="29"/>
      <c r="B36" s="230" t="s">
        <v>195</v>
      </c>
      <c r="C36" s="228">
        <v>187.661</v>
      </c>
      <c r="D36" s="228">
        <f>+C38</f>
        <v>256.96500000000003</v>
      </c>
      <c r="E36" s="228">
        <f>+D38</f>
        <v>73.551000000000073</v>
      </c>
      <c r="F36" s="228">
        <f t="shared" ref="F36:O36" si="7">+E38</f>
        <v>80.304000000000002</v>
      </c>
      <c r="G36" s="228">
        <f t="shared" si="7"/>
        <v>122.41999999999999</v>
      </c>
      <c r="H36" s="228">
        <f t="shared" si="7"/>
        <v>599.69100000000003</v>
      </c>
      <c r="I36" s="228">
        <f t="shared" si="7"/>
        <v>652.58157807206476</v>
      </c>
      <c r="J36" s="228">
        <f t="shared" si="7"/>
        <v>690.5460962458875</v>
      </c>
      <c r="K36" s="228">
        <f t="shared" si="7"/>
        <v>800.82356318360974</v>
      </c>
      <c r="L36" s="228">
        <f t="shared" si="7"/>
        <v>995.41876295470388</v>
      </c>
      <c r="M36" s="228">
        <f t="shared" si="7"/>
        <v>1493.8570629612768</v>
      </c>
      <c r="N36" s="228">
        <f t="shared" si="7"/>
        <v>1993.4670481147812</v>
      </c>
      <c r="O36" s="228">
        <f t="shared" si="7"/>
        <v>2148.207872120086</v>
      </c>
      <c r="P36" s="29"/>
      <c r="Q36" s="29"/>
      <c r="R36" s="29"/>
      <c r="S36" s="29"/>
      <c r="T36" s="29"/>
      <c r="U36" s="29"/>
      <c r="V36"/>
      <c r="W36"/>
      <c r="X36"/>
      <c r="Y36"/>
      <c r="Z36"/>
      <c r="AA36"/>
      <c r="AB36" s="29"/>
      <c r="AC36" s="29"/>
      <c r="AD36" s="29"/>
      <c r="AE36" s="29"/>
      <c r="AF36" s="29"/>
      <c r="AG36" s="29"/>
      <c r="AH36" s="29"/>
      <c r="AI36" s="29"/>
      <c r="AJ36" s="29"/>
      <c r="AK36" s="29"/>
      <c r="AL36" s="29"/>
      <c r="AM36" s="29"/>
      <c r="AN36" s="29"/>
      <c r="AO36" s="29"/>
      <c r="AP36" s="29"/>
      <c r="AQ36" s="29"/>
      <c r="AR36" s="29"/>
      <c r="AS36" s="29"/>
      <c r="AT36" s="29"/>
      <c r="AU36" s="29"/>
      <c r="AV36" s="29"/>
      <c r="AW36" s="29"/>
      <c r="AX36" s="29"/>
      <c r="AY36" s="29"/>
      <c r="AZ36" s="29"/>
      <c r="BA36" s="29"/>
      <c r="BB36" s="29"/>
      <c r="BC36" s="29"/>
      <c r="BD36" s="29"/>
      <c r="BE36" s="29"/>
      <c r="BF36" s="29"/>
      <c r="BG36" s="29"/>
      <c r="BH36" s="29"/>
      <c r="BI36" s="29"/>
      <c r="BJ36" s="29"/>
      <c r="BK36" s="29"/>
      <c r="BL36" s="29"/>
      <c r="BM36" s="29"/>
      <c r="BN36" s="29"/>
    </row>
    <row r="37" spans="1:66" s="30" customFormat="1" ht="9" customHeight="1">
      <c r="A37" s="29"/>
      <c r="B37" s="230"/>
      <c r="C37" s="228"/>
      <c r="D37" s="228"/>
      <c r="E37" s="228"/>
      <c r="F37" s="228"/>
      <c r="G37" s="228"/>
      <c r="H37" s="228"/>
      <c r="I37" s="228"/>
      <c r="J37" s="228"/>
      <c r="K37" s="228"/>
      <c r="L37" s="228"/>
      <c r="M37" s="228"/>
      <c r="N37" s="228"/>
      <c r="O37" s="228"/>
      <c r="P37" s="29"/>
      <c r="Q37" s="29"/>
      <c r="R37" s="29"/>
      <c r="S37" s="29"/>
      <c r="T37" s="29"/>
      <c r="U37" s="29"/>
      <c r="V37"/>
      <c r="W37"/>
      <c r="X37"/>
      <c r="Y37"/>
      <c r="Z37"/>
      <c r="AA37"/>
      <c r="AB37" s="29"/>
      <c r="AC37" s="29"/>
      <c r="AD37" s="29"/>
      <c r="AE37" s="29"/>
      <c r="AF37" s="29"/>
      <c r="AG37" s="29"/>
      <c r="AH37" s="29"/>
      <c r="AI37" s="29"/>
      <c r="AJ37" s="29"/>
      <c r="AK37" s="29"/>
      <c r="AL37" s="29"/>
      <c r="AM37" s="29"/>
      <c r="AN37" s="29"/>
      <c r="AO37" s="29"/>
      <c r="AP37" s="29"/>
      <c r="AQ37" s="29"/>
      <c r="AR37" s="29"/>
      <c r="AS37" s="29"/>
      <c r="AT37" s="29"/>
      <c r="AU37" s="29"/>
      <c r="AV37" s="29"/>
      <c r="AW37" s="29"/>
      <c r="AX37" s="29"/>
      <c r="AY37" s="29"/>
      <c r="AZ37" s="29"/>
      <c r="BA37" s="29"/>
      <c r="BB37" s="29"/>
      <c r="BC37" s="29"/>
      <c r="BD37" s="29"/>
      <c r="BE37" s="29"/>
      <c r="BF37" s="29"/>
      <c r="BG37" s="29"/>
      <c r="BH37" s="29"/>
      <c r="BI37" s="29"/>
      <c r="BJ37" s="29"/>
      <c r="BK37" s="29"/>
      <c r="BL37" s="29"/>
      <c r="BM37" s="29"/>
      <c r="BN37" s="29"/>
    </row>
    <row r="38" spans="1:66" s="30" customFormat="1">
      <c r="A38" s="29"/>
      <c r="B38" s="231" t="s">
        <v>196</v>
      </c>
      <c r="C38" s="232">
        <f t="shared" ref="C38" si="8">SUM(C35:C36)</f>
        <v>256.96500000000003</v>
      </c>
      <c r="D38" s="232">
        <f t="shared" ref="D38:E38" si="9">SUM(D35:D36)</f>
        <v>73.551000000000073</v>
      </c>
      <c r="E38" s="232">
        <f t="shared" si="9"/>
        <v>80.304000000000002</v>
      </c>
      <c r="F38" s="232">
        <f t="shared" ref="F38:O38" si="10">SUM(F35:F36)</f>
        <v>122.41999999999999</v>
      </c>
      <c r="G38" s="232">
        <f t="shared" si="10"/>
        <v>599.69100000000003</v>
      </c>
      <c r="H38" s="232">
        <f t="shared" si="10"/>
        <v>652.58157807206476</v>
      </c>
      <c r="I38" s="232">
        <f t="shared" si="10"/>
        <v>690.5460962458875</v>
      </c>
      <c r="J38" s="232">
        <f t="shared" si="10"/>
        <v>800.82356318360974</v>
      </c>
      <c r="K38" s="232">
        <f t="shared" si="10"/>
        <v>995.41876295470388</v>
      </c>
      <c r="L38" s="232">
        <f t="shared" si="10"/>
        <v>1493.8570629612768</v>
      </c>
      <c r="M38" s="232">
        <f t="shared" si="10"/>
        <v>1993.4670481147812</v>
      </c>
      <c r="N38" s="232">
        <f t="shared" si="10"/>
        <v>2148.207872120086</v>
      </c>
      <c r="O38" s="233">
        <f t="shared" si="10"/>
        <v>2709.8036615983565</v>
      </c>
      <c r="P38" s="29"/>
      <c r="Q38" s="29"/>
      <c r="R38" s="29"/>
      <c r="S38" s="29"/>
      <c r="T38" s="29"/>
      <c r="U38" s="29"/>
      <c r="V38"/>
      <c r="W38"/>
      <c r="X38"/>
      <c r="Y38"/>
      <c r="Z38"/>
      <c r="AA38"/>
      <c r="AB38" s="29"/>
      <c r="AC38" s="29"/>
      <c r="AD38" s="29"/>
      <c r="AE38" s="29"/>
      <c r="AF38" s="29"/>
      <c r="AG38" s="29"/>
      <c r="AH38" s="29"/>
      <c r="AI38" s="29"/>
      <c r="AJ38" s="29"/>
      <c r="AK38" s="29"/>
      <c r="AL38" s="29"/>
      <c r="AM38" s="29"/>
      <c r="AN38" s="29"/>
      <c r="AO38" s="29"/>
      <c r="AP38" s="29"/>
      <c r="AQ38" s="29"/>
      <c r="AR38" s="29"/>
      <c r="AS38" s="29"/>
      <c r="AT38" s="29"/>
      <c r="AU38" s="29"/>
      <c r="AV38" s="29"/>
      <c r="AW38" s="29"/>
      <c r="AX38" s="29"/>
      <c r="AY38" s="29"/>
      <c r="AZ38" s="29"/>
      <c r="BA38" s="29"/>
      <c r="BB38" s="29"/>
      <c r="BC38" s="29"/>
      <c r="BD38" s="29"/>
      <c r="BE38" s="29"/>
      <c r="BF38" s="29"/>
      <c r="BG38" s="29"/>
      <c r="BH38" s="29"/>
      <c r="BI38" s="29"/>
      <c r="BJ38" s="29"/>
      <c r="BK38" s="29"/>
      <c r="BL38" s="29"/>
      <c r="BM38" s="29"/>
      <c r="BN38" s="29"/>
    </row>
    <row r="39" spans="1:66">
      <c r="B39" s="234" t="s">
        <v>197</v>
      </c>
      <c r="C39" s="229">
        <f>BS!D6+BS!D13</f>
        <v>0</v>
      </c>
      <c r="D39" s="229">
        <f>BS!E6+BS!E13</f>
        <v>136.79300000000001</v>
      </c>
      <c r="E39" s="229">
        <f>BS!F6+BS!F13</f>
        <v>112.187</v>
      </c>
      <c r="F39" s="229">
        <f>BS!G6+BS!G13</f>
        <v>195.42500000000001</v>
      </c>
      <c r="G39" s="229">
        <f>BS!H6+BS!H13</f>
        <v>479.36900000000003</v>
      </c>
      <c r="H39" s="229">
        <f>BS!I6+BS!I13</f>
        <v>479.36900000000003</v>
      </c>
      <c r="I39" s="229">
        <f>BS!J6+BS!J13</f>
        <v>479.36900000000003</v>
      </c>
      <c r="J39" s="229">
        <f>BS!K6+BS!K13</f>
        <v>479.36900000000003</v>
      </c>
      <c r="K39" s="229">
        <f>BS!L6+BS!L13</f>
        <v>479.36900000000003</v>
      </c>
      <c r="L39" s="229">
        <f>BS!M6+BS!M13</f>
        <v>479.36900000000003</v>
      </c>
      <c r="M39" s="229">
        <f>BS!N6+BS!N13</f>
        <v>479.36900000000003</v>
      </c>
      <c r="N39" s="229">
        <f>BS!O6+BS!O13</f>
        <v>479.36900000000003</v>
      </c>
      <c r="O39" s="235">
        <f>BS!P6+BS!P13</f>
        <v>479.36900000000003</v>
      </c>
    </row>
    <row r="40" spans="1:66">
      <c r="B40" s="236" t="s">
        <v>198</v>
      </c>
      <c r="C40" s="237">
        <f t="shared" ref="C40" si="11">C38+C39</f>
        <v>256.96500000000003</v>
      </c>
      <c r="D40" s="237">
        <f t="shared" ref="D40:E40" si="12">D38+D39</f>
        <v>210.34400000000008</v>
      </c>
      <c r="E40" s="237">
        <f t="shared" si="12"/>
        <v>192.49099999999999</v>
      </c>
      <c r="F40" s="237">
        <f t="shared" ref="F40:O40" si="13">F38+F39</f>
        <v>317.84500000000003</v>
      </c>
      <c r="G40" s="237">
        <f t="shared" si="13"/>
        <v>1079.06</v>
      </c>
      <c r="H40" s="237">
        <f t="shared" si="13"/>
        <v>1131.9505780720647</v>
      </c>
      <c r="I40" s="237">
        <f t="shared" si="13"/>
        <v>1169.9150962458875</v>
      </c>
      <c r="J40" s="237">
        <f t="shared" si="13"/>
        <v>1280.1925631836098</v>
      </c>
      <c r="K40" s="237">
        <f t="shared" si="13"/>
        <v>1474.7877629547038</v>
      </c>
      <c r="L40" s="237">
        <f t="shared" si="13"/>
        <v>1973.226062961277</v>
      </c>
      <c r="M40" s="237">
        <f t="shared" si="13"/>
        <v>2472.8360481147811</v>
      </c>
      <c r="N40" s="237">
        <f t="shared" si="13"/>
        <v>2627.5768721200861</v>
      </c>
      <c r="O40" s="238">
        <f t="shared" si="13"/>
        <v>3189.1726615983566</v>
      </c>
    </row>
    <row r="41" spans="1:66">
      <c r="B41" s="205"/>
      <c r="C41" s="34"/>
      <c r="D41" s="34"/>
      <c r="E41" s="34"/>
      <c r="F41" s="34"/>
      <c r="G41" s="34"/>
      <c r="H41" s="34"/>
      <c r="I41" s="34"/>
      <c r="J41" s="34"/>
      <c r="K41" s="34"/>
      <c r="L41" s="34"/>
      <c r="M41" s="34"/>
      <c r="N41" s="34"/>
      <c r="O41" s="34"/>
    </row>
    <row r="42" spans="1:66">
      <c r="B42" s="185" t="s">
        <v>122</v>
      </c>
      <c r="C42" s="42">
        <f>C38-BS!D5</f>
        <v>0</v>
      </c>
      <c r="D42" s="42">
        <f>D38-BS!E5</f>
        <v>0</v>
      </c>
      <c r="E42" s="42">
        <f>E38-BS!F5</f>
        <v>0</v>
      </c>
      <c r="F42" s="42">
        <f>F38-BS!G5</f>
        <v>0</v>
      </c>
      <c r="G42" s="42">
        <f>G38-BS!H5</f>
        <v>0</v>
      </c>
      <c r="H42" s="42">
        <f>H38-BS!I5</f>
        <v>0</v>
      </c>
      <c r="I42" s="42">
        <f>I38-BS!J5</f>
        <v>0</v>
      </c>
      <c r="J42" s="42">
        <f>J38-BS!K5</f>
        <v>0</v>
      </c>
      <c r="K42" s="42">
        <f>K38-BS!L5</f>
        <v>0</v>
      </c>
      <c r="L42" s="42">
        <f>L38-BS!M5</f>
        <v>0</v>
      </c>
      <c r="M42" s="42">
        <f>M38-BS!N5</f>
        <v>0</v>
      </c>
      <c r="N42" s="42">
        <f>N38-BS!O5</f>
        <v>0</v>
      </c>
      <c r="O42" s="42">
        <f>O38-BS!P5</f>
        <v>0</v>
      </c>
    </row>
    <row r="43" spans="1:66" ht="12.75" customHeight="1">
      <c r="B43" s="206"/>
      <c r="C43" s="32"/>
      <c r="D43" s="32"/>
      <c r="E43" s="32"/>
      <c r="F43" s="32"/>
      <c r="G43" s="32"/>
      <c r="H43" s="32"/>
      <c r="I43" s="32"/>
      <c r="J43" s="32"/>
      <c r="K43" s="32"/>
      <c r="L43" s="32"/>
      <c r="M43" s="32"/>
      <c r="N43" s="32"/>
      <c r="O43" s="32"/>
    </row>
    <row r="44" spans="1:66" ht="13.5" customHeight="1">
      <c r="B44" s="207" t="s">
        <v>33</v>
      </c>
      <c r="C44" s="32"/>
      <c r="D44" s="32"/>
      <c r="E44" s="32"/>
      <c r="F44" s="32"/>
      <c r="G44" s="32"/>
      <c r="H44" s="32"/>
      <c r="I44" s="32"/>
      <c r="J44" s="32"/>
      <c r="K44" s="32"/>
      <c r="L44" s="32"/>
      <c r="M44" s="32"/>
      <c r="N44" s="32"/>
      <c r="O44" s="32"/>
    </row>
    <row r="45" spans="1:66">
      <c r="C45" s="32"/>
      <c r="D45" s="32"/>
      <c r="E45" s="32"/>
      <c r="F45" s="32"/>
      <c r="G45" s="32"/>
      <c r="H45" s="32"/>
      <c r="I45" s="32"/>
      <c r="J45" s="32"/>
      <c r="K45" s="32"/>
      <c r="L45" s="32"/>
      <c r="M45" s="32"/>
      <c r="N45" s="32"/>
      <c r="O45" s="32"/>
    </row>
    <row r="46" spans="1:66">
      <c r="B46" s="59" t="s">
        <v>199</v>
      </c>
      <c r="C46" s="280">
        <v>0.1</v>
      </c>
      <c r="D46" s="97"/>
      <c r="E46" s="97"/>
      <c r="F46" s="97"/>
      <c r="G46" s="97"/>
      <c r="H46" s="97"/>
      <c r="I46" s="97"/>
      <c r="J46" s="97"/>
      <c r="K46" s="97"/>
      <c r="L46" s="97"/>
      <c r="M46" s="97"/>
      <c r="N46" s="97"/>
      <c r="O46" s="97"/>
    </row>
    <row r="47" spans="1:66">
      <c r="B47" s="208" t="s">
        <v>35</v>
      </c>
      <c r="C47" s="353">
        <f>_xll.TR($AD$1,"AVG(TR.PriceClose)","Sdate=#1 Edate=#2 Curn=#3 Null=BLANK",,DATE(C$2,1,1),DATE(C$2,12,31),$AD$2)</f>
        <v>33.287527777777797</v>
      </c>
      <c r="D47" s="353">
        <f>_xll.TR($AD$1,"AVG(TR.PriceClose)","Sdate=#1 Edate=#2 Curn=#3 Null=BLANK",,DATE(D$2,1,1),DATE(D$2,12,31),$AD$2)</f>
        <v>24.106369047619001</v>
      </c>
      <c r="E47" s="353">
        <f>_xll.TR($AD$1,"AVG(TR.PriceClose)","Sdate=#1 Edate=#2 Curn=#3 Null=BLANK",,DATE(E$2,1,1),DATE(E$2,12,31),$AD$2)</f>
        <v>25.1901785714286</v>
      </c>
      <c r="F47" s="353">
        <v>47.82</v>
      </c>
      <c r="G47" s="354">
        <f>F47*(1+$C$46)</f>
        <v>52.602000000000004</v>
      </c>
      <c r="H47" s="354">
        <f t="shared" ref="H47:O47" si="14">G47*(1+$C$46)</f>
        <v>57.862200000000009</v>
      </c>
      <c r="I47" s="354">
        <f t="shared" si="14"/>
        <v>63.648420000000016</v>
      </c>
      <c r="J47" s="354">
        <f t="shared" si="14"/>
        <v>70.013262000000026</v>
      </c>
      <c r="K47" s="354">
        <f t="shared" si="14"/>
        <v>77.014588200000034</v>
      </c>
      <c r="L47" s="354">
        <f t="shared" si="14"/>
        <v>84.716047020000047</v>
      </c>
      <c r="M47" s="354">
        <f t="shared" si="14"/>
        <v>93.187651722000055</v>
      </c>
      <c r="N47" s="354">
        <f t="shared" si="14"/>
        <v>102.50641689420007</v>
      </c>
      <c r="O47" s="355">
        <f t="shared" si="14"/>
        <v>112.75705858362009</v>
      </c>
    </row>
    <row r="48" spans="1:66">
      <c r="B48" s="209" t="s">
        <v>36</v>
      </c>
      <c r="C48" s="77">
        <v>2.5225219999999999</v>
      </c>
      <c r="D48" s="77">
        <f t="shared" ref="D48:E48" si="15">C48-C52-C54+C60</f>
        <v>4.1903670000000002</v>
      </c>
      <c r="E48" s="77">
        <f t="shared" si="15"/>
        <v>5.2162030000000001</v>
      </c>
      <c r="F48" s="621">
        <v>6.5159760000000002</v>
      </c>
      <c r="G48" s="621">
        <v>5.4369509999999996</v>
      </c>
      <c r="H48" s="621">
        <f t="shared" ref="H48:O48" si="16">G48-G52-G54+G60</f>
        <v>8.806204000000001</v>
      </c>
      <c r="I48" s="621">
        <f t="shared" si="16"/>
        <v>8.2408027070924135</v>
      </c>
      <c r="J48" s="621">
        <f t="shared" si="16"/>
        <v>7.7117029377495285</v>
      </c>
      <c r="K48" s="621">
        <f t="shared" si="16"/>
        <v>7.2165739569170588</v>
      </c>
      <c r="L48" s="621">
        <f t="shared" si="16"/>
        <v>6.7532346741109688</v>
      </c>
      <c r="M48" s="621">
        <f t="shared" si="16"/>
        <v>6.3196440355054255</v>
      </c>
      <c r="N48" s="621">
        <f t="shared" si="16"/>
        <v>5.9138920328956184</v>
      </c>
      <c r="O48" s="622">
        <f t="shared" si="16"/>
        <v>5.534191289929062</v>
      </c>
      <c r="P48" s="77"/>
    </row>
    <row r="49" spans="2:15">
      <c r="B49" s="209" t="s">
        <v>200</v>
      </c>
      <c r="C49" s="77">
        <v>1.051329</v>
      </c>
      <c r="D49" s="77">
        <v>2.019514</v>
      </c>
      <c r="E49" s="77">
        <v>2.6171669999999998</v>
      </c>
      <c r="F49" s="621">
        <v>2.9426239999999999</v>
      </c>
      <c r="G49" s="621">
        <v>3.2887119999999999</v>
      </c>
      <c r="H49" s="621">
        <f t="shared" ref="H49:O49" si="17">H48*H50</f>
        <v>3.9627918000000006</v>
      </c>
      <c r="I49" s="621">
        <f t="shared" si="17"/>
        <v>3.7083612181915862</v>
      </c>
      <c r="J49" s="621">
        <f t="shared" si="17"/>
        <v>3.470266321987288</v>
      </c>
      <c r="K49" s="621">
        <f t="shared" si="17"/>
        <v>3.2474582806126766</v>
      </c>
      <c r="L49" s="621">
        <f t="shared" si="17"/>
        <v>3.0389556033499359</v>
      </c>
      <c r="M49" s="621">
        <f t="shared" si="17"/>
        <v>2.8438398159774416</v>
      </c>
      <c r="N49" s="621">
        <f t="shared" si="17"/>
        <v>2.6612514148030284</v>
      </c>
      <c r="O49" s="622">
        <f t="shared" si="17"/>
        <v>2.490386080468078</v>
      </c>
    </row>
    <row r="50" spans="2:15">
      <c r="B50" s="210" t="s">
        <v>37</v>
      </c>
      <c r="C50" s="281">
        <f t="shared" ref="C50:D50" si="18">IF(ISERROR(C49/C48), "NM", (C49/C48))</f>
        <v>0.41677693990379466</v>
      </c>
      <c r="D50" s="71">
        <f t="shared" si="18"/>
        <v>0.48194203514871131</v>
      </c>
      <c r="E50" s="71">
        <f>IF(ISERROR(E49/E48), "NM", (E49/E48))</f>
        <v>0.50173794999926191</v>
      </c>
      <c r="F50" s="356">
        <f>F49/F48</f>
        <v>0.45160141780755481</v>
      </c>
      <c r="G50" s="356">
        <f>G49/G48</f>
        <v>0.60488166989181991</v>
      </c>
      <c r="H50" s="71">
        <v>0.45</v>
      </c>
      <c r="I50" s="71">
        <f t="shared" ref="I50:O50" si="19">H50</f>
        <v>0.45</v>
      </c>
      <c r="J50" s="71">
        <f t="shared" si="19"/>
        <v>0.45</v>
      </c>
      <c r="K50" s="71">
        <f t="shared" si="19"/>
        <v>0.45</v>
      </c>
      <c r="L50" s="71">
        <f t="shared" si="19"/>
        <v>0.45</v>
      </c>
      <c r="M50" s="71">
        <f t="shared" si="19"/>
        <v>0.45</v>
      </c>
      <c r="N50" s="71">
        <f t="shared" si="19"/>
        <v>0.45</v>
      </c>
      <c r="O50" s="74">
        <f t="shared" si="19"/>
        <v>0.45</v>
      </c>
    </row>
    <row r="51" spans="2:15">
      <c r="B51" s="211" t="s">
        <v>201</v>
      </c>
      <c r="C51" s="75">
        <v>11.91</v>
      </c>
      <c r="D51" s="75">
        <v>18.690000000000001</v>
      </c>
      <c r="E51" s="75">
        <v>23.85</v>
      </c>
      <c r="F51" s="75">
        <v>24.42</v>
      </c>
      <c r="G51" s="75">
        <v>24.76</v>
      </c>
      <c r="H51" s="75">
        <f t="shared" ref="H51:O51" si="20">G51*(1+$C$46)</f>
        <v>27.236000000000004</v>
      </c>
      <c r="I51" s="75">
        <f t="shared" si="20"/>
        <v>29.959600000000005</v>
      </c>
      <c r="J51" s="75">
        <f t="shared" si="20"/>
        <v>32.955560000000006</v>
      </c>
      <c r="K51" s="75">
        <f t="shared" si="20"/>
        <v>36.25111600000001</v>
      </c>
      <c r="L51" s="75">
        <f t="shared" si="20"/>
        <v>39.876227600000014</v>
      </c>
      <c r="M51" s="75">
        <f t="shared" si="20"/>
        <v>43.863850360000022</v>
      </c>
      <c r="N51" s="75">
        <f t="shared" si="20"/>
        <v>48.250235396000029</v>
      </c>
      <c r="O51" s="76">
        <f t="shared" si="20"/>
        <v>53.07525893560004</v>
      </c>
    </row>
    <row r="52" spans="2:15">
      <c r="B52" s="212" t="s">
        <v>38</v>
      </c>
      <c r="C52" s="77">
        <v>0.37481799999999998</v>
      </c>
      <c r="D52" s="77">
        <v>0.58271700000000004</v>
      </c>
      <c r="E52" s="77">
        <v>0.71360900000000005</v>
      </c>
      <c r="F52" s="621">
        <v>1.3012550000000001</v>
      </c>
      <c r="G52" s="621">
        <v>0.64362399999999997</v>
      </c>
      <c r="H52" s="621">
        <f t="shared" ref="H52:O52" si="21">H53*H48</f>
        <v>1.0424747700128254</v>
      </c>
      <c r="I52" s="621">
        <f t="shared" si="21"/>
        <v>0.97554279991665316</v>
      </c>
      <c r="J52" s="621">
        <f t="shared" si="21"/>
        <v>0.91290818909460514</v>
      </c>
      <c r="K52" s="621">
        <f t="shared" si="21"/>
        <v>0.85429502609951513</v>
      </c>
      <c r="L52" s="621">
        <f t="shared" si="21"/>
        <v>0.79944511434625731</v>
      </c>
      <c r="M52" s="621">
        <f t="shared" si="21"/>
        <v>0.74811683473111013</v>
      </c>
      <c r="N52" s="621">
        <f t="shared" si="21"/>
        <v>0.70008408127651134</v>
      </c>
      <c r="O52" s="622">
        <f t="shared" si="21"/>
        <v>0.65513526511261599</v>
      </c>
    </row>
    <row r="53" spans="2:15">
      <c r="B53" s="210" t="s">
        <v>39</v>
      </c>
      <c r="C53" s="71">
        <f t="shared" ref="C53:D53" si="22">IF(ISERROR(C52/C48), "NM", (C52/C48))</f>
        <v>0.14858859506478039</v>
      </c>
      <c r="D53" s="71">
        <f t="shared" si="22"/>
        <v>0.13906108939861353</v>
      </c>
      <c r="E53" s="71">
        <f>IF(ISERROR(E52/E48), "NM", (E52/E48))</f>
        <v>0.13680621708932725</v>
      </c>
      <c r="F53" s="356">
        <f>F52/F48</f>
        <v>0.19970223954170488</v>
      </c>
      <c r="G53" s="356">
        <f>G52/G48</f>
        <v>0.11837958443988184</v>
      </c>
      <c r="H53" s="71">
        <f t="shared" ref="H53:O53" si="23">G53</f>
        <v>0.11837958443988184</v>
      </c>
      <c r="I53" s="71">
        <f t="shared" si="23"/>
        <v>0.11837958443988184</v>
      </c>
      <c r="J53" s="71">
        <f t="shared" si="23"/>
        <v>0.11837958443988184</v>
      </c>
      <c r="K53" s="71">
        <f t="shared" si="23"/>
        <v>0.11837958443988184</v>
      </c>
      <c r="L53" s="71">
        <f t="shared" si="23"/>
        <v>0.11837958443988184</v>
      </c>
      <c r="M53" s="71">
        <f t="shared" si="23"/>
        <v>0.11837958443988184</v>
      </c>
      <c r="N53" s="71">
        <f t="shared" si="23"/>
        <v>0.11837958443988184</v>
      </c>
      <c r="O53" s="74">
        <f t="shared" si="23"/>
        <v>0.11837958443988184</v>
      </c>
    </row>
    <row r="54" spans="2:15">
      <c r="B54" s="212" t="s">
        <v>40</v>
      </c>
      <c r="C54" s="58">
        <v>0.24105599999999999</v>
      </c>
      <c r="D54" s="58">
        <v>8.6007E-2</v>
      </c>
      <c r="E54" s="58">
        <v>0.81669599999999998</v>
      </c>
      <c r="F54" s="41">
        <v>1.056821</v>
      </c>
      <c r="G54" s="41">
        <v>0.79284500000000002</v>
      </c>
      <c r="H54" s="41">
        <f t="shared" ref="H54:O54" si="24">H55*H48</f>
        <v>1.2841673228947623</v>
      </c>
      <c r="I54" s="41">
        <f t="shared" si="24"/>
        <v>1.2017175108447151</v>
      </c>
      <c r="J54" s="41">
        <f t="shared" si="24"/>
        <v>1.1245613792877709</v>
      </c>
      <c r="K54" s="41">
        <f t="shared" si="24"/>
        <v>1.0523590480899874</v>
      </c>
      <c r="L54" s="41">
        <f t="shared" si="24"/>
        <v>0.98479245908147983</v>
      </c>
      <c r="M54" s="41">
        <f t="shared" si="24"/>
        <v>0.92156397497978171</v>
      </c>
      <c r="N54" s="41">
        <f t="shared" si="24"/>
        <v>0.86239506826916901</v>
      </c>
      <c r="O54" s="40">
        <f t="shared" si="24"/>
        <v>0.8070250942603322</v>
      </c>
    </row>
    <row r="55" spans="2:15">
      <c r="B55" s="210" t="s">
        <v>45</v>
      </c>
      <c r="C55" s="71">
        <f t="shared" ref="C55:D55" si="25">IF(ISERROR(C54/C48), "NM", (C54/C48))</f>
        <v>9.5561505509169004E-2</v>
      </c>
      <c r="D55" s="71">
        <f t="shared" si="25"/>
        <v>2.052493254170816E-2</v>
      </c>
      <c r="E55" s="71">
        <f>IF(ISERROR(E54/E48), "NM", (E54/E48))</f>
        <v>0.15656905990813624</v>
      </c>
      <c r="F55" s="356">
        <f>F54/F48</f>
        <v>0.16218921002778403</v>
      </c>
      <c r="G55" s="356">
        <f>G54/G48</f>
        <v>0.14582529803928709</v>
      </c>
      <c r="H55" s="71">
        <f t="shared" ref="H55:O55" si="26">G55</f>
        <v>0.14582529803928709</v>
      </c>
      <c r="I55" s="71">
        <f t="shared" si="26"/>
        <v>0.14582529803928709</v>
      </c>
      <c r="J55" s="71">
        <f t="shared" si="26"/>
        <v>0.14582529803928709</v>
      </c>
      <c r="K55" s="71">
        <f t="shared" si="26"/>
        <v>0.14582529803928709</v>
      </c>
      <c r="L55" s="71">
        <f t="shared" si="26"/>
        <v>0.14582529803928709</v>
      </c>
      <c r="M55" s="71">
        <f t="shared" si="26"/>
        <v>0.14582529803928709</v>
      </c>
      <c r="N55" s="71">
        <f t="shared" si="26"/>
        <v>0.14582529803928709</v>
      </c>
      <c r="O55" s="74">
        <f t="shared" si="26"/>
        <v>0.14582529803928709</v>
      </c>
    </row>
    <row r="56" spans="2:15">
      <c r="B56" s="211" t="s">
        <v>41</v>
      </c>
      <c r="C56" s="75">
        <v>11.31</v>
      </c>
      <c r="D56" s="75">
        <v>11.4</v>
      </c>
      <c r="E56" s="75">
        <v>12.26</v>
      </c>
      <c r="F56" s="75">
        <v>18.309999999999999</v>
      </c>
      <c r="G56" s="75">
        <v>17.399999999999999</v>
      </c>
      <c r="H56" s="75">
        <f t="shared" ref="H56:O56" si="27">G56*(1+$C$46)</f>
        <v>19.14</v>
      </c>
      <c r="I56" s="75">
        <f t="shared" si="27"/>
        <v>21.054000000000002</v>
      </c>
      <c r="J56" s="75">
        <f t="shared" si="27"/>
        <v>23.159400000000005</v>
      </c>
      <c r="K56" s="75">
        <f t="shared" si="27"/>
        <v>25.475340000000006</v>
      </c>
      <c r="L56" s="75">
        <f t="shared" si="27"/>
        <v>28.022874000000009</v>
      </c>
      <c r="M56" s="75">
        <f t="shared" si="27"/>
        <v>30.825161400000013</v>
      </c>
      <c r="N56" s="75">
        <f t="shared" si="27"/>
        <v>33.907677540000016</v>
      </c>
      <c r="O56" s="76">
        <f t="shared" si="27"/>
        <v>37.298445294000018</v>
      </c>
    </row>
    <row r="57" spans="2:15">
      <c r="B57" s="210" t="s">
        <v>202</v>
      </c>
      <c r="C57" s="44">
        <f t="shared" ref="C57:D57" si="28">D57</f>
        <v>0.35</v>
      </c>
      <c r="D57" s="44">
        <f t="shared" si="28"/>
        <v>0.35</v>
      </c>
      <c r="E57" s="44">
        <f>F57</f>
        <v>0.35</v>
      </c>
      <c r="F57" s="44">
        <v>0.35</v>
      </c>
      <c r="G57" s="44">
        <f>F57</f>
        <v>0.35</v>
      </c>
      <c r="H57" s="44">
        <f t="shared" ref="H57:O57" si="29">G57</f>
        <v>0.35</v>
      </c>
      <c r="I57" s="44">
        <f t="shared" si="29"/>
        <v>0.35</v>
      </c>
      <c r="J57" s="44">
        <f t="shared" si="29"/>
        <v>0.35</v>
      </c>
      <c r="K57" s="44">
        <f t="shared" si="29"/>
        <v>0.35</v>
      </c>
      <c r="L57" s="44">
        <f t="shared" si="29"/>
        <v>0.35</v>
      </c>
      <c r="M57" s="44">
        <f t="shared" si="29"/>
        <v>0.35</v>
      </c>
      <c r="N57" s="44">
        <f t="shared" si="29"/>
        <v>0.35</v>
      </c>
      <c r="O57" s="79">
        <f t="shared" si="29"/>
        <v>0.35</v>
      </c>
    </row>
    <row r="58" spans="2:15">
      <c r="B58" s="212" t="s">
        <v>42</v>
      </c>
      <c r="C58" s="70">
        <f t="shared" ref="C58:D58" si="30">C54*C56</f>
        <v>2.72634336</v>
      </c>
      <c r="D58" s="70">
        <f t="shared" si="30"/>
        <v>0.98047980000000001</v>
      </c>
      <c r="E58" s="70">
        <f t="shared" ref="E58" si="31">E54*E56</f>
        <v>10.012692959999999</v>
      </c>
      <c r="F58" s="623">
        <f>F56*F54</f>
        <v>19.350392509999999</v>
      </c>
      <c r="G58" s="623">
        <f t="shared" ref="G58:O58" si="32">G56*G54</f>
        <v>13.795503</v>
      </c>
      <c r="H58" s="623">
        <f t="shared" si="32"/>
        <v>24.578962560205753</v>
      </c>
      <c r="I58" s="623">
        <f t="shared" si="32"/>
        <v>25.300960473324636</v>
      </c>
      <c r="J58" s="623">
        <f t="shared" si="32"/>
        <v>26.044166807477207</v>
      </c>
      <c r="K58" s="623">
        <f t="shared" si="32"/>
        <v>26.809204552168787</v>
      </c>
      <c r="L58" s="623">
        <f t="shared" si="32"/>
        <v>27.596714996990475</v>
      </c>
      <c r="M58" s="623">
        <f t="shared" si="32"/>
        <v>28.407358269177344</v>
      </c>
      <c r="N58" s="623">
        <f t="shared" si="32"/>
        <v>29.241813886957281</v>
      </c>
      <c r="O58" s="624">
        <f t="shared" si="32"/>
        <v>30.100781329154209</v>
      </c>
    </row>
    <row r="59" spans="2:15">
      <c r="B59" s="212" t="s">
        <v>43</v>
      </c>
      <c r="C59" s="58">
        <f t="shared" ref="C59:D59" si="33">((C47-C56)*C54)*C57/1000</f>
        <v>1.8542352276000012E-3</v>
      </c>
      <c r="D59" s="58">
        <f t="shared" si="33"/>
        <v>3.8249283893749858E-4</v>
      </c>
      <c r="E59" s="58">
        <f t="shared" ref="E59:O59" si="34">((E47-E56)*E54)*E57/1000</f>
        <v>3.6960087915000077E-3</v>
      </c>
      <c r="F59" s="67">
        <f t="shared" si="34"/>
        <v>1.0915375698500001E-2</v>
      </c>
      <c r="G59" s="67">
        <f t="shared" si="34"/>
        <v>9.7684053915000017E-3</v>
      </c>
      <c r="H59" s="67">
        <f t="shared" si="34"/>
        <v>1.740402436870845E-2</v>
      </c>
      <c r="I59" s="67">
        <f t="shared" si="34"/>
        <v>1.791526113239603E-2</v>
      </c>
      <c r="J59" s="67">
        <f t="shared" si="34"/>
        <v>1.8441515286487613E-2</v>
      </c>
      <c r="K59" s="67">
        <f t="shared" si="34"/>
        <v>1.898322796125897E-2</v>
      </c>
      <c r="L59" s="67">
        <f t="shared" si="34"/>
        <v>1.9540853245024175E-2</v>
      </c>
      <c r="M59" s="67">
        <f t="shared" si="34"/>
        <v>2.0114858564773182E-2</v>
      </c>
      <c r="N59" s="67">
        <f t="shared" si="34"/>
        <v>2.0705725077990501E-2</v>
      </c>
      <c r="O59" s="625">
        <f t="shared" si="34"/>
        <v>2.1313948075983358E-2</v>
      </c>
    </row>
    <row r="60" spans="2:15">
      <c r="B60" s="212" t="s">
        <v>44</v>
      </c>
      <c r="C60" s="77">
        <v>2.2837190000000001</v>
      </c>
      <c r="D60" s="77">
        <v>1.6945600000000001</v>
      </c>
      <c r="E60" s="77">
        <v>2.8300779999999999</v>
      </c>
      <c r="F60" s="626">
        <v>1.2850509999999999</v>
      </c>
      <c r="G60" s="627">
        <v>4.8057220000000003</v>
      </c>
      <c r="H60" s="627">
        <f t="shared" ref="H60:O60" si="35">H48*H61</f>
        <v>1.7612408000000004</v>
      </c>
      <c r="I60" s="627">
        <f t="shared" si="35"/>
        <v>1.6481605414184828</v>
      </c>
      <c r="J60" s="627">
        <f t="shared" si="35"/>
        <v>1.5423405875499059</v>
      </c>
      <c r="K60" s="627">
        <f t="shared" si="35"/>
        <v>1.4433147913834119</v>
      </c>
      <c r="L60" s="627">
        <f t="shared" si="35"/>
        <v>1.3506469348221939</v>
      </c>
      <c r="M60" s="627">
        <f t="shared" si="35"/>
        <v>1.2639288071010852</v>
      </c>
      <c r="N60" s="627">
        <f t="shared" si="35"/>
        <v>1.1827784065791238</v>
      </c>
      <c r="O60" s="628">
        <f t="shared" si="35"/>
        <v>1.1068382579858125</v>
      </c>
    </row>
    <row r="61" spans="2:15">
      <c r="B61" s="213" t="s">
        <v>45</v>
      </c>
      <c r="C61" s="80">
        <f t="shared" ref="C61:D61" si="36">C60/C48</f>
        <v>0.90533164824727008</v>
      </c>
      <c r="D61" s="80">
        <f t="shared" si="36"/>
        <v>0.40439417358909135</v>
      </c>
      <c r="E61" s="80">
        <f>E60/E48</f>
        <v>0.54255518813205694</v>
      </c>
      <c r="F61" s="357">
        <f>F60/F48</f>
        <v>0.19721542866333452</v>
      </c>
      <c r="G61" s="357">
        <f>G60/G48</f>
        <v>0.88390018596820175</v>
      </c>
      <c r="H61" s="80">
        <v>0.2</v>
      </c>
      <c r="I61" s="80">
        <f t="shared" ref="I61:O61" si="37">H61</f>
        <v>0.2</v>
      </c>
      <c r="J61" s="80">
        <f t="shared" si="37"/>
        <v>0.2</v>
      </c>
      <c r="K61" s="80">
        <f t="shared" si="37"/>
        <v>0.2</v>
      </c>
      <c r="L61" s="80">
        <f t="shared" si="37"/>
        <v>0.2</v>
      </c>
      <c r="M61" s="80">
        <f t="shared" si="37"/>
        <v>0.2</v>
      </c>
      <c r="N61" s="80">
        <f t="shared" si="37"/>
        <v>0.2</v>
      </c>
      <c r="O61" s="81">
        <f t="shared" si="37"/>
        <v>0.2</v>
      </c>
    </row>
    <row r="62" spans="2:15">
      <c r="B62" s="214"/>
      <c r="C62" s="60"/>
      <c r="D62" s="60"/>
      <c r="E62" s="60"/>
      <c r="F62" s="60"/>
      <c r="G62" s="60"/>
      <c r="H62" s="60"/>
      <c r="I62" s="60"/>
      <c r="J62" s="60"/>
      <c r="K62" s="60"/>
      <c r="L62" s="60"/>
      <c r="M62" s="60"/>
      <c r="N62" s="60"/>
      <c r="O62" s="60"/>
    </row>
    <row r="63" spans="2:15">
      <c r="B63" s="215" t="s">
        <v>203</v>
      </c>
      <c r="C63" s="61">
        <f>+C48+C60-C52-C54</f>
        <v>4.1903669999999993</v>
      </c>
      <c r="D63" s="61">
        <f t="shared" ref="D63:E63" si="38">+D48+D60-D52-D54</f>
        <v>5.2162030000000001</v>
      </c>
      <c r="E63" s="61">
        <f t="shared" si="38"/>
        <v>6.5159760000000002</v>
      </c>
      <c r="F63" s="61"/>
      <c r="G63" s="61"/>
      <c r="H63" s="61"/>
      <c r="I63" s="61"/>
      <c r="J63" s="61"/>
      <c r="K63" s="61"/>
      <c r="L63" s="61"/>
      <c r="M63" s="61"/>
      <c r="N63" s="61"/>
      <c r="O63" s="61"/>
    </row>
    <row r="64" spans="2:15">
      <c r="B64" s="215" t="s">
        <v>204</v>
      </c>
      <c r="C64" s="61">
        <v>4.1903670000000002</v>
      </c>
      <c r="D64" s="61">
        <v>5.2162030000000001</v>
      </c>
      <c r="E64" s="61">
        <v>6.5159760000000002</v>
      </c>
      <c r="F64" s="61"/>
      <c r="G64" s="61"/>
      <c r="H64" s="61"/>
      <c r="I64" s="61"/>
      <c r="J64" s="61"/>
      <c r="K64" s="61"/>
      <c r="L64" s="61"/>
      <c r="M64" s="61"/>
      <c r="N64" s="61"/>
      <c r="O64" s="61"/>
    </row>
    <row r="65" spans="2:15">
      <c r="B65" s="215"/>
      <c r="C65" s="61"/>
      <c r="D65" s="61"/>
      <c r="E65" s="61"/>
      <c r="F65" s="61"/>
      <c r="G65" s="61"/>
      <c r="H65" s="61"/>
      <c r="I65" s="61"/>
      <c r="J65" s="61"/>
      <c r="K65" s="61"/>
      <c r="L65" s="61"/>
      <c r="M65" s="61"/>
      <c r="N65" s="61"/>
      <c r="O65" s="61"/>
    </row>
    <row r="66" spans="2:15">
      <c r="B66" s="185" t="s">
        <v>122</v>
      </c>
      <c r="C66" s="282">
        <f>+C63-C64</f>
        <v>0</v>
      </c>
      <c r="D66" s="62">
        <f t="shared" ref="D66:E66" si="39">+D63-D64</f>
        <v>0</v>
      </c>
      <c r="E66" s="62">
        <f t="shared" si="39"/>
        <v>0</v>
      </c>
      <c r="F66" s="62"/>
      <c r="G66" s="62"/>
      <c r="H66" s="62"/>
      <c r="I66" s="62"/>
      <c r="J66" s="62"/>
      <c r="K66" s="62"/>
      <c r="L66" s="62"/>
      <c r="M66" s="62"/>
      <c r="N66" s="62"/>
      <c r="O66" s="62"/>
    </row>
    <row r="67" spans="2:15">
      <c r="B67" s="215"/>
      <c r="C67" s="280">
        <v>0.1</v>
      </c>
      <c r="D67" s="61"/>
      <c r="E67" s="61"/>
      <c r="F67" s="61"/>
      <c r="G67" s="61"/>
      <c r="H67" s="61"/>
      <c r="I67" s="61"/>
      <c r="J67" s="61"/>
      <c r="K67" s="61"/>
      <c r="L67" s="61"/>
      <c r="M67" s="61"/>
      <c r="N67" s="61"/>
      <c r="O67" s="61"/>
    </row>
    <row r="68" spans="2:15">
      <c r="B68" s="208" t="s">
        <v>226</v>
      </c>
      <c r="C68" s="353">
        <f>+C47</f>
        <v>33.287527777777797</v>
      </c>
      <c r="D68" s="353">
        <f>+D47</f>
        <v>24.106369047619001</v>
      </c>
      <c r="E68" s="353">
        <f>+E47</f>
        <v>25.1901785714286</v>
      </c>
      <c r="F68" s="361">
        <f>F47</f>
        <v>47.82</v>
      </c>
      <c r="G68" s="354">
        <v>42.5</v>
      </c>
      <c r="H68" s="354">
        <f t="shared" ref="H68:O68" si="40">G68*(1+D67)</f>
        <v>42.5</v>
      </c>
      <c r="I68" s="354">
        <f t="shared" si="40"/>
        <v>42.5</v>
      </c>
      <c r="J68" s="354">
        <f t="shared" si="40"/>
        <v>42.5</v>
      </c>
      <c r="K68" s="354">
        <f t="shared" si="40"/>
        <v>42.5</v>
      </c>
      <c r="L68" s="354">
        <f t="shared" si="40"/>
        <v>42.5</v>
      </c>
      <c r="M68" s="354">
        <f t="shared" si="40"/>
        <v>42.5</v>
      </c>
      <c r="N68" s="354">
        <f t="shared" si="40"/>
        <v>42.5</v>
      </c>
      <c r="O68" s="355">
        <f t="shared" si="40"/>
        <v>42.5</v>
      </c>
    </row>
    <row r="69" spans="2:15">
      <c r="B69" s="212" t="s">
        <v>46</v>
      </c>
      <c r="C69" s="348">
        <v>3.4409999999999998</v>
      </c>
      <c r="D69" s="348">
        <f>2.65+0.046</f>
        <v>2.6959999999999997</v>
      </c>
      <c r="E69" s="348">
        <f>3.25+0.076</f>
        <v>3.3260000000000001</v>
      </c>
      <c r="F69" s="348">
        <f>2.102+5.02921</f>
        <v>7.1312099999999994</v>
      </c>
      <c r="G69" s="78">
        <v>7.65</v>
      </c>
      <c r="H69" s="78"/>
      <c r="I69" s="78"/>
      <c r="J69" s="78"/>
      <c r="K69" s="78"/>
      <c r="L69" s="78"/>
      <c r="M69" s="78"/>
      <c r="N69" s="78"/>
      <c r="O69" s="89"/>
    </row>
    <row r="70" spans="2:15">
      <c r="B70" s="212" t="s">
        <v>47</v>
      </c>
      <c r="C70" s="348">
        <v>125.10299999999999</v>
      </c>
      <c r="D70" s="348">
        <f>94.503+1.015</f>
        <v>95.518000000000001</v>
      </c>
      <c r="E70" s="348">
        <f>119.915+0.879</f>
        <v>120.79400000000001</v>
      </c>
      <c r="F70" s="348">
        <f>32.87528+285</f>
        <v>317.87527999999998</v>
      </c>
      <c r="G70" s="78">
        <v>308.05599999999998</v>
      </c>
      <c r="H70" s="78"/>
      <c r="I70" s="78"/>
      <c r="J70" s="78"/>
      <c r="K70" s="78"/>
      <c r="L70" s="78"/>
      <c r="M70" s="78"/>
      <c r="N70" s="78"/>
      <c r="O70" s="89"/>
    </row>
    <row r="71" spans="2:15">
      <c r="B71" s="212" t="s">
        <v>205</v>
      </c>
      <c r="C71" s="348">
        <v>2.7250000000000001</v>
      </c>
      <c r="D71" s="348">
        <v>0.98</v>
      </c>
      <c r="E71" s="348">
        <v>10.01</v>
      </c>
      <c r="F71" s="349">
        <f>F54</f>
        <v>1.056821</v>
      </c>
      <c r="G71" s="91">
        <f t="shared" ref="G71:O71" si="41">G54</f>
        <v>0.79284500000000002</v>
      </c>
      <c r="H71" s="91">
        <f t="shared" si="41"/>
        <v>1.2841673228947623</v>
      </c>
      <c r="I71" s="91">
        <f t="shared" si="41"/>
        <v>1.2017175108447151</v>
      </c>
      <c r="J71" s="91">
        <f t="shared" si="41"/>
        <v>1.1245613792877709</v>
      </c>
      <c r="K71" s="91">
        <f t="shared" si="41"/>
        <v>1.0523590480899874</v>
      </c>
      <c r="L71" s="91">
        <f t="shared" si="41"/>
        <v>0.98479245908147983</v>
      </c>
      <c r="M71" s="91">
        <f t="shared" si="41"/>
        <v>0.92156397497978171</v>
      </c>
      <c r="N71" s="91">
        <f t="shared" si="41"/>
        <v>0.86239506826916901</v>
      </c>
      <c r="O71" s="92">
        <f t="shared" si="41"/>
        <v>0.8070250942603322</v>
      </c>
    </row>
    <row r="72" spans="2:15">
      <c r="B72" s="212" t="s">
        <v>206</v>
      </c>
      <c r="C72" s="348">
        <v>96.768000000000001</v>
      </c>
      <c r="D72" s="348">
        <v>19.536000000000001</v>
      </c>
      <c r="E72" s="348">
        <v>0</v>
      </c>
      <c r="F72" s="348"/>
      <c r="G72" s="78"/>
      <c r="H72" s="78"/>
      <c r="I72" s="78"/>
      <c r="J72" s="78"/>
      <c r="K72" s="78"/>
      <c r="L72" s="78"/>
      <c r="M72" s="78"/>
      <c r="N72" s="78"/>
      <c r="O72" s="89"/>
    </row>
    <row r="73" spans="2:15">
      <c r="B73" s="212" t="s">
        <v>48</v>
      </c>
      <c r="C73" s="348">
        <v>0</v>
      </c>
      <c r="D73" s="348">
        <v>0</v>
      </c>
      <c r="E73" s="348">
        <v>0</v>
      </c>
      <c r="F73" s="348"/>
      <c r="G73" s="78"/>
      <c r="H73" s="78"/>
      <c r="I73" s="78"/>
      <c r="J73" s="78"/>
      <c r="K73" s="78"/>
      <c r="L73" s="78"/>
      <c r="M73" s="78"/>
      <c r="N73" s="78"/>
      <c r="O73" s="89"/>
    </row>
    <row r="74" spans="2:15">
      <c r="B74" s="212" t="s">
        <v>49</v>
      </c>
      <c r="C74" s="350">
        <v>0</v>
      </c>
      <c r="D74" s="350">
        <v>0</v>
      </c>
      <c r="E74" s="350">
        <v>0</v>
      </c>
      <c r="F74" s="350"/>
      <c r="G74" s="90"/>
      <c r="H74" s="90"/>
      <c r="I74" s="90"/>
      <c r="J74" s="90"/>
      <c r="K74" s="90"/>
      <c r="L74" s="90"/>
      <c r="M74" s="90"/>
      <c r="N74" s="90"/>
      <c r="O74" s="93"/>
    </row>
    <row r="75" spans="2:15">
      <c r="B75" s="212" t="s">
        <v>207</v>
      </c>
      <c r="C75" s="351">
        <f>-IS!G60</f>
        <v>11.128</v>
      </c>
      <c r="D75" s="351">
        <f>-IS!L60</f>
        <v>20.344999999999999</v>
      </c>
      <c r="E75" s="351">
        <f>-IS!Q60</f>
        <v>32.116999999999997</v>
      </c>
      <c r="F75" s="358"/>
      <c r="G75" s="359"/>
      <c r="H75" s="359"/>
      <c r="I75" s="359"/>
      <c r="J75" s="359"/>
      <c r="K75" s="359"/>
      <c r="L75" s="359"/>
      <c r="M75" s="359"/>
      <c r="N75" s="359"/>
      <c r="O75" s="360"/>
    </row>
    <row r="76" spans="2:15">
      <c r="B76" s="212" t="s">
        <v>208</v>
      </c>
      <c r="C76" s="351">
        <f>-IS!G53</f>
        <v>0</v>
      </c>
      <c r="D76" s="351">
        <f>-IS!L53</f>
        <v>0</v>
      </c>
      <c r="E76" s="351">
        <f>-IS!Q53</f>
        <v>0</v>
      </c>
      <c r="F76" s="351"/>
      <c r="G76" s="41"/>
      <c r="H76" s="41"/>
      <c r="I76" s="41"/>
      <c r="J76" s="41"/>
      <c r="K76" s="41"/>
      <c r="L76" s="41"/>
      <c r="M76" s="41"/>
      <c r="N76" s="41"/>
      <c r="O76" s="40"/>
    </row>
    <row r="77" spans="2:15">
      <c r="B77" s="212" t="s">
        <v>129</v>
      </c>
      <c r="C77" s="348">
        <v>-0.22600000000000001</v>
      </c>
      <c r="D77" s="348">
        <v>-3.4000000000000002E-2</v>
      </c>
      <c r="E77" s="348">
        <v>-0.182</v>
      </c>
      <c r="F77" s="348"/>
      <c r="G77" s="78"/>
      <c r="H77" s="78"/>
      <c r="I77" s="78"/>
      <c r="J77" s="78"/>
      <c r="K77" s="78"/>
      <c r="L77" s="78"/>
      <c r="M77" s="78"/>
      <c r="N77" s="78"/>
      <c r="O77" s="89"/>
    </row>
    <row r="78" spans="2:15">
      <c r="B78" s="216" t="s">
        <v>50</v>
      </c>
      <c r="C78" s="352">
        <f t="shared" ref="C78:O78" si="42">+C70+C74+C75+C77+C71+C72+C76</f>
        <v>235.49799999999999</v>
      </c>
      <c r="D78" s="352">
        <f t="shared" si="42"/>
        <v>136.345</v>
      </c>
      <c r="E78" s="352">
        <f t="shared" si="42"/>
        <v>162.739</v>
      </c>
      <c r="F78" s="352">
        <f t="shared" si="42"/>
        <v>318.93210099999999</v>
      </c>
      <c r="G78" s="94">
        <f t="shared" si="42"/>
        <v>308.84884499999998</v>
      </c>
      <c r="H78" s="94">
        <f t="shared" si="42"/>
        <v>1.2841673228947623</v>
      </c>
      <c r="I78" s="94">
        <f t="shared" si="42"/>
        <v>1.2017175108447151</v>
      </c>
      <c r="J78" s="94">
        <f t="shared" si="42"/>
        <v>1.1245613792877709</v>
      </c>
      <c r="K78" s="94">
        <f t="shared" si="42"/>
        <v>1.0523590480899874</v>
      </c>
      <c r="L78" s="94">
        <f t="shared" si="42"/>
        <v>0.98479245908147983</v>
      </c>
      <c r="M78" s="94">
        <f t="shared" si="42"/>
        <v>0.92156397497978171</v>
      </c>
      <c r="N78" s="94">
        <f t="shared" si="42"/>
        <v>0.86239506826916901</v>
      </c>
      <c r="O78" s="95">
        <f t="shared" si="42"/>
        <v>0.8070250942603322</v>
      </c>
    </row>
    <row r="79" spans="2:15">
      <c r="B79" s="217"/>
      <c r="C79" s="63"/>
      <c r="D79" s="63"/>
      <c r="E79" s="63"/>
      <c r="F79" s="63"/>
      <c r="G79" s="63"/>
      <c r="H79" s="63"/>
      <c r="I79" s="63"/>
      <c r="J79" s="63"/>
      <c r="K79" s="63"/>
      <c r="L79" s="63"/>
      <c r="M79" s="63"/>
      <c r="N79" s="63"/>
      <c r="O79" s="63"/>
    </row>
    <row r="80" spans="2:15">
      <c r="B80" s="185" t="s">
        <v>122</v>
      </c>
      <c r="C80" s="64"/>
      <c r="D80" s="64">
        <f>+BS!E36-BS!D36-CF!D78</f>
        <v>0</v>
      </c>
      <c r="E80" s="64">
        <f>+BS!F36-BS!E36-CF!E78</f>
        <v>0</v>
      </c>
      <c r="F80" s="64"/>
      <c r="G80" s="64"/>
      <c r="H80" s="64"/>
      <c r="I80" s="64"/>
      <c r="J80" s="64"/>
      <c r="K80" s="64"/>
      <c r="L80" s="64"/>
      <c r="M80" s="64"/>
      <c r="N80" s="64"/>
      <c r="O80" s="64"/>
    </row>
    <row r="81" spans="2:14">
      <c r="B81" s="218"/>
      <c r="C81" s="65"/>
      <c r="D81" s="65"/>
      <c r="E81" s="65"/>
      <c r="F81" s="65"/>
      <c r="G81" s="65"/>
      <c r="H81" s="65"/>
      <c r="I81" s="65"/>
      <c r="J81" s="65"/>
      <c r="K81" s="65"/>
      <c r="L81" s="65"/>
      <c r="M81" s="65"/>
      <c r="N81" s="65"/>
    </row>
    <row r="82" spans="2:14">
      <c r="B82" s="67" t="s">
        <v>51</v>
      </c>
      <c r="C82" s="66">
        <v>31.703817000000001</v>
      </c>
      <c r="D82" s="66">
        <f>+C83</f>
        <v>37.751919999999998</v>
      </c>
      <c r="E82" s="66">
        <f>+D83</f>
        <v>41.311512</v>
      </c>
      <c r="F82" s="66"/>
      <c r="G82" s="66"/>
      <c r="H82" s="66"/>
      <c r="I82" s="66"/>
      <c r="J82" s="66"/>
      <c r="K82" s="66"/>
      <c r="L82" s="66"/>
      <c r="M82" s="66"/>
      <c r="N82" s="66"/>
    </row>
    <row r="83" spans="2:14">
      <c r="B83" s="67" t="s">
        <v>52</v>
      </c>
      <c r="C83" s="68">
        <v>37.751919999999998</v>
      </c>
      <c r="D83" s="68">
        <v>41.311512</v>
      </c>
      <c r="E83" s="68">
        <v>45.629528999999998</v>
      </c>
      <c r="F83" s="68"/>
      <c r="G83" s="68"/>
      <c r="H83" s="68"/>
      <c r="I83" s="68"/>
      <c r="J83" s="68"/>
      <c r="K83" s="68"/>
      <c r="L83" s="68"/>
      <c r="M83" s="68"/>
      <c r="N83" s="68"/>
    </row>
    <row r="84" spans="2:14">
      <c r="B84" s="69" t="s">
        <v>53</v>
      </c>
      <c r="C84" s="68">
        <v>33.85</v>
      </c>
      <c r="D84" s="68">
        <v>40.026000000000003</v>
      </c>
      <c r="E84" s="68">
        <v>42.29</v>
      </c>
      <c r="F84" s="68"/>
      <c r="G84" s="68"/>
      <c r="H84" s="68"/>
      <c r="I84" s="68"/>
      <c r="J84" s="68"/>
      <c r="K84" s="68"/>
      <c r="L84" s="68"/>
      <c r="M84" s="68"/>
      <c r="N84" s="68"/>
    </row>
    <row r="85" spans="2:14">
      <c r="B85" s="69" t="s">
        <v>54</v>
      </c>
      <c r="C85" s="68">
        <v>33.85</v>
      </c>
      <c r="D85" s="68">
        <v>40.026000000000003</v>
      </c>
      <c r="E85" s="68">
        <v>42.29</v>
      </c>
      <c r="F85" s="68"/>
      <c r="G85" s="68"/>
      <c r="H85" s="68"/>
      <c r="I85" s="68"/>
      <c r="J85" s="68"/>
      <c r="K85" s="68"/>
      <c r="L85" s="68"/>
      <c r="M85" s="68"/>
      <c r="N85" s="68"/>
    </row>
    <row r="86" spans="2:14">
      <c r="C86" s="33"/>
      <c r="D86" s="33"/>
      <c r="E86" s="33"/>
      <c r="F86" s="33"/>
      <c r="G86" s="33"/>
      <c r="H86" s="33"/>
      <c r="I86" s="33"/>
      <c r="J86" s="33"/>
      <c r="K86" s="33"/>
      <c r="L86" s="33"/>
      <c r="M86" s="33"/>
      <c r="N86" s="33"/>
    </row>
    <row r="87" spans="2:14">
      <c r="C87" s="33"/>
      <c r="D87" s="33"/>
      <c r="E87" s="33"/>
      <c r="F87" s="33"/>
      <c r="G87" s="33"/>
      <c r="H87" s="33"/>
      <c r="I87" s="33"/>
      <c r="J87" s="33"/>
      <c r="K87" s="33"/>
      <c r="L87" s="33"/>
      <c r="M87" s="33"/>
      <c r="N87" s="33"/>
    </row>
    <row r="88" spans="2:14">
      <c r="C88" s="33"/>
      <c r="D88" s="33"/>
      <c r="E88" s="33"/>
      <c r="F88" s="33"/>
      <c r="G88" s="33"/>
      <c r="H88" s="33"/>
      <c r="I88" s="33"/>
      <c r="J88" s="33"/>
      <c r="K88" s="33"/>
      <c r="L88" s="33"/>
      <c r="M88" s="33"/>
      <c r="N88" s="33"/>
    </row>
    <row r="89" spans="2:14">
      <c r="C89" s="33"/>
      <c r="D89" s="33"/>
      <c r="E89" s="33"/>
      <c r="F89" s="33"/>
      <c r="G89" s="33"/>
      <c r="H89" s="33"/>
      <c r="I89" s="33"/>
      <c r="J89" s="33"/>
      <c r="K89" s="33"/>
      <c r="L89" s="33"/>
      <c r="M89" s="33"/>
      <c r="N89" s="33"/>
    </row>
    <row r="90" spans="2:14">
      <c r="C90" s="33"/>
      <c r="D90" s="33"/>
      <c r="E90" s="33"/>
      <c r="F90" s="33"/>
      <c r="G90" s="33"/>
      <c r="H90" s="33"/>
      <c r="I90" s="33"/>
      <c r="J90" s="33"/>
      <c r="K90" s="33"/>
      <c r="L90" s="33"/>
      <c r="M90" s="33"/>
      <c r="N90" s="33"/>
    </row>
    <row r="91" spans="2:14">
      <c r="C91" s="33"/>
      <c r="D91" s="33"/>
      <c r="E91" s="33"/>
      <c r="F91" s="33"/>
      <c r="G91" s="33"/>
      <c r="H91" s="33"/>
      <c r="I91" s="33"/>
      <c r="J91" s="33"/>
      <c r="K91" s="33"/>
      <c r="L91" s="33"/>
      <c r="M91" s="33"/>
      <c r="N91" s="33"/>
    </row>
    <row r="92" spans="2:14">
      <c r="C92" s="33"/>
      <c r="D92" s="33"/>
      <c r="E92" s="33"/>
      <c r="F92" s="33"/>
      <c r="G92" s="33"/>
      <c r="H92" s="33"/>
      <c r="I92" s="33"/>
      <c r="J92" s="33"/>
      <c r="K92" s="33"/>
      <c r="L92" s="33"/>
      <c r="M92" s="33"/>
      <c r="N92" s="33"/>
    </row>
    <row r="93" spans="2:14">
      <c r="C93" s="33"/>
      <c r="D93" s="33"/>
      <c r="E93" s="33"/>
      <c r="F93" s="33"/>
      <c r="G93" s="33"/>
      <c r="H93" s="33"/>
      <c r="I93" s="33"/>
      <c r="J93" s="33"/>
      <c r="K93" s="33"/>
      <c r="L93" s="33"/>
      <c r="M93" s="33"/>
      <c r="N93" s="33"/>
    </row>
    <row r="94" spans="2:14">
      <c r="C94" s="33"/>
      <c r="D94" s="33"/>
      <c r="E94" s="33"/>
      <c r="F94" s="33"/>
      <c r="G94" s="33"/>
      <c r="H94" s="33"/>
      <c r="I94" s="33"/>
      <c r="J94" s="33"/>
      <c r="K94" s="33"/>
      <c r="L94" s="33"/>
      <c r="M94" s="33"/>
      <c r="N94" s="33"/>
    </row>
    <row r="95" spans="2:14">
      <c r="C95" s="33"/>
      <c r="D95" s="33"/>
      <c r="E95" s="33"/>
      <c r="F95" s="33"/>
      <c r="G95" s="33"/>
      <c r="H95" s="33"/>
      <c r="I95" s="33"/>
      <c r="J95" s="33"/>
      <c r="K95" s="33"/>
      <c r="L95" s="33"/>
      <c r="M95" s="33"/>
      <c r="N95" s="33"/>
    </row>
    <row r="96" spans="2:14">
      <c r="C96" s="33"/>
      <c r="D96" s="33"/>
      <c r="E96" s="33"/>
      <c r="F96" s="33"/>
      <c r="G96" s="33"/>
      <c r="H96" s="33"/>
      <c r="I96" s="33"/>
      <c r="J96" s="33"/>
      <c r="K96" s="33"/>
      <c r="L96" s="33"/>
      <c r="M96" s="33"/>
      <c r="N96" s="33"/>
    </row>
    <row r="97" spans="3:14">
      <c r="C97" s="33"/>
      <c r="D97" s="33"/>
      <c r="E97" s="33"/>
      <c r="F97" s="33"/>
      <c r="G97" s="33"/>
      <c r="H97" s="33"/>
      <c r="I97" s="33"/>
      <c r="J97" s="33"/>
      <c r="K97" s="33"/>
      <c r="L97" s="33"/>
      <c r="M97" s="33"/>
      <c r="N97" s="33"/>
    </row>
    <row r="98" spans="3:14">
      <c r="C98" s="33"/>
      <c r="D98" s="33"/>
      <c r="E98" s="33"/>
      <c r="F98" s="33"/>
      <c r="G98" s="33"/>
      <c r="H98" s="33"/>
      <c r="I98" s="33"/>
      <c r="J98" s="33"/>
      <c r="K98" s="33"/>
      <c r="L98" s="33"/>
      <c r="M98" s="33"/>
      <c r="N98" s="33"/>
    </row>
    <row r="99" spans="3:14">
      <c r="C99" s="33"/>
      <c r="D99" s="33"/>
      <c r="E99" s="33"/>
      <c r="F99" s="33"/>
      <c r="G99" s="33"/>
      <c r="H99" s="33"/>
      <c r="I99" s="33"/>
      <c r="J99" s="33"/>
      <c r="K99" s="33"/>
      <c r="L99" s="33"/>
      <c r="M99" s="33"/>
      <c r="N99" s="33"/>
    </row>
    <row r="100" spans="3:14">
      <c r="C100" s="33"/>
      <c r="D100" s="33"/>
      <c r="E100" s="33"/>
      <c r="F100" s="33"/>
      <c r="G100" s="33"/>
      <c r="H100" s="33"/>
      <c r="I100" s="33"/>
      <c r="J100" s="33"/>
      <c r="K100" s="33"/>
      <c r="L100" s="33"/>
      <c r="M100" s="33"/>
      <c r="N100" s="33"/>
    </row>
    <row r="101" spans="3:14">
      <c r="C101" s="33"/>
      <c r="D101" s="33"/>
      <c r="E101" s="33"/>
      <c r="F101" s="33"/>
      <c r="G101" s="33"/>
      <c r="H101" s="33"/>
      <c r="I101" s="33"/>
      <c r="J101" s="33"/>
      <c r="K101" s="33"/>
      <c r="L101" s="33"/>
      <c r="M101" s="33"/>
      <c r="N101" s="33"/>
    </row>
    <row r="102" spans="3:14">
      <c r="C102" s="33"/>
      <c r="D102" s="33"/>
      <c r="E102" s="33"/>
      <c r="F102" s="33"/>
      <c r="G102" s="33"/>
      <c r="H102" s="33"/>
      <c r="I102" s="33"/>
      <c r="J102" s="33"/>
      <c r="K102" s="33"/>
      <c r="L102" s="33"/>
      <c r="M102" s="33"/>
      <c r="N102" s="33"/>
    </row>
    <row r="103" spans="3:14">
      <c r="C103" s="33"/>
      <c r="D103" s="33"/>
      <c r="E103" s="33"/>
      <c r="F103" s="33"/>
      <c r="G103" s="33"/>
      <c r="H103" s="33"/>
      <c r="I103" s="33"/>
      <c r="J103" s="33"/>
      <c r="K103" s="33"/>
      <c r="L103" s="33"/>
      <c r="M103" s="33"/>
      <c r="N103" s="33"/>
    </row>
    <row r="104" spans="3:14">
      <c r="C104" s="33"/>
      <c r="D104" s="33"/>
      <c r="E104" s="33"/>
      <c r="F104" s="33"/>
      <c r="G104" s="33"/>
      <c r="H104" s="33"/>
      <c r="I104" s="33"/>
      <c r="J104" s="33"/>
      <c r="K104" s="33"/>
      <c r="L104" s="33"/>
      <c r="M104" s="33"/>
      <c r="N104" s="33"/>
    </row>
    <row r="105" spans="3:14">
      <c r="C105" s="33"/>
      <c r="D105" s="33"/>
      <c r="E105" s="33"/>
      <c r="F105" s="33"/>
      <c r="G105" s="33"/>
      <c r="H105" s="33"/>
      <c r="I105" s="33"/>
      <c r="J105" s="33"/>
      <c r="K105" s="33"/>
      <c r="L105" s="33"/>
      <c r="M105" s="33"/>
      <c r="N105" s="33"/>
    </row>
    <row r="106" spans="3:14">
      <c r="C106" s="33"/>
      <c r="D106" s="33"/>
      <c r="E106" s="33"/>
      <c r="F106" s="33"/>
      <c r="G106" s="33"/>
      <c r="H106" s="33"/>
      <c r="I106" s="33"/>
      <c r="J106" s="33"/>
      <c r="K106" s="33"/>
      <c r="L106" s="33"/>
      <c r="M106" s="33"/>
      <c r="N106" s="33"/>
    </row>
    <row r="107" spans="3:14" customFormat="1"/>
    <row r="108" spans="3:14">
      <c r="C108" s="33"/>
      <c r="D108" s="33"/>
      <c r="E108" s="33"/>
      <c r="F108" s="33"/>
      <c r="G108" s="33"/>
      <c r="H108" s="33"/>
      <c r="I108" s="33"/>
      <c r="J108" s="33"/>
      <c r="K108" s="33"/>
      <c r="L108" s="33"/>
      <c r="M108" s="33"/>
      <c r="N108" s="33"/>
    </row>
    <row r="109" spans="3:14">
      <c r="C109" s="33"/>
      <c r="D109" s="33"/>
      <c r="E109" s="33"/>
      <c r="F109" s="33"/>
      <c r="G109" s="33"/>
      <c r="H109" s="33"/>
      <c r="I109" s="33"/>
      <c r="J109" s="33"/>
      <c r="K109" s="33"/>
      <c r="L109" s="33"/>
      <c r="M109" s="33"/>
      <c r="N109" s="33"/>
    </row>
    <row r="110" spans="3:14">
      <c r="C110" s="33"/>
      <c r="D110" s="33"/>
      <c r="E110" s="33"/>
      <c r="F110" s="33"/>
      <c r="G110" s="33"/>
      <c r="H110" s="33"/>
      <c r="I110" s="33"/>
      <c r="J110" s="33"/>
      <c r="K110" s="33"/>
      <c r="L110" s="33"/>
      <c r="M110" s="33"/>
      <c r="N110" s="33"/>
    </row>
    <row r="111" spans="3:14">
      <c r="C111" s="33"/>
      <c r="D111" s="33"/>
      <c r="E111" s="33"/>
      <c r="F111" s="33"/>
      <c r="G111" s="33"/>
      <c r="H111" s="33"/>
      <c r="I111" s="33"/>
      <c r="J111" s="33"/>
      <c r="K111" s="33"/>
      <c r="L111" s="33"/>
      <c r="M111" s="33"/>
      <c r="N111" s="33"/>
    </row>
    <row r="112" spans="3:14">
      <c r="C112" s="33"/>
      <c r="D112" s="33"/>
      <c r="E112" s="33"/>
      <c r="F112" s="33"/>
      <c r="G112" s="33"/>
      <c r="H112" s="33"/>
      <c r="I112" s="33"/>
      <c r="J112" s="33"/>
      <c r="K112" s="33"/>
      <c r="L112" s="33"/>
      <c r="M112" s="33"/>
      <c r="N112" s="33"/>
    </row>
    <row r="113" spans="3:14">
      <c r="C113" s="33"/>
      <c r="D113" s="33"/>
      <c r="E113" s="33"/>
      <c r="F113" s="33"/>
      <c r="G113" s="33"/>
      <c r="H113" s="33"/>
      <c r="I113" s="33"/>
      <c r="J113" s="33"/>
      <c r="K113" s="33"/>
      <c r="L113" s="33"/>
      <c r="M113" s="33"/>
      <c r="N113" s="33"/>
    </row>
    <row r="114" spans="3:14">
      <c r="C114" s="33"/>
      <c r="D114" s="33"/>
      <c r="E114" s="33"/>
      <c r="F114" s="33"/>
      <c r="G114" s="33"/>
      <c r="H114" s="33"/>
      <c r="I114" s="33"/>
      <c r="J114" s="33"/>
      <c r="K114" s="33"/>
      <c r="L114" s="33"/>
      <c r="M114" s="33"/>
      <c r="N114" s="33"/>
    </row>
    <row r="115" spans="3:14">
      <c r="C115" s="33"/>
      <c r="D115" s="33"/>
      <c r="E115" s="33"/>
      <c r="F115" s="33"/>
      <c r="G115" s="33"/>
      <c r="H115" s="33"/>
      <c r="I115" s="33"/>
      <c r="J115" s="33"/>
      <c r="K115" s="33"/>
      <c r="L115" s="33"/>
      <c r="M115" s="33"/>
      <c r="N115" s="33"/>
    </row>
    <row r="116" spans="3:14">
      <c r="C116" s="33"/>
      <c r="D116" s="33"/>
      <c r="E116" s="33"/>
      <c r="F116" s="33"/>
      <c r="G116" s="33"/>
      <c r="H116" s="33"/>
      <c r="I116" s="33"/>
      <c r="J116" s="33"/>
      <c r="K116" s="33"/>
      <c r="L116" s="33"/>
      <c r="M116" s="33"/>
      <c r="N116" s="33"/>
    </row>
    <row r="117" spans="3:14">
      <c r="C117" s="33"/>
      <c r="D117" s="33"/>
      <c r="E117" s="33"/>
      <c r="F117" s="33"/>
      <c r="G117" s="33"/>
      <c r="H117" s="33"/>
      <c r="I117" s="33"/>
      <c r="J117" s="33"/>
      <c r="K117" s="33"/>
      <c r="L117" s="33"/>
      <c r="M117" s="33"/>
      <c r="N117" s="33"/>
    </row>
    <row r="118" spans="3:14">
      <c r="C118" s="33"/>
      <c r="D118" s="33"/>
      <c r="E118" s="33"/>
      <c r="F118" s="33"/>
      <c r="G118" s="33"/>
      <c r="H118" s="33"/>
      <c r="I118" s="33"/>
      <c r="J118" s="33"/>
      <c r="K118" s="33"/>
      <c r="L118" s="33"/>
      <c r="M118" s="33"/>
      <c r="N118" s="33"/>
    </row>
    <row r="119" spans="3:14">
      <c r="C119" s="33"/>
      <c r="D119" s="33"/>
      <c r="E119" s="33"/>
      <c r="F119" s="33"/>
      <c r="G119" s="33"/>
      <c r="H119" s="33"/>
      <c r="I119" s="33"/>
      <c r="J119" s="33"/>
      <c r="K119" s="33"/>
      <c r="L119" s="33"/>
      <c r="M119" s="33"/>
      <c r="N119" s="33"/>
    </row>
    <row r="120" spans="3:14">
      <c r="C120" s="98">
        <v>20.37</v>
      </c>
      <c r="D120" s="98">
        <v>14.47</v>
      </c>
      <c r="E120" s="98">
        <v>38.58</v>
      </c>
      <c r="F120" s="33"/>
      <c r="G120" s="33"/>
      <c r="H120" s="33"/>
      <c r="I120" s="33"/>
      <c r="J120" s="33"/>
      <c r="K120" s="33"/>
      <c r="L120" s="33"/>
      <c r="M120" s="33"/>
      <c r="N120" s="33"/>
    </row>
    <row r="121" spans="3:14">
      <c r="C121" s="33"/>
      <c r="D121" s="33"/>
      <c r="E121" s="33"/>
      <c r="F121" s="33"/>
      <c r="G121" s="33"/>
      <c r="H121" s="33"/>
      <c r="I121" s="33"/>
      <c r="J121" s="33"/>
      <c r="K121" s="33"/>
      <c r="L121" s="33"/>
      <c r="M121" s="33"/>
      <c r="N121" s="33"/>
    </row>
    <row r="122" spans="3:14">
      <c r="C122" s="33"/>
      <c r="D122" s="33"/>
      <c r="E122" s="33"/>
      <c r="F122" s="33"/>
      <c r="G122" s="33"/>
      <c r="H122" s="33"/>
      <c r="I122" s="33"/>
      <c r="J122" s="33"/>
      <c r="K122" s="33"/>
      <c r="L122" s="33"/>
      <c r="M122" s="33"/>
      <c r="N122" s="33"/>
    </row>
    <row r="123" spans="3:14">
      <c r="C123" s="33"/>
      <c r="D123" s="33"/>
      <c r="E123" s="33"/>
      <c r="F123" s="33"/>
      <c r="G123" s="33"/>
      <c r="H123" s="33"/>
      <c r="I123" s="33"/>
      <c r="J123" s="33"/>
      <c r="K123" s="33"/>
      <c r="L123" s="33"/>
      <c r="M123" s="33"/>
      <c r="N123" s="33"/>
    </row>
    <row r="124" spans="3:14">
      <c r="C124" s="33"/>
      <c r="D124" s="33"/>
      <c r="E124" s="33"/>
      <c r="F124" s="33"/>
      <c r="G124" s="33"/>
      <c r="H124" s="33"/>
      <c r="I124" s="33"/>
      <c r="J124" s="33"/>
      <c r="K124" s="33"/>
      <c r="L124" s="33"/>
      <c r="M124" s="33"/>
      <c r="N124" s="33"/>
    </row>
    <row r="125" spans="3:14">
      <c r="C125" s="33"/>
      <c r="D125" s="33"/>
      <c r="E125" s="33"/>
      <c r="F125" s="33"/>
      <c r="G125" s="33"/>
      <c r="H125" s="33"/>
      <c r="I125" s="33"/>
      <c r="J125" s="33"/>
      <c r="K125" s="33"/>
      <c r="L125" s="33"/>
      <c r="M125" s="33"/>
      <c r="N125" s="33"/>
    </row>
    <row r="126" spans="3:14">
      <c r="C126" s="33"/>
      <c r="D126" s="33"/>
      <c r="E126" s="33"/>
      <c r="F126" s="33"/>
      <c r="G126" s="33"/>
      <c r="H126" s="33"/>
      <c r="I126" s="33"/>
      <c r="J126" s="33"/>
      <c r="K126" s="33"/>
      <c r="L126" s="33"/>
      <c r="M126" s="33"/>
      <c r="N126" s="33"/>
    </row>
    <row r="127" spans="3:14">
      <c r="C127" s="33"/>
      <c r="D127" s="33"/>
      <c r="E127" s="33"/>
      <c r="F127" s="33"/>
      <c r="G127" s="33"/>
      <c r="H127" s="33"/>
      <c r="I127" s="33"/>
      <c r="J127" s="33"/>
      <c r="K127" s="33"/>
      <c r="L127" s="33"/>
      <c r="M127" s="33"/>
      <c r="N127" s="33"/>
    </row>
    <row r="128" spans="3:14">
      <c r="C128" s="33"/>
      <c r="D128" s="33"/>
      <c r="E128" s="33"/>
      <c r="F128" s="33"/>
      <c r="G128" s="33"/>
      <c r="H128" s="33"/>
      <c r="I128" s="33"/>
      <c r="J128" s="33"/>
      <c r="K128" s="33"/>
      <c r="L128" s="33"/>
      <c r="M128" s="33"/>
      <c r="N128" s="33"/>
    </row>
    <row r="129" spans="3:14">
      <c r="C129" s="33"/>
      <c r="D129" s="33"/>
      <c r="E129" s="33"/>
      <c r="F129" s="33"/>
      <c r="G129" s="33"/>
      <c r="H129" s="33"/>
      <c r="I129" s="33"/>
      <c r="J129" s="33"/>
      <c r="K129" s="33"/>
      <c r="L129" s="33"/>
      <c r="M129" s="33"/>
      <c r="N129" s="33"/>
    </row>
    <row r="130" spans="3:14">
      <c r="C130" s="33"/>
      <c r="D130" s="33"/>
      <c r="E130" s="33"/>
      <c r="F130" s="33"/>
      <c r="G130" s="33"/>
      <c r="H130" s="33"/>
      <c r="I130" s="33"/>
      <c r="J130" s="33"/>
      <c r="K130" s="33"/>
      <c r="L130" s="33"/>
      <c r="M130" s="33"/>
      <c r="N130" s="33"/>
    </row>
    <row r="131" spans="3:14">
      <c r="C131" s="33"/>
      <c r="D131" s="33"/>
      <c r="E131" s="33"/>
      <c r="F131" s="33"/>
      <c r="G131" s="33"/>
      <c r="H131" s="33"/>
      <c r="I131" s="33"/>
      <c r="J131" s="33"/>
      <c r="K131" s="33"/>
      <c r="L131" s="33"/>
      <c r="M131" s="33"/>
      <c r="N131" s="33"/>
    </row>
    <row r="132" spans="3:14">
      <c r="C132" s="33"/>
      <c r="D132" s="33"/>
      <c r="E132" s="33"/>
      <c r="F132" s="33"/>
      <c r="G132" s="33"/>
      <c r="H132" s="33"/>
      <c r="I132" s="33"/>
      <c r="J132" s="33"/>
      <c r="K132" s="33"/>
      <c r="L132" s="33"/>
      <c r="M132" s="33"/>
      <c r="N132" s="33"/>
    </row>
    <row r="133" spans="3:14">
      <c r="C133" s="33"/>
      <c r="D133" s="33"/>
      <c r="E133" s="33"/>
      <c r="F133" s="33"/>
      <c r="G133" s="33"/>
      <c r="H133" s="33"/>
      <c r="I133" s="33"/>
      <c r="J133" s="33"/>
      <c r="K133" s="33"/>
      <c r="L133" s="33"/>
      <c r="M133" s="33"/>
      <c r="N133" s="33"/>
    </row>
    <row r="134" spans="3:14">
      <c r="C134" s="33"/>
      <c r="D134" s="33"/>
      <c r="E134" s="33"/>
      <c r="F134" s="33"/>
      <c r="G134" s="33"/>
      <c r="H134" s="33"/>
      <c r="I134" s="33"/>
      <c r="J134" s="33"/>
      <c r="K134" s="33"/>
      <c r="L134" s="33"/>
      <c r="M134" s="33"/>
      <c r="N134" s="33"/>
    </row>
    <row r="135" spans="3:14">
      <c r="C135" s="33"/>
      <c r="D135" s="33"/>
      <c r="E135" s="33"/>
      <c r="F135" s="33"/>
      <c r="G135" s="33"/>
      <c r="H135" s="33"/>
      <c r="I135" s="33"/>
      <c r="J135" s="33"/>
      <c r="K135" s="33"/>
      <c r="L135" s="33"/>
      <c r="M135" s="33"/>
      <c r="N135" s="33"/>
    </row>
    <row r="136" spans="3:14">
      <c r="C136" s="33"/>
      <c r="D136" s="33"/>
      <c r="E136" s="33"/>
      <c r="F136" s="33"/>
      <c r="G136" s="33"/>
      <c r="H136" s="33"/>
      <c r="I136" s="33"/>
      <c r="J136" s="33"/>
      <c r="K136" s="33"/>
      <c r="L136" s="33"/>
      <c r="M136" s="33"/>
      <c r="N136" s="33"/>
    </row>
    <row r="137" spans="3:14">
      <c r="C137" s="33"/>
      <c r="D137" s="33"/>
      <c r="E137" s="33"/>
      <c r="F137" s="33"/>
      <c r="G137" s="33"/>
      <c r="H137" s="33"/>
      <c r="I137" s="33"/>
      <c r="J137" s="33"/>
      <c r="K137" s="33"/>
      <c r="L137" s="33"/>
      <c r="M137" s="33"/>
      <c r="N137" s="33"/>
    </row>
    <row r="138" spans="3:14">
      <c r="C138" s="33"/>
      <c r="D138" s="33"/>
      <c r="E138" s="33"/>
      <c r="F138" s="33"/>
      <c r="G138" s="33"/>
      <c r="H138" s="33"/>
      <c r="I138" s="33"/>
      <c r="J138" s="33"/>
      <c r="K138" s="33"/>
      <c r="L138" s="33"/>
      <c r="M138" s="33"/>
      <c r="N138" s="33"/>
    </row>
    <row r="139" spans="3:14">
      <c r="C139" s="33"/>
      <c r="D139" s="33"/>
      <c r="E139" s="33"/>
      <c r="F139" s="33"/>
      <c r="G139" s="33"/>
      <c r="H139" s="33"/>
      <c r="I139" s="33"/>
      <c r="J139" s="33"/>
      <c r="K139" s="33"/>
      <c r="L139" s="33"/>
      <c r="M139" s="33"/>
      <c r="N139" s="33"/>
    </row>
    <row r="140" spans="3:14">
      <c r="C140" s="33"/>
      <c r="D140" s="33"/>
      <c r="E140" s="33"/>
      <c r="F140" s="33"/>
      <c r="G140" s="33"/>
      <c r="H140" s="33"/>
      <c r="I140" s="33"/>
      <c r="J140" s="33"/>
      <c r="K140" s="33"/>
      <c r="L140" s="33"/>
      <c r="M140" s="33"/>
      <c r="N140" s="33"/>
    </row>
    <row r="141" spans="3:14">
      <c r="C141" s="33"/>
      <c r="D141" s="33"/>
      <c r="E141" s="33"/>
      <c r="F141" s="33"/>
      <c r="G141" s="33"/>
      <c r="H141" s="33"/>
      <c r="I141" s="33"/>
      <c r="J141" s="33"/>
      <c r="K141" s="33"/>
      <c r="L141" s="33"/>
      <c r="M141" s="33"/>
      <c r="N141" s="33"/>
    </row>
    <row r="142" spans="3:14">
      <c r="C142" s="33"/>
      <c r="D142" s="33"/>
      <c r="E142" s="33"/>
      <c r="F142" s="33"/>
      <c r="G142" s="33"/>
      <c r="H142" s="33"/>
      <c r="I142" s="33"/>
      <c r="J142" s="33"/>
      <c r="K142" s="33"/>
      <c r="L142" s="33"/>
      <c r="M142" s="33"/>
      <c r="N142" s="33"/>
    </row>
    <row r="143" spans="3:14">
      <c r="C143" s="33"/>
      <c r="D143" s="33"/>
      <c r="E143" s="33"/>
      <c r="F143" s="33"/>
      <c r="G143" s="33"/>
      <c r="H143" s="33"/>
      <c r="I143" s="33"/>
      <c r="J143" s="33"/>
      <c r="K143" s="33"/>
      <c r="L143" s="33"/>
      <c r="M143" s="33"/>
      <c r="N143" s="33"/>
    </row>
    <row r="144" spans="3:14">
      <c r="C144" s="33"/>
      <c r="D144" s="33"/>
      <c r="E144" s="33"/>
      <c r="F144" s="33"/>
      <c r="G144" s="33"/>
      <c r="H144" s="33"/>
      <c r="I144" s="33"/>
      <c r="J144" s="33"/>
      <c r="K144" s="33"/>
      <c r="L144" s="33"/>
      <c r="M144" s="33"/>
      <c r="N144" s="33"/>
    </row>
    <row r="145" spans="3:14">
      <c r="C145" s="33"/>
      <c r="D145" s="33"/>
      <c r="E145" s="33"/>
      <c r="F145" s="33"/>
      <c r="G145" s="33"/>
      <c r="H145" s="33"/>
      <c r="I145" s="33"/>
      <c r="J145" s="33"/>
      <c r="K145" s="33"/>
      <c r="L145" s="33"/>
      <c r="M145" s="33"/>
      <c r="N145" s="33"/>
    </row>
    <row r="146" spans="3:14">
      <c r="C146" s="33"/>
      <c r="D146" s="33"/>
      <c r="E146" s="33"/>
      <c r="F146" s="33"/>
      <c r="G146" s="33"/>
      <c r="H146" s="33"/>
      <c r="I146" s="33"/>
      <c r="J146" s="33"/>
      <c r="K146" s="33"/>
      <c r="L146" s="33"/>
      <c r="M146" s="33"/>
      <c r="N146" s="33"/>
    </row>
    <row r="147" spans="3:14">
      <c r="C147" s="33"/>
      <c r="D147" s="33"/>
      <c r="E147" s="33"/>
      <c r="F147" s="33"/>
      <c r="G147" s="33"/>
      <c r="H147" s="33"/>
      <c r="I147" s="33"/>
      <c r="J147" s="33"/>
      <c r="K147" s="33"/>
      <c r="L147" s="33"/>
      <c r="M147" s="33"/>
      <c r="N147" s="33"/>
    </row>
    <row r="148" spans="3:14">
      <c r="C148" s="33"/>
      <c r="D148" s="33"/>
      <c r="E148" s="33"/>
      <c r="F148" s="33"/>
      <c r="G148" s="33"/>
      <c r="H148" s="33"/>
      <c r="I148" s="33"/>
      <c r="J148" s="33"/>
      <c r="K148" s="33"/>
      <c r="L148" s="33"/>
      <c r="M148" s="33"/>
      <c r="N148" s="33"/>
    </row>
    <row r="149" spans="3:14">
      <c r="C149" s="33"/>
      <c r="D149" s="33"/>
      <c r="E149" s="33"/>
      <c r="F149" s="33"/>
      <c r="G149" s="33"/>
      <c r="H149" s="33"/>
      <c r="I149" s="33"/>
      <c r="J149" s="33"/>
      <c r="K149" s="33"/>
      <c r="L149" s="33"/>
      <c r="M149" s="33"/>
      <c r="N149" s="33"/>
    </row>
    <row r="150" spans="3:14">
      <c r="C150" s="33"/>
      <c r="D150" s="33"/>
      <c r="E150" s="33"/>
      <c r="F150" s="33"/>
      <c r="G150" s="33"/>
      <c r="H150" s="33"/>
      <c r="I150" s="33"/>
      <c r="J150" s="33"/>
      <c r="K150" s="33"/>
      <c r="L150" s="33"/>
      <c r="M150" s="33"/>
      <c r="N150" s="33"/>
    </row>
    <row r="151" spans="3:14">
      <c r="C151" s="33"/>
      <c r="D151" s="33"/>
      <c r="E151" s="33"/>
      <c r="F151" s="33"/>
      <c r="G151" s="33"/>
      <c r="H151" s="33"/>
      <c r="I151" s="33"/>
      <c r="J151" s="33"/>
      <c r="K151" s="33"/>
      <c r="L151" s="33"/>
      <c r="M151" s="33"/>
      <c r="N151" s="33"/>
    </row>
    <row r="152" spans="3:14">
      <c r="C152" s="33"/>
      <c r="D152" s="33"/>
      <c r="E152" s="33"/>
      <c r="F152" s="33"/>
      <c r="G152" s="33"/>
      <c r="H152" s="33"/>
      <c r="I152" s="33"/>
      <c r="J152" s="33"/>
      <c r="K152" s="33"/>
      <c r="L152" s="33"/>
      <c r="M152" s="33"/>
      <c r="N152" s="33"/>
    </row>
    <row r="153" spans="3:14">
      <c r="C153" s="33"/>
      <c r="D153" s="33"/>
      <c r="E153" s="33"/>
      <c r="F153" s="33"/>
      <c r="G153" s="33"/>
      <c r="H153" s="33"/>
      <c r="I153" s="33"/>
      <c r="J153" s="33"/>
      <c r="K153" s="33"/>
      <c r="L153" s="33"/>
      <c r="M153" s="33"/>
      <c r="N153" s="33"/>
    </row>
    <row r="154" spans="3:14">
      <c r="C154" s="33"/>
      <c r="D154" s="33"/>
      <c r="E154" s="33"/>
      <c r="F154" s="33"/>
      <c r="G154" s="33"/>
      <c r="H154" s="33"/>
      <c r="I154" s="33"/>
      <c r="J154" s="33"/>
      <c r="K154" s="33"/>
      <c r="L154" s="33"/>
      <c r="M154" s="33"/>
      <c r="N154" s="33"/>
    </row>
    <row r="155" spans="3:14">
      <c r="C155" s="33"/>
      <c r="D155" s="33"/>
      <c r="E155" s="33"/>
      <c r="F155" s="33"/>
      <c r="G155" s="33"/>
      <c r="H155" s="33"/>
      <c r="I155" s="33"/>
      <c r="J155" s="33"/>
      <c r="K155" s="33"/>
      <c r="L155" s="33"/>
      <c r="M155" s="33"/>
      <c r="N155" s="33"/>
    </row>
    <row r="156" spans="3:14">
      <c r="C156" s="33"/>
      <c r="D156" s="33"/>
      <c r="E156" s="33"/>
      <c r="F156" s="33"/>
      <c r="G156" s="33"/>
      <c r="H156" s="33"/>
      <c r="I156" s="33"/>
      <c r="J156" s="33"/>
      <c r="K156" s="33"/>
      <c r="L156" s="33"/>
      <c r="M156" s="33"/>
      <c r="N156" s="33"/>
    </row>
    <row r="157" spans="3:14">
      <c r="C157" s="33"/>
      <c r="D157" s="33"/>
      <c r="E157" s="33"/>
      <c r="F157" s="33"/>
      <c r="G157" s="33"/>
      <c r="H157" s="33"/>
      <c r="I157" s="33"/>
      <c r="J157" s="33"/>
      <c r="K157" s="33"/>
      <c r="L157" s="33"/>
      <c r="M157" s="33"/>
      <c r="N157" s="33"/>
    </row>
    <row r="158" spans="3:14">
      <c r="C158" s="33"/>
      <c r="D158" s="33"/>
      <c r="E158" s="33"/>
      <c r="F158" s="33"/>
      <c r="G158" s="33"/>
      <c r="H158" s="33"/>
      <c r="I158" s="33"/>
      <c r="J158" s="33"/>
      <c r="K158" s="33"/>
      <c r="L158" s="33"/>
      <c r="M158" s="33"/>
      <c r="N158" s="33"/>
    </row>
    <row r="159" spans="3:14">
      <c r="C159" s="33"/>
      <c r="D159" s="33"/>
      <c r="E159" s="33"/>
      <c r="F159" s="33"/>
      <c r="G159" s="33"/>
      <c r="H159" s="33"/>
      <c r="I159" s="33"/>
      <c r="J159" s="33"/>
      <c r="K159" s="33"/>
      <c r="L159" s="33"/>
      <c r="M159" s="33"/>
      <c r="N159" s="33"/>
    </row>
    <row r="160" spans="3:14">
      <c r="C160" s="33"/>
      <c r="D160" s="33"/>
      <c r="E160" s="33"/>
      <c r="F160" s="33"/>
      <c r="G160" s="33"/>
      <c r="H160" s="33"/>
      <c r="I160" s="33"/>
      <c r="J160" s="33"/>
      <c r="K160" s="33"/>
      <c r="L160" s="33"/>
      <c r="M160" s="33"/>
      <c r="N160" s="33"/>
    </row>
    <row r="161" spans="3:14">
      <c r="C161" s="33"/>
      <c r="D161" s="33"/>
      <c r="E161" s="33"/>
      <c r="F161" s="33"/>
      <c r="G161" s="33"/>
      <c r="H161" s="33"/>
      <c r="I161" s="33"/>
      <c r="J161" s="33"/>
      <c r="K161" s="33"/>
      <c r="L161" s="33"/>
      <c r="M161" s="33"/>
      <c r="N161" s="33"/>
    </row>
    <row r="162" spans="3:14">
      <c r="C162" s="33"/>
      <c r="D162" s="33"/>
      <c r="E162" s="33"/>
      <c r="F162" s="33"/>
      <c r="G162" s="33"/>
      <c r="H162" s="33"/>
      <c r="I162" s="33"/>
      <c r="J162" s="33"/>
      <c r="K162" s="33"/>
      <c r="L162" s="33"/>
      <c r="M162" s="33"/>
      <c r="N162" s="33"/>
    </row>
    <row r="163" spans="3:14">
      <c r="C163" s="33"/>
      <c r="D163" s="33"/>
      <c r="E163" s="33"/>
      <c r="F163" s="33"/>
      <c r="G163" s="33"/>
      <c r="H163" s="33"/>
      <c r="I163" s="33"/>
      <c r="J163" s="33"/>
      <c r="K163" s="33"/>
      <c r="L163" s="33"/>
      <c r="M163" s="33"/>
      <c r="N163" s="33"/>
    </row>
    <row r="164" spans="3:14">
      <c r="C164" s="33"/>
      <c r="D164" s="33"/>
      <c r="E164" s="33"/>
      <c r="F164" s="33"/>
      <c r="G164" s="33"/>
      <c r="H164" s="33"/>
      <c r="I164" s="33"/>
      <c r="J164" s="33"/>
      <c r="K164" s="33"/>
      <c r="L164" s="33"/>
      <c r="M164" s="33"/>
      <c r="N164" s="33"/>
    </row>
    <row r="165" spans="3:14">
      <c r="C165" s="33"/>
      <c r="D165" s="33"/>
      <c r="E165" s="33"/>
      <c r="F165" s="33"/>
      <c r="G165" s="33"/>
      <c r="H165" s="33"/>
      <c r="I165" s="33"/>
      <c r="J165" s="33"/>
      <c r="K165" s="33"/>
      <c r="L165" s="33"/>
      <c r="M165" s="33"/>
      <c r="N165" s="33"/>
    </row>
    <row r="166" spans="3:14">
      <c r="C166" s="33"/>
      <c r="D166" s="33"/>
      <c r="E166" s="33"/>
      <c r="F166" s="33"/>
      <c r="G166" s="33"/>
      <c r="H166" s="33"/>
      <c r="I166" s="33"/>
      <c r="J166" s="33"/>
      <c r="K166" s="33"/>
      <c r="L166" s="33"/>
      <c r="M166" s="33"/>
      <c r="N166" s="33"/>
    </row>
    <row r="167" spans="3:14">
      <c r="C167" s="33"/>
      <c r="D167" s="33"/>
      <c r="E167" s="33"/>
      <c r="F167" s="33"/>
      <c r="G167" s="33"/>
      <c r="H167" s="33"/>
      <c r="I167" s="33"/>
      <c r="J167" s="33"/>
      <c r="K167" s="33"/>
      <c r="L167" s="33"/>
      <c r="M167" s="33"/>
      <c r="N167" s="33"/>
    </row>
  </sheetData>
  <phoneticPr fontId="8" type="noConversion"/>
  <pageMargins left="0" right="0" top="0" bottom="0" header="0" footer="0"/>
  <pageSetup paperSize="5" scale="26" orientation="landscape" r:id="rId1"/>
  <headerFooter alignWithMargins="0"/>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43"/>
  <sheetViews>
    <sheetView workbookViewId="0">
      <selection activeCell="B42" sqref="B42"/>
    </sheetView>
  </sheetViews>
  <sheetFormatPr defaultRowHeight="12.75"/>
  <cols>
    <col min="1" max="1" width="29.5703125" style="1" bestFit="1" customWidth="1"/>
    <col min="2" max="2" width="19.85546875" style="656" customWidth="1"/>
    <col min="3" max="3" width="12" style="1" bestFit="1" customWidth="1"/>
    <col min="4" max="256" width="9.140625" style="1"/>
    <col min="257" max="257" width="29.5703125" style="1" bestFit="1" customWidth="1"/>
    <col min="258" max="258" width="19.85546875" style="1" customWidth="1"/>
    <col min="259" max="259" width="12" style="1" bestFit="1" customWidth="1"/>
    <col min="260" max="512" width="9.140625" style="1"/>
    <col min="513" max="513" width="29.5703125" style="1" bestFit="1" customWidth="1"/>
    <col min="514" max="514" width="19.85546875" style="1" customWidth="1"/>
    <col min="515" max="515" width="12" style="1" bestFit="1" customWidth="1"/>
    <col min="516" max="768" width="9.140625" style="1"/>
    <col min="769" max="769" width="29.5703125" style="1" bestFit="1" customWidth="1"/>
    <col min="770" max="770" width="19.85546875" style="1" customWidth="1"/>
    <col min="771" max="771" width="12" style="1" bestFit="1" customWidth="1"/>
    <col min="772" max="1024" width="9.140625" style="1"/>
    <col min="1025" max="1025" width="29.5703125" style="1" bestFit="1" customWidth="1"/>
    <col min="1026" max="1026" width="19.85546875" style="1" customWidth="1"/>
    <col min="1027" max="1027" width="12" style="1" bestFit="1" customWidth="1"/>
    <col min="1028" max="1280" width="9.140625" style="1"/>
    <col min="1281" max="1281" width="29.5703125" style="1" bestFit="1" customWidth="1"/>
    <col min="1282" max="1282" width="19.85546875" style="1" customWidth="1"/>
    <col min="1283" max="1283" width="12" style="1" bestFit="1" customWidth="1"/>
    <col min="1284" max="1536" width="9.140625" style="1"/>
    <col min="1537" max="1537" width="29.5703125" style="1" bestFit="1" customWidth="1"/>
    <col min="1538" max="1538" width="19.85546875" style="1" customWidth="1"/>
    <col min="1539" max="1539" width="12" style="1" bestFit="1" customWidth="1"/>
    <col min="1540" max="1792" width="9.140625" style="1"/>
    <col min="1793" max="1793" width="29.5703125" style="1" bestFit="1" customWidth="1"/>
    <col min="1794" max="1794" width="19.85546875" style="1" customWidth="1"/>
    <col min="1795" max="1795" width="12" style="1" bestFit="1" customWidth="1"/>
    <col min="1796" max="2048" width="9.140625" style="1"/>
    <col min="2049" max="2049" width="29.5703125" style="1" bestFit="1" customWidth="1"/>
    <col min="2050" max="2050" width="19.85546875" style="1" customWidth="1"/>
    <col min="2051" max="2051" width="12" style="1" bestFit="1" customWidth="1"/>
    <col min="2052" max="2304" width="9.140625" style="1"/>
    <col min="2305" max="2305" width="29.5703125" style="1" bestFit="1" customWidth="1"/>
    <col min="2306" max="2306" width="19.85546875" style="1" customWidth="1"/>
    <col min="2307" max="2307" width="12" style="1" bestFit="1" customWidth="1"/>
    <col min="2308" max="2560" width="9.140625" style="1"/>
    <col min="2561" max="2561" width="29.5703125" style="1" bestFit="1" customWidth="1"/>
    <col min="2562" max="2562" width="19.85546875" style="1" customWidth="1"/>
    <col min="2563" max="2563" width="12" style="1" bestFit="1" customWidth="1"/>
    <col min="2564" max="2816" width="9.140625" style="1"/>
    <col min="2817" max="2817" width="29.5703125" style="1" bestFit="1" customWidth="1"/>
    <col min="2818" max="2818" width="19.85546875" style="1" customWidth="1"/>
    <col min="2819" max="2819" width="12" style="1" bestFit="1" customWidth="1"/>
    <col min="2820" max="3072" width="9.140625" style="1"/>
    <col min="3073" max="3073" width="29.5703125" style="1" bestFit="1" customWidth="1"/>
    <col min="3074" max="3074" width="19.85546875" style="1" customWidth="1"/>
    <col min="3075" max="3075" width="12" style="1" bestFit="1" customWidth="1"/>
    <col min="3076" max="3328" width="9.140625" style="1"/>
    <col min="3329" max="3329" width="29.5703125" style="1" bestFit="1" customWidth="1"/>
    <col min="3330" max="3330" width="19.85546875" style="1" customWidth="1"/>
    <col min="3331" max="3331" width="12" style="1" bestFit="1" customWidth="1"/>
    <col min="3332" max="3584" width="9.140625" style="1"/>
    <col min="3585" max="3585" width="29.5703125" style="1" bestFit="1" customWidth="1"/>
    <col min="3586" max="3586" width="19.85546875" style="1" customWidth="1"/>
    <col min="3587" max="3587" width="12" style="1" bestFit="1" customWidth="1"/>
    <col min="3588" max="3840" width="9.140625" style="1"/>
    <col min="3841" max="3841" width="29.5703125" style="1" bestFit="1" customWidth="1"/>
    <col min="3842" max="3842" width="19.85546875" style="1" customWidth="1"/>
    <col min="3843" max="3843" width="12" style="1" bestFit="1" customWidth="1"/>
    <col min="3844" max="4096" width="9.140625" style="1"/>
    <col min="4097" max="4097" width="29.5703125" style="1" bestFit="1" customWidth="1"/>
    <col min="4098" max="4098" width="19.85546875" style="1" customWidth="1"/>
    <col min="4099" max="4099" width="12" style="1" bestFit="1" customWidth="1"/>
    <col min="4100" max="4352" width="9.140625" style="1"/>
    <col min="4353" max="4353" width="29.5703125" style="1" bestFit="1" customWidth="1"/>
    <col min="4354" max="4354" width="19.85546875" style="1" customWidth="1"/>
    <col min="4355" max="4355" width="12" style="1" bestFit="1" customWidth="1"/>
    <col min="4356" max="4608" width="9.140625" style="1"/>
    <col min="4609" max="4609" width="29.5703125" style="1" bestFit="1" customWidth="1"/>
    <col min="4610" max="4610" width="19.85546875" style="1" customWidth="1"/>
    <col min="4611" max="4611" width="12" style="1" bestFit="1" customWidth="1"/>
    <col min="4612" max="4864" width="9.140625" style="1"/>
    <col min="4865" max="4865" width="29.5703125" style="1" bestFit="1" customWidth="1"/>
    <col min="4866" max="4866" width="19.85546875" style="1" customWidth="1"/>
    <col min="4867" max="4867" width="12" style="1" bestFit="1" customWidth="1"/>
    <col min="4868" max="5120" width="9.140625" style="1"/>
    <col min="5121" max="5121" width="29.5703125" style="1" bestFit="1" customWidth="1"/>
    <col min="5122" max="5122" width="19.85546875" style="1" customWidth="1"/>
    <col min="5123" max="5123" width="12" style="1" bestFit="1" customWidth="1"/>
    <col min="5124" max="5376" width="9.140625" style="1"/>
    <col min="5377" max="5377" width="29.5703125" style="1" bestFit="1" customWidth="1"/>
    <col min="5378" max="5378" width="19.85546875" style="1" customWidth="1"/>
    <col min="5379" max="5379" width="12" style="1" bestFit="1" customWidth="1"/>
    <col min="5380" max="5632" width="9.140625" style="1"/>
    <col min="5633" max="5633" width="29.5703125" style="1" bestFit="1" customWidth="1"/>
    <col min="5634" max="5634" width="19.85546875" style="1" customWidth="1"/>
    <col min="5635" max="5635" width="12" style="1" bestFit="1" customWidth="1"/>
    <col min="5636" max="5888" width="9.140625" style="1"/>
    <col min="5889" max="5889" width="29.5703125" style="1" bestFit="1" customWidth="1"/>
    <col min="5890" max="5890" width="19.85546875" style="1" customWidth="1"/>
    <col min="5891" max="5891" width="12" style="1" bestFit="1" customWidth="1"/>
    <col min="5892" max="6144" width="9.140625" style="1"/>
    <col min="6145" max="6145" width="29.5703125" style="1" bestFit="1" customWidth="1"/>
    <col min="6146" max="6146" width="19.85546875" style="1" customWidth="1"/>
    <col min="6147" max="6147" width="12" style="1" bestFit="1" customWidth="1"/>
    <col min="6148" max="6400" width="9.140625" style="1"/>
    <col min="6401" max="6401" width="29.5703125" style="1" bestFit="1" customWidth="1"/>
    <col min="6402" max="6402" width="19.85546875" style="1" customWidth="1"/>
    <col min="6403" max="6403" width="12" style="1" bestFit="1" customWidth="1"/>
    <col min="6404" max="6656" width="9.140625" style="1"/>
    <col min="6657" max="6657" width="29.5703125" style="1" bestFit="1" customWidth="1"/>
    <col min="6658" max="6658" width="19.85546875" style="1" customWidth="1"/>
    <col min="6659" max="6659" width="12" style="1" bestFit="1" customWidth="1"/>
    <col min="6660" max="6912" width="9.140625" style="1"/>
    <col min="6913" max="6913" width="29.5703125" style="1" bestFit="1" customWidth="1"/>
    <col min="6914" max="6914" width="19.85546875" style="1" customWidth="1"/>
    <col min="6915" max="6915" width="12" style="1" bestFit="1" customWidth="1"/>
    <col min="6916" max="7168" width="9.140625" style="1"/>
    <col min="7169" max="7169" width="29.5703125" style="1" bestFit="1" customWidth="1"/>
    <col min="7170" max="7170" width="19.85546875" style="1" customWidth="1"/>
    <col min="7171" max="7171" width="12" style="1" bestFit="1" customWidth="1"/>
    <col min="7172" max="7424" width="9.140625" style="1"/>
    <col min="7425" max="7425" width="29.5703125" style="1" bestFit="1" customWidth="1"/>
    <col min="7426" max="7426" width="19.85546875" style="1" customWidth="1"/>
    <col min="7427" max="7427" width="12" style="1" bestFit="1" customWidth="1"/>
    <col min="7428" max="7680" width="9.140625" style="1"/>
    <col min="7681" max="7681" width="29.5703125" style="1" bestFit="1" customWidth="1"/>
    <col min="7682" max="7682" width="19.85546875" style="1" customWidth="1"/>
    <col min="7683" max="7683" width="12" style="1" bestFit="1" customWidth="1"/>
    <col min="7684" max="7936" width="9.140625" style="1"/>
    <col min="7937" max="7937" width="29.5703125" style="1" bestFit="1" customWidth="1"/>
    <col min="7938" max="7938" width="19.85546875" style="1" customWidth="1"/>
    <col min="7939" max="7939" width="12" style="1" bestFit="1" customWidth="1"/>
    <col min="7940" max="8192" width="9.140625" style="1"/>
    <col min="8193" max="8193" width="29.5703125" style="1" bestFit="1" customWidth="1"/>
    <col min="8194" max="8194" width="19.85546875" style="1" customWidth="1"/>
    <col min="8195" max="8195" width="12" style="1" bestFit="1" customWidth="1"/>
    <col min="8196" max="8448" width="9.140625" style="1"/>
    <col min="8449" max="8449" width="29.5703125" style="1" bestFit="1" customWidth="1"/>
    <col min="8450" max="8450" width="19.85546875" style="1" customWidth="1"/>
    <col min="8451" max="8451" width="12" style="1" bestFit="1" customWidth="1"/>
    <col min="8452" max="8704" width="9.140625" style="1"/>
    <col min="8705" max="8705" width="29.5703125" style="1" bestFit="1" customWidth="1"/>
    <col min="8706" max="8706" width="19.85546875" style="1" customWidth="1"/>
    <col min="8707" max="8707" width="12" style="1" bestFit="1" customWidth="1"/>
    <col min="8708" max="8960" width="9.140625" style="1"/>
    <col min="8961" max="8961" width="29.5703125" style="1" bestFit="1" customWidth="1"/>
    <col min="8962" max="8962" width="19.85546875" style="1" customWidth="1"/>
    <col min="8963" max="8963" width="12" style="1" bestFit="1" customWidth="1"/>
    <col min="8964" max="9216" width="9.140625" style="1"/>
    <col min="9217" max="9217" width="29.5703125" style="1" bestFit="1" customWidth="1"/>
    <col min="9218" max="9218" width="19.85546875" style="1" customWidth="1"/>
    <col min="9219" max="9219" width="12" style="1" bestFit="1" customWidth="1"/>
    <col min="9220" max="9472" width="9.140625" style="1"/>
    <col min="9473" max="9473" width="29.5703125" style="1" bestFit="1" customWidth="1"/>
    <col min="9474" max="9474" width="19.85546875" style="1" customWidth="1"/>
    <col min="9475" max="9475" width="12" style="1" bestFit="1" customWidth="1"/>
    <col min="9476" max="9728" width="9.140625" style="1"/>
    <col min="9729" max="9729" width="29.5703125" style="1" bestFit="1" customWidth="1"/>
    <col min="9730" max="9730" width="19.85546875" style="1" customWidth="1"/>
    <col min="9731" max="9731" width="12" style="1" bestFit="1" customWidth="1"/>
    <col min="9732" max="9984" width="9.140625" style="1"/>
    <col min="9985" max="9985" width="29.5703125" style="1" bestFit="1" customWidth="1"/>
    <col min="9986" max="9986" width="19.85546875" style="1" customWidth="1"/>
    <col min="9987" max="9987" width="12" style="1" bestFit="1" customWidth="1"/>
    <col min="9988" max="10240" width="9.140625" style="1"/>
    <col min="10241" max="10241" width="29.5703125" style="1" bestFit="1" customWidth="1"/>
    <col min="10242" max="10242" width="19.85546875" style="1" customWidth="1"/>
    <col min="10243" max="10243" width="12" style="1" bestFit="1" customWidth="1"/>
    <col min="10244" max="10496" width="9.140625" style="1"/>
    <col min="10497" max="10497" width="29.5703125" style="1" bestFit="1" customWidth="1"/>
    <col min="10498" max="10498" width="19.85546875" style="1" customWidth="1"/>
    <col min="10499" max="10499" width="12" style="1" bestFit="1" customWidth="1"/>
    <col min="10500" max="10752" width="9.140625" style="1"/>
    <col min="10753" max="10753" width="29.5703125" style="1" bestFit="1" customWidth="1"/>
    <col min="10754" max="10754" width="19.85546875" style="1" customWidth="1"/>
    <col min="10755" max="10755" width="12" style="1" bestFit="1" customWidth="1"/>
    <col min="10756" max="11008" width="9.140625" style="1"/>
    <col min="11009" max="11009" width="29.5703125" style="1" bestFit="1" customWidth="1"/>
    <col min="11010" max="11010" width="19.85546875" style="1" customWidth="1"/>
    <col min="11011" max="11011" width="12" style="1" bestFit="1" customWidth="1"/>
    <col min="11012" max="11264" width="9.140625" style="1"/>
    <col min="11265" max="11265" width="29.5703125" style="1" bestFit="1" customWidth="1"/>
    <col min="11266" max="11266" width="19.85546875" style="1" customWidth="1"/>
    <col min="11267" max="11267" width="12" style="1" bestFit="1" customWidth="1"/>
    <col min="11268" max="11520" width="9.140625" style="1"/>
    <col min="11521" max="11521" width="29.5703125" style="1" bestFit="1" customWidth="1"/>
    <col min="11522" max="11522" width="19.85546875" style="1" customWidth="1"/>
    <col min="11523" max="11523" width="12" style="1" bestFit="1" customWidth="1"/>
    <col min="11524" max="11776" width="9.140625" style="1"/>
    <col min="11777" max="11777" width="29.5703125" style="1" bestFit="1" customWidth="1"/>
    <col min="11778" max="11778" width="19.85546875" style="1" customWidth="1"/>
    <col min="11779" max="11779" width="12" style="1" bestFit="1" customWidth="1"/>
    <col min="11780" max="12032" width="9.140625" style="1"/>
    <col min="12033" max="12033" width="29.5703125" style="1" bestFit="1" customWidth="1"/>
    <col min="12034" max="12034" width="19.85546875" style="1" customWidth="1"/>
    <col min="12035" max="12035" width="12" style="1" bestFit="1" customWidth="1"/>
    <col min="12036" max="12288" width="9.140625" style="1"/>
    <col min="12289" max="12289" width="29.5703125" style="1" bestFit="1" customWidth="1"/>
    <col min="12290" max="12290" width="19.85546875" style="1" customWidth="1"/>
    <col min="12291" max="12291" width="12" style="1" bestFit="1" customWidth="1"/>
    <col min="12292" max="12544" width="9.140625" style="1"/>
    <col min="12545" max="12545" width="29.5703125" style="1" bestFit="1" customWidth="1"/>
    <col min="12546" max="12546" width="19.85546875" style="1" customWidth="1"/>
    <col min="12547" max="12547" width="12" style="1" bestFit="1" customWidth="1"/>
    <col min="12548" max="12800" width="9.140625" style="1"/>
    <col min="12801" max="12801" width="29.5703125" style="1" bestFit="1" customWidth="1"/>
    <col min="12802" max="12802" width="19.85546875" style="1" customWidth="1"/>
    <col min="12803" max="12803" width="12" style="1" bestFit="1" customWidth="1"/>
    <col min="12804" max="13056" width="9.140625" style="1"/>
    <col min="13057" max="13057" width="29.5703125" style="1" bestFit="1" customWidth="1"/>
    <col min="13058" max="13058" width="19.85546875" style="1" customWidth="1"/>
    <col min="13059" max="13059" width="12" style="1" bestFit="1" customWidth="1"/>
    <col min="13060" max="13312" width="9.140625" style="1"/>
    <col min="13313" max="13313" width="29.5703125" style="1" bestFit="1" customWidth="1"/>
    <col min="13314" max="13314" width="19.85546875" style="1" customWidth="1"/>
    <col min="13315" max="13315" width="12" style="1" bestFit="1" customWidth="1"/>
    <col min="13316" max="13568" width="9.140625" style="1"/>
    <col min="13569" max="13569" width="29.5703125" style="1" bestFit="1" customWidth="1"/>
    <col min="13570" max="13570" width="19.85546875" style="1" customWidth="1"/>
    <col min="13571" max="13571" width="12" style="1" bestFit="1" customWidth="1"/>
    <col min="13572" max="13824" width="9.140625" style="1"/>
    <col min="13825" max="13825" width="29.5703125" style="1" bestFit="1" customWidth="1"/>
    <col min="13826" max="13826" width="19.85546875" style="1" customWidth="1"/>
    <col min="13827" max="13827" width="12" style="1" bestFit="1" customWidth="1"/>
    <col min="13828" max="14080" width="9.140625" style="1"/>
    <col min="14081" max="14081" width="29.5703125" style="1" bestFit="1" customWidth="1"/>
    <col min="14082" max="14082" width="19.85546875" style="1" customWidth="1"/>
    <col min="14083" max="14083" width="12" style="1" bestFit="1" customWidth="1"/>
    <col min="14084" max="14336" width="9.140625" style="1"/>
    <col min="14337" max="14337" width="29.5703125" style="1" bestFit="1" customWidth="1"/>
    <col min="14338" max="14338" width="19.85546875" style="1" customWidth="1"/>
    <col min="14339" max="14339" width="12" style="1" bestFit="1" customWidth="1"/>
    <col min="14340" max="14592" width="9.140625" style="1"/>
    <col min="14593" max="14593" width="29.5703125" style="1" bestFit="1" customWidth="1"/>
    <col min="14594" max="14594" width="19.85546875" style="1" customWidth="1"/>
    <col min="14595" max="14595" width="12" style="1" bestFit="1" customWidth="1"/>
    <col min="14596" max="14848" width="9.140625" style="1"/>
    <col min="14849" max="14849" width="29.5703125" style="1" bestFit="1" customWidth="1"/>
    <col min="14850" max="14850" width="19.85546875" style="1" customWidth="1"/>
    <col min="14851" max="14851" width="12" style="1" bestFit="1" customWidth="1"/>
    <col min="14852" max="15104" width="9.140625" style="1"/>
    <col min="15105" max="15105" width="29.5703125" style="1" bestFit="1" customWidth="1"/>
    <col min="15106" max="15106" width="19.85546875" style="1" customWidth="1"/>
    <col min="15107" max="15107" width="12" style="1" bestFit="1" customWidth="1"/>
    <col min="15108" max="15360" width="9.140625" style="1"/>
    <col min="15361" max="15361" width="29.5703125" style="1" bestFit="1" customWidth="1"/>
    <col min="15362" max="15362" width="19.85546875" style="1" customWidth="1"/>
    <col min="15363" max="15363" width="12" style="1" bestFit="1" customWidth="1"/>
    <col min="15364" max="15616" width="9.140625" style="1"/>
    <col min="15617" max="15617" width="29.5703125" style="1" bestFit="1" customWidth="1"/>
    <col min="15618" max="15618" width="19.85546875" style="1" customWidth="1"/>
    <col min="15619" max="15619" width="12" style="1" bestFit="1" customWidth="1"/>
    <col min="15620" max="15872" width="9.140625" style="1"/>
    <col min="15873" max="15873" width="29.5703125" style="1" bestFit="1" customWidth="1"/>
    <col min="15874" max="15874" width="19.85546875" style="1" customWidth="1"/>
    <col min="15875" max="15875" width="12" style="1" bestFit="1" customWidth="1"/>
    <col min="15876" max="16128" width="9.140625" style="1"/>
    <col min="16129" max="16129" width="29.5703125" style="1" bestFit="1" customWidth="1"/>
    <col min="16130" max="16130" width="19.85546875" style="1" customWidth="1"/>
    <col min="16131" max="16131" width="12" style="1" bestFit="1" customWidth="1"/>
    <col min="16132" max="16384" width="9.140625" style="1"/>
  </cols>
  <sheetData>
    <row r="1" spans="1:2">
      <c r="A1" s="1" t="s">
        <v>751</v>
      </c>
      <c r="B1" s="655">
        <v>6.1</v>
      </c>
    </row>
    <row r="2" spans="1:2">
      <c r="A2" s="1" t="s">
        <v>752</v>
      </c>
      <c r="B2" s="658">
        <v>43203.46837962963</v>
      </c>
    </row>
    <row r="3" spans="1:2">
      <c r="A3" s="1" t="s">
        <v>753</v>
      </c>
      <c r="B3" s="656" t="s">
        <v>456</v>
      </c>
    </row>
    <row r="4" spans="1:2">
      <c r="A4" s="1" t="s">
        <v>754</v>
      </c>
      <c r="B4" s="656" t="s">
        <v>755</v>
      </c>
    </row>
    <row r="5" spans="1:2">
      <c r="A5" s="1" t="s">
        <v>756</v>
      </c>
      <c r="B5" s="656" t="s">
        <v>757</v>
      </c>
    </row>
    <row r="6" spans="1:2">
      <c r="A6" s="1" t="s">
        <v>758</v>
      </c>
    </row>
    <row r="7" spans="1:2">
      <c r="A7" s="1" t="s">
        <v>759</v>
      </c>
      <c r="B7" s="656" t="s">
        <v>302</v>
      </c>
    </row>
    <row r="8" spans="1:2">
      <c r="A8" s="1" t="s">
        <v>760</v>
      </c>
      <c r="B8" s="656" t="s">
        <v>761</v>
      </c>
    </row>
    <row r="9" spans="1:2">
      <c r="A9" s="1" t="s">
        <v>762</v>
      </c>
      <c r="B9" s="656" t="s">
        <v>799</v>
      </c>
    </row>
    <row r="10" spans="1:2">
      <c r="A10" s="1" t="s">
        <v>763</v>
      </c>
    </row>
    <row r="11" spans="1:2">
      <c r="A11" s="1" t="s">
        <v>764</v>
      </c>
    </row>
    <row r="12" spans="1:2">
      <c r="A12" s="1" t="s">
        <v>765</v>
      </c>
    </row>
    <row r="13" spans="1:2">
      <c r="A13" s="1" t="s">
        <v>766</v>
      </c>
    </row>
    <row r="14" spans="1:2">
      <c r="A14" s="1" t="s">
        <v>767</v>
      </c>
    </row>
    <row r="15" spans="1:2">
      <c r="A15" s="1" t="s">
        <v>768</v>
      </c>
    </row>
    <row r="16" spans="1:2">
      <c r="A16" s="1" t="s">
        <v>769</v>
      </c>
    </row>
    <row r="17" spans="1:4">
      <c r="A17" s="1" t="s">
        <v>770</v>
      </c>
      <c r="B17" s="656" t="s">
        <v>800</v>
      </c>
    </row>
    <row r="18" spans="1:4">
      <c r="A18" s="1" t="s">
        <v>771</v>
      </c>
      <c r="B18" s="656" t="s">
        <v>803</v>
      </c>
    </row>
    <row r="19" spans="1:4">
      <c r="A19" s="1" t="s">
        <v>772</v>
      </c>
      <c r="B19" s="656" t="s">
        <v>301</v>
      </c>
    </row>
    <row r="20" spans="1:4">
      <c r="A20" s="1" t="s">
        <v>773</v>
      </c>
      <c r="B20" s="657">
        <v>803607100</v>
      </c>
    </row>
    <row r="21" spans="1:4">
      <c r="A21" s="1" t="s">
        <v>774</v>
      </c>
      <c r="B21" s="656" t="s">
        <v>301</v>
      </c>
    </row>
    <row r="22" spans="1:4">
      <c r="A22" s="1" t="s">
        <v>775</v>
      </c>
      <c r="B22" s="657" t="s">
        <v>351</v>
      </c>
    </row>
    <row r="23" spans="1:4">
      <c r="A23" s="1" t="s">
        <v>251</v>
      </c>
      <c r="B23" s="655">
        <v>82.7</v>
      </c>
    </row>
    <row r="24" spans="1:4">
      <c r="A24" s="1" t="s">
        <v>250</v>
      </c>
      <c r="B24" s="656" t="s">
        <v>67</v>
      </c>
      <c r="D24" s="1" t="s">
        <v>70</v>
      </c>
    </row>
    <row r="25" spans="1:4">
      <c r="A25" s="1" t="s">
        <v>776</v>
      </c>
      <c r="B25" s="656" t="s">
        <v>804</v>
      </c>
    </row>
    <row r="26" spans="1:4">
      <c r="A26" s="1" t="s">
        <v>777</v>
      </c>
      <c r="B26" s="656">
        <v>0</v>
      </c>
    </row>
    <row r="27" spans="1:4">
      <c r="A27" s="1" t="s">
        <v>778</v>
      </c>
      <c r="B27" s="656" t="s">
        <v>779</v>
      </c>
    </row>
    <row r="28" spans="1:4">
      <c r="A28" s="1" t="s">
        <v>780</v>
      </c>
      <c r="B28" s="656" t="s">
        <v>781</v>
      </c>
    </row>
    <row r="29" spans="1:4">
      <c r="A29" s="1" t="s">
        <v>782</v>
      </c>
    </row>
    <row r="30" spans="1:4">
      <c r="A30" s="1" t="s">
        <v>783</v>
      </c>
    </row>
    <row r="31" spans="1:4">
      <c r="A31" s="1" t="s">
        <v>784</v>
      </c>
    </row>
    <row r="32" spans="1:4">
      <c r="A32" s="1" t="s">
        <v>785</v>
      </c>
      <c r="B32" s="655"/>
    </row>
    <row r="33" spans="1:2">
      <c r="A33" s="1" t="s">
        <v>786</v>
      </c>
      <c r="B33" s="655"/>
    </row>
    <row r="34" spans="1:2">
      <c r="A34" s="1" t="s">
        <v>787</v>
      </c>
      <c r="B34" s="655"/>
    </row>
    <row r="35" spans="1:2">
      <c r="A35" s="1" t="s">
        <v>788</v>
      </c>
      <c r="B35" s="656">
        <v>1000000</v>
      </c>
    </row>
    <row r="36" spans="1:2">
      <c r="A36" s="1" t="s">
        <v>789</v>
      </c>
      <c r="B36" s="656" t="s">
        <v>801</v>
      </c>
    </row>
    <row r="37" spans="1:2">
      <c r="A37" s="1" t="s">
        <v>790</v>
      </c>
      <c r="B37" s="656" t="s">
        <v>791</v>
      </c>
    </row>
    <row r="38" spans="1:2">
      <c r="A38" s="1" t="s">
        <v>792</v>
      </c>
      <c r="B38" s="656" t="s">
        <v>793</v>
      </c>
    </row>
    <row r="39" spans="1:2">
      <c r="A39" s="1" t="s">
        <v>794</v>
      </c>
      <c r="B39" s="656" t="s">
        <v>802</v>
      </c>
    </row>
    <row r="40" spans="1:2">
      <c r="A40" s="1" t="s">
        <v>795</v>
      </c>
      <c r="B40" s="656">
        <v>1500004768</v>
      </c>
    </row>
    <row r="41" spans="1:2">
      <c r="A41" s="1" t="s">
        <v>796</v>
      </c>
      <c r="B41" s="656">
        <v>1</v>
      </c>
    </row>
    <row r="42" spans="1:2">
      <c r="A42" s="529" t="s">
        <v>797</v>
      </c>
    </row>
    <row r="43" spans="1:2">
      <c r="A43" s="1" t="s">
        <v>798</v>
      </c>
    </row>
  </sheetData>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13"/>
  <sheetViews>
    <sheetView workbookViewId="0">
      <selection activeCell="E11" sqref="E11"/>
    </sheetView>
  </sheetViews>
  <sheetFormatPr defaultRowHeight="12.75"/>
  <cols>
    <col min="1" max="1" width="28.5703125" style="1" bestFit="1" customWidth="1"/>
    <col min="2" max="256" width="9.140625" style="1"/>
    <col min="257" max="257" width="28.5703125" style="1" bestFit="1" customWidth="1"/>
    <col min="258" max="512" width="9.140625" style="1"/>
    <col min="513" max="513" width="28.5703125" style="1" bestFit="1" customWidth="1"/>
    <col min="514" max="768" width="9.140625" style="1"/>
    <col min="769" max="769" width="28.5703125" style="1" bestFit="1" customWidth="1"/>
    <col min="770" max="1024" width="9.140625" style="1"/>
    <col min="1025" max="1025" width="28.5703125" style="1" bestFit="1" customWidth="1"/>
    <col min="1026" max="1280" width="9.140625" style="1"/>
    <col min="1281" max="1281" width="28.5703125" style="1" bestFit="1" customWidth="1"/>
    <col min="1282" max="1536" width="9.140625" style="1"/>
    <col min="1537" max="1537" width="28.5703125" style="1" bestFit="1" customWidth="1"/>
    <col min="1538" max="1792" width="9.140625" style="1"/>
    <col min="1793" max="1793" width="28.5703125" style="1" bestFit="1" customWidth="1"/>
    <col min="1794" max="2048" width="9.140625" style="1"/>
    <col min="2049" max="2049" width="28.5703125" style="1" bestFit="1" customWidth="1"/>
    <col min="2050" max="2304" width="9.140625" style="1"/>
    <col min="2305" max="2305" width="28.5703125" style="1" bestFit="1" customWidth="1"/>
    <col min="2306" max="2560" width="9.140625" style="1"/>
    <col min="2561" max="2561" width="28.5703125" style="1" bestFit="1" customWidth="1"/>
    <col min="2562" max="2816" width="9.140625" style="1"/>
    <col min="2817" max="2817" width="28.5703125" style="1" bestFit="1" customWidth="1"/>
    <col min="2818" max="3072" width="9.140625" style="1"/>
    <col min="3073" max="3073" width="28.5703125" style="1" bestFit="1" customWidth="1"/>
    <col min="3074" max="3328" width="9.140625" style="1"/>
    <col min="3329" max="3329" width="28.5703125" style="1" bestFit="1" customWidth="1"/>
    <col min="3330" max="3584" width="9.140625" style="1"/>
    <col min="3585" max="3585" width="28.5703125" style="1" bestFit="1" customWidth="1"/>
    <col min="3586" max="3840" width="9.140625" style="1"/>
    <col min="3841" max="3841" width="28.5703125" style="1" bestFit="1" customWidth="1"/>
    <col min="3842" max="4096" width="9.140625" style="1"/>
    <col min="4097" max="4097" width="28.5703125" style="1" bestFit="1" customWidth="1"/>
    <col min="4098" max="4352" width="9.140625" style="1"/>
    <col min="4353" max="4353" width="28.5703125" style="1" bestFit="1" customWidth="1"/>
    <col min="4354" max="4608" width="9.140625" style="1"/>
    <col min="4609" max="4609" width="28.5703125" style="1" bestFit="1" customWidth="1"/>
    <col min="4610" max="4864" width="9.140625" style="1"/>
    <col min="4865" max="4865" width="28.5703125" style="1" bestFit="1" customWidth="1"/>
    <col min="4866" max="5120" width="9.140625" style="1"/>
    <col min="5121" max="5121" width="28.5703125" style="1" bestFit="1" customWidth="1"/>
    <col min="5122" max="5376" width="9.140625" style="1"/>
    <col min="5377" max="5377" width="28.5703125" style="1" bestFit="1" customWidth="1"/>
    <col min="5378" max="5632" width="9.140625" style="1"/>
    <col min="5633" max="5633" width="28.5703125" style="1" bestFit="1" customWidth="1"/>
    <col min="5634" max="5888" width="9.140625" style="1"/>
    <col min="5889" max="5889" width="28.5703125" style="1" bestFit="1" customWidth="1"/>
    <col min="5890" max="6144" width="9.140625" style="1"/>
    <col min="6145" max="6145" width="28.5703125" style="1" bestFit="1" customWidth="1"/>
    <col min="6146" max="6400" width="9.140625" style="1"/>
    <col min="6401" max="6401" width="28.5703125" style="1" bestFit="1" customWidth="1"/>
    <col min="6402" max="6656" width="9.140625" style="1"/>
    <col min="6657" max="6657" width="28.5703125" style="1" bestFit="1" customWidth="1"/>
    <col min="6658" max="6912" width="9.140625" style="1"/>
    <col min="6913" max="6913" width="28.5703125" style="1" bestFit="1" customWidth="1"/>
    <col min="6914" max="7168" width="9.140625" style="1"/>
    <col min="7169" max="7169" width="28.5703125" style="1" bestFit="1" customWidth="1"/>
    <col min="7170" max="7424" width="9.140625" style="1"/>
    <col min="7425" max="7425" width="28.5703125" style="1" bestFit="1" customWidth="1"/>
    <col min="7426" max="7680" width="9.140625" style="1"/>
    <col min="7681" max="7681" width="28.5703125" style="1" bestFit="1" customWidth="1"/>
    <col min="7682" max="7936" width="9.140625" style="1"/>
    <col min="7937" max="7937" width="28.5703125" style="1" bestFit="1" customWidth="1"/>
    <col min="7938" max="8192" width="9.140625" style="1"/>
    <col min="8193" max="8193" width="28.5703125" style="1" bestFit="1" customWidth="1"/>
    <col min="8194" max="8448" width="9.140625" style="1"/>
    <col min="8449" max="8449" width="28.5703125" style="1" bestFit="1" customWidth="1"/>
    <col min="8450" max="8704" width="9.140625" style="1"/>
    <col min="8705" max="8705" width="28.5703125" style="1" bestFit="1" customWidth="1"/>
    <col min="8706" max="8960" width="9.140625" style="1"/>
    <col min="8961" max="8961" width="28.5703125" style="1" bestFit="1" customWidth="1"/>
    <col min="8962" max="9216" width="9.140625" style="1"/>
    <col min="9217" max="9217" width="28.5703125" style="1" bestFit="1" customWidth="1"/>
    <col min="9218" max="9472" width="9.140625" style="1"/>
    <col min="9473" max="9473" width="28.5703125" style="1" bestFit="1" customWidth="1"/>
    <col min="9474" max="9728" width="9.140625" style="1"/>
    <col min="9729" max="9729" width="28.5703125" style="1" bestFit="1" customWidth="1"/>
    <col min="9730" max="9984" width="9.140625" style="1"/>
    <col min="9985" max="9985" width="28.5703125" style="1" bestFit="1" customWidth="1"/>
    <col min="9986" max="10240" width="9.140625" style="1"/>
    <col min="10241" max="10241" width="28.5703125" style="1" bestFit="1" customWidth="1"/>
    <col min="10242" max="10496" width="9.140625" style="1"/>
    <col min="10497" max="10497" width="28.5703125" style="1" bestFit="1" customWidth="1"/>
    <col min="10498" max="10752" width="9.140625" style="1"/>
    <col min="10753" max="10753" width="28.5703125" style="1" bestFit="1" customWidth="1"/>
    <col min="10754" max="11008" width="9.140625" style="1"/>
    <col min="11009" max="11009" width="28.5703125" style="1" bestFit="1" customWidth="1"/>
    <col min="11010" max="11264" width="9.140625" style="1"/>
    <col min="11265" max="11265" width="28.5703125" style="1" bestFit="1" customWidth="1"/>
    <col min="11266" max="11520" width="9.140625" style="1"/>
    <col min="11521" max="11521" width="28.5703125" style="1" bestFit="1" customWidth="1"/>
    <col min="11522" max="11776" width="9.140625" style="1"/>
    <col min="11777" max="11777" width="28.5703125" style="1" bestFit="1" customWidth="1"/>
    <col min="11778" max="12032" width="9.140625" style="1"/>
    <col min="12033" max="12033" width="28.5703125" style="1" bestFit="1" customWidth="1"/>
    <col min="12034" max="12288" width="9.140625" style="1"/>
    <col min="12289" max="12289" width="28.5703125" style="1" bestFit="1" customWidth="1"/>
    <col min="12290" max="12544" width="9.140625" style="1"/>
    <col min="12545" max="12545" width="28.5703125" style="1" bestFit="1" customWidth="1"/>
    <col min="12546" max="12800" width="9.140625" style="1"/>
    <col min="12801" max="12801" width="28.5703125" style="1" bestFit="1" customWidth="1"/>
    <col min="12802" max="13056" width="9.140625" style="1"/>
    <col min="13057" max="13057" width="28.5703125" style="1" bestFit="1" customWidth="1"/>
    <col min="13058" max="13312" width="9.140625" style="1"/>
    <col min="13313" max="13313" width="28.5703125" style="1" bestFit="1" customWidth="1"/>
    <col min="13314" max="13568" width="9.140625" style="1"/>
    <col min="13569" max="13569" width="28.5703125" style="1" bestFit="1" customWidth="1"/>
    <col min="13570" max="13824" width="9.140625" style="1"/>
    <col min="13825" max="13825" width="28.5703125" style="1" bestFit="1" customWidth="1"/>
    <col min="13826" max="14080" width="9.140625" style="1"/>
    <col min="14081" max="14081" width="28.5703125" style="1" bestFit="1" customWidth="1"/>
    <col min="14082" max="14336" width="9.140625" style="1"/>
    <col min="14337" max="14337" width="28.5703125" style="1" bestFit="1" customWidth="1"/>
    <col min="14338" max="14592" width="9.140625" style="1"/>
    <col min="14593" max="14593" width="28.5703125" style="1" bestFit="1" customWidth="1"/>
    <col min="14594" max="14848" width="9.140625" style="1"/>
    <col min="14849" max="14849" width="28.5703125" style="1" bestFit="1" customWidth="1"/>
    <col min="14850" max="15104" width="9.140625" style="1"/>
    <col min="15105" max="15105" width="28.5703125" style="1" bestFit="1" customWidth="1"/>
    <col min="15106" max="15360" width="9.140625" style="1"/>
    <col min="15361" max="15361" width="28.5703125" style="1" bestFit="1" customWidth="1"/>
    <col min="15362" max="15616" width="9.140625" style="1"/>
    <col min="15617" max="15617" width="28.5703125" style="1" bestFit="1" customWidth="1"/>
    <col min="15618" max="15872" width="9.140625" style="1"/>
    <col min="15873" max="15873" width="28.5703125" style="1" bestFit="1" customWidth="1"/>
    <col min="15874" max="16128" width="9.140625" style="1"/>
    <col min="16129" max="16129" width="28.5703125" style="1" bestFit="1" customWidth="1"/>
    <col min="16130" max="16384" width="9.140625" style="1"/>
  </cols>
  <sheetData>
    <row r="1" spans="1:1">
      <c r="A1" s="659" t="s">
        <v>805</v>
      </c>
    </row>
    <row r="2" spans="1:1">
      <c r="A2" s="659" t="s">
        <v>810</v>
      </c>
    </row>
    <row r="3" spans="1:1">
      <c r="A3" s="659" t="s">
        <v>811</v>
      </c>
    </row>
    <row r="4" spans="1:1">
      <c r="A4" s="659" t="s">
        <v>812</v>
      </c>
    </row>
    <row r="5" spans="1:1">
      <c r="A5" s="659" t="s">
        <v>813</v>
      </c>
    </row>
    <row r="6" spans="1:1">
      <c r="A6" s="659" t="s">
        <v>806</v>
      </c>
    </row>
    <row r="7" spans="1:1">
      <c r="A7" s="659" t="s">
        <v>814</v>
      </c>
    </row>
    <row r="8" spans="1:1">
      <c r="A8" s="659" t="s">
        <v>815</v>
      </c>
    </row>
    <row r="9" spans="1:1">
      <c r="A9" s="659" t="s">
        <v>816</v>
      </c>
    </row>
    <row r="10" spans="1:1">
      <c r="A10" s="659" t="s">
        <v>807</v>
      </c>
    </row>
    <row r="11" spans="1:1">
      <c r="A11" s="659" t="s">
        <v>817</v>
      </c>
    </row>
    <row r="12" spans="1:1">
      <c r="A12" s="659" t="s">
        <v>808</v>
      </c>
    </row>
    <row r="13" spans="1:1">
      <c r="A13" s="659" t="s">
        <v>809</v>
      </c>
    </row>
  </sheetData>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L2"/>
  <sheetViews>
    <sheetView zoomScaleNormal="100" workbookViewId="0"/>
  </sheetViews>
  <sheetFormatPr defaultRowHeight="12.75"/>
  <sheetData>
    <row r="1" spans="1:12">
      <c r="A1" t="s">
        <v>306</v>
      </c>
    </row>
    <row r="2" spans="1:12">
      <c r="A2" s="3" t="s">
        <v>305</v>
      </c>
      <c r="B2" s="3" t="s">
        <v>67</v>
      </c>
      <c r="C2" s="3" t="s">
        <v>303</v>
      </c>
      <c r="D2" s="3" t="s">
        <v>351</v>
      </c>
      <c r="E2" s="3" t="s">
        <v>73</v>
      </c>
      <c r="F2" s="3" t="s">
        <v>266</v>
      </c>
      <c r="G2" s="3" t="s">
        <v>72</v>
      </c>
      <c r="H2" s="3" t="s">
        <v>265</v>
      </c>
      <c r="I2" s="3" t="s">
        <v>71</v>
      </c>
      <c r="J2" s="3" t="s">
        <v>67</v>
      </c>
      <c r="K2" s="3" t="s">
        <v>304</v>
      </c>
      <c r="L2" s="3" t="s">
        <v>455</v>
      </c>
    </row>
  </sheetData>
  <phoneticPr fontId="8"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file>

<file path=customXml/itemProps1.xml><?xml version="1.0" encoding="utf-8"?>
<ds:datastoreItem xmlns:ds="http://schemas.openxmlformats.org/officeDocument/2006/customXml" ds:itemID="{13755637-C13A-43DD-9B79-0F9F1B0C6BCC}">
  <ds:schemaRefs>
    <ds:schemaRef ds:uri="thomsonreuters.linking.metadatachange"/>
  </ds:schemaRefs>
</ds:datastoreItem>
</file>

<file path=customXml/itemProps2.xml><?xml version="1.0" encoding="utf-8"?>
<ds:datastoreItem xmlns:ds="http://schemas.openxmlformats.org/officeDocument/2006/customXml" ds:itemID="{079550B6-E087-47E8-BED0-DBFC7C079E43}">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94</vt:i4>
      </vt:variant>
    </vt:vector>
  </HeadingPairs>
  <TitlesOfParts>
    <vt:vector size="103" baseType="lpstr">
      <vt:lpstr>ImportantDisclosures</vt:lpstr>
      <vt:lpstr>DCF </vt:lpstr>
      <vt:lpstr>IS</vt:lpstr>
      <vt:lpstr>DMD</vt:lpstr>
      <vt:lpstr>DMD Gene Therapy</vt:lpstr>
      <vt:lpstr>BS</vt:lpstr>
      <vt:lpstr>CF</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Linking_10</vt:lpstr>
      <vt:lpstr>Linking_14</vt:lpstr>
      <vt:lpstr>Linking_17</vt:lpstr>
      <vt:lpstr>Linking_18</vt:lpstr>
      <vt:lpstr>'DMD Gene Therapy'!Linking_19</vt:lpstr>
      <vt:lpstr>Linking_19</vt:lpstr>
      <vt:lpstr>'DMD Gene Therapy'!Linking_20</vt:lpstr>
      <vt:lpstr>Linking_20</vt:lpstr>
      <vt:lpstr>Linking_21</vt:lpstr>
      <vt:lpstr>Linking_22</vt:lpstr>
      <vt:lpstr>Linking_24</vt:lpstr>
      <vt:lpstr>Linking_27</vt:lpstr>
      <vt:lpstr>Linking_29</vt:lpstr>
      <vt:lpstr>Linking_30</vt:lpstr>
      <vt:lpstr>Linking_31</vt:lpstr>
      <vt:lpstr>'DMD Gene Therapy'!Linking_32</vt:lpstr>
      <vt:lpstr>Linking_32</vt:lpstr>
      <vt:lpstr>'DMD Gene Therapy'!Linking_33</vt:lpstr>
      <vt:lpstr>Linking_33</vt:lpstr>
      <vt:lpstr>'DCF '!Linking_5</vt:lpstr>
      <vt:lpstr>Linking_8</vt:lpstr>
      <vt:lpstr>Linking_9</vt:lpstr>
      <vt:lpstr>Linking_Range_1</vt:lpstr>
      <vt:lpstr>Linking_Range_2</vt:lpstr>
      <vt:lpstr>Linking_Range_50</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2013-01-14T19:20:50Z</dcterms:created>
  <dc:creator>David.Lebowitz@morganstanley.com</dc:creator>
  <cp:lastModifiedBy>Asante, Ishmael I (Research)</cp:lastModifiedBy>
  <cp:lastPrinted>2018-03-05T00:53:41Z</cp:lastPrinted>
  <dcterms:modified xsi:type="dcterms:W3CDTF">2018-04-13T15:14:29Z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linkTarget="Prop__Plant___Equip_Net" name="_Plant___Equip_Net" pid="2">
    <vt:r8>0</vt:r8>
  </property>
  <property fmtid="{D5CDD505-2E9C-101B-9397-08002B2CF9AE}" name="LinkingAutoNameNumberLinking_Range_" pid="3">
    <vt:lpwstr>53</vt:lpwstr>
  </property>
  <property fmtid="{D5CDD505-2E9C-101B-9397-08002B2CF9AE}" name="{A44787D4-0540-4523-9961-78E4036D8C6D}" pid="4">
    <vt:lpwstr>{4054C961-5B0C-4DDE-8AA2-62AB628B2031}</vt:lpwstr>
  </property>
  <property fmtid="{D5CDD505-2E9C-101B-9397-08002B2CF9AE}" name="ERModPubTicket" pid="5">
    <vt:lpwstr>NA</vt:lpwstr>
  </property>
  <property fmtid="{D5CDD505-2E9C-101B-9397-08002B2CF9AE}" name="ERCompanyUploadState" pid="6">
    <vt:lpwstr>P</vt:lpwstr>
  </property>
  <property fmtid="{D5CDD505-2E9C-101B-9397-08002B2CF9AE}" name="ModelId" pid="7">
    <vt:lpwstr>761566</vt:lpwstr>
  </property>
  <property fmtid="{D5CDD505-2E9C-101B-9397-08002B2CF9AE}" name="ERModPubCompanyName" pid="8">
    <vt:lpwstr>Sarepta Therapeutics Inc</vt:lpwstr>
  </property>
  <property fmtid="{D5CDD505-2E9C-101B-9397-08002B2CF9AE}" name="MSDH34TAG" pid="9">
    <vt:lpwstr>.TEZUF76X5TAHATHESADREYAK-00-INB160+*94600-06=6227c906/-3f2d/-11e8/-b3f7/-7a79cfe26848,MD=20180413111617/-0400,ZZ=000Z-c933.</vt:lpwstr>
  </property>
</Properties>
</file>